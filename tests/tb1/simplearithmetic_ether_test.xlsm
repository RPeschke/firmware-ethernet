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firmware-ethernet\tests\tb1\"/>
    </mc:Choice>
  </mc:AlternateContent>
  <bookViews>
    <workbookView xWindow="0" yWindow="0" windowWidth="9285" windowHeight="8475" tabRatio="589" activeTab="3"/>
  </bookViews>
  <sheets>
    <sheet name="Sheet3" sheetId="10" r:id="rId1"/>
    <sheet name="Sheet2" sheetId="9" r:id="rId2"/>
    <sheet name="Sheet1" sheetId="8" r:id="rId3"/>
    <sheet name="Book1" sheetId="2" r:id="rId4"/>
    <sheet name="Simulation_output" sheetId="1" r:id="rId5"/>
    <sheet name="Simulation_Input" sheetId="3" r:id="rId6"/>
    <sheet name="Setup" sheetId="5" r:id="rId7"/>
    <sheet name="CommandlineOutput" sheetId="7" r:id="rId8"/>
    <sheet name="ControlSheet" sheetId="4" r:id="rId9"/>
  </sheets>
  <functionGroups builtInGroupCount="18"/>
  <definedNames>
    <definedName name="BashPath">Setup!$B$13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Setup!$B$18</definedName>
    <definedName name="full_make_script">Setup!$B$20</definedName>
    <definedName name="full_make_script_bash">Setup!$B$21</definedName>
    <definedName name="Full_Run_On_HW_Script">Setup!$B$22</definedName>
    <definedName name="Full_Run_On_HW_Script_bash">Setup!$B$23</definedName>
    <definedName name="full_script">Setup!$B$16</definedName>
    <definedName name="full_script_BASH">Setup!$B$17</definedName>
    <definedName name="Headers">Setup!$B$25</definedName>
    <definedName name="l_path">Setup!#REF!</definedName>
    <definedName name="Lines">Book1!#REF!</definedName>
    <definedName name="Lines2">Setup!$B$26</definedName>
    <definedName name="make_command">Setup!$B$11</definedName>
    <definedName name="op_status">Book1!$A$17</definedName>
    <definedName name="output_File_Command">Setup!$B$19</definedName>
    <definedName name="rel_path">Setup!$B$15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Setup!$B$15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w_path">Setup!$B$14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0" i="9" l="1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4" i="9"/>
  <c r="G84" i="9"/>
  <c r="F84" i="9"/>
  <c r="E84" i="9"/>
  <c r="D84" i="9"/>
  <c r="C84" i="9"/>
  <c r="B84" i="9"/>
  <c r="H83" i="9"/>
  <c r="G83" i="9"/>
  <c r="F83" i="9"/>
  <c r="E83" i="9"/>
  <c r="D83" i="9"/>
  <c r="C83" i="9"/>
  <c r="B83" i="9"/>
  <c r="H82" i="9"/>
  <c r="G82" i="9"/>
  <c r="F82" i="9"/>
  <c r="E82" i="9"/>
  <c r="D82" i="9"/>
  <c r="C82" i="9"/>
  <c r="B82" i="9"/>
  <c r="H81" i="9"/>
  <c r="G81" i="9"/>
  <c r="F81" i="9"/>
  <c r="E81" i="9"/>
  <c r="D81" i="9"/>
  <c r="C81" i="9"/>
  <c r="B81" i="9"/>
  <c r="H80" i="9"/>
  <c r="G80" i="9"/>
  <c r="F80" i="9"/>
  <c r="E80" i="9"/>
  <c r="D80" i="9"/>
  <c r="C80" i="9"/>
  <c r="B80" i="9"/>
  <c r="H79" i="9"/>
  <c r="G79" i="9"/>
  <c r="F79" i="9"/>
  <c r="E79" i="9"/>
  <c r="D79" i="9"/>
  <c r="C79" i="9"/>
  <c r="B79" i="9"/>
  <c r="H78" i="9"/>
  <c r="G78" i="9"/>
  <c r="F78" i="9"/>
  <c r="E78" i="9"/>
  <c r="D78" i="9"/>
  <c r="C78" i="9"/>
  <c r="B78" i="9"/>
  <c r="H77" i="9"/>
  <c r="G77" i="9"/>
  <c r="F77" i="9"/>
  <c r="E77" i="9"/>
  <c r="D77" i="9"/>
  <c r="C77" i="9"/>
  <c r="B77" i="9"/>
  <c r="H76" i="9"/>
  <c r="G76" i="9"/>
  <c r="F76" i="9"/>
  <c r="E76" i="9"/>
  <c r="D76" i="9"/>
  <c r="C76" i="9"/>
  <c r="B76" i="9"/>
  <c r="H75" i="9"/>
  <c r="G75" i="9"/>
  <c r="F75" i="9"/>
  <c r="E75" i="9"/>
  <c r="D75" i="9"/>
  <c r="C75" i="9"/>
  <c r="B75" i="9"/>
  <c r="H74" i="9"/>
  <c r="G74" i="9"/>
  <c r="F74" i="9"/>
  <c r="E74" i="9"/>
  <c r="D74" i="9"/>
  <c r="C74" i="9"/>
  <c r="B74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5" i="9"/>
  <c r="G45" i="9"/>
  <c r="F45" i="9"/>
  <c r="E45" i="9"/>
  <c r="D45" i="9"/>
  <c r="C45" i="9"/>
  <c r="B45" i="9"/>
  <c r="H44" i="9"/>
  <c r="G44" i="9"/>
  <c r="F44" i="9"/>
  <c r="E44" i="9"/>
  <c r="D44" i="9"/>
  <c r="C44" i="9"/>
  <c r="B44" i="9"/>
  <c r="H43" i="9"/>
  <c r="G43" i="9"/>
  <c r="F43" i="9"/>
  <c r="E43" i="9"/>
  <c r="D43" i="9"/>
  <c r="B43" i="9"/>
  <c r="H42" i="9"/>
  <c r="G42" i="9"/>
  <c r="F42" i="9"/>
  <c r="E42" i="9"/>
  <c r="D42" i="9"/>
  <c r="B42" i="9"/>
  <c r="H41" i="9"/>
  <c r="G41" i="9"/>
  <c r="F41" i="9"/>
  <c r="E41" i="9"/>
  <c r="D41" i="9"/>
  <c r="B41" i="9"/>
  <c r="H40" i="9"/>
  <c r="G40" i="9"/>
  <c r="F40" i="9"/>
  <c r="E40" i="9"/>
  <c r="D40" i="9"/>
  <c r="B40" i="9"/>
  <c r="H39" i="9"/>
  <c r="G39" i="9"/>
  <c r="F39" i="9"/>
  <c r="E39" i="9"/>
  <c r="D39" i="9"/>
  <c r="B39" i="9"/>
  <c r="H38" i="9"/>
  <c r="G38" i="9"/>
  <c r="F38" i="9"/>
  <c r="E38" i="9"/>
  <c r="D38" i="9"/>
  <c r="B38" i="9"/>
  <c r="H37" i="9"/>
  <c r="G37" i="9"/>
  <c r="F37" i="9"/>
  <c r="E37" i="9"/>
  <c r="D37" i="9"/>
  <c r="B37" i="9"/>
  <c r="H36" i="9"/>
  <c r="G36" i="9"/>
  <c r="F36" i="9"/>
  <c r="E36" i="9"/>
  <c r="D36" i="9"/>
  <c r="B36" i="9"/>
  <c r="H35" i="9"/>
  <c r="G35" i="9"/>
  <c r="F35" i="9"/>
  <c r="E35" i="9"/>
  <c r="D35" i="9"/>
  <c r="B35" i="9"/>
  <c r="H34" i="9"/>
  <c r="G34" i="9"/>
  <c r="F34" i="9"/>
  <c r="E34" i="9"/>
  <c r="D34" i="9"/>
  <c r="B34" i="9"/>
  <c r="H33" i="9"/>
  <c r="G33" i="9"/>
  <c r="F33" i="9"/>
  <c r="E33" i="9"/>
  <c r="D33" i="9"/>
  <c r="B33" i="9"/>
  <c r="H32" i="9"/>
  <c r="G32" i="9"/>
  <c r="F32" i="9"/>
  <c r="E32" i="9"/>
  <c r="D32" i="9"/>
  <c r="B32" i="9"/>
  <c r="H31" i="9"/>
  <c r="G31" i="9"/>
  <c r="F31" i="9"/>
  <c r="E31" i="9"/>
  <c r="D31" i="9"/>
  <c r="B31" i="9"/>
  <c r="K41" i="10"/>
  <c r="J41" i="10"/>
  <c r="I41" i="10"/>
  <c r="H41" i="10"/>
  <c r="G41" i="10"/>
  <c r="K40" i="10"/>
  <c r="J40" i="10"/>
  <c r="I40" i="10"/>
  <c r="H40" i="10"/>
  <c r="G40" i="10"/>
  <c r="K39" i="10"/>
  <c r="J39" i="10"/>
  <c r="I39" i="10"/>
  <c r="H39" i="10"/>
  <c r="G39" i="10"/>
  <c r="K38" i="10"/>
  <c r="J38" i="10"/>
  <c r="I38" i="10"/>
  <c r="H38" i="10"/>
  <c r="G38" i="10"/>
  <c r="K37" i="10"/>
  <c r="J37" i="10"/>
  <c r="I37" i="10"/>
  <c r="H37" i="10"/>
  <c r="G37" i="10"/>
  <c r="K36" i="10"/>
  <c r="J36" i="10"/>
  <c r="I36" i="10"/>
  <c r="H36" i="10"/>
  <c r="G36" i="10"/>
  <c r="K35" i="10"/>
  <c r="J35" i="10"/>
  <c r="I35" i="10"/>
  <c r="H35" i="10"/>
  <c r="G35" i="10"/>
  <c r="K34" i="10"/>
  <c r="J34" i="10"/>
  <c r="I34" i="10"/>
  <c r="H34" i="10"/>
  <c r="G34" i="10"/>
  <c r="K33" i="10"/>
  <c r="J33" i="10"/>
  <c r="I33" i="10"/>
  <c r="H33" i="10"/>
  <c r="G33" i="10"/>
  <c r="K32" i="10"/>
  <c r="J32" i="10"/>
  <c r="I32" i="10"/>
  <c r="H32" i="10"/>
  <c r="G32" i="10"/>
  <c r="K31" i="10"/>
  <c r="J31" i="10"/>
  <c r="I31" i="10"/>
  <c r="H31" i="10"/>
  <c r="G31" i="10"/>
  <c r="K30" i="10"/>
  <c r="J30" i="10"/>
  <c r="I30" i="10"/>
  <c r="H30" i="10"/>
  <c r="G30" i="10"/>
  <c r="K29" i="10"/>
  <c r="J29" i="10"/>
  <c r="I29" i="10"/>
  <c r="H29" i="10"/>
  <c r="G29" i="10"/>
  <c r="K28" i="10"/>
  <c r="J28" i="10"/>
  <c r="I28" i="10"/>
  <c r="H28" i="10"/>
  <c r="G28" i="10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7" i="9"/>
  <c r="C7" i="9"/>
  <c r="F6" i="10"/>
  <c r="F7" i="10" s="1"/>
  <c r="F8" i="10" s="1"/>
  <c r="F9" i="10" s="1"/>
  <c r="F10" i="10" s="1"/>
  <c r="F11" i="10" s="1"/>
  <c r="F12" i="10" s="1"/>
  <c r="F13" i="10" s="1"/>
  <c r="F14" i="10" s="1"/>
  <c r="F15" i="10" s="1"/>
  <c r="F16" i="10" s="1"/>
  <c r="F17" i="10" s="1"/>
  <c r="F18" i="10" s="1"/>
  <c r="F19" i="10" s="1"/>
  <c r="F20" i="10" s="1"/>
  <c r="F21" i="10" s="1"/>
  <c r="F22" i="10" s="1"/>
  <c r="F23" i="10" s="1"/>
  <c r="F24" i="10" s="1"/>
  <c r="F25" i="10" s="1"/>
  <c r="F26" i="10" s="1"/>
  <c r="F27" i="10" s="1"/>
  <c r="F28" i="10" s="1"/>
  <c r="F29" i="10" s="1"/>
  <c r="H30" i="9"/>
  <c r="G30" i="9"/>
  <c r="F30" i="9"/>
  <c r="E30" i="9"/>
  <c r="D30" i="9"/>
  <c r="H29" i="9"/>
  <c r="G29" i="9"/>
  <c r="F29" i="9"/>
  <c r="E29" i="9"/>
  <c r="D29" i="9"/>
  <c r="H28" i="9"/>
  <c r="G28" i="9"/>
  <c r="F28" i="9"/>
  <c r="E28" i="9"/>
  <c r="D28" i="9"/>
  <c r="H27" i="9"/>
  <c r="G27" i="9"/>
  <c r="F27" i="9"/>
  <c r="E27" i="9"/>
  <c r="D27" i="9"/>
  <c r="H26" i="9"/>
  <c r="G26" i="9"/>
  <c r="F26" i="9"/>
  <c r="E26" i="9"/>
  <c r="D26" i="9"/>
  <c r="H25" i="9"/>
  <c r="G25" i="9"/>
  <c r="F25" i="9"/>
  <c r="E25" i="9"/>
  <c r="D25" i="9"/>
  <c r="H24" i="9"/>
  <c r="G24" i="9"/>
  <c r="F24" i="9"/>
  <c r="E24" i="9"/>
  <c r="D24" i="9"/>
  <c r="H23" i="9"/>
  <c r="G23" i="9"/>
  <c r="F23" i="9"/>
  <c r="E23" i="9"/>
  <c r="D23" i="9"/>
  <c r="H22" i="9"/>
  <c r="G22" i="9"/>
  <c r="F22" i="9"/>
  <c r="E22" i="9"/>
  <c r="D22" i="9"/>
  <c r="H21" i="9"/>
  <c r="G21" i="9"/>
  <c r="F21" i="9"/>
  <c r="E21" i="9"/>
  <c r="D21" i="9"/>
  <c r="H20" i="9"/>
  <c r="G20" i="9"/>
  <c r="F20" i="9"/>
  <c r="E20" i="9"/>
  <c r="D20" i="9"/>
  <c r="H19" i="9"/>
  <c r="G19" i="9"/>
  <c r="F19" i="9"/>
  <c r="E19" i="9"/>
  <c r="D19" i="9"/>
  <c r="H18" i="9"/>
  <c r="G18" i="9"/>
  <c r="F18" i="9"/>
  <c r="E18" i="9"/>
  <c r="D18" i="9"/>
  <c r="H17" i="9"/>
  <c r="G17" i="9"/>
  <c r="F17" i="9"/>
  <c r="E17" i="9"/>
  <c r="D17" i="9"/>
  <c r="H16" i="9"/>
  <c r="G16" i="9"/>
  <c r="F16" i="9"/>
  <c r="E16" i="9"/>
  <c r="D16" i="9"/>
  <c r="H15" i="9"/>
  <c r="G15" i="9"/>
  <c r="F15" i="9"/>
  <c r="E15" i="9"/>
  <c r="D15" i="9"/>
  <c r="H14" i="9"/>
  <c r="G14" i="9"/>
  <c r="F14" i="9"/>
  <c r="E14" i="9"/>
  <c r="D14" i="9"/>
  <c r="H13" i="9"/>
  <c r="G13" i="9"/>
  <c r="F13" i="9"/>
  <c r="E13" i="9"/>
  <c r="D13" i="9"/>
  <c r="H12" i="9"/>
  <c r="G12" i="9"/>
  <c r="F12" i="9"/>
  <c r="E12" i="9"/>
  <c r="D12" i="9"/>
  <c r="H11" i="9"/>
  <c r="G11" i="9"/>
  <c r="F11" i="9"/>
  <c r="E11" i="9"/>
  <c r="D11" i="9"/>
  <c r="H10" i="9"/>
  <c r="G10" i="9"/>
  <c r="F10" i="9"/>
  <c r="E10" i="9"/>
  <c r="D10" i="9"/>
  <c r="H9" i="9"/>
  <c r="G9" i="9"/>
  <c r="F9" i="9"/>
  <c r="E9" i="9"/>
  <c r="D9" i="9"/>
  <c r="H8" i="9"/>
  <c r="G8" i="9"/>
  <c r="F8" i="9"/>
  <c r="E8" i="9"/>
  <c r="D8" i="9"/>
  <c r="H7" i="9"/>
  <c r="G7" i="9"/>
  <c r="F7" i="9"/>
  <c r="E7" i="9"/>
  <c r="D7" i="9"/>
  <c r="J7" i="10"/>
  <c r="J8" i="10" s="1"/>
  <c r="J9" i="10" s="1"/>
  <c r="J10" i="10" s="1"/>
  <c r="J11" i="10" s="1"/>
  <c r="J12" i="10" s="1"/>
  <c r="J13" i="10" s="1"/>
  <c r="J14" i="10" s="1"/>
  <c r="J15" i="10" s="1"/>
  <c r="J16" i="10" s="1"/>
  <c r="J17" i="10" s="1"/>
  <c r="J18" i="10" s="1"/>
  <c r="J19" i="10" s="1"/>
  <c r="J20" i="10" s="1"/>
  <c r="J21" i="10" s="1"/>
  <c r="J22" i="10" s="1"/>
  <c r="J23" i="10" s="1"/>
  <c r="J24" i="10" s="1"/>
  <c r="J25" i="10" s="1"/>
  <c r="J26" i="10" s="1"/>
  <c r="J27" i="10" s="1"/>
  <c r="H7" i="10"/>
  <c r="H8" i="10" s="1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H22" i="10" s="1"/>
  <c r="H23" i="10" s="1"/>
  <c r="H24" i="10" s="1"/>
  <c r="H25" i="10" s="1"/>
  <c r="H26" i="10" s="1"/>
  <c r="H27" i="10" s="1"/>
  <c r="K6" i="10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J6" i="10"/>
  <c r="I6" i="10"/>
  <c r="I7" i="10" s="1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I26" i="10" s="1"/>
  <c r="I27" i="10" s="1"/>
  <c r="H6" i="10"/>
  <c r="G6" i="10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24" i="10" s="1"/>
  <c r="G25" i="10" s="1"/>
  <c r="G26" i="10" s="1"/>
  <c r="G27" i="10" s="1"/>
  <c r="P8" i="9"/>
  <c r="P7" i="9"/>
  <c r="R7" i="9" s="1"/>
  <c r="M8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AD5" i="2"/>
  <c r="AC5" i="2"/>
  <c r="C26" i="9" l="1"/>
  <c r="C12" i="9"/>
  <c r="C11" i="9"/>
  <c r="C14" i="9"/>
  <c r="C10" i="9"/>
  <c r="C13" i="9"/>
  <c r="C9" i="9"/>
  <c r="C8" i="9"/>
  <c r="C30" i="9"/>
  <c r="C31" i="9"/>
  <c r="F30" i="10"/>
  <c r="C22" i="9"/>
  <c r="C18" i="9"/>
  <c r="C29" i="9"/>
  <c r="C25" i="9"/>
  <c r="C21" i="9"/>
  <c r="C17" i="9"/>
  <c r="C28" i="9"/>
  <c r="C24" i="9"/>
  <c r="C20" i="9"/>
  <c r="C16" i="9"/>
  <c r="C27" i="9"/>
  <c r="C23" i="9"/>
  <c r="C19" i="9"/>
  <c r="C15" i="9"/>
  <c r="T7" i="9"/>
  <c r="S7" i="9"/>
  <c r="S8" i="9"/>
  <c r="R8" i="9"/>
  <c r="L320" i="9"/>
  <c r="M320" i="9" s="1"/>
  <c r="L312" i="9"/>
  <c r="M312" i="9" s="1"/>
  <c r="L300" i="9"/>
  <c r="M300" i="9" s="1"/>
  <c r="L292" i="9"/>
  <c r="M292" i="9" s="1"/>
  <c r="L280" i="9"/>
  <c r="M280" i="9" s="1"/>
  <c r="L324" i="9"/>
  <c r="M324" i="9" s="1"/>
  <c r="L316" i="9"/>
  <c r="M316" i="9" s="1"/>
  <c r="L308" i="9"/>
  <c r="M308" i="9" s="1"/>
  <c r="L304" i="9"/>
  <c r="M304" i="9" s="1"/>
  <c r="L296" i="9"/>
  <c r="M296" i="9" s="1"/>
  <c r="L288" i="9"/>
  <c r="M288" i="9" s="1"/>
  <c r="L284" i="9"/>
  <c r="M284" i="9" s="1"/>
  <c r="L322" i="9"/>
  <c r="M322" i="9" s="1"/>
  <c r="L318" i="9"/>
  <c r="M318" i="9" s="1"/>
  <c r="L314" i="9"/>
  <c r="M314" i="9" s="1"/>
  <c r="L310" i="9"/>
  <c r="M310" i="9" s="1"/>
  <c r="L306" i="9"/>
  <c r="M306" i="9" s="1"/>
  <c r="L302" i="9"/>
  <c r="M302" i="9" s="1"/>
  <c r="L298" i="9"/>
  <c r="M298" i="9" s="1"/>
  <c r="L294" i="9"/>
  <c r="M294" i="9" s="1"/>
  <c r="L290" i="9"/>
  <c r="M290" i="9" s="1"/>
  <c r="L286" i="9"/>
  <c r="M286" i="9" s="1"/>
  <c r="L282" i="9"/>
  <c r="M282" i="9" s="1"/>
  <c r="L321" i="9"/>
  <c r="M321" i="9" s="1"/>
  <c r="L317" i="9"/>
  <c r="M317" i="9" s="1"/>
  <c r="L313" i="9"/>
  <c r="M313" i="9" s="1"/>
  <c r="L309" i="9"/>
  <c r="M309" i="9" s="1"/>
  <c r="L305" i="9"/>
  <c r="M305" i="9" s="1"/>
  <c r="L301" i="9"/>
  <c r="M301" i="9" s="1"/>
  <c r="L297" i="9"/>
  <c r="M297" i="9" s="1"/>
  <c r="L293" i="9"/>
  <c r="M293" i="9" s="1"/>
  <c r="L289" i="9"/>
  <c r="M289" i="9" s="1"/>
  <c r="L285" i="9"/>
  <c r="M285" i="9" s="1"/>
  <c r="L281" i="9"/>
  <c r="M281" i="9" s="1"/>
  <c r="L323" i="9"/>
  <c r="M323" i="9" s="1"/>
  <c r="L319" i="9"/>
  <c r="M319" i="9" s="1"/>
  <c r="L315" i="9"/>
  <c r="M315" i="9" s="1"/>
  <c r="L311" i="9"/>
  <c r="M311" i="9" s="1"/>
  <c r="L307" i="9"/>
  <c r="M307" i="9" s="1"/>
  <c r="L303" i="9"/>
  <c r="M303" i="9" s="1"/>
  <c r="L299" i="9"/>
  <c r="M299" i="9" s="1"/>
  <c r="L295" i="9"/>
  <c r="M295" i="9" s="1"/>
  <c r="L291" i="9"/>
  <c r="M291" i="9" s="1"/>
  <c r="L287" i="9"/>
  <c r="M287" i="9" s="1"/>
  <c r="L283" i="9"/>
  <c r="M283" i="9" s="1"/>
  <c r="K325" i="9"/>
  <c r="F31" i="10" l="1"/>
  <c r="C32" i="9"/>
  <c r="L325" i="9"/>
  <c r="M325" i="9" s="1"/>
  <c r="K326" i="9"/>
  <c r="F10" i="2"/>
  <c r="G10" i="2"/>
  <c r="F4" i="2"/>
  <c r="E10" i="2"/>
  <c r="K9" i="9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K103" i="9" s="1"/>
  <c r="K104" i="9" s="1"/>
  <c r="K105" i="9" s="1"/>
  <c r="K106" i="9" s="1"/>
  <c r="K107" i="9" s="1"/>
  <c r="K108" i="9" s="1"/>
  <c r="K109" i="9" s="1"/>
  <c r="K110" i="9" s="1"/>
  <c r="K111" i="9" s="1"/>
  <c r="K112" i="9" s="1"/>
  <c r="K113" i="9" s="1"/>
  <c r="K114" i="9" s="1"/>
  <c r="K115" i="9" s="1"/>
  <c r="K116" i="9" s="1"/>
  <c r="K117" i="9" s="1"/>
  <c r="K118" i="9" s="1"/>
  <c r="K119" i="9" s="1"/>
  <c r="K120" i="9" s="1"/>
  <c r="K121" i="9" s="1"/>
  <c r="K122" i="9" s="1"/>
  <c r="K123" i="9" s="1"/>
  <c r="K124" i="9" s="1"/>
  <c r="K125" i="9" s="1"/>
  <c r="K126" i="9" s="1"/>
  <c r="K127" i="9" s="1"/>
  <c r="K128" i="9" s="1"/>
  <c r="K129" i="9" s="1"/>
  <c r="K130" i="9" s="1"/>
  <c r="K131" i="9" s="1"/>
  <c r="K132" i="9" s="1"/>
  <c r="K133" i="9" s="1"/>
  <c r="K134" i="9" s="1"/>
  <c r="K135" i="9" s="1"/>
  <c r="K136" i="9" s="1"/>
  <c r="K137" i="9" s="1"/>
  <c r="K138" i="9" s="1"/>
  <c r="K139" i="9" s="1"/>
  <c r="K140" i="9" s="1"/>
  <c r="K141" i="9" s="1"/>
  <c r="K142" i="9" s="1"/>
  <c r="K143" i="9" s="1"/>
  <c r="K144" i="9" s="1"/>
  <c r="K145" i="9" s="1"/>
  <c r="K146" i="9" s="1"/>
  <c r="K147" i="9" s="1"/>
  <c r="K148" i="9" s="1"/>
  <c r="K149" i="9" s="1"/>
  <c r="K150" i="9" s="1"/>
  <c r="K151" i="9" s="1"/>
  <c r="K152" i="9" s="1"/>
  <c r="K153" i="9" s="1"/>
  <c r="K154" i="9" s="1"/>
  <c r="K155" i="9" s="1"/>
  <c r="K156" i="9" s="1"/>
  <c r="K157" i="9" s="1"/>
  <c r="K158" i="9" s="1"/>
  <c r="K159" i="9" s="1"/>
  <c r="K160" i="9" s="1"/>
  <c r="K161" i="9" s="1"/>
  <c r="K162" i="9" s="1"/>
  <c r="K163" i="9" s="1"/>
  <c r="K164" i="9" s="1"/>
  <c r="K165" i="9" s="1"/>
  <c r="K166" i="9" s="1"/>
  <c r="K167" i="9" s="1"/>
  <c r="K168" i="9" s="1"/>
  <c r="K169" i="9" s="1"/>
  <c r="K170" i="9" s="1"/>
  <c r="K171" i="9" s="1"/>
  <c r="K172" i="9" s="1"/>
  <c r="K173" i="9" s="1"/>
  <c r="K174" i="9" s="1"/>
  <c r="K175" i="9" s="1"/>
  <c r="K176" i="9" s="1"/>
  <c r="K177" i="9" s="1"/>
  <c r="K178" i="9" s="1"/>
  <c r="K179" i="9" s="1"/>
  <c r="K180" i="9" s="1"/>
  <c r="K181" i="9" s="1"/>
  <c r="K182" i="9" s="1"/>
  <c r="K183" i="9" s="1"/>
  <c r="K184" i="9" s="1"/>
  <c r="K185" i="9" s="1"/>
  <c r="K186" i="9" s="1"/>
  <c r="K187" i="9" s="1"/>
  <c r="K188" i="9" s="1"/>
  <c r="K189" i="9" s="1"/>
  <c r="K190" i="9" s="1"/>
  <c r="K191" i="9" s="1"/>
  <c r="K192" i="9" s="1"/>
  <c r="K193" i="9" s="1"/>
  <c r="K194" i="9" s="1"/>
  <c r="K195" i="9" s="1"/>
  <c r="K196" i="9" s="1"/>
  <c r="K197" i="9" s="1"/>
  <c r="K198" i="9" s="1"/>
  <c r="K199" i="9" s="1"/>
  <c r="K200" i="9" s="1"/>
  <c r="K201" i="9" s="1"/>
  <c r="K202" i="9" s="1"/>
  <c r="K203" i="9" s="1"/>
  <c r="K204" i="9" s="1"/>
  <c r="K205" i="9" s="1"/>
  <c r="K206" i="9" s="1"/>
  <c r="K207" i="9" s="1"/>
  <c r="K208" i="9" s="1"/>
  <c r="K209" i="9" s="1"/>
  <c r="K210" i="9" s="1"/>
  <c r="K211" i="9" s="1"/>
  <c r="K212" i="9" s="1"/>
  <c r="K213" i="9" s="1"/>
  <c r="K214" i="9" s="1"/>
  <c r="K215" i="9" s="1"/>
  <c r="K216" i="9" s="1"/>
  <c r="K217" i="9" s="1"/>
  <c r="K218" i="9" s="1"/>
  <c r="K219" i="9" s="1"/>
  <c r="K220" i="9" s="1"/>
  <c r="K221" i="9" s="1"/>
  <c r="K222" i="9" s="1"/>
  <c r="K223" i="9" s="1"/>
  <c r="K224" i="9" s="1"/>
  <c r="K225" i="9" s="1"/>
  <c r="K226" i="9" s="1"/>
  <c r="K227" i="9" s="1"/>
  <c r="K228" i="9" s="1"/>
  <c r="K229" i="9" s="1"/>
  <c r="K230" i="9" s="1"/>
  <c r="K231" i="9" s="1"/>
  <c r="K232" i="9" s="1"/>
  <c r="K233" i="9" s="1"/>
  <c r="K234" i="9" s="1"/>
  <c r="K235" i="9" s="1"/>
  <c r="K236" i="9" s="1"/>
  <c r="K237" i="9" s="1"/>
  <c r="K238" i="9" s="1"/>
  <c r="K239" i="9" s="1"/>
  <c r="K240" i="9" s="1"/>
  <c r="K241" i="9" s="1"/>
  <c r="K242" i="9" s="1"/>
  <c r="K243" i="9" s="1"/>
  <c r="K244" i="9" s="1"/>
  <c r="K245" i="9" s="1"/>
  <c r="K246" i="9" s="1"/>
  <c r="K247" i="9" s="1"/>
  <c r="K248" i="9" s="1"/>
  <c r="K249" i="9" s="1"/>
  <c r="K250" i="9" s="1"/>
  <c r="K251" i="9" s="1"/>
  <c r="K252" i="9" s="1"/>
  <c r="K253" i="9" s="1"/>
  <c r="K254" i="9" s="1"/>
  <c r="K255" i="9" s="1"/>
  <c r="K256" i="9" s="1"/>
  <c r="K257" i="9" s="1"/>
  <c r="K258" i="9" s="1"/>
  <c r="K259" i="9" s="1"/>
  <c r="K260" i="9" s="1"/>
  <c r="K261" i="9" s="1"/>
  <c r="K262" i="9" s="1"/>
  <c r="K263" i="9" s="1"/>
  <c r="K264" i="9" s="1"/>
  <c r="K265" i="9" s="1"/>
  <c r="K266" i="9" s="1"/>
  <c r="K267" i="9" s="1"/>
  <c r="K268" i="9" s="1"/>
  <c r="K269" i="9" s="1"/>
  <c r="K270" i="9" s="1"/>
  <c r="K271" i="9" s="1"/>
  <c r="K272" i="9" s="1"/>
  <c r="K273" i="9" s="1"/>
  <c r="K274" i="9" s="1"/>
  <c r="K275" i="9" s="1"/>
  <c r="K276" i="9" s="1"/>
  <c r="K277" i="9" s="1"/>
  <c r="K278" i="9" s="1"/>
  <c r="K279" i="9" s="1"/>
  <c r="K8" i="9"/>
  <c r="L8" i="9"/>
  <c r="E11" i="2" s="1"/>
  <c r="L9" i="9"/>
  <c r="M9" i="9" s="1"/>
  <c r="L10" i="9"/>
  <c r="M10" i="9" s="1"/>
  <c r="L11" i="9"/>
  <c r="M11" i="9" s="1"/>
  <c r="L12" i="9"/>
  <c r="M12" i="9" s="1"/>
  <c r="L13" i="9"/>
  <c r="M13" i="9" s="1"/>
  <c r="L14" i="9"/>
  <c r="M14" i="9" s="1"/>
  <c r="L15" i="9"/>
  <c r="M15" i="9" s="1"/>
  <c r="L16" i="9"/>
  <c r="M16" i="9" s="1"/>
  <c r="L17" i="9"/>
  <c r="M17" i="9" s="1"/>
  <c r="L18" i="9"/>
  <c r="M18" i="9" s="1"/>
  <c r="L19" i="9"/>
  <c r="M19" i="9" s="1"/>
  <c r="L20" i="9"/>
  <c r="M20" i="9" s="1"/>
  <c r="L21" i="9"/>
  <c r="M21" i="9" s="1"/>
  <c r="L22" i="9"/>
  <c r="M22" i="9" s="1"/>
  <c r="L23" i="9"/>
  <c r="M23" i="9" s="1"/>
  <c r="L24" i="9"/>
  <c r="M24" i="9" s="1"/>
  <c r="L25" i="9"/>
  <c r="M25" i="9" s="1"/>
  <c r="L26" i="9"/>
  <c r="M26" i="9" s="1"/>
  <c r="L27" i="9"/>
  <c r="M27" i="9" s="1"/>
  <c r="L28" i="9"/>
  <c r="M28" i="9" s="1"/>
  <c r="L29" i="9"/>
  <c r="M29" i="9" s="1"/>
  <c r="L30" i="9"/>
  <c r="M30" i="9" s="1"/>
  <c r="L31" i="9"/>
  <c r="M31" i="9" s="1"/>
  <c r="L32" i="9"/>
  <c r="M32" i="9" s="1"/>
  <c r="L33" i="9"/>
  <c r="M33" i="9" s="1"/>
  <c r="L34" i="9"/>
  <c r="M34" i="9" s="1"/>
  <c r="L35" i="9"/>
  <c r="M35" i="9" s="1"/>
  <c r="L36" i="9"/>
  <c r="M36" i="9" s="1"/>
  <c r="L37" i="9"/>
  <c r="M37" i="9" s="1"/>
  <c r="L38" i="9"/>
  <c r="M38" i="9" s="1"/>
  <c r="L39" i="9"/>
  <c r="M39" i="9" s="1"/>
  <c r="L40" i="9"/>
  <c r="M40" i="9" s="1"/>
  <c r="L41" i="9"/>
  <c r="M41" i="9" s="1"/>
  <c r="L42" i="9"/>
  <c r="M42" i="9" s="1"/>
  <c r="L43" i="9"/>
  <c r="M43" i="9" s="1"/>
  <c r="L44" i="9"/>
  <c r="M44" i="9" s="1"/>
  <c r="L45" i="9"/>
  <c r="M45" i="9" s="1"/>
  <c r="L46" i="9"/>
  <c r="M46" i="9" s="1"/>
  <c r="L47" i="9"/>
  <c r="M47" i="9" s="1"/>
  <c r="L48" i="9"/>
  <c r="M48" i="9" s="1"/>
  <c r="L49" i="9"/>
  <c r="M49" i="9" s="1"/>
  <c r="L50" i="9"/>
  <c r="M50" i="9" s="1"/>
  <c r="L51" i="9"/>
  <c r="M51" i="9" s="1"/>
  <c r="L52" i="9"/>
  <c r="M52" i="9" s="1"/>
  <c r="L53" i="9"/>
  <c r="M53" i="9" s="1"/>
  <c r="L54" i="9"/>
  <c r="M54" i="9" s="1"/>
  <c r="L55" i="9"/>
  <c r="M55" i="9" s="1"/>
  <c r="L56" i="9"/>
  <c r="M56" i="9" s="1"/>
  <c r="L57" i="9"/>
  <c r="M57" i="9" s="1"/>
  <c r="L58" i="9"/>
  <c r="M58" i="9" s="1"/>
  <c r="L59" i="9"/>
  <c r="M59" i="9" s="1"/>
  <c r="L60" i="9"/>
  <c r="M60" i="9" s="1"/>
  <c r="L61" i="9"/>
  <c r="M61" i="9" s="1"/>
  <c r="L62" i="9"/>
  <c r="M62" i="9" s="1"/>
  <c r="L63" i="9"/>
  <c r="M63" i="9" s="1"/>
  <c r="L64" i="9"/>
  <c r="M64" i="9" s="1"/>
  <c r="L65" i="9"/>
  <c r="M65" i="9" s="1"/>
  <c r="L66" i="9"/>
  <c r="M66" i="9" s="1"/>
  <c r="L67" i="9"/>
  <c r="M67" i="9" s="1"/>
  <c r="L68" i="9"/>
  <c r="M68" i="9" s="1"/>
  <c r="L69" i="9"/>
  <c r="M69" i="9" s="1"/>
  <c r="L70" i="9"/>
  <c r="M70" i="9" s="1"/>
  <c r="L71" i="9"/>
  <c r="M71" i="9" s="1"/>
  <c r="L72" i="9"/>
  <c r="M72" i="9" s="1"/>
  <c r="L73" i="9"/>
  <c r="M73" i="9" s="1"/>
  <c r="L74" i="9"/>
  <c r="M74" i="9" s="1"/>
  <c r="L75" i="9"/>
  <c r="M75" i="9" s="1"/>
  <c r="L76" i="9"/>
  <c r="M76" i="9" s="1"/>
  <c r="L77" i="9"/>
  <c r="M77" i="9" s="1"/>
  <c r="L78" i="9"/>
  <c r="M78" i="9" s="1"/>
  <c r="L79" i="9"/>
  <c r="M79" i="9" s="1"/>
  <c r="L80" i="9"/>
  <c r="M80" i="9" s="1"/>
  <c r="L81" i="9"/>
  <c r="M81" i="9" s="1"/>
  <c r="L82" i="9"/>
  <c r="M82" i="9" s="1"/>
  <c r="L83" i="9"/>
  <c r="M83" i="9" s="1"/>
  <c r="L84" i="9"/>
  <c r="M84" i="9" s="1"/>
  <c r="L85" i="9"/>
  <c r="M85" i="9" s="1"/>
  <c r="L86" i="9"/>
  <c r="M86" i="9" s="1"/>
  <c r="L87" i="9"/>
  <c r="M87" i="9" s="1"/>
  <c r="L88" i="9"/>
  <c r="M88" i="9" s="1"/>
  <c r="L89" i="9"/>
  <c r="M89" i="9" s="1"/>
  <c r="L90" i="9"/>
  <c r="M90" i="9" s="1"/>
  <c r="L91" i="9"/>
  <c r="M91" i="9" s="1"/>
  <c r="L92" i="9"/>
  <c r="M92" i="9" s="1"/>
  <c r="L93" i="9"/>
  <c r="M93" i="9" s="1"/>
  <c r="L94" i="9"/>
  <c r="M94" i="9" s="1"/>
  <c r="L95" i="9"/>
  <c r="M95" i="9" s="1"/>
  <c r="L96" i="9"/>
  <c r="M96" i="9" s="1"/>
  <c r="L97" i="9"/>
  <c r="M97" i="9" s="1"/>
  <c r="L98" i="9"/>
  <c r="M98" i="9" s="1"/>
  <c r="L99" i="9"/>
  <c r="M99" i="9" s="1"/>
  <c r="L100" i="9"/>
  <c r="M100" i="9" s="1"/>
  <c r="L101" i="9"/>
  <c r="M101" i="9" s="1"/>
  <c r="L102" i="9"/>
  <c r="M102" i="9" s="1"/>
  <c r="L103" i="9"/>
  <c r="M103" i="9" s="1"/>
  <c r="L104" i="9"/>
  <c r="M104" i="9" s="1"/>
  <c r="L105" i="9"/>
  <c r="M105" i="9" s="1"/>
  <c r="L106" i="9"/>
  <c r="M106" i="9" s="1"/>
  <c r="L107" i="9"/>
  <c r="M107" i="9" s="1"/>
  <c r="L108" i="9"/>
  <c r="M108" i="9" s="1"/>
  <c r="L109" i="9"/>
  <c r="M109" i="9" s="1"/>
  <c r="L110" i="9"/>
  <c r="M110" i="9" s="1"/>
  <c r="L111" i="9"/>
  <c r="M111" i="9" s="1"/>
  <c r="L112" i="9"/>
  <c r="M112" i="9" s="1"/>
  <c r="L113" i="9"/>
  <c r="M113" i="9" s="1"/>
  <c r="L114" i="9"/>
  <c r="M114" i="9" s="1"/>
  <c r="L115" i="9"/>
  <c r="M115" i="9" s="1"/>
  <c r="L116" i="9"/>
  <c r="M116" i="9" s="1"/>
  <c r="L117" i="9"/>
  <c r="M117" i="9" s="1"/>
  <c r="L118" i="9"/>
  <c r="M118" i="9" s="1"/>
  <c r="L119" i="9"/>
  <c r="M119" i="9" s="1"/>
  <c r="L120" i="9"/>
  <c r="M120" i="9" s="1"/>
  <c r="L121" i="9"/>
  <c r="M121" i="9" s="1"/>
  <c r="L122" i="9"/>
  <c r="M122" i="9" s="1"/>
  <c r="L123" i="9"/>
  <c r="M123" i="9" s="1"/>
  <c r="L124" i="9"/>
  <c r="M124" i="9" s="1"/>
  <c r="L125" i="9"/>
  <c r="M125" i="9" s="1"/>
  <c r="L126" i="9"/>
  <c r="M126" i="9" s="1"/>
  <c r="L127" i="9"/>
  <c r="M127" i="9" s="1"/>
  <c r="L128" i="9"/>
  <c r="M128" i="9" s="1"/>
  <c r="L129" i="9"/>
  <c r="M129" i="9" s="1"/>
  <c r="L130" i="9"/>
  <c r="M130" i="9" s="1"/>
  <c r="L131" i="9"/>
  <c r="M131" i="9" s="1"/>
  <c r="L132" i="9"/>
  <c r="M132" i="9" s="1"/>
  <c r="L133" i="9"/>
  <c r="M133" i="9" s="1"/>
  <c r="L134" i="9"/>
  <c r="M134" i="9" s="1"/>
  <c r="L135" i="9"/>
  <c r="M135" i="9" s="1"/>
  <c r="L136" i="9"/>
  <c r="M136" i="9" s="1"/>
  <c r="L137" i="9"/>
  <c r="M137" i="9" s="1"/>
  <c r="L138" i="9"/>
  <c r="M138" i="9" s="1"/>
  <c r="L139" i="9"/>
  <c r="M139" i="9" s="1"/>
  <c r="L140" i="9"/>
  <c r="M140" i="9" s="1"/>
  <c r="L141" i="9"/>
  <c r="M141" i="9" s="1"/>
  <c r="L142" i="9"/>
  <c r="M142" i="9" s="1"/>
  <c r="L143" i="9"/>
  <c r="M143" i="9" s="1"/>
  <c r="L144" i="9"/>
  <c r="M144" i="9" s="1"/>
  <c r="L145" i="9"/>
  <c r="M145" i="9" s="1"/>
  <c r="L146" i="9"/>
  <c r="M146" i="9" s="1"/>
  <c r="L147" i="9"/>
  <c r="M147" i="9" s="1"/>
  <c r="L148" i="9"/>
  <c r="M148" i="9" s="1"/>
  <c r="L149" i="9"/>
  <c r="M149" i="9" s="1"/>
  <c r="L150" i="9"/>
  <c r="M150" i="9" s="1"/>
  <c r="L151" i="9"/>
  <c r="M151" i="9" s="1"/>
  <c r="L152" i="9"/>
  <c r="M152" i="9" s="1"/>
  <c r="L153" i="9"/>
  <c r="M153" i="9" s="1"/>
  <c r="L154" i="9"/>
  <c r="M154" i="9" s="1"/>
  <c r="L155" i="9"/>
  <c r="M155" i="9" s="1"/>
  <c r="L156" i="9"/>
  <c r="M156" i="9" s="1"/>
  <c r="L157" i="9"/>
  <c r="M157" i="9" s="1"/>
  <c r="L158" i="9"/>
  <c r="M158" i="9" s="1"/>
  <c r="L159" i="9"/>
  <c r="M159" i="9" s="1"/>
  <c r="L160" i="9"/>
  <c r="M160" i="9" s="1"/>
  <c r="L161" i="9"/>
  <c r="M161" i="9" s="1"/>
  <c r="L162" i="9"/>
  <c r="M162" i="9" s="1"/>
  <c r="L163" i="9"/>
  <c r="M163" i="9" s="1"/>
  <c r="L164" i="9"/>
  <c r="M164" i="9" s="1"/>
  <c r="L165" i="9"/>
  <c r="M165" i="9" s="1"/>
  <c r="L166" i="9"/>
  <c r="M166" i="9" s="1"/>
  <c r="L167" i="9"/>
  <c r="M167" i="9" s="1"/>
  <c r="L168" i="9"/>
  <c r="M168" i="9" s="1"/>
  <c r="L169" i="9"/>
  <c r="M169" i="9" s="1"/>
  <c r="L170" i="9"/>
  <c r="M170" i="9" s="1"/>
  <c r="L171" i="9"/>
  <c r="M171" i="9" s="1"/>
  <c r="L172" i="9"/>
  <c r="M172" i="9" s="1"/>
  <c r="L173" i="9"/>
  <c r="M173" i="9" s="1"/>
  <c r="L174" i="9"/>
  <c r="M174" i="9" s="1"/>
  <c r="L175" i="9"/>
  <c r="M175" i="9" s="1"/>
  <c r="L176" i="9"/>
  <c r="M176" i="9" s="1"/>
  <c r="L177" i="9"/>
  <c r="M177" i="9" s="1"/>
  <c r="L178" i="9"/>
  <c r="M178" i="9" s="1"/>
  <c r="L179" i="9"/>
  <c r="M179" i="9" s="1"/>
  <c r="L180" i="9"/>
  <c r="M180" i="9" s="1"/>
  <c r="L181" i="9"/>
  <c r="M181" i="9" s="1"/>
  <c r="L182" i="9"/>
  <c r="M182" i="9" s="1"/>
  <c r="L183" i="9"/>
  <c r="M183" i="9" s="1"/>
  <c r="L184" i="9"/>
  <c r="M184" i="9" s="1"/>
  <c r="L185" i="9"/>
  <c r="M185" i="9" s="1"/>
  <c r="L186" i="9"/>
  <c r="M186" i="9" s="1"/>
  <c r="L187" i="9"/>
  <c r="M187" i="9" s="1"/>
  <c r="L188" i="9"/>
  <c r="M188" i="9" s="1"/>
  <c r="L189" i="9"/>
  <c r="M189" i="9" s="1"/>
  <c r="L190" i="9"/>
  <c r="M190" i="9" s="1"/>
  <c r="L191" i="9"/>
  <c r="M191" i="9" s="1"/>
  <c r="L192" i="9"/>
  <c r="M192" i="9" s="1"/>
  <c r="L193" i="9"/>
  <c r="M193" i="9" s="1"/>
  <c r="L194" i="9"/>
  <c r="M194" i="9" s="1"/>
  <c r="L195" i="9"/>
  <c r="M195" i="9" s="1"/>
  <c r="L196" i="9"/>
  <c r="M196" i="9" s="1"/>
  <c r="L197" i="9"/>
  <c r="M197" i="9" s="1"/>
  <c r="L198" i="9"/>
  <c r="M198" i="9" s="1"/>
  <c r="L199" i="9"/>
  <c r="M199" i="9" s="1"/>
  <c r="L200" i="9"/>
  <c r="M200" i="9" s="1"/>
  <c r="L201" i="9"/>
  <c r="M201" i="9" s="1"/>
  <c r="L202" i="9"/>
  <c r="M202" i="9" s="1"/>
  <c r="L203" i="9"/>
  <c r="M203" i="9" s="1"/>
  <c r="L204" i="9"/>
  <c r="M204" i="9" s="1"/>
  <c r="L205" i="9"/>
  <c r="M205" i="9" s="1"/>
  <c r="L206" i="9"/>
  <c r="M206" i="9" s="1"/>
  <c r="L207" i="9"/>
  <c r="M207" i="9" s="1"/>
  <c r="L208" i="9"/>
  <c r="M208" i="9" s="1"/>
  <c r="L209" i="9"/>
  <c r="M209" i="9" s="1"/>
  <c r="L210" i="9"/>
  <c r="M210" i="9" s="1"/>
  <c r="L211" i="9"/>
  <c r="M211" i="9" s="1"/>
  <c r="L212" i="9"/>
  <c r="M212" i="9" s="1"/>
  <c r="L213" i="9"/>
  <c r="M213" i="9" s="1"/>
  <c r="L214" i="9"/>
  <c r="M214" i="9" s="1"/>
  <c r="L215" i="9"/>
  <c r="M215" i="9" s="1"/>
  <c r="L216" i="9"/>
  <c r="M216" i="9" s="1"/>
  <c r="L217" i="9"/>
  <c r="M217" i="9" s="1"/>
  <c r="L218" i="9"/>
  <c r="M218" i="9" s="1"/>
  <c r="L219" i="9"/>
  <c r="M219" i="9" s="1"/>
  <c r="L220" i="9"/>
  <c r="M220" i="9" s="1"/>
  <c r="L221" i="9"/>
  <c r="M221" i="9" s="1"/>
  <c r="L222" i="9"/>
  <c r="M222" i="9" s="1"/>
  <c r="L223" i="9"/>
  <c r="M223" i="9" s="1"/>
  <c r="L224" i="9"/>
  <c r="M224" i="9" s="1"/>
  <c r="L225" i="9"/>
  <c r="M225" i="9" s="1"/>
  <c r="L226" i="9"/>
  <c r="M226" i="9" s="1"/>
  <c r="L227" i="9"/>
  <c r="M227" i="9" s="1"/>
  <c r="L228" i="9"/>
  <c r="M228" i="9" s="1"/>
  <c r="L229" i="9"/>
  <c r="M229" i="9" s="1"/>
  <c r="L230" i="9"/>
  <c r="M230" i="9" s="1"/>
  <c r="L231" i="9"/>
  <c r="M231" i="9" s="1"/>
  <c r="L232" i="9"/>
  <c r="M232" i="9" s="1"/>
  <c r="L233" i="9"/>
  <c r="M233" i="9" s="1"/>
  <c r="L234" i="9"/>
  <c r="M234" i="9" s="1"/>
  <c r="L235" i="9"/>
  <c r="M235" i="9" s="1"/>
  <c r="L236" i="9"/>
  <c r="M236" i="9" s="1"/>
  <c r="L237" i="9"/>
  <c r="M237" i="9" s="1"/>
  <c r="L238" i="9"/>
  <c r="M238" i="9" s="1"/>
  <c r="L239" i="9"/>
  <c r="M239" i="9" s="1"/>
  <c r="L240" i="9"/>
  <c r="M240" i="9" s="1"/>
  <c r="L241" i="9"/>
  <c r="M241" i="9" s="1"/>
  <c r="L242" i="9"/>
  <c r="M242" i="9" s="1"/>
  <c r="L243" i="9"/>
  <c r="M243" i="9" s="1"/>
  <c r="L244" i="9"/>
  <c r="M244" i="9" s="1"/>
  <c r="L245" i="9"/>
  <c r="M245" i="9" s="1"/>
  <c r="L246" i="9"/>
  <c r="M246" i="9" s="1"/>
  <c r="L247" i="9"/>
  <c r="M247" i="9" s="1"/>
  <c r="L248" i="9"/>
  <c r="M248" i="9" s="1"/>
  <c r="L249" i="9"/>
  <c r="M249" i="9" s="1"/>
  <c r="L250" i="9"/>
  <c r="M250" i="9" s="1"/>
  <c r="L251" i="9"/>
  <c r="M251" i="9" s="1"/>
  <c r="L252" i="9"/>
  <c r="M252" i="9" s="1"/>
  <c r="L253" i="9"/>
  <c r="M253" i="9" s="1"/>
  <c r="L254" i="9"/>
  <c r="M254" i="9" s="1"/>
  <c r="L255" i="9"/>
  <c r="M255" i="9" s="1"/>
  <c r="L256" i="9"/>
  <c r="M256" i="9" s="1"/>
  <c r="L257" i="9"/>
  <c r="M257" i="9" s="1"/>
  <c r="L258" i="9"/>
  <c r="M258" i="9" s="1"/>
  <c r="L259" i="9"/>
  <c r="M259" i="9" s="1"/>
  <c r="L260" i="9"/>
  <c r="M260" i="9" s="1"/>
  <c r="L261" i="9"/>
  <c r="M261" i="9" s="1"/>
  <c r="L262" i="9"/>
  <c r="M262" i="9" s="1"/>
  <c r="L263" i="9"/>
  <c r="M263" i="9" s="1"/>
  <c r="L264" i="9"/>
  <c r="M264" i="9" s="1"/>
  <c r="L265" i="9"/>
  <c r="M265" i="9" s="1"/>
  <c r="L266" i="9"/>
  <c r="M266" i="9" s="1"/>
  <c r="L267" i="9"/>
  <c r="M267" i="9" s="1"/>
  <c r="L268" i="9"/>
  <c r="M268" i="9" s="1"/>
  <c r="L269" i="9"/>
  <c r="M269" i="9" s="1"/>
  <c r="L270" i="9"/>
  <c r="M270" i="9" s="1"/>
  <c r="L271" i="9"/>
  <c r="M271" i="9" s="1"/>
  <c r="L272" i="9"/>
  <c r="M272" i="9" s="1"/>
  <c r="L273" i="9"/>
  <c r="M273" i="9" s="1"/>
  <c r="L274" i="9"/>
  <c r="M274" i="9" s="1"/>
  <c r="L275" i="9"/>
  <c r="M275" i="9" s="1"/>
  <c r="L276" i="9"/>
  <c r="M276" i="9" s="1"/>
  <c r="L277" i="9"/>
  <c r="M277" i="9" s="1"/>
  <c r="L278" i="9"/>
  <c r="M278" i="9" s="1"/>
  <c r="L279" i="9"/>
  <c r="M279" i="9" s="1"/>
  <c r="L7" i="9"/>
  <c r="F32" i="10" l="1"/>
  <c r="C33" i="9"/>
  <c r="L326" i="9"/>
  <c r="M326" i="9" s="1"/>
  <c r="K327" i="9"/>
  <c r="N8" i="9"/>
  <c r="O7" i="9"/>
  <c r="F11" i="2"/>
  <c r="F33" i="10" l="1"/>
  <c r="C34" i="9"/>
  <c r="L327" i="9"/>
  <c r="M327" i="9" s="1"/>
  <c r="K328" i="9"/>
  <c r="N9" i="9"/>
  <c r="O8" i="9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2" i="4"/>
  <c r="C2" i="4"/>
  <c r="B2" i="4"/>
  <c r="A2" i="4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02" i="3"/>
  <c r="A1003" i="3"/>
  <c r="K3" i="2"/>
  <c r="K4" i="2"/>
  <c r="K5" i="2"/>
  <c r="K6" i="2"/>
  <c r="K7" i="2"/>
  <c r="N7" i="2" s="1"/>
  <c r="K8" i="2"/>
  <c r="K9" i="2"/>
  <c r="K10" i="2"/>
  <c r="K11" i="2"/>
  <c r="K12" i="2"/>
  <c r="K13" i="2"/>
  <c r="K14" i="2"/>
  <c r="M14" i="2" s="1"/>
  <c r="AD14" i="2" s="1"/>
  <c r="K15" i="2"/>
  <c r="M15" i="2" s="1"/>
  <c r="AD15" i="2" s="1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F34" i="10" l="1"/>
  <c r="C35" i="9"/>
  <c r="T8" i="9"/>
  <c r="G11" i="2" s="1"/>
  <c r="C9" i="3" s="1"/>
  <c r="C9" i="4" s="1"/>
  <c r="L328" i="9"/>
  <c r="M328" i="9" s="1"/>
  <c r="K329" i="9"/>
  <c r="N10" i="9"/>
  <c r="O9" i="9"/>
  <c r="N6" i="2"/>
  <c r="M16" i="2"/>
  <c r="M1002" i="2"/>
  <c r="AD1002" i="2" s="1"/>
  <c r="M998" i="2"/>
  <c r="AD998" i="2" s="1"/>
  <c r="M994" i="2"/>
  <c r="AD994" i="2" s="1"/>
  <c r="M990" i="2"/>
  <c r="AD990" i="2" s="1"/>
  <c r="M986" i="2"/>
  <c r="AD986" i="2" s="1"/>
  <c r="M982" i="2"/>
  <c r="AD982" i="2" s="1"/>
  <c r="M978" i="2"/>
  <c r="AD978" i="2" s="1"/>
  <c r="M974" i="2"/>
  <c r="AD974" i="2" s="1"/>
  <c r="M970" i="2"/>
  <c r="AD970" i="2" s="1"/>
  <c r="M966" i="2"/>
  <c r="AD966" i="2" s="1"/>
  <c r="M962" i="2"/>
  <c r="AD962" i="2" s="1"/>
  <c r="M958" i="2"/>
  <c r="AD958" i="2" s="1"/>
  <c r="M954" i="2"/>
  <c r="AD954" i="2" s="1"/>
  <c r="M950" i="2"/>
  <c r="AD950" i="2" s="1"/>
  <c r="M946" i="2"/>
  <c r="AD946" i="2" s="1"/>
  <c r="M942" i="2"/>
  <c r="AD942" i="2" s="1"/>
  <c r="M938" i="2"/>
  <c r="AD938" i="2" s="1"/>
  <c r="M934" i="2"/>
  <c r="AD934" i="2" s="1"/>
  <c r="M930" i="2"/>
  <c r="AD930" i="2" s="1"/>
  <c r="M926" i="2"/>
  <c r="AD926" i="2" s="1"/>
  <c r="M922" i="2"/>
  <c r="AD922" i="2" s="1"/>
  <c r="M918" i="2"/>
  <c r="AD918" i="2" s="1"/>
  <c r="M914" i="2"/>
  <c r="AD914" i="2" s="1"/>
  <c r="M910" i="2"/>
  <c r="AD910" i="2" s="1"/>
  <c r="M906" i="2"/>
  <c r="AD906" i="2" s="1"/>
  <c r="M902" i="2"/>
  <c r="AD902" i="2" s="1"/>
  <c r="M898" i="2"/>
  <c r="AD898" i="2" s="1"/>
  <c r="M894" i="2"/>
  <c r="AD894" i="2" s="1"/>
  <c r="M890" i="2"/>
  <c r="AD890" i="2" s="1"/>
  <c r="M886" i="2"/>
  <c r="AD886" i="2" s="1"/>
  <c r="M882" i="2"/>
  <c r="AD882" i="2" s="1"/>
  <c r="M878" i="2"/>
  <c r="AD878" i="2" s="1"/>
  <c r="M874" i="2"/>
  <c r="AD874" i="2" s="1"/>
  <c r="M870" i="2"/>
  <c r="AD870" i="2" s="1"/>
  <c r="M866" i="2"/>
  <c r="AD866" i="2" s="1"/>
  <c r="M862" i="2"/>
  <c r="AD862" i="2" s="1"/>
  <c r="M858" i="2"/>
  <c r="AD858" i="2" s="1"/>
  <c r="M854" i="2"/>
  <c r="AD854" i="2" s="1"/>
  <c r="M850" i="2"/>
  <c r="AD850" i="2" s="1"/>
  <c r="M846" i="2"/>
  <c r="AD846" i="2" s="1"/>
  <c r="M842" i="2"/>
  <c r="AD842" i="2" s="1"/>
  <c r="M838" i="2"/>
  <c r="AD838" i="2" s="1"/>
  <c r="M834" i="2"/>
  <c r="AD834" i="2" s="1"/>
  <c r="M830" i="2"/>
  <c r="AD830" i="2" s="1"/>
  <c r="M826" i="2"/>
  <c r="AD826" i="2" s="1"/>
  <c r="M822" i="2"/>
  <c r="AD822" i="2" s="1"/>
  <c r="M818" i="2"/>
  <c r="AD818" i="2" s="1"/>
  <c r="M814" i="2"/>
  <c r="AD814" i="2" s="1"/>
  <c r="M810" i="2"/>
  <c r="AD810" i="2" s="1"/>
  <c r="M806" i="2"/>
  <c r="AD806" i="2" s="1"/>
  <c r="M802" i="2"/>
  <c r="AD802" i="2" s="1"/>
  <c r="M798" i="2"/>
  <c r="AD798" i="2" s="1"/>
  <c r="M794" i="2"/>
  <c r="AD794" i="2" s="1"/>
  <c r="M790" i="2"/>
  <c r="AD790" i="2" s="1"/>
  <c r="M786" i="2"/>
  <c r="AD786" i="2" s="1"/>
  <c r="M782" i="2"/>
  <c r="AD782" i="2" s="1"/>
  <c r="M778" i="2"/>
  <c r="AD778" i="2" s="1"/>
  <c r="M774" i="2"/>
  <c r="AD774" i="2" s="1"/>
  <c r="M770" i="2"/>
  <c r="AD770" i="2" s="1"/>
  <c r="M766" i="2"/>
  <c r="AD766" i="2" s="1"/>
  <c r="M762" i="2"/>
  <c r="AD762" i="2" s="1"/>
  <c r="M758" i="2"/>
  <c r="AD758" i="2" s="1"/>
  <c r="M754" i="2"/>
  <c r="AD754" i="2" s="1"/>
  <c r="M750" i="2"/>
  <c r="AD750" i="2" s="1"/>
  <c r="M746" i="2"/>
  <c r="AD746" i="2" s="1"/>
  <c r="M742" i="2"/>
  <c r="AD742" i="2" s="1"/>
  <c r="M738" i="2"/>
  <c r="AD738" i="2" s="1"/>
  <c r="M734" i="2"/>
  <c r="AD734" i="2" s="1"/>
  <c r="M730" i="2"/>
  <c r="AD730" i="2" s="1"/>
  <c r="M726" i="2"/>
  <c r="AD726" i="2" s="1"/>
  <c r="M722" i="2"/>
  <c r="AD722" i="2" s="1"/>
  <c r="M718" i="2"/>
  <c r="AD718" i="2" s="1"/>
  <c r="M714" i="2"/>
  <c r="AD714" i="2" s="1"/>
  <c r="M710" i="2"/>
  <c r="AD710" i="2" s="1"/>
  <c r="M706" i="2"/>
  <c r="AD706" i="2" s="1"/>
  <c r="M702" i="2"/>
  <c r="AD702" i="2" s="1"/>
  <c r="M698" i="2"/>
  <c r="AD698" i="2" s="1"/>
  <c r="M694" i="2"/>
  <c r="AD694" i="2" s="1"/>
  <c r="M690" i="2"/>
  <c r="AD690" i="2" s="1"/>
  <c r="M686" i="2"/>
  <c r="AD686" i="2" s="1"/>
  <c r="M682" i="2"/>
  <c r="AD682" i="2" s="1"/>
  <c r="M678" i="2"/>
  <c r="AD678" i="2" s="1"/>
  <c r="M674" i="2"/>
  <c r="AD674" i="2" s="1"/>
  <c r="M670" i="2"/>
  <c r="AD670" i="2" s="1"/>
  <c r="M666" i="2"/>
  <c r="AD666" i="2" s="1"/>
  <c r="M662" i="2"/>
  <c r="AD662" i="2" s="1"/>
  <c r="M658" i="2"/>
  <c r="AD658" i="2" s="1"/>
  <c r="M654" i="2"/>
  <c r="AD654" i="2" s="1"/>
  <c r="M650" i="2"/>
  <c r="AD650" i="2" s="1"/>
  <c r="M646" i="2"/>
  <c r="AD646" i="2" s="1"/>
  <c r="M642" i="2"/>
  <c r="AD642" i="2" s="1"/>
  <c r="M638" i="2"/>
  <c r="AD638" i="2" s="1"/>
  <c r="M634" i="2"/>
  <c r="AD634" i="2" s="1"/>
  <c r="M630" i="2"/>
  <c r="AD630" i="2" s="1"/>
  <c r="M626" i="2"/>
  <c r="AD626" i="2" s="1"/>
  <c r="M622" i="2"/>
  <c r="AD622" i="2" s="1"/>
  <c r="M618" i="2"/>
  <c r="AD618" i="2" s="1"/>
  <c r="M614" i="2"/>
  <c r="AD614" i="2" s="1"/>
  <c r="M610" i="2"/>
  <c r="AD610" i="2" s="1"/>
  <c r="M606" i="2"/>
  <c r="AD606" i="2" s="1"/>
  <c r="M602" i="2"/>
  <c r="AD602" i="2" s="1"/>
  <c r="M598" i="2"/>
  <c r="AD598" i="2" s="1"/>
  <c r="M594" i="2"/>
  <c r="AD594" i="2" s="1"/>
  <c r="M590" i="2"/>
  <c r="AD590" i="2" s="1"/>
  <c r="M586" i="2"/>
  <c r="AD586" i="2" s="1"/>
  <c r="M582" i="2"/>
  <c r="AD582" i="2" s="1"/>
  <c r="M578" i="2"/>
  <c r="AD578" i="2" s="1"/>
  <c r="M574" i="2"/>
  <c r="AD574" i="2" s="1"/>
  <c r="M570" i="2"/>
  <c r="AD570" i="2" s="1"/>
  <c r="M566" i="2"/>
  <c r="AD566" i="2" s="1"/>
  <c r="M562" i="2"/>
  <c r="AD562" i="2" s="1"/>
  <c r="M558" i="2"/>
  <c r="AD558" i="2" s="1"/>
  <c r="M554" i="2"/>
  <c r="AD554" i="2" s="1"/>
  <c r="M550" i="2"/>
  <c r="AD550" i="2" s="1"/>
  <c r="M546" i="2"/>
  <c r="AD546" i="2" s="1"/>
  <c r="M542" i="2"/>
  <c r="AD542" i="2" s="1"/>
  <c r="M538" i="2"/>
  <c r="AD538" i="2" s="1"/>
  <c r="M534" i="2"/>
  <c r="AD534" i="2" s="1"/>
  <c r="M530" i="2"/>
  <c r="AD530" i="2" s="1"/>
  <c r="M526" i="2"/>
  <c r="AD526" i="2" s="1"/>
  <c r="M522" i="2"/>
  <c r="AD522" i="2" s="1"/>
  <c r="M518" i="2"/>
  <c r="AD518" i="2" s="1"/>
  <c r="M514" i="2"/>
  <c r="AD514" i="2" s="1"/>
  <c r="M510" i="2"/>
  <c r="AD510" i="2" s="1"/>
  <c r="M506" i="2"/>
  <c r="AD506" i="2" s="1"/>
  <c r="M502" i="2"/>
  <c r="AD502" i="2" s="1"/>
  <c r="M498" i="2"/>
  <c r="AD498" i="2" s="1"/>
  <c r="M494" i="2"/>
  <c r="AD494" i="2" s="1"/>
  <c r="M490" i="2"/>
  <c r="AD490" i="2" s="1"/>
  <c r="M486" i="2"/>
  <c r="AD486" i="2" s="1"/>
  <c r="M482" i="2"/>
  <c r="AD482" i="2" s="1"/>
  <c r="M478" i="2"/>
  <c r="AD478" i="2" s="1"/>
  <c r="M474" i="2"/>
  <c r="AD474" i="2" s="1"/>
  <c r="M470" i="2"/>
  <c r="AD470" i="2" s="1"/>
  <c r="M466" i="2"/>
  <c r="AD466" i="2" s="1"/>
  <c r="M462" i="2"/>
  <c r="AD462" i="2" s="1"/>
  <c r="M458" i="2"/>
  <c r="AD458" i="2" s="1"/>
  <c r="M454" i="2"/>
  <c r="AD454" i="2" s="1"/>
  <c r="M450" i="2"/>
  <c r="AD450" i="2" s="1"/>
  <c r="M446" i="2"/>
  <c r="AD446" i="2" s="1"/>
  <c r="M442" i="2"/>
  <c r="AD442" i="2" s="1"/>
  <c r="M438" i="2"/>
  <c r="AD438" i="2" s="1"/>
  <c r="M434" i="2"/>
  <c r="AD434" i="2" s="1"/>
  <c r="M430" i="2"/>
  <c r="AD430" i="2" s="1"/>
  <c r="M426" i="2"/>
  <c r="AD426" i="2" s="1"/>
  <c r="M422" i="2"/>
  <c r="AD422" i="2" s="1"/>
  <c r="M418" i="2"/>
  <c r="AD418" i="2" s="1"/>
  <c r="M414" i="2"/>
  <c r="AD414" i="2" s="1"/>
  <c r="M410" i="2"/>
  <c r="AD410" i="2" s="1"/>
  <c r="M406" i="2"/>
  <c r="AD406" i="2" s="1"/>
  <c r="M402" i="2"/>
  <c r="AD402" i="2" s="1"/>
  <c r="M398" i="2"/>
  <c r="AD398" i="2" s="1"/>
  <c r="M394" i="2"/>
  <c r="AD394" i="2" s="1"/>
  <c r="M390" i="2"/>
  <c r="AD390" i="2" s="1"/>
  <c r="M386" i="2"/>
  <c r="AD386" i="2" s="1"/>
  <c r="M382" i="2"/>
  <c r="AD382" i="2" s="1"/>
  <c r="M378" i="2"/>
  <c r="AD378" i="2" s="1"/>
  <c r="M374" i="2"/>
  <c r="AD374" i="2" s="1"/>
  <c r="M370" i="2"/>
  <c r="AD370" i="2" s="1"/>
  <c r="M366" i="2"/>
  <c r="AD366" i="2" s="1"/>
  <c r="M362" i="2"/>
  <c r="AD362" i="2" s="1"/>
  <c r="M1001" i="2"/>
  <c r="AD1001" i="2" s="1"/>
  <c r="M997" i="2"/>
  <c r="M993" i="2"/>
  <c r="AD993" i="2" s="1"/>
  <c r="M989" i="2"/>
  <c r="AD989" i="2" s="1"/>
  <c r="M985" i="2"/>
  <c r="M981" i="2"/>
  <c r="M977" i="2"/>
  <c r="M973" i="2"/>
  <c r="AD973" i="2" s="1"/>
  <c r="M969" i="2"/>
  <c r="M965" i="2"/>
  <c r="AD965" i="2" s="1"/>
  <c r="M961" i="2"/>
  <c r="AD961" i="2" s="1"/>
  <c r="M957" i="2"/>
  <c r="M953" i="2"/>
  <c r="M949" i="2"/>
  <c r="M945" i="2"/>
  <c r="AD945" i="2" s="1"/>
  <c r="M941" i="2"/>
  <c r="M937" i="2"/>
  <c r="AD937" i="2" s="1"/>
  <c r="M933" i="2"/>
  <c r="AD933" i="2" s="1"/>
  <c r="M929" i="2"/>
  <c r="M925" i="2"/>
  <c r="M921" i="2"/>
  <c r="M917" i="2"/>
  <c r="AD917" i="2" s="1"/>
  <c r="M913" i="2"/>
  <c r="M909" i="2"/>
  <c r="AD909" i="2" s="1"/>
  <c r="M905" i="2"/>
  <c r="AD905" i="2" s="1"/>
  <c r="M901" i="2"/>
  <c r="M897" i="2"/>
  <c r="AD897" i="2" s="1"/>
  <c r="M893" i="2"/>
  <c r="M889" i="2"/>
  <c r="AD889" i="2" s="1"/>
  <c r="M885" i="2"/>
  <c r="M881" i="2"/>
  <c r="AD881" i="2" s="1"/>
  <c r="M877" i="2"/>
  <c r="AD877" i="2" s="1"/>
  <c r="M873" i="2"/>
  <c r="M869" i="2"/>
  <c r="AD869" i="2" s="1"/>
  <c r="M865" i="2"/>
  <c r="M861" i="2"/>
  <c r="AD861" i="2" s="1"/>
  <c r="M857" i="2"/>
  <c r="M853" i="2"/>
  <c r="AD853" i="2" s="1"/>
  <c r="M849" i="2"/>
  <c r="AD849" i="2" s="1"/>
  <c r="M845" i="2"/>
  <c r="M841" i="2"/>
  <c r="AD841" i="2" s="1"/>
  <c r="M837" i="2"/>
  <c r="M833" i="2"/>
  <c r="AD833" i="2" s="1"/>
  <c r="M829" i="2"/>
  <c r="M825" i="2"/>
  <c r="AD825" i="2" s="1"/>
  <c r="M821" i="2"/>
  <c r="AD821" i="2" s="1"/>
  <c r="M817" i="2"/>
  <c r="M813" i="2"/>
  <c r="AD813" i="2" s="1"/>
  <c r="M809" i="2"/>
  <c r="M805" i="2"/>
  <c r="AD805" i="2" s="1"/>
  <c r="M801" i="2"/>
  <c r="M797" i="2"/>
  <c r="AD797" i="2" s="1"/>
  <c r="M793" i="2"/>
  <c r="AD793" i="2" s="1"/>
  <c r="M789" i="2"/>
  <c r="M785" i="2"/>
  <c r="AD785" i="2" s="1"/>
  <c r="M781" i="2"/>
  <c r="M777" i="2"/>
  <c r="M773" i="2"/>
  <c r="M769" i="2"/>
  <c r="AD769" i="2" s="1"/>
  <c r="M765" i="2"/>
  <c r="AD765" i="2" s="1"/>
  <c r="M761" i="2"/>
  <c r="M757" i="2"/>
  <c r="AD757" i="2" s="1"/>
  <c r="M753" i="2"/>
  <c r="M749" i="2"/>
  <c r="M745" i="2"/>
  <c r="M741" i="2"/>
  <c r="AD741" i="2" s="1"/>
  <c r="M737" i="2"/>
  <c r="AD737" i="2" s="1"/>
  <c r="M733" i="2"/>
  <c r="M729" i="2"/>
  <c r="M725" i="2"/>
  <c r="M721" i="2"/>
  <c r="M717" i="2"/>
  <c r="M713" i="2"/>
  <c r="AD713" i="2" s="1"/>
  <c r="M709" i="2"/>
  <c r="AD709" i="2" s="1"/>
  <c r="M705" i="2"/>
  <c r="M701" i="2"/>
  <c r="M1000" i="2"/>
  <c r="AD1000" i="2" s="1"/>
  <c r="M996" i="2"/>
  <c r="AD996" i="2" s="1"/>
  <c r="M992" i="2"/>
  <c r="AD992" i="2" s="1"/>
  <c r="M988" i="2"/>
  <c r="AD988" i="2" s="1"/>
  <c r="M984" i="2"/>
  <c r="AD984" i="2" s="1"/>
  <c r="M980" i="2"/>
  <c r="AD980" i="2" s="1"/>
  <c r="M976" i="2"/>
  <c r="AD976" i="2" s="1"/>
  <c r="M972" i="2"/>
  <c r="AD972" i="2" s="1"/>
  <c r="M968" i="2"/>
  <c r="AD968" i="2" s="1"/>
  <c r="M964" i="2"/>
  <c r="AD964" i="2" s="1"/>
  <c r="M960" i="2"/>
  <c r="AD960" i="2" s="1"/>
  <c r="M956" i="2"/>
  <c r="AD956" i="2" s="1"/>
  <c r="M952" i="2"/>
  <c r="AD952" i="2" s="1"/>
  <c r="M948" i="2"/>
  <c r="AD948" i="2" s="1"/>
  <c r="M944" i="2"/>
  <c r="AD944" i="2" s="1"/>
  <c r="M940" i="2"/>
  <c r="AD940" i="2" s="1"/>
  <c r="M936" i="2"/>
  <c r="AD936" i="2" s="1"/>
  <c r="M932" i="2"/>
  <c r="AD932" i="2" s="1"/>
  <c r="M928" i="2"/>
  <c r="AD928" i="2" s="1"/>
  <c r="M924" i="2"/>
  <c r="AD924" i="2" s="1"/>
  <c r="M920" i="2"/>
  <c r="AD920" i="2" s="1"/>
  <c r="M916" i="2"/>
  <c r="AD916" i="2" s="1"/>
  <c r="M912" i="2"/>
  <c r="AD912" i="2" s="1"/>
  <c r="M908" i="2"/>
  <c r="AD908" i="2" s="1"/>
  <c r="M904" i="2"/>
  <c r="AD904" i="2" s="1"/>
  <c r="M900" i="2"/>
  <c r="AD900" i="2" s="1"/>
  <c r="M896" i="2"/>
  <c r="AD896" i="2" s="1"/>
  <c r="M892" i="2"/>
  <c r="AD892" i="2" s="1"/>
  <c r="M888" i="2"/>
  <c r="AD888" i="2" s="1"/>
  <c r="M884" i="2"/>
  <c r="AD884" i="2" s="1"/>
  <c r="M880" i="2"/>
  <c r="AD880" i="2" s="1"/>
  <c r="M876" i="2"/>
  <c r="AD876" i="2" s="1"/>
  <c r="M872" i="2"/>
  <c r="AD872" i="2" s="1"/>
  <c r="M868" i="2"/>
  <c r="AD868" i="2" s="1"/>
  <c r="M864" i="2"/>
  <c r="AD864" i="2" s="1"/>
  <c r="M860" i="2"/>
  <c r="AD860" i="2" s="1"/>
  <c r="M856" i="2"/>
  <c r="AD856" i="2" s="1"/>
  <c r="M852" i="2"/>
  <c r="AD852" i="2" s="1"/>
  <c r="M848" i="2"/>
  <c r="AD848" i="2" s="1"/>
  <c r="M844" i="2"/>
  <c r="AD844" i="2" s="1"/>
  <c r="M840" i="2"/>
  <c r="AD840" i="2" s="1"/>
  <c r="M836" i="2"/>
  <c r="AD836" i="2" s="1"/>
  <c r="M832" i="2"/>
  <c r="AD832" i="2" s="1"/>
  <c r="M828" i="2"/>
  <c r="AD828" i="2" s="1"/>
  <c r="M824" i="2"/>
  <c r="AD824" i="2" s="1"/>
  <c r="M820" i="2"/>
  <c r="AD820" i="2" s="1"/>
  <c r="M816" i="2"/>
  <c r="AD816" i="2" s="1"/>
  <c r="M812" i="2"/>
  <c r="AD812" i="2" s="1"/>
  <c r="M808" i="2"/>
  <c r="AD808" i="2" s="1"/>
  <c r="M804" i="2"/>
  <c r="AD804" i="2" s="1"/>
  <c r="M800" i="2"/>
  <c r="AD800" i="2" s="1"/>
  <c r="M796" i="2"/>
  <c r="AD796" i="2" s="1"/>
  <c r="M792" i="2"/>
  <c r="AD792" i="2" s="1"/>
  <c r="M788" i="2"/>
  <c r="AD788" i="2" s="1"/>
  <c r="M784" i="2"/>
  <c r="AD784" i="2" s="1"/>
  <c r="M780" i="2"/>
  <c r="AD780" i="2" s="1"/>
  <c r="M776" i="2"/>
  <c r="AD776" i="2" s="1"/>
  <c r="M772" i="2"/>
  <c r="AD772" i="2" s="1"/>
  <c r="M768" i="2"/>
  <c r="AD768" i="2" s="1"/>
  <c r="M764" i="2"/>
  <c r="AD764" i="2" s="1"/>
  <c r="M760" i="2"/>
  <c r="AD760" i="2" s="1"/>
  <c r="M756" i="2"/>
  <c r="AD756" i="2" s="1"/>
  <c r="M752" i="2"/>
  <c r="AD752" i="2" s="1"/>
  <c r="M748" i="2"/>
  <c r="AD748" i="2" s="1"/>
  <c r="M744" i="2"/>
  <c r="AD744" i="2" s="1"/>
  <c r="M740" i="2"/>
  <c r="AD740" i="2" s="1"/>
  <c r="M736" i="2"/>
  <c r="AD736" i="2" s="1"/>
  <c r="M732" i="2"/>
  <c r="AD732" i="2" s="1"/>
  <c r="M728" i="2"/>
  <c r="AD728" i="2" s="1"/>
  <c r="M724" i="2"/>
  <c r="AD724" i="2" s="1"/>
  <c r="M720" i="2"/>
  <c r="AD720" i="2" s="1"/>
  <c r="M716" i="2"/>
  <c r="AD716" i="2" s="1"/>
  <c r="M712" i="2"/>
  <c r="AD712" i="2" s="1"/>
  <c r="M708" i="2"/>
  <c r="AD708" i="2" s="1"/>
  <c r="M704" i="2"/>
  <c r="AD704" i="2" s="1"/>
  <c r="M700" i="2"/>
  <c r="AD700" i="2" s="1"/>
  <c r="M1003" i="2"/>
  <c r="AD1003" i="2" s="1"/>
  <c r="M999" i="2"/>
  <c r="M995" i="2"/>
  <c r="AD995" i="2" s="1"/>
  <c r="M991" i="2"/>
  <c r="M987" i="2"/>
  <c r="AD987" i="2" s="1"/>
  <c r="M983" i="2"/>
  <c r="M979" i="2"/>
  <c r="AD979" i="2" s="1"/>
  <c r="M975" i="2"/>
  <c r="AD975" i="2" s="1"/>
  <c r="M971" i="2"/>
  <c r="M967" i="2"/>
  <c r="M963" i="2"/>
  <c r="M959" i="2"/>
  <c r="AD959" i="2" s="1"/>
  <c r="M955" i="2"/>
  <c r="M951" i="2"/>
  <c r="AD951" i="2" s="1"/>
  <c r="M947" i="2"/>
  <c r="AD947" i="2" s="1"/>
  <c r="M943" i="2"/>
  <c r="M939" i="2"/>
  <c r="M935" i="2"/>
  <c r="M931" i="2"/>
  <c r="AD931" i="2" s="1"/>
  <c r="M927" i="2"/>
  <c r="M923" i="2"/>
  <c r="AD923" i="2" s="1"/>
  <c r="M919" i="2"/>
  <c r="AD919" i="2" s="1"/>
  <c r="M915" i="2"/>
  <c r="M911" i="2"/>
  <c r="AD911" i="2" s="1"/>
  <c r="M907" i="2"/>
  <c r="M903" i="2"/>
  <c r="AD903" i="2" s="1"/>
  <c r="M899" i="2"/>
  <c r="M895" i="2"/>
  <c r="AD895" i="2" s="1"/>
  <c r="M891" i="2"/>
  <c r="AD891" i="2" s="1"/>
  <c r="M887" i="2"/>
  <c r="M883" i="2"/>
  <c r="AD883" i="2" s="1"/>
  <c r="M879" i="2"/>
  <c r="M875" i="2"/>
  <c r="AD875" i="2" s="1"/>
  <c r="M871" i="2"/>
  <c r="M867" i="2"/>
  <c r="AD867" i="2" s="1"/>
  <c r="M863" i="2"/>
  <c r="AD863" i="2" s="1"/>
  <c r="M859" i="2"/>
  <c r="M855" i="2"/>
  <c r="AD855" i="2" s="1"/>
  <c r="M851" i="2"/>
  <c r="M847" i="2"/>
  <c r="AD847" i="2" s="1"/>
  <c r="M843" i="2"/>
  <c r="M839" i="2"/>
  <c r="AD839" i="2" s="1"/>
  <c r="M835" i="2"/>
  <c r="AD835" i="2" s="1"/>
  <c r="M831" i="2"/>
  <c r="M827" i="2"/>
  <c r="AD827" i="2" s="1"/>
  <c r="M823" i="2"/>
  <c r="M819" i="2"/>
  <c r="AD819" i="2" s="1"/>
  <c r="M815" i="2"/>
  <c r="M811" i="2"/>
  <c r="AD811" i="2" s="1"/>
  <c r="M807" i="2"/>
  <c r="AD807" i="2" s="1"/>
  <c r="M803" i="2"/>
  <c r="M799" i="2"/>
  <c r="AD799" i="2" s="1"/>
  <c r="M795" i="2"/>
  <c r="M791" i="2"/>
  <c r="M787" i="2"/>
  <c r="M783" i="2"/>
  <c r="AD783" i="2" s="1"/>
  <c r="M779" i="2"/>
  <c r="AD779" i="2" s="1"/>
  <c r="M775" i="2"/>
  <c r="M771" i="2"/>
  <c r="AD771" i="2" s="1"/>
  <c r="M767" i="2"/>
  <c r="M763" i="2"/>
  <c r="M759" i="2"/>
  <c r="M755" i="2"/>
  <c r="AD755" i="2" s="1"/>
  <c r="M751" i="2"/>
  <c r="AD751" i="2" s="1"/>
  <c r="M747" i="2"/>
  <c r="M743" i="2"/>
  <c r="AD743" i="2" s="1"/>
  <c r="M739" i="2"/>
  <c r="M735" i="2"/>
  <c r="M731" i="2"/>
  <c r="M727" i="2"/>
  <c r="AD727" i="2" s="1"/>
  <c r="M723" i="2"/>
  <c r="AD723" i="2" s="1"/>
  <c r="M719" i="2"/>
  <c r="M715" i="2"/>
  <c r="M711" i="2"/>
  <c r="M707" i="2"/>
  <c r="M703" i="2"/>
  <c r="M358" i="2"/>
  <c r="AD358" i="2" s="1"/>
  <c r="M354" i="2"/>
  <c r="AD354" i="2" s="1"/>
  <c r="M350" i="2"/>
  <c r="AD350" i="2" s="1"/>
  <c r="M346" i="2"/>
  <c r="AD346" i="2" s="1"/>
  <c r="M342" i="2"/>
  <c r="AD342" i="2" s="1"/>
  <c r="M338" i="2"/>
  <c r="AD338" i="2" s="1"/>
  <c r="M334" i="2"/>
  <c r="AD334" i="2" s="1"/>
  <c r="M330" i="2"/>
  <c r="AD330" i="2" s="1"/>
  <c r="M326" i="2"/>
  <c r="AD326" i="2" s="1"/>
  <c r="M322" i="2"/>
  <c r="AD322" i="2" s="1"/>
  <c r="M318" i="2"/>
  <c r="AD318" i="2" s="1"/>
  <c r="M314" i="2"/>
  <c r="AD314" i="2" s="1"/>
  <c r="M310" i="2"/>
  <c r="AD310" i="2" s="1"/>
  <c r="M306" i="2"/>
  <c r="AD306" i="2" s="1"/>
  <c r="M302" i="2"/>
  <c r="AD302" i="2" s="1"/>
  <c r="M298" i="2"/>
  <c r="AD298" i="2" s="1"/>
  <c r="M294" i="2"/>
  <c r="AD294" i="2" s="1"/>
  <c r="M290" i="2"/>
  <c r="AD290" i="2" s="1"/>
  <c r="M286" i="2"/>
  <c r="AD286" i="2" s="1"/>
  <c r="M282" i="2"/>
  <c r="AD282" i="2" s="1"/>
  <c r="M278" i="2"/>
  <c r="AD278" i="2" s="1"/>
  <c r="M274" i="2"/>
  <c r="AD274" i="2" s="1"/>
  <c r="M270" i="2"/>
  <c r="AD270" i="2" s="1"/>
  <c r="M266" i="2"/>
  <c r="AD266" i="2" s="1"/>
  <c r="M262" i="2"/>
  <c r="AD262" i="2" s="1"/>
  <c r="M258" i="2"/>
  <c r="AD258" i="2" s="1"/>
  <c r="M254" i="2"/>
  <c r="AD254" i="2" s="1"/>
  <c r="M250" i="2"/>
  <c r="AD250" i="2" s="1"/>
  <c r="M246" i="2"/>
  <c r="AD246" i="2" s="1"/>
  <c r="M242" i="2"/>
  <c r="AD242" i="2" s="1"/>
  <c r="M238" i="2"/>
  <c r="AD238" i="2" s="1"/>
  <c r="M234" i="2"/>
  <c r="AD234" i="2" s="1"/>
  <c r="M230" i="2"/>
  <c r="AD230" i="2" s="1"/>
  <c r="M226" i="2"/>
  <c r="AD226" i="2" s="1"/>
  <c r="M222" i="2"/>
  <c r="AD222" i="2" s="1"/>
  <c r="M218" i="2"/>
  <c r="AD218" i="2" s="1"/>
  <c r="M214" i="2"/>
  <c r="AD214" i="2" s="1"/>
  <c r="M210" i="2"/>
  <c r="AD210" i="2" s="1"/>
  <c r="M206" i="2"/>
  <c r="AD206" i="2" s="1"/>
  <c r="M202" i="2"/>
  <c r="AD202" i="2" s="1"/>
  <c r="M198" i="2"/>
  <c r="AD198" i="2" s="1"/>
  <c r="M194" i="2"/>
  <c r="AD194" i="2" s="1"/>
  <c r="M190" i="2"/>
  <c r="AD190" i="2" s="1"/>
  <c r="M186" i="2"/>
  <c r="AD186" i="2" s="1"/>
  <c r="M182" i="2"/>
  <c r="AD182" i="2" s="1"/>
  <c r="M178" i="2"/>
  <c r="AD178" i="2" s="1"/>
  <c r="M174" i="2"/>
  <c r="AD174" i="2" s="1"/>
  <c r="M170" i="2"/>
  <c r="AD170" i="2" s="1"/>
  <c r="M166" i="2"/>
  <c r="AD166" i="2" s="1"/>
  <c r="M162" i="2"/>
  <c r="AD162" i="2" s="1"/>
  <c r="M158" i="2"/>
  <c r="AD158" i="2" s="1"/>
  <c r="M154" i="2"/>
  <c r="AD154" i="2" s="1"/>
  <c r="M150" i="2"/>
  <c r="AD150" i="2" s="1"/>
  <c r="M146" i="2"/>
  <c r="AD146" i="2" s="1"/>
  <c r="M142" i="2"/>
  <c r="AD142" i="2" s="1"/>
  <c r="M138" i="2"/>
  <c r="AD138" i="2" s="1"/>
  <c r="M134" i="2"/>
  <c r="AD134" i="2" s="1"/>
  <c r="M130" i="2"/>
  <c r="AD130" i="2" s="1"/>
  <c r="M126" i="2"/>
  <c r="AD126" i="2" s="1"/>
  <c r="M122" i="2"/>
  <c r="AD122" i="2" s="1"/>
  <c r="M118" i="2"/>
  <c r="AD118" i="2" s="1"/>
  <c r="M114" i="2"/>
  <c r="AD114" i="2" s="1"/>
  <c r="M110" i="2"/>
  <c r="AD110" i="2" s="1"/>
  <c r="M106" i="2"/>
  <c r="AD106" i="2" s="1"/>
  <c r="M102" i="2"/>
  <c r="AD102" i="2" s="1"/>
  <c r="M98" i="2"/>
  <c r="AD98" i="2" s="1"/>
  <c r="M94" i="2"/>
  <c r="AD94" i="2" s="1"/>
  <c r="M90" i="2"/>
  <c r="AD90" i="2" s="1"/>
  <c r="M86" i="2"/>
  <c r="AD86" i="2" s="1"/>
  <c r="M78" i="2"/>
  <c r="AD78" i="2" s="1"/>
  <c r="M74" i="2"/>
  <c r="AD74" i="2" s="1"/>
  <c r="M70" i="2"/>
  <c r="AD70" i="2" s="1"/>
  <c r="M66" i="2"/>
  <c r="AD66" i="2" s="1"/>
  <c r="M62" i="2"/>
  <c r="AD62" i="2" s="1"/>
  <c r="M58" i="2"/>
  <c r="AD58" i="2" s="1"/>
  <c r="M54" i="2"/>
  <c r="AD54" i="2" s="1"/>
  <c r="M50" i="2"/>
  <c r="AD50" i="2" s="1"/>
  <c r="M46" i="2"/>
  <c r="AD46" i="2" s="1"/>
  <c r="M42" i="2"/>
  <c r="AD42" i="2" s="1"/>
  <c r="M38" i="2"/>
  <c r="AD38" i="2" s="1"/>
  <c r="M34" i="2"/>
  <c r="AD34" i="2" s="1"/>
  <c r="M30" i="2"/>
  <c r="AD30" i="2" s="1"/>
  <c r="M26" i="2"/>
  <c r="AD26" i="2" s="1"/>
  <c r="M22" i="2"/>
  <c r="AD22" i="2" s="1"/>
  <c r="M18" i="2"/>
  <c r="AD18" i="2" s="1"/>
  <c r="M697" i="2"/>
  <c r="M693" i="2"/>
  <c r="M689" i="2"/>
  <c r="M685" i="2"/>
  <c r="AD685" i="2" s="1"/>
  <c r="M681" i="2"/>
  <c r="AD681" i="2" s="1"/>
  <c r="M677" i="2"/>
  <c r="M673" i="2"/>
  <c r="M669" i="2"/>
  <c r="M665" i="2"/>
  <c r="M661" i="2"/>
  <c r="M657" i="2"/>
  <c r="AD657" i="2" s="1"/>
  <c r="M653" i="2"/>
  <c r="AD653" i="2" s="1"/>
  <c r="M649" i="2"/>
  <c r="M645" i="2"/>
  <c r="M641" i="2"/>
  <c r="M637" i="2"/>
  <c r="M633" i="2"/>
  <c r="M629" i="2"/>
  <c r="AD629" i="2" s="1"/>
  <c r="M625" i="2"/>
  <c r="AD625" i="2" s="1"/>
  <c r="M621" i="2"/>
  <c r="M617" i="2"/>
  <c r="AD617" i="2" s="1"/>
  <c r="M613" i="2"/>
  <c r="M609" i="2"/>
  <c r="M605" i="2"/>
  <c r="M601" i="2"/>
  <c r="AD601" i="2" s="1"/>
  <c r="M597" i="2"/>
  <c r="AD597" i="2" s="1"/>
  <c r="M593" i="2"/>
  <c r="M589" i="2"/>
  <c r="AD589" i="2" s="1"/>
  <c r="M585" i="2"/>
  <c r="M581" i="2"/>
  <c r="M577" i="2"/>
  <c r="M573" i="2"/>
  <c r="AD573" i="2" s="1"/>
  <c r="M569" i="2"/>
  <c r="AD569" i="2" s="1"/>
  <c r="M565" i="2"/>
  <c r="M561" i="2"/>
  <c r="AD561" i="2" s="1"/>
  <c r="M557" i="2"/>
  <c r="M553" i="2"/>
  <c r="M549" i="2"/>
  <c r="M545" i="2"/>
  <c r="AD545" i="2" s="1"/>
  <c r="M541" i="2"/>
  <c r="AD541" i="2" s="1"/>
  <c r="M537" i="2"/>
  <c r="M533" i="2"/>
  <c r="AD533" i="2" s="1"/>
  <c r="M529" i="2"/>
  <c r="M525" i="2"/>
  <c r="M521" i="2"/>
  <c r="M517" i="2"/>
  <c r="AD517" i="2" s="1"/>
  <c r="M513" i="2"/>
  <c r="M509" i="2"/>
  <c r="M505" i="2"/>
  <c r="AD505" i="2" s="1"/>
  <c r="M501" i="2"/>
  <c r="M497" i="2"/>
  <c r="M493" i="2"/>
  <c r="M489" i="2"/>
  <c r="AD489" i="2" s="1"/>
  <c r="M485" i="2"/>
  <c r="M481" i="2"/>
  <c r="M477" i="2"/>
  <c r="AD477" i="2" s="1"/>
  <c r="M473" i="2"/>
  <c r="M469" i="2"/>
  <c r="M465" i="2"/>
  <c r="M461" i="2"/>
  <c r="AD461" i="2" s="1"/>
  <c r="M457" i="2"/>
  <c r="M453" i="2"/>
  <c r="M449" i="2"/>
  <c r="AD449" i="2" s="1"/>
  <c r="M445" i="2"/>
  <c r="M441" i="2"/>
  <c r="M437" i="2"/>
  <c r="M433" i="2"/>
  <c r="AD433" i="2" s="1"/>
  <c r="M429" i="2"/>
  <c r="M425" i="2"/>
  <c r="M421" i="2"/>
  <c r="AD421" i="2" s="1"/>
  <c r="M417" i="2"/>
  <c r="M413" i="2"/>
  <c r="M696" i="2"/>
  <c r="AD696" i="2" s="1"/>
  <c r="M692" i="2"/>
  <c r="AD692" i="2" s="1"/>
  <c r="M688" i="2"/>
  <c r="AD688" i="2" s="1"/>
  <c r="M684" i="2"/>
  <c r="AD684" i="2" s="1"/>
  <c r="M680" i="2"/>
  <c r="AD680" i="2" s="1"/>
  <c r="M676" i="2"/>
  <c r="AD676" i="2" s="1"/>
  <c r="M672" i="2"/>
  <c r="AD672" i="2" s="1"/>
  <c r="M668" i="2"/>
  <c r="AD668" i="2" s="1"/>
  <c r="M664" i="2"/>
  <c r="AD664" i="2" s="1"/>
  <c r="M660" i="2"/>
  <c r="AD660" i="2" s="1"/>
  <c r="M656" i="2"/>
  <c r="AD656" i="2" s="1"/>
  <c r="M652" i="2"/>
  <c r="AD652" i="2" s="1"/>
  <c r="M648" i="2"/>
  <c r="AD648" i="2" s="1"/>
  <c r="M644" i="2"/>
  <c r="AD644" i="2" s="1"/>
  <c r="M640" i="2"/>
  <c r="AD640" i="2" s="1"/>
  <c r="M636" i="2"/>
  <c r="AD636" i="2" s="1"/>
  <c r="M632" i="2"/>
  <c r="AD632" i="2" s="1"/>
  <c r="M628" i="2"/>
  <c r="AD628" i="2" s="1"/>
  <c r="M624" i="2"/>
  <c r="AD624" i="2" s="1"/>
  <c r="M620" i="2"/>
  <c r="AD620" i="2" s="1"/>
  <c r="M616" i="2"/>
  <c r="AD616" i="2" s="1"/>
  <c r="M612" i="2"/>
  <c r="AD612" i="2" s="1"/>
  <c r="M608" i="2"/>
  <c r="AD608" i="2" s="1"/>
  <c r="M604" i="2"/>
  <c r="AD604" i="2" s="1"/>
  <c r="M600" i="2"/>
  <c r="AD600" i="2" s="1"/>
  <c r="M596" i="2"/>
  <c r="AD596" i="2" s="1"/>
  <c r="M592" i="2"/>
  <c r="AD592" i="2" s="1"/>
  <c r="M588" i="2"/>
  <c r="AD588" i="2" s="1"/>
  <c r="M584" i="2"/>
  <c r="AD584" i="2" s="1"/>
  <c r="M580" i="2"/>
  <c r="AD580" i="2" s="1"/>
  <c r="M576" i="2"/>
  <c r="AD576" i="2" s="1"/>
  <c r="M572" i="2"/>
  <c r="AD572" i="2" s="1"/>
  <c r="M568" i="2"/>
  <c r="AD568" i="2" s="1"/>
  <c r="M564" i="2"/>
  <c r="AD564" i="2" s="1"/>
  <c r="M560" i="2"/>
  <c r="AD560" i="2" s="1"/>
  <c r="M556" i="2"/>
  <c r="AD556" i="2" s="1"/>
  <c r="M552" i="2"/>
  <c r="AD552" i="2" s="1"/>
  <c r="M548" i="2"/>
  <c r="AD548" i="2" s="1"/>
  <c r="M544" i="2"/>
  <c r="AD544" i="2" s="1"/>
  <c r="M540" i="2"/>
  <c r="AD540" i="2" s="1"/>
  <c r="M536" i="2"/>
  <c r="AD536" i="2" s="1"/>
  <c r="M532" i="2"/>
  <c r="AD532" i="2" s="1"/>
  <c r="M528" i="2"/>
  <c r="AD528" i="2" s="1"/>
  <c r="M524" i="2"/>
  <c r="AD524" i="2" s="1"/>
  <c r="M520" i="2"/>
  <c r="AD520" i="2" s="1"/>
  <c r="M516" i="2"/>
  <c r="AD516" i="2" s="1"/>
  <c r="M512" i="2"/>
  <c r="AD512" i="2" s="1"/>
  <c r="M508" i="2"/>
  <c r="AD508" i="2" s="1"/>
  <c r="M504" i="2"/>
  <c r="AD504" i="2" s="1"/>
  <c r="M500" i="2"/>
  <c r="AD500" i="2" s="1"/>
  <c r="M496" i="2"/>
  <c r="AD496" i="2" s="1"/>
  <c r="M492" i="2"/>
  <c r="AD492" i="2" s="1"/>
  <c r="M488" i="2"/>
  <c r="AD488" i="2" s="1"/>
  <c r="M484" i="2"/>
  <c r="AD484" i="2" s="1"/>
  <c r="M480" i="2"/>
  <c r="AD480" i="2" s="1"/>
  <c r="M476" i="2"/>
  <c r="AD476" i="2" s="1"/>
  <c r="M472" i="2"/>
  <c r="AD472" i="2" s="1"/>
  <c r="M468" i="2"/>
  <c r="AD468" i="2" s="1"/>
  <c r="M464" i="2"/>
  <c r="AD464" i="2" s="1"/>
  <c r="M460" i="2"/>
  <c r="AD460" i="2" s="1"/>
  <c r="M456" i="2"/>
  <c r="AD456" i="2" s="1"/>
  <c r="M452" i="2"/>
  <c r="AD452" i="2" s="1"/>
  <c r="M448" i="2"/>
  <c r="AD448" i="2" s="1"/>
  <c r="M444" i="2"/>
  <c r="AD444" i="2" s="1"/>
  <c r="M440" i="2"/>
  <c r="AD440" i="2" s="1"/>
  <c r="M436" i="2"/>
  <c r="AD436" i="2" s="1"/>
  <c r="M432" i="2"/>
  <c r="AD432" i="2" s="1"/>
  <c r="M428" i="2"/>
  <c r="AD428" i="2" s="1"/>
  <c r="M424" i="2"/>
  <c r="AD424" i="2" s="1"/>
  <c r="M420" i="2"/>
  <c r="AD420" i="2" s="1"/>
  <c r="M416" i="2"/>
  <c r="AD416" i="2" s="1"/>
  <c r="M412" i="2"/>
  <c r="AD412" i="2" s="1"/>
  <c r="M408" i="2"/>
  <c r="AD408" i="2" s="1"/>
  <c r="M404" i="2"/>
  <c r="AD404" i="2" s="1"/>
  <c r="M400" i="2"/>
  <c r="AD400" i="2" s="1"/>
  <c r="M396" i="2"/>
  <c r="AD396" i="2" s="1"/>
  <c r="M699" i="2"/>
  <c r="AD699" i="2" s="1"/>
  <c r="M695" i="2"/>
  <c r="AD695" i="2" s="1"/>
  <c r="M691" i="2"/>
  <c r="M687" i="2"/>
  <c r="M683" i="2"/>
  <c r="M679" i="2"/>
  <c r="M675" i="2"/>
  <c r="M671" i="2"/>
  <c r="AD671" i="2" s="1"/>
  <c r="M667" i="2"/>
  <c r="AD667" i="2" s="1"/>
  <c r="M663" i="2"/>
  <c r="M659" i="2"/>
  <c r="M655" i="2"/>
  <c r="M651" i="2"/>
  <c r="M647" i="2"/>
  <c r="M643" i="2"/>
  <c r="AD643" i="2" s="1"/>
  <c r="M639" i="2"/>
  <c r="AD639" i="2" s="1"/>
  <c r="M635" i="2"/>
  <c r="M631" i="2"/>
  <c r="M627" i="2"/>
  <c r="M623" i="2"/>
  <c r="M619" i="2"/>
  <c r="M615" i="2"/>
  <c r="AD615" i="2" s="1"/>
  <c r="M611" i="2"/>
  <c r="AD611" i="2" s="1"/>
  <c r="M607" i="2"/>
  <c r="M603" i="2"/>
  <c r="AD603" i="2" s="1"/>
  <c r="M599" i="2"/>
  <c r="M595" i="2"/>
  <c r="M591" i="2"/>
  <c r="M587" i="2"/>
  <c r="AD587" i="2" s="1"/>
  <c r="M583" i="2"/>
  <c r="AD583" i="2" s="1"/>
  <c r="M579" i="2"/>
  <c r="M575" i="2"/>
  <c r="AD575" i="2" s="1"/>
  <c r="M571" i="2"/>
  <c r="M567" i="2"/>
  <c r="M563" i="2"/>
  <c r="M559" i="2"/>
  <c r="AD559" i="2" s="1"/>
  <c r="M555" i="2"/>
  <c r="AD555" i="2" s="1"/>
  <c r="M551" i="2"/>
  <c r="M547" i="2"/>
  <c r="AD547" i="2" s="1"/>
  <c r="M543" i="2"/>
  <c r="M539" i="2"/>
  <c r="M535" i="2"/>
  <c r="M531" i="2"/>
  <c r="AD531" i="2" s="1"/>
  <c r="M527" i="2"/>
  <c r="M523" i="2"/>
  <c r="M519" i="2"/>
  <c r="AD519" i="2" s="1"/>
  <c r="M515" i="2"/>
  <c r="M511" i="2"/>
  <c r="M507" i="2"/>
  <c r="M503" i="2"/>
  <c r="AD503" i="2" s="1"/>
  <c r="M499" i="2"/>
  <c r="M495" i="2"/>
  <c r="M491" i="2"/>
  <c r="AD491" i="2" s="1"/>
  <c r="M487" i="2"/>
  <c r="M483" i="2"/>
  <c r="M479" i="2"/>
  <c r="M475" i="2"/>
  <c r="AD475" i="2" s="1"/>
  <c r="M471" i="2"/>
  <c r="M467" i="2"/>
  <c r="M463" i="2"/>
  <c r="AD463" i="2" s="1"/>
  <c r="M459" i="2"/>
  <c r="M455" i="2"/>
  <c r="M451" i="2"/>
  <c r="M447" i="2"/>
  <c r="AD447" i="2" s="1"/>
  <c r="M443" i="2"/>
  <c r="M439" i="2"/>
  <c r="M435" i="2"/>
  <c r="AD435" i="2" s="1"/>
  <c r="M431" i="2"/>
  <c r="M427" i="2"/>
  <c r="M423" i="2"/>
  <c r="M419" i="2"/>
  <c r="AD419" i="2" s="1"/>
  <c r="M415" i="2"/>
  <c r="M409" i="2"/>
  <c r="M405" i="2"/>
  <c r="AD405" i="2" s="1"/>
  <c r="M401" i="2"/>
  <c r="M397" i="2"/>
  <c r="AD397" i="2" s="1"/>
  <c r="M393" i="2"/>
  <c r="AD393" i="2" s="1"/>
  <c r="M389" i="2"/>
  <c r="M385" i="2"/>
  <c r="M381" i="2"/>
  <c r="AD381" i="2" s="1"/>
  <c r="M377" i="2"/>
  <c r="AD377" i="2" s="1"/>
  <c r="M373" i="2"/>
  <c r="AD373" i="2" s="1"/>
  <c r="M369" i="2"/>
  <c r="AD369" i="2" s="1"/>
  <c r="M365" i="2"/>
  <c r="AD365" i="2" s="1"/>
  <c r="M361" i="2"/>
  <c r="M357" i="2"/>
  <c r="M353" i="2"/>
  <c r="AD353" i="2" s="1"/>
  <c r="M349" i="2"/>
  <c r="AD349" i="2" s="1"/>
  <c r="M345" i="2"/>
  <c r="AD345" i="2" s="1"/>
  <c r="M341" i="2"/>
  <c r="AD341" i="2" s="1"/>
  <c r="M337" i="2"/>
  <c r="AD337" i="2" s="1"/>
  <c r="M329" i="2"/>
  <c r="AD329" i="2" s="1"/>
  <c r="M325" i="2"/>
  <c r="AD325" i="2" s="1"/>
  <c r="M321" i="2"/>
  <c r="M317" i="2"/>
  <c r="AD317" i="2" s="1"/>
  <c r="M313" i="2"/>
  <c r="AD313" i="2" s="1"/>
  <c r="M309" i="2"/>
  <c r="AD309" i="2" s="1"/>
  <c r="M301" i="2"/>
  <c r="AD301" i="2" s="1"/>
  <c r="M297" i="2"/>
  <c r="AD297" i="2" s="1"/>
  <c r="M293" i="2"/>
  <c r="M289" i="2"/>
  <c r="AD289" i="2" s="1"/>
  <c r="M285" i="2"/>
  <c r="AD285" i="2" s="1"/>
  <c r="M281" i="2"/>
  <c r="AD281" i="2" s="1"/>
  <c r="M273" i="2"/>
  <c r="AD273" i="2" s="1"/>
  <c r="M269" i="2"/>
  <c r="AD269" i="2" s="1"/>
  <c r="M265" i="2"/>
  <c r="M257" i="2"/>
  <c r="AD257" i="2" s="1"/>
  <c r="M253" i="2"/>
  <c r="AD253" i="2" s="1"/>
  <c r="M245" i="2"/>
  <c r="AD245" i="2" s="1"/>
  <c r="M241" i="2"/>
  <c r="AD241" i="2" s="1"/>
  <c r="M237" i="2"/>
  <c r="AD237" i="2" s="1"/>
  <c r="M229" i="2"/>
  <c r="AD229" i="2" s="1"/>
  <c r="M225" i="2"/>
  <c r="AD225" i="2" s="1"/>
  <c r="M217" i="2"/>
  <c r="AD217" i="2" s="1"/>
  <c r="M213" i="2"/>
  <c r="AD213" i="2" s="1"/>
  <c r="M201" i="2"/>
  <c r="AD201" i="2" s="1"/>
  <c r="M197" i="2"/>
  <c r="M193" i="2"/>
  <c r="AD193" i="2" s="1"/>
  <c r="M189" i="2"/>
  <c r="AD189" i="2" s="1"/>
  <c r="M185" i="2"/>
  <c r="AD185" i="2" s="1"/>
  <c r="M173" i="2"/>
  <c r="AD173" i="2" s="1"/>
  <c r="M169" i="2"/>
  <c r="M165" i="2"/>
  <c r="AD165" i="2" s="1"/>
  <c r="M161" i="2"/>
  <c r="AD161" i="2" s="1"/>
  <c r="M157" i="2"/>
  <c r="AD157" i="2" s="1"/>
  <c r="M145" i="2"/>
  <c r="AD145" i="2" s="1"/>
  <c r="M141" i="2"/>
  <c r="M137" i="2"/>
  <c r="AD137" i="2" s="1"/>
  <c r="M133" i="2"/>
  <c r="AD133" i="2" s="1"/>
  <c r="M129" i="2"/>
  <c r="AD129" i="2" s="1"/>
  <c r="M121" i="2"/>
  <c r="AD121" i="2" s="1"/>
  <c r="M117" i="2"/>
  <c r="AD117" i="2" s="1"/>
  <c r="M113" i="2"/>
  <c r="AD113" i="2" s="1"/>
  <c r="M109" i="2"/>
  <c r="AD109" i="2" s="1"/>
  <c r="M105" i="2"/>
  <c r="AD105" i="2" s="1"/>
  <c r="M101" i="2"/>
  <c r="AD101" i="2" s="1"/>
  <c r="M93" i="2"/>
  <c r="AD93" i="2" s="1"/>
  <c r="M89" i="2"/>
  <c r="AD89" i="2" s="1"/>
  <c r="M85" i="2"/>
  <c r="AD85" i="2" s="1"/>
  <c r="M81" i="2"/>
  <c r="AD81" i="2" s="1"/>
  <c r="M77" i="2"/>
  <c r="AD77" i="2" s="1"/>
  <c r="M73" i="2"/>
  <c r="AD73" i="2" s="1"/>
  <c r="M69" i="2"/>
  <c r="AD69" i="2" s="1"/>
  <c r="M65" i="2"/>
  <c r="AD65" i="2" s="1"/>
  <c r="M61" i="2"/>
  <c r="AD61" i="2" s="1"/>
  <c r="M57" i="2"/>
  <c r="AD57" i="2" s="1"/>
  <c r="M53" i="2"/>
  <c r="AD53" i="2" s="1"/>
  <c r="M49" i="2"/>
  <c r="AD49" i="2" s="1"/>
  <c r="M45" i="2"/>
  <c r="AD45" i="2" s="1"/>
  <c r="M41" i="2"/>
  <c r="AD41" i="2" s="1"/>
  <c r="M37" i="2"/>
  <c r="AD37" i="2" s="1"/>
  <c r="M33" i="2"/>
  <c r="AD33" i="2" s="1"/>
  <c r="M29" i="2"/>
  <c r="AD29" i="2" s="1"/>
  <c r="M25" i="2"/>
  <c r="AD25" i="2" s="1"/>
  <c r="M21" i="2"/>
  <c r="AD21" i="2" s="1"/>
  <c r="M17" i="2"/>
  <c r="AD17" i="2" s="1"/>
  <c r="N9" i="2"/>
  <c r="M392" i="2"/>
  <c r="AD392" i="2" s="1"/>
  <c r="M388" i="2"/>
  <c r="AD388" i="2" s="1"/>
  <c r="M384" i="2"/>
  <c r="AD384" i="2" s="1"/>
  <c r="M380" i="2"/>
  <c r="AD380" i="2" s="1"/>
  <c r="M376" i="2"/>
  <c r="AD376" i="2" s="1"/>
  <c r="M372" i="2"/>
  <c r="AD372" i="2" s="1"/>
  <c r="M368" i="2"/>
  <c r="AD368" i="2" s="1"/>
  <c r="M364" i="2"/>
  <c r="AD364" i="2" s="1"/>
  <c r="M360" i="2"/>
  <c r="AD360" i="2" s="1"/>
  <c r="M356" i="2"/>
  <c r="AD356" i="2" s="1"/>
  <c r="M352" i="2"/>
  <c r="AD352" i="2" s="1"/>
  <c r="M348" i="2"/>
  <c r="AD348" i="2" s="1"/>
  <c r="M344" i="2"/>
  <c r="AD344" i="2" s="1"/>
  <c r="M340" i="2"/>
  <c r="AD340" i="2" s="1"/>
  <c r="M336" i="2"/>
  <c r="AD336" i="2" s="1"/>
  <c r="M332" i="2"/>
  <c r="AD332" i="2" s="1"/>
  <c r="M328" i="2"/>
  <c r="AD328" i="2" s="1"/>
  <c r="M324" i="2"/>
  <c r="AD324" i="2" s="1"/>
  <c r="M320" i="2"/>
  <c r="AD320" i="2" s="1"/>
  <c r="M316" i="2"/>
  <c r="AD316" i="2" s="1"/>
  <c r="M312" i="2"/>
  <c r="AD312" i="2" s="1"/>
  <c r="M308" i="2"/>
  <c r="AD308" i="2" s="1"/>
  <c r="M304" i="2"/>
  <c r="AD304" i="2" s="1"/>
  <c r="M300" i="2"/>
  <c r="AD300" i="2" s="1"/>
  <c r="M296" i="2"/>
  <c r="AD296" i="2" s="1"/>
  <c r="M292" i="2"/>
  <c r="AD292" i="2" s="1"/>
  <c r="M288" i="2"/>
  <c r="AD288" i="2" s="1"/>
  <c r="M284" i="2"/>
  <c r="AD284" i="2" s="1"/>
  <c r="M280" i="2"/>
  <c r="AD280" i="2" s="1"/>
  <c r="M276" i="2"/>
  <c r="AD276" i="2" s="1"/>
  <c r="M272" i="2"/>
  <c r="AD272" i="2" s="1"/>
  <c r="M268" i="2"/>
  <c r="AD268" i="2" s="1"/>
  <c r="M264" i="2"/>
  <c r="AD264" i="2" s="1"/>
  <c r="M260" i="2"/>
  <c r="AD260" i="2" s="1"/>
  <c r="M256" i="2"/>
  <c r="AD256" i="2" s="1"/>
  <c r="M252" i="2"/>
  <c r="AD252" i="2" s="1"/>
  <c r="M248" i="2"/>
  <c r="AD248" i="2" s="1"/>
  <c r="M244" i="2"/>
  <c r="AD244" i="2" s="1"/>
  <c r="M240" i="2"/>
  <c r="AD240" i="2" s="1"/>
  <c r="M236" i="2"/>
  <c r="AD236" i="2" s="1"/>
  <c r="M232" i="2"/>
  <c r="AD232" i="2" s="1"/>
  <c r="M224" i="2"/>
  <c r="AD224" i="2" s="1"/>
  <c r="M220" i="2"/>
  <c r="AD220" i="2" s="1"/>
  <c r="M216" i="2"/>
  <c r="AD216" i="2" s="1"/>
  <c r="M212" i="2"/>
  <c r="AD212" i="2" s="1"/>
  <c r="M208" i="2"/>
  <c r="AD208" i="2" s="1"/>
  <c r="M192" i="2"/>
  <c r="AD192" i="2" s="1"/>
  <c r="M188" i="2"/>
  <c r="AD188" i="2" s="1"/>
  <c r="M184" i="2"/>
  <c r="AD184" i="2" s="1"/>
  <c r="M180" i="2"/>
  <c r="AD180" i="2" s="1"/>
  <c r="M164" i="2"/>
  <c r="AD164" i="2" s="1"/>
  <c r="M160" i="2"/>
  <c r="AD160" i="2" s="1"/>
  <c r="M156" i="2"/>
  <c r="AD156" i="2" s="1"/>
  <c r="M152" i="2"/>
  <c r="AD152" i="2" s="1"/>
  <c r="M136" i="2"/>
  <c r="AD136" i="2" s="1"/>
  <c r="M132" i="2"/>
  <c r="AD132" i="2" s="1"/>
  <c r="M128" i="2"/>
  <c r="AD128" i="2" s="1"/>
  <c r="M108" i="2"/>
  <c r="AD108" i="2" s="1"/>
  <c r="M104" i="2"/>
  <c r="AD104" i="2" s="1"/>
  <c r="M100" i="2"/>
  <c r="AD100" i="2" s="1"/>
  <c r="M88" i="2"/>
  <c r="AD88" i="2" s="1"/>
  <c r="M80" i="2"/>
  <c r="AD80" i="2" s="1"/>
  <c r="M76" i="2"/>
  <c r="AD76" i="2" s="1"/>
  <c r="M72" i="2"/>
  <c r="AD72" i="2" s="1"/>
  <c r="M68" i="2"/>
  <c r="AD68" i="2" s="1"/>
  <c r="M64" i="2"/>
  <c r="AD64" i="2" s="1"/>
  <c r="M60" i="2"/>
  <c r="AD60" i="2" s="1"/>
  <c r="M56" i="2"/>
  <c r="AD56" i="2" s="1"/>
  <c r="M52" i="2"/>
  <c r="AD52" i="2" s="1"/>
  <c r="M48" i="2"/>
  <c r="AD48" i="2" s="1"/>
  <c r="M44" i="2"/>
  <c r="AD44" i="2" s="1"/>
  <c r="M40" i="2"/>
  <c r="AD40" i="2" s="1"/>
  <c r="M36" i="2"/>
  <c r="AD36" i="2" s="1"/>
  <c r="M32" i="2"/>
  <c r="AD32" i="2" s="1"/>
  <c r="M28" i="2"/>
  <c r="AD28" i="2" s="1"/>
  <c r="M24" i="2"/>
  <c r="AD24" i="2" s="1"/>
  <c r="M20" i="2"/>
  <c r="AD20" i="2" s="1"/>
  <c r="N8" i="2"/>
  <c r="M411" i="2"/>
  <c r="M407" i="2"/>
  <c r="AD407" i="2" s="1"/>
  <c r="M403" i="2"/>
  <c r="M399" i="2"/>
  <c r="M395" i="2"/>
  <c r="AD395" i="2" s="1"/>
  <c r="M391" i="2"/>
  <c r="AD391" i="2" s="1"/>
  <c r="M387" i="2"/>
  <c r="AD387" i="2" s="1"/>
  <c r="M383" i="2"/>
  <c r="AD383" i="2" s="1"/>
  <c r="M379" i="2"/>
  <c r="AD379" i="2" s="1"/>
  <c r="M375" i="2"/>
  <c r="M371" i="2"/>
  <c r="M367" i="2"/>
  <c r="AD367" i="2" s="1"/>
  <c r="M363" i="2"/>
  <c r="AD363" i="2" s="1"/>
  <c r="M359" i="2"/>
  <c r="AD359" i="2" s="1"/>
  <c r="M355" i="2"/>
  <c r="AD355" i="2" s="1"/>
  <c r="M351" i="2"/>
  <c r="AD351" i="2" s="1"/>
  <c r="M343" i="2"/>
  <c r="M339" i="2"/>
  <c r="AD339" i="2" s="1"/>
  <c r="M335" i="2"/>
  <c r="M331" i="2"/>
  <c r="AD331" i="2" s="1"/>
  <c r="M327" i="2"/>
  <c r="AD327" i="2" s="1"/>
  <c r="M323" i="2"/>
  <c r="AD323" i="2" s="1"/>
  <c r="M315" i="2"/>
  <c r="AD315" i="2" s="1"/>
  <c r="M311" i="2"/>
  <c r="AD311" i="2" s="1"/>
  <c r="M307" i="2"/>
  <c r="M303" i="2"/>
  <c r="AD303" i="2" s="1"/>
  <c r="M299" i="2"/>
  <c r="AD299" i="2" s="1"/>
  <c r="M295" i="2"/>
  <c r="AD295" i="2" s="1"/>
  <c r="M287" i="2"/>
  <c r="AD287" i="2" s="1"/>
  <c r="M283" i="2"/>
  <c r="AD283" i="2" s="1"/>
  <c r="M279" i="2"/>
  <c r="M271" i="2"/>
  <c r="AD271" i="2" s="1"/>
  <c r="M267" i="2"/>
  <c r="AD267" i="2" s="1"/>
  <c r="M259" i="2"/>
  <c r="AD259" i="2" s="1"/>
  <c r="M255" i="2"/>
  <c r="AD255" i="2" s="1"/>
  <c r="M251" i="2"/>
  <c r="AD251" i="2" s="1"/>
  <c r="M243" i="2"/>
  <c r="AD243" i="2" s="1"/>
  <c r="M239" i="2"/>
  <c r="AD239" i="2" s="1"/>
  <c r="M231" i="2"/>
  <c r="AD231" i="2" s="1"/>
  <c r="M227" i="2"/>
  <c r="AD227" i="2" s="1"/>
  <c r="M223" i="2"/>
  <c r="AD223" i="2" s="1"/>
  <c r="M215" i="2"/>
  <c r="AD215" i="2" s="1"/>
  <c r="M211" i="2"/>
  <c r="M207" i="2"/>
  <c r="AD207" i="2" s="1"/>
  <c r="M203" i="2"/>
  <c r="AD203" i="2" s="1"/>
  <c r="M199" i="2"/>
  <c r="AD199" i="2" s="1"/>
  <c r="M187" i="2"/>
  <c r="AD187" i="2" s="1"/>
  <c r="M183" i="2"/>
  <c r="M179" i="2"/>
  <c r="AD179" i="2" s="1"/>
  <c r="M175" i="2"/>
  <c r="AD175" i="2" s="1"/>
  <c r="M171" i="2"/>
  <c r="AD171" i="2" s="1"/>
  <c r="M159" i="2"/>
  <c r="AD159" i="2" s="1"/>
  <c r="M155" i="2"/>
  <c r="M151" i="2"/>
  <c r="AD151" i="2" s="1"/>
  <c r="M147" i="2"/>
  <c r="AD147" i="2" s="1"/>
  <c r="M143" i="2"/>
  <c r="AD143" i="2" s="1"/>
  <c r="M135" i="2"/>
  <c r="AD135" i="2" s="1"/>
  <c r="M131" i="2"/>
  <c r="AD131" i="2" s="1"/>
  <c r="M127" i="2"/>
  <c r="M123" i="2"/>
  <c r="AD123" i="2" s="1"/>
  <c r="M119" i="2"/>
  <c r="AD119" i="2" s="1"/>
  <c r="M115" i="2"/>
  <c r="AD115" i="2" s="1"/>
  <c r="M107" i="2"/>
  <c r="AD107" i="2" s="1"/>
  <c r="M103" i="2"/>
  <c r="AD103" i="2" s="1"/>
  <c r="M99" i="2"/>
  <c r="AD99" i="2" s="1"/>
  <c r="M95" i="2"/>
  <c r="AD95" i="2" s="1"/>
  <c r="M91" i="2"/>
  <c r="AD91" i="2" s="1"/>
  <c r="M87" i="2"/>
  <c r="AD87" i="2" s="1"/>
  <c r="M79" i="2"/>
  <c r="AD79" i="2" s="1"/>
  <c r="M75" i="2"/>
  <c r="AD75" i="2" s="1"/>
  <c r="M71" i="2"/>
  <c r="AD71" i="2" s="1"/>
  <c r="M67" i="2"/>
  <c r="AD67" i="2" s="1"/>
  <c r="M63" i="2"/>
  <c r="AD63" i="2" s="1"/>
  <c r="M59" i="2"/>
  <c r="AD59" i="2" s="1"/>
  <c r="M55" i="2"/>
  <c r="AD55" i="2" s="1"/>
  <c r="M51" i="2"/>
  <c r="AD51" i="2" s="1"/>
  <c r="M47" i="2"/>
  <c r="AD47" i="2" s="1"/>
  <c r="M43" i="2"/>
  <c r="AD43" i="2" s="1"/>
  <c r="M39" i="2"/>
  <c r="AD39" i="2" s="1"/>
  <c r="M35" i="2"/>
  <c r="AD35" i="2" s="1"/>
  <c r="M31" i="2"/>
  <c r="AD31" i="2" s="1"/>
  <c r="M27" i="2"/>
  <c r="AD27" i="2" s="1"/>
  <c r="M23" i="2"/>
  <c r="AD23" i="2" s="1"/>
  <c r="M19" i="2"/>
  <c r="AD19" i="2" s="1"/>
  <c r="M177" i="2"/>
  <c r="AD177" i="2" s="1"/>
  <c r="M149" i="2"/>
  <c r="AD149" i="2" s="1"/>
  <c r="M261" i="2"/>
  <c r="M233" i="2"/>
  <c r="M205" i="2"/>
  <c r="M275" i="2"/>
  <c r="M247" i="2"/>
  <c r="M219" i="2"/>
  <c r="M191" i="2"/>
  <c r="AD191" i="2" s="1"/>
  <c r="M163" i="2"/>
  <c r="AD163" i="2" s="1"/>
  <c r="M82" i="2"/>
  <c r="AD82" i="2" s="1"/>
  <c r="M124" i="2"/>
  <c r="AD124" i="2" s="1"/>
  <c r="M96" i="2"/>
  <c r="AD96" i="2" s="1"/>
  <c r="M333" i="2"/>
  <c r="M305" i="2"/>
  <c r="M249" i="2"/>
  <c r="M277" i="2"/>
  <c r="M221" i="2"/>
  <c r="AD221" i="2" s="1"/>
  <c r="M347" i="2"/>
  <c r="M319" i="2"/>
  <c r="M291" i="2"/>
  <c r="M263" i="2"/>
  <c r="M235" i="2"/>
  <c r="M209" i="2"/>
  <c r="AD209" i="2" s="1"/>
  <c r="M181" i="2"/>
  <c r="AD181" i="2" s="1"/>
  <c r="M153" i="2"/>
  <c r="AD153" i="2" s="1"/>
  <c r="M125" i="2"/>
  <c r="AD125" i="2" s="1"/>
  <c r="M97" i="2"/>
  <c r="AD97" i="2" s="1"/>
  <c r="M195" i="2"/>
  <c r="AD195" i="2" s="1"/>
  <c r="M167" i="2"/>
  <c r="AD167" i="2" s="1"/>
  <c r="M139" i="2"/>
  <c r="AD139" i="2" s="1"/>
  <c r="M111" i="2"/>
  <c r="AD111" i="2" s="1"/>
  <c r="M83" i="2"/>
  <c r="AD83" i="2" s="1"/>
  <c r="M228" i="2"/>
  <c r="AD228" i="2" s="1"/>
  <c r="M200" i="2"/>
  <c r="AD200" i="2" s="1"/>
  <c r="M172" i="2"/>
  <c r="AD172" i="2" s="1"/>
  <c r="M144" i="2"/>
  <c r="AD144" i="2" s="1"/>
  <c r="M116" i="2"/>
  <c r="AD116" i="2" s="1"/>
  <c r="M204" i="2"/>
  <c r="AD204" i="2" s="1"/>
  <c r="M176" i="2"/>
  <c r="AD176" i="2" s="1"/>
  <c r="M148" i="2"/>
  <c r="AD148" i="2" s="1"/>
  <c r="M120" i="2"/>
  <c r="AD120" i="2" s="1"/>
  <c r="M92" i="2"/>
  <c r="AD92" i="2" s="1"/>
  <c r="M196" i="2"/>
  <c r="AD196" i="2" s="1"/>
  <c r="M168" i="2"/>
  <c r="AD168" i="2" s="1"/>
  <c r="M140" i="2"/>
  <c r="AD140" i="2" s="1"/>
  <c r="M112" i="2"/>
  <c r="AD112" i="2" s="1"/>
  <c r="M84" i="2"/>
  <c r="AD84" i="2" s="1"/>
  <c r="Y994" i="2"/>
  <c r="Z994" i="2"/>
  <c r="V994" i="2"/>
  <c r="X994" i="2"/>
  <c r="W994" i="2"/>
  <c r="T994" i="2"/>
  <c r="U994" i="2"/>
  <c r="S994" i="2"/>
  <c r="Q994" i="2"/>
  <c r="N994" i="2"/>
  <c r="R994" i="2"/>
  <c r="P994" i="2"/>
  <c r="O994" i="2"/>
  <c r="Y978" i="2"/>
  <c r="Z978" i="2"/>
  <c r="X978" i="2"/>
  <c r="V978" i="2"/>
  <c r="W978" i="2"/>
  <c r="T978" i="2"/>
  <c r="S978" i="2"/>
  <c r="Q978" i="2"/>
  <c r="N978" i="2"/>
  <c r="U978" i="2"/>
  <c r="R978" i="2"/>
  <c r="P978" i="2"/>
  <c r="O978" i="2"/>
  <c r="Y962" i="2"/>
  <c r="Z962" i="2"/>
  <c r="V962" i="2"/>
  <c r="W962" i="2"/>
  <c r="T962" i="2"/>
  <c r="X962" i="2"/>
  <c r="U962" i="2"/>
  <c r="S962" i="2"/>
  <c r="Q962" i="2"/>
  <c r="N962" i="2"/>
  <c r="R962" i="2"/>
  <c r="P962" i="2"/>
  <c r="O962" i="2"/>
  <c r="Z946" i="2"/>
  <c r="Y946" i="2"/>
  <c r="V946" i="2"/>
  <c r="X946" i="2"/>
  <c r="W946" i="2"/>
  <c r="T946" i="2"/>
  <c r="S946" i="2"/>
  <c r="Q946" i="2"/>
  <c r="N946" i="2"/>
  <c r="U946" i="2"/>
  <c r="R946" i="2"/>
  <c r="P946" i="2"/>
  <c r="O946" i="2"/>
  <c r="Z934" i="2"/>
  <c r="Y934" i="2"/>
  <c r="X934" i="2"/>
  <c r="V934" i="2"/>
  <c r="W934" i="2"/>
  <c r="T934" i="2"/>
  <c r="U934" i="2"/>
  <c r="Q934" i="2"/>
  <c r="N934" i="2"/>
  <c r="S934" i="2"/>
  <c r="R934" i="2"/>
  <c r="P934" i="2"/>
  <c r="O934" i="2"/>
  <c r="Z922" i="2"/>
  <c r="Y922" i="2"/>
  <c r="X922" i="2"/>
  <c r="W922" i="2"/>
  <c r="V922" i="2"/>
  <c r="T922" i="2"/>
  <c r="S922" i="2"/>
  <c r="Q922" i="2"/>
  <c r="N922" i="2"/>
  <c r="R922" i="2"/>
  <c r="O922" i="2"/>
  <c r="U922" i="2"/>
  <c r="P922" i="2"/>
  <c r="Z910" i="2"/>
  <c r="Y910" i="2"/>
  <c r="X910" i="2"/>
  <c r="V910" i="2"/>
  <c r="W910" i="2"/>
  <c r="T910" i="2"/>
  <c r="U910" i="2"/>
  <c r="Q910" i="2"/>
  <c r="N910" i="2"/>
  <c r="S910" i="2"/>
  <c r="R910" i="2"/>
  <c r="O910" i="2"/>
  <c r="P910" i="2"/>
  <c r="Z898" i="2"/>
  <c r="Y898" i="2"/>
  <c r="V898" i="2"/>
  <c r="W898" i="2"/>
  <c r="X898" i="2"/>
  <c r="T898" i="2"/>
  <c r="U898" i="2"/>
  <c r="S898" i="2"/>
  <c r="Q898" i="2"/>
  <c r="N898" i="2"/>
  <c r="R898" i="2"/>
  <c r="P898" i="2"/>
  <c r="O898" i="2"/>
  <c r="Z886" i="2"/>
  <c r="Y886" i="2"/>
  <c r="X886" i="2"/>
  <c r="V886" i="2"/>
  <c r="T886" i="2"/>
  <c r="W886" i="2"/>
  <c r="U886" i="2"/>
  <c r="Q886" i="2"/>
  <c r="N886" i="2"/>
  <c r="S886" i="2"/>
  <c r="R886" i="2"/>
  <c r="P886" i="2"/>
  <c r="O886" i="2"/>
  <c r="Z870" i="2"/>
  <c r="Y870" i="2"/>
  <c r="X870" i="2"/>
  <c r="V870" i="2"/>
  <c r="W870" i="2"/>
  <c r="T870" i="2"/>
  <c r="U870" i="2"/>
  <c r="Q870" i="2"/>
  <c r="N870" i="2"/>
  <c r="S870" i="2"/>
  <c r="R870" i="2"/>
  <c r="P870" i="2"/>
  <c r="O870" i="2"/>
  <c r="Z858" i="2"/>
  <c r="Y858" i="2"/>
  <c r="X858" i="2"/>
  <c r="W858" i="2"/>
  <c r="V858" i="2"/>
  <c r="T858" i="2"/>
  <c r="S858" i="2"/>
  <c r="Q858" i="2"/>
  <c r="N858" i="2"/>
  <c r="R858" i="2"/>
  <c r="O858" i="2"/>
  <c r="P858" i="2"/>
  <c r="U858" i="2"/>
  <c r="Z842" i="2"/>
  <c r="Y842" i="2"/>
  <c r="X842" i="2"/>
  <c r="W842" i="2"/>
  <c r="V842" i="2"/>
  <c r="T842" i="2"/>
  <c r="U842" i="2"/>
  <c r="S842" i="2"/>
  <c r="Q842" i="2"/>
  <c r="N842" i="2"/>
  <c r="R842" i="2"/>
  <c r="O842" i="2"/>
  <c r="P842" i="2"/>
  <c r="Z830" i="2"/>
  <c r="Y830" i="2"/>
  <c r="X830" i="2"/>
  <c r="V830" i="2"/>
  <c r="W830" i="2"/>
  <c r="T830" i="2"/>
  <c r="U830" i="2"/>
  <c r="Q830" i="2"/>
  <c r="S830" i="2"/>
  <c r="N830" i="2"/>
  <c r="R830" i="2"/>
  <c r="O830" i="2"/>
  <c r="P830" i="2"/>
  <c r="Z814" i="2"/>
  <c r="Y814" i="2"/>
  <c r="X814" i="2"/>
  <c r="V814" i="2"/>
  <c r="W814" i="2"/>
  <c r="T814" i="2"/>
  <c r="U814" i="2"/>
  <c r="Q814" i="2"/>
  <c r="S814" i="2"/>
  <c r="N814" i="2"/>
  <c r="R814" i="2"/>
  <c r="O814" i="2"/>
  <c r="P814" i="2"/>
  <c r="Z802" i="2"/>
  <c r="Y802" i="2"/>
  <c r="V802" i="2"/>
  <c r="X802" i="2"/>
  <c r="W802" i="2"/>
  <c r="T802" i="2"/>
  <c r="Q802" i="2"/>
  <c r="N802" i="2"/>
  <c r="S802" i="2"/>
  <c r="R802" i="2"/>
  <c r="P802" i="2"/>
  <c r="O802" i="2"/>
  <c r="U802" i="2"/>
  <c r="Z782" i="2"/>
  <c r="Y782" i="2"/>
  <c r="X782" i="2"/>
  <c r="V782" i="2"/>
  <c r="W782" i="2"/>
  <c r="T782" i="2"/>
  <c r="U782" i="2"/>
  <c r="Q782" i="2"/>
  <c r="S782" i="2"/>
  <c r="N782" i="2"/>
  <c r="R782" i="2"/>
  <c r="O782" i="2"/>
  <c r="P782" i="2"/>
  <c r="Z762" i="2"/>
  <c r="Y762" i="2"/>
  <c r="X762" i="2"/>
  <c r="W762" i="2"/>
  <c r="V762" i="2"/>
  <c r="T762" i="2"/>
  <c r="U762" i="2"/>
  <c r="S762" i="2"/>
  <c r="Q762" i="2"/>
  <c r="N762" i="2"/>
  <c r="R762" i="2"/>
  <c r="O762" i="2"/>
  <c r="P762" i="2"/>
  <c r="Z750" i="2"/>
  <c r="Y750" i="2"/>
  <c r="X750" i="2"/>
  <c r="V750" i="2"/>
  <c r="W750" i="2"/>
  <c r="T750" i="2"/>
  <c r="U750" i="2"/>
  <c r="Q750" i="2"/>
  <c r="S750" i="2"/>
  <c r="N750" i="2"/>
  <c r="R750" i="2"/>
  <c r="O750" i="2"/>
  <c r="P750" i="2"/>
  <c r="Z730" i="2"/>
  <c r="Y730" i="2"/>
  <c r="X730" i="2"/>
  <c r="W730" i="2"/>
  <c r="V730" i="2"/>
  <c r="T730" i="2"/>
  <c r="U730" i="2"/>
  <c r="S730" i="2"/>
  <c r="Q730" i="2"/>
  <c r="N730" i="2"/>
  <c r="R730" i="2"/>
  <c r="O730" i="2"/>
  <c r="P730" i="2"/>
  <c r="Z718" i="2"/>
  <c r="Y718" i="2"/>
  <c r="X718" i="2"/>
  <c r="V718" i="2"/>
  <c r="W718" i="2"/>
  <c r="T718" i="2"/>
  <c r="U718" i="2"/>
  <c r="Q718" i="2"/>
  <c r="S718" i="2"/>
  <c r="N718" i="2"/>
  <c r="R718" i="2"/>
  <c r="O718" i="2"/>
  <c r="P718" i="2"/>
  <c r="Z698" i="2"/>
  <c r="Y698" i="2"/>
  <c r="X698" i="2"/>
  <c r="W698" i="2"/>
  <c r="V698" i="2"/>
  <c r="T698" i="2"/>
  <c r="U698" i="2"/>
  <c r="S698" i="2"/>
  <c r="Q698" i="2"/>
  <c r="N698" i="2"/>
  <c r="R698" i="2"/>
  <c r="O698" i="2"/>
  <c r="P698" i="2"/>
  <c r="Z686" i="2"/>
  <c r="Y686" i="2"/>
  <c r="X686" i="2"/>
  <c r="V686" i="2"/>
  <c r="W686" i="2"/>
  <c r="T686" i="2"/>
  <c r="U686" i="2"/>
  <c r="Q686" i="2"/>
  <c r="S686" i="2"/>
  <c r="N686" i="2"/>
  <c r="R686" i="2"/>
  <c r="O686" i="2"/>
  <c r="P686" i="2"/>
  <c r="Z674" i="2"/>
  <c r="Y674" i="2"/>
  <c r="V674" i="2"/>
  <c r="X674" i="2"/>
  <c r="W674" i="2"/>
  <c r="T674" i="2"/>
  <c r="Q674" i="2"/>
  <c r="N674" i="2"/>
  <c r="S674" i="2"/>
  <c r="R674" i="2"/>
  <c r="U674" i="2"/>
  <c r="P674" i="2"/>
  <c r="O674" i="2"/>
  <c r="Z662" i="2"/>
  <c r="Y662" i="2"/>
  <c r="X662" i="2"/>
  <c r="V662" i="2"/>
  <c r="U662" i="2"/>
  <c r="T662" i="2"/>
  <c r="W662" i="2"/>
  <c r="Q662" i="2"/>
  <c r="N662" i="2"/>
  <c r="R662" i="2"/>
  <c r="S662" i="2"/>
  <c r="P662" i="2"/>
  <c r="O662" i="2"/>
  <c r="Z650" i="2"/>
  <c r="Y650" i="2"/>
  <c r="X650" i="2"/>
  <c r="W650" i="2"/>
  <c r="V650" i="2"/>
  <c r="T650" i="2"/>
  <c r="U650" i="2"/>
  <c r="S650" i="2"/>
  <c r="Q650" i="2"/>
  <c r="N650" i="2"/>
  <c r="R650" i="2"/>
  <c r="O650" i="2"/>
  <c r="P650" i="2"/>
  <c r="Z638" i="2"/>
  <c r="Y638" i="2"/>
  <c r="X638" i="2"/>
  <c r="V638" i="2"/>
  <c r="W638" i="2"/>
  <c r="T638" i="2"/>
  <c r="U638" i="2"/>
  <c r="Q638" i="2"/>
  <c r="S638" i="2"/>
  <c r="N638" i="2"/>
  <c r="R638" i="2"/>
  <c r="O638" i="2"/>
  <c r="P638" i="2"/>
  <c r="Z626" i="2"/>
  <c r="Y626" i="2"/>
  <c r="V626" i="2"/>
  <c r="X626" i="2"/>
  <c r="W626" i="2"/>
  <c r="T626" i="2"/>
  <c r="U626" i="2"/>
  <c r="Q626" i="2"/>
  <c r="N626" i="2"/>
  <c r="S626" i="2"/>
  <c r="R626" i="2"/>
  <c r="P626" i="2"/>
  <c r="O626" i="2"/>
  <c r="Z614" i="2"/>
  <c r="Y614" i="2"/>
  <c r="X614" i="2"/>
  <c r="V614" i="2"/>
  <c r="W614" i="2"/>
  <c r="U614" i="2"/>
  <c r="T614" i="2"/>
  <c r="Q614" i="2"/>
  <c r="N614" i="2"/>
  <c r="R614" i="2"/>
  <c r="P614" i="2"/>
  <c r="S614" i="2"/>
  <c r="O614" i="2"/>
  <c r="Z606" i="2"/>
  <c r="Y606" i="2"/>
  <c r="X606" i="2"/>
  <c r="V606" i="2"/>
  <c r="W606" i="2"/>
  <c r="T606" i="2"/>
  <c r="U606" i="2"/>
  <c r="Q606" i="2"/>
  <c r="S606" i="2"/>
  <c r="N606" i="2"/>
  <c r="R606" i="2"/>
  <c r="O606" i="2"/>
  <c r="P606" i="2"/>
  <c r="Z594" i="2"/>
  <c r="Y594" i="2"/>
  <c r="X594" i="2"/>
  <c r="V594" i="2"/>
  <c r="W594" i="2"/>
  <c r="T594" i="2"/>
  <c r="Q594" i="2"/>
  <c r="N594" i="2"/>
  <c r="U594" i="2"/>
  <c r="S594" i="2"/>
  <c r="R594" i="2"/>
  <c r="P594" i="2"/>
  <c r="O594" i="2"/>
  <c r="Z582" i="2"/>
  <c r="Y582" i="2"/>
  <c r="X582" i="2"/>
  <c r="V582" i="2"/>
  <c r="U582" i="2"/>
  <c r="T582" i="2"/>
  <c r="W582" i="2"/>
  <c r="Q582" i="2"/>
  <c r="N582" i="2"/>
  <c r="R582" i="2"/>
  <c r="S582" i="2"/>
  <c r="P582" i="2"/>
  <c r="O582" i="2"/>
  <c r="Z570" i="2"/>
  <c r="Y570" i="2"/>
  <c r="X570" i="2"/>
  <c r="W570" i="2"/>
  <c r="V570" i="2"/>
  <c r="T570" i="2"/>
  <c r="U570" i="2"/>
  <c r="S570" i="2"/>
  <c r="Q570" i="2"/>
  <c r="N570" i="2"/>
  <c r="R570" i="2"/>
  <c r="O570" i="2"/>
  <c r="P570" i="2"/>
  <c r="Z554" i="2"/>
  <c r="Y554" i="2"/>
  <c r="X554" i="2"/>
  <c r="W554" i="2"/>
  <c r="V554" i="2"/>
  <c r="T554" i="2"/>
  <c r="U554" i="2"/>
  <c r="S554" i="2"/>
  <c r="Q554" i="2"/>
  <c r="N554" i="2"/>
  <c r="R554" i="2"/>
  <c r="O554" i="2"/>
  <c r="P554" i="2"/>
  <c r="Z542" i="2"/>
  <c r="Y542" i="2"/>
  <c r="X542" i="2"/>
  <c r="V542" i="2"/>
  <c r="W542" i="2"/>
  <c r="U542" i="2"/>
  <c r="Q542" i="2"/>
  <c r="S542" i="2"/>
  <c r="N542" i="2"/>
  <c r="T542" i="2"/>
  <c r="R542" i="2"/>
  <c r="O542" i="2"/>
  <c r="P542" i="2"/>
  <c r="Z526" i="2"/>
  <c r="Y526" i="2"/>
  <c r="X526" i="2"/>
  <c r="V526" i="2"/>
  <c r="W526" i="2"/>
  <c r="U526" i="2"/>
  <c r="Q526" i="2"/>
  <c r="S526" i="2"/>
  <c r="N526" i="2"/>
  <c r="R526" i="2"/>
  <c r="O526" i="2"/>
  <c r="P526" i="2"/>
  <c r="T526" i="2"/>
  <c r="Z514" i="2"/>
  <c r="Y514" i="2"/>
  <c r="V514" i="2"/>
  <c r="W514" i="2"/>
  <c r="X514" i="2"/>
  <c r="T514" i="2"/>
  <c r="Q514" i="2"/>
  <c r="U514" i="2"/>
  <c r="N514" i="2"/>
  <c r="S514" i="2"/>
  <c r="R514" i="2"/>
  <c r="P514" i="2"/>
  <c r="O514" i="2"/>
  <c r="Z502" i="2"/>
  <c r="Y502" i="2"/>
  <c r="X502" i="2"/>
  <c r="V502" i="2"/>
  <c r="U502" i="2"/>
  <c r="W502" i="2"/>
  <c r="T502" i="2"/>
  <c r="Q502" i="2"/>
  <c r="N502" i="2"/>
  <c r="R502" i="2"/>
  <c r="P502" i="2"/>
  <c r="O502" i="2"/>
  <c r="S502" i="2"/>
  <c r="Z490" i="2"/>
  <c r="Y490" i="2"/>
  <c r="X490" i="2"/>
  <c r="W490" i="2"/>
  <c r="V490" i="2"/>
  <c r="T490" i="2"/>
  <c r="U490" i="2"/>
  <c r="S490" i="2"/>
  <c r="Q490" i="2"/>
  <c r="N490" i="2"/>
  <c r="R490" i="2"/>
  <c r="O490" i="2"/>
  <c r="P490" i="2"/>
  <c r="Z470" i="2"/>
  <c r="Y470" i="2"/>
  <c r="X470" i="2"/>
  <c r="V470" i="2"/>
  <c r="U470" i="2"/>
  <c r="T470" i="2"/>
  <c r="Q470" i="2"/>
  <c r="W470" i="2"/>
  <c r="N470" i="2"/>
  <c r="R470" i="2"/>
  <c r="S470" i="2"/>
  <c r="P470" i="2"/>
  <c r="O470" i="2"/>
  <c r="Z458" i="2"/>
  <c r="Y458" i="2"/>
  <c r="X458" i="2"/>
  <c r="W458" i="2"/>
  <c r="V458" i="2"/>
  <c r="T458" i="2"/>
  <c r="U458" i="2"/>
  <c r="S458" i="2"/>
  <c r="Q458" i="2"/>
  <c r="N458" i="2"/>
  <c r="R458" i="2"/>
  <c r="O458" i="2"/>
  <c r="P458" i="2"/>
  <c r="Z446" i="2"/>
  <c r="Y446" i="2"/>
  <c r="X446" i="2"/>
  <c r="V446" i="2"/>
  <c r="W446" i="2"/>
  <c r="U446" i="2"/>
  <c r="T446" i="2"/>
  <c r="Q446" i="2"/>
  <c r="S446" i="2"/>
  <c r="N446" i="2"/>
  <c r="R446" i="2"/>
  <c r="O446" i="2"/>
  <c r="P446" i="2"/>
  <c r="Z434" i="2"/>
  <c r="Y434" i="2"/>
  <c r="V434" i="2"/>
  <c r="X434" i="2"/>
  <c r="W434" i="2"/>
  <c r="T434" i="2"/>
  <c r="U434" i="2"/>
  <c r="Q434" i="2"/>
  <c r="N434" i="2"/>
  <c r="S434" i="2"/>
  <c r="R434" i="2"/>
  <c r="P434" i="2"/>
  <c r="O434" i="2"/>
  <c r="Z426" i="2"/>
  <c r="Y426" i="2"/>
  <c r="X426" i="2"/>
  <c r="W426" i="2"/>
  <c r="V426" i="2"/>
  <c r="T426" i="2"/>
  <c r="U426" i="2"/>
  <c r="S426" i="2"/>
  <c r="Q426" i="2"/>
  <c r="N426" i="2"/>
  <c r="R426" i="2"/>
  <c r="O426" i="2"/>
  <c r="P426" i="2"/>
  <c r="Z406" i="2"/>
  <c r="Y406" i="2"/>
  <c r="X406" i="2"/>
  <c r="V406" i="2"/>
  <c r="U406" i="2"/>
  <c r="T406" i="2"/>
  <c r="W406" i="2"/>
  <c r="Q406" i="2"/>
  <c r="N406" i="2"/>
  <c r="R406" i="2"/>
  <c r="S406" i="2"/>
  <c r="P406" i="2"/>
  <c r="O406" i="2"/>
  <c r="Z394" i="2"/>
  <c r="Y394" i="2"/>
  <c r="X394" i="2"/>
  <c r="W394" i="2"/>
  <c r="V394" i="2"/>
  <c r="T394" i="2"/>
  <c r="U394" i="2"/>
  <c r="S394" i="2"/>
  <c r="Q394" i="2"/>
  <c r="N394" i="2"/>
  <c r="R394" i="2"/>
  <c r="O394" i="2"/>
  <c r="P394" i="2"/>
  <c r="Z378" i="2"/>
  <c r="Y378" i="2"/>
  <c r="X378" i="2"/>
  <c r="W378" i="2"/>
  <c r="V378" i="2"/>
  <c r="T378" i="2"/>
  <c r="U378" i="2"/>
  <c r="S378" i="2"/>
  <c r="Q378" i="2"/>
  <c r="N378" i="2"/>
  <c r="R378" i="2"/>
  <c r="O378" i="2"/>
  <c r="P378" i="2"/>
  <c r="Z358" i="2"/>
  <c r="Y358" i="2"/>
  <c r="X358" i="2"/>
  <c r="V358" i="2"/>
  <c r="W358" i="2"/>
  <c r="U358" i="2"/>
  <c r="T358" i="2"/>
  <c r="Q358" i="2"/>
  <c r="N358" i="2"/>
  <c r="R358" i="2"/>
  <c r="P358" i="2"/>
  <c r="S358" i="2"/>
  <c r="O358" i="2"/>
  <c r="Z346" i="2"/>
  <c r="Y346" i="2"/>
  <c r="X346" i="2"/>
  <c r="W346" i="2"/>
  <c r="V346" i="2"/>
  <c r="T346" i="2"/>
  <c r="U346" i="2"/>
  <c r="S346" i="2"/>
  <c r="Q346" i="2"/>
  <c r="N346" i="2"/>
  <c r="R346" i="2"/>
  <c r="O346" i="2"/>
  <c r="P346" i="2"/>
  <c r="Z338" i="2"/>
  <c r="Y338" i="2"/>
  <c r="X338" i="2"/>
  <c r="V338" i="2"/>
  <c r="W338" i="2"/>
  <c r="T338" i="2"/>
  <c r="R338" i="2"/>
  <c r="Q338" i="2"/>
  <c r="N338" i="2"/>
  <c r="U338" i="2"/>
  <c r="S338" i="2"/>
  <c r="P338" i="2"/>
  <c r="O338" i="2"/>
  <c r="Z326" i="2"/>
  <c r="Y326" i="2"/>
  <c r="X326" i="2"/>
  <c r="V326" i="2"/>
  <c r="U326" i="2"/>
  <c r="T326" i="2"/>
  <c r="W326" i="2"/>
  <c r="Q326" i="2"/>
  <c r="R326" i="2"/>
  <c r="N326" i="2"/>
  <c r="P326" i="2"/>
  <c r="O326" i="2"/>
  <c r="S326" i="2"/>
  <c r="Z314" i="2"/>
  <c r="Y314" i="2"/>
  <c r="X314" i="2"/>
  <c r="W314" i="2"/>
  <c r="V314" i="2"/>
  <c r="T314" i="2"/>
  <c r="U314" i="2"/>
  <c r="S314" i="2"/>
  <c r="Q314" i="2"/>
  <c r="N314" i="2"/>
  <c r="R314" i="2"/>
  <c r="P314" i="2"/>
  <c r="O314" i="2"/>
  <c r="Z302" i="2"/>
  <c r="Y302" i="2"/>
  <c r="X302" i="2"/>
  <c r="V302" i="2"/>
  <c r="W302" i="2"/>
  <c r="U302" i="2"/>
  <c r="Q302" i="2"/>
  <c r="T302" i="2"/>
  <c r="S302" i="2"/>
  <c r="R302" i="2"/>
  <c r="N302" i="2"/>
  <c r="O302" i="2"/>
  <c r="P302" i="2"/>
  <c r="Z298" i="2"/>
  <c r="Y298" i="2"/>
  <c r="X298" i="2"/>
  <c r="W298" i="2"/>
  <c r="V298" i="2"/>
  <c r="T298" i="2"/>
  <c r="U298" i="2"/>
  <c r="S298" i="2"/>
  <c r="Q298" i="2"/>
  <c r="N298" i="2"/>
  <c r="R298" i="2"/>
  <c r="P298" i="2"/>
  <c r="O298" i="2"/>
  <c r="Z286" i="2"/>
  <c r="Y286" i="2"/>
  <c r="X286" i="2"/>
  <c r="V286" i="2"/>
  <c r="W286" i="2"/>
  <c r="U286" i="2"/>
  <c r="Q286" i="2"/>
  <c r="S286" i="2"/>
  <c r="R286" i="2"/>
  <c r="N286" i="2"/>
  <c r="T286" i="2"/>
  <c r="O286" i="2"/>
  <c r="P286" i="2"/>
  <c r="Z278" i="2"/>
  <c r="Y278" i="2"/>
  <c r="X278" i="2"/>
  <c r="V278" i="2"/>
  <c r="U278" i="2"/>
  <c r="T278" i="2"/>
  <c r="Q278" i="2"/>
  <c r="R278" i="2"/>
  <c r="N278" i="2"/>
  <c r="W278" i="2"/>
  <c r="S278" i="2"/>
  <c r="P278" i="2"/>
  <c r="O278" i="2"/>
  <c r="Z266" i="2"/>
  <c r="Y266" i="2"/>
  <c r="X266" i="2"/>
  <c r="W266" i="2"/>
  <c r="V266" i="2"/>
  <c r="T266" i="2"/>
  <c r="U266" i="2"/>
  <c r="S266" i="2"/>
  <c r="Q266" i="2"/>
  <c r="N266" i="2"/>
  <c r="P266" i="2"/>
  <c r="R266" i="2"/>
  <c r="O266" i="2"/>
  <c r="Z254" i="2"/>
  <c r="Y254" i="2"/>
  <c r="X254" i="2"/>
  <c r="V254" i="2"/>
  <c r="W254" i="2"/>
  <c r="U254" i="2"/>
  <c r="T254" i="2"/>
  <c r="Q254" i="2"/>
  <c r="S254" i="2"/>
  <c r="R254" i="2"/>
  <c r="N254" i="2"/>
  <c r="P254" i="2"/>
  <c r="O254" i="2"/>
  <c r="Z242" i="2"/>
  <c r="Y242" i="2"/>
  <c r="V242" i="2"/>
  <c r="X242" i="2"/>
  <c r="W242" i="2"/>
  <c r="T242" i="2"/>
  <c r="U242" i="2"/>
  <c r="Q242" i="2"/>
  <c r="N242" i="2"/>
  <c r="S242" i="2"/>
  <c r="P242" i="2"/>
  <c r="R242" i="2"/>
  <c r="O242" i="2"/>
  <c r="Z226" i="2"/>
  <c r="Y226" i="2"/>
  <c r="V226" i="2"/>
  <c r="X226" i="2"/>
  <c r="W226" i="2"/>
  <c r="T226" i="2"/>
  <c r="Q226" i="2"/>
  <c r="N226" i="2"/>
  <c r="S226" i="2"/>
  <c r="P226" i="2"/>
  <c r="O226" i="2"/>
  <c r="U226" i="2"/>
  <c r="R226" i="2"/>
  <c r="Z214" i="2"/>
  <c r="Y214" i="2"/>
  <c r="X214" i="2"/>
  <c r="V214" i="2"/>
  <c r="U214" i="2"/>
  <c r="T214" i="2"/>
  <c r="Q214" i="2"/>
  <c r="P214" i="2"/>
  <c r="W214" i="2"/>
  <c r="R214" i="2"/>
  <c r="N214" i="2"/>
  <c r="S214" i="2"/>
  <c r="O214" i="2"/>
  <c r="Z202" i="2"/>
  <c r="Y202" i="2"/>
  <c r="X202" i="2"/>
  <c r="V202" i="2"/>
  <c r="W202" i="2"/>
  <c r="T202" i="2"/>
  <c r="U202" i="2"/>
  <c r="S202" i="2"/>
  <c r="Q202" i="2"/>
  <c r="N202" i="2"/>
  <c r="P202" i="2"/>
  <c r="R202" i="2"/>
  <c r="O202" i="2"/>
  <c r="Z190" i="2"/>
  <c r="Y190" i="2"/>
  <c r="X190" i="2"/>
  <c r="V190" i="2"/>
  <c r="W190" i="2"/>
  <c r="U190" i="2"/>
  <c r="T190" i="2"/>
  <c r="Q190" i="2"/>
  <c r="S190" i="2"/>
  <c r="R190" i="2"/>
  <c r="N190" i="2"/>
  <c r="P190" i="2"/>
  <c r="O190" i="2"/>
  <c r="Z178" i="2"/>
  <c r="Y178" i="2"/>
  <c r="W178" i="2"/>
  <c r="V178" i="2"/>
  <c r="X178" i="2"/>
  <c r="T178" i="2"/>
  <c r="U178" i="2"/>
  <c r="Q178" i="2"/>
  <c r="N178" i="2"/>
  <c r="S178" i="2"/>
  <c r="P178" i="2"/>
  <c r="R178" i="2"/>
  <c r="O178" i="2"/>
  <c r="Z166" i="2"/>
  <c r="Y166" i="2"/>
  <c r="X166" i="2"/>
  <c r="V166" i="2"/>
  <c r="W166" i="2"/>
  <c r="U166" i="2"/>
  <c r="T166" i="2"/>
  <c r="Q166" i="2"/>
  <c r="R166" i="2"/>
  <c r="N166" i="2"/>
  <c r="P166" i="2"/>
  <c r="S166" i="2"/>
  <c r="O166" i="2"/>
  <c r="Z154" i="2"/>
  <c r="X154" i="2"/>
  <c r="Y154" i="2"/>
  <c r="W154" i="2"/>
  <c r="V154" i="2"/>
  <c r="T154" i="2"/>
  <c r="U154" i="2"/>
  <c r="S154" i="2"/>
  <c r="Q154" i="2"/>
  <c r="N154" i="2"/>
  <c r="P154" i="2"/>
  <c r="R154" i="2"/>
  <c r="O154" i="2"/>
  <c r="Z142" i="2"/>
  <c r="X142" i="2"/>
  <c r="Y142" i="2"/>
  <c r="W142" i="2"/>
  <c r="V142" i="2"/>
  <c r="U142" i="2"/>
  <c r="Q142" i="2"/>
  <c r="S142" i="2"/>
  <c r="R142" i="2"/>
  <c r="N142" i="2"/>
  <c r="P142" i="2"/>
  <c r="T142" i="2"/>
  <c r="O142" i="2"/>
  <c r="Z130" i="2"/>
  <c r="X130" i="2"/>
  <c r="Y130" i="2"/>
  <c r="W130" i="2"/>
  <c r="V130" i="2"/>
  <c r="T130" i="2"/>
  <c r="Q130" i="2"/>
  <c r="U130" i="2"/>
  <c r="N130" i="2"/>
  <c r="S130" i="2"/>
  <c r="P130" i="2"/>
  <c r="O130" i="2"/>
  <c r="R130" i="2"/>
  <c r="Z118" i="2"/>
  <c r="X118" i="2"/>
  <c r="Y118" i="2"/>
  <c r="W118" i="2"/>
  <c r="V118" i="2"/>
  <c r="U118" i="2"/>
  <c r="T118" i="2"/>
  <c r="Q118" i="2"/>
  <c r="R118" i="2"/>
  <c r="N118" i="2"/>
  <c r="P118" i="2"/>
  <c r="O118" i="2"/>
  <c r="S118" i="2"/>
  <c r="Z106" i="2"/>
  <c r="X106" i="2"/>
  <c r="Y106" i="2"/>
  <c r="W106" i="2"/>
  <c r="V106" i="2"/>
  <c r="T106" i="2"/>
  <c r="U106" i="2"/>
  <c r="S106" i="2"/>
  <c r="Q106" i="2"/>
  <c r="N106" i="2"/>
  <c r="P106" i="2"/>
  <c r="R106" i="2"/>
  <c r="O106" i="2"/>
  <c r="Z94" i="2"/>
  <c r="X94" i="2"/>
  <c r="Y94" i="2"/>
  <c r="W94" i="2"/>
  <c r="V94" i="2"/>
  <c r="T94" i="2"/>
  <c r="U94" i="2"/>
  <c r="Q94" i="2"/>
  <c r="S94" i="2"/>
  <c r="R94" i="2"/>
  <c r="N94" i="2"/>
  <c r="P94" i="2"/>
  <c r="O94" i="2"/>
  <c r="Z82" i="2"/>
  <c r="X82" i="2"/>
  <c r="Y82" i="2"/>
  <c r="W82" i="2"/>
  <c r="V82" i="2"/>
  <c r="T82" i="2"/>
  <c r="Q82" i="2"/>
  <c r="N82" i="2"/>
  <c r="U82" i="2"/>
  <c r="S82" i="2"/>
  <c r="P82" i="2"/>
  <c r="R82" i="2"/>
  <c r="O82" i="2"/>
  <c r="Y70" i="2"/>
  <c r="Z70" i="2"/>
  <c r="X70" i="2"/>
  <c r="W70" i="2"/>
  <c r="V70" i="2"/>
  <c r="U70" i="2"/>
  <c r="S70" i="2"/>
  <c r="T70" i="2"/>
  <c r="R70" i="2"/>
  <c r="Q70" i="2"/>
  <c r="N70" i="2"/>
  <c r="P70" i="2"/>
  <c r="O70" i="2"/>
  <c r="Z54" i="2"/>
  <c r="X54" i="2"/>
  <c r="Y54" i="2"/>
  <c r="W54" i="2"/>
  <c r="V54" i="2"/>
  <c r="T54" i="2"/>
  <c r="U54" i="2"/>
  <c r="Q54" i="2"/>
  <c r="R54" i="2"/>
  <c r="N54" i="2"/>
  <c r="P54" i="2"/>
  <c r="O54" i="2"/>
  <c r="S54" i="2"/>
  <c r="Z42" i="2"/>
  <c r="X42" i="2"/>
  <c r="Y42" i="2"/>
  <c r="W42" i="2"/>
  <c r="V42" i="2"/>
  <c r="T42" i="2"/>
  <c r="U42" i="2"/>
  <c r="S42" i="2"/>
  <c r="Q42" i="2"/>
  <c r="N42" i="2"/>
  <c r="P42" i="2"/>
  <c r="R42" i="2"/>
  <c r="O42" i="2"/>
  <c r="Z26" i="2"/>
  <c r="X26" i="2"/>
  <c r="Y26" i="2"/>
  <c r="W26" i="2"/>
  <c r="V26" i="2"/>
  <c r="T26" i="2"/>
  <c r="U26" i="2"/>
  <c r="S26" i="2"/>
  <c r="Q26" i="2"/>
  <c r="N26" i="2"/>
  <c r="P26" i="2"/>
  <c r="R26" i="2"/>
  <c r="O26" i="2"/>
  <c r="Z18" i="2"/>
  <c r="X18" i="2"/>
  <c r="Y18" i="2"/>
  <c r="W18" i="2"/>
  <c r="V18" i="2"/>
  <c r="T18" i="2"/>
  <c r="Q18" i="2"/>
  <c r="N18" i="2"/>
  <c r="U18" i="2"/>
  <c r="S18" i="2"/>
  <c r="P18" i="2"/>
  <c r="R18" i="2"/>
  <c r="O18" i="2"/>
  <c r="P10" i="2"/>
  <c r="Q10" i="2"/>
  <c r="N10" i="2"/>
  <c r="Y1002" i="2"/>
  <c r="Z1002" i="2"/>
  <c r="X1002" i="2"/>
  <c r="V1002" i="2"/>
  <c r="W1002" i="2"/>
  <c r="T1002" i="2"/>
  <c r="S1002" i="2"/>
  <c r="Q1002" i="2"/>
  <c r="U1002" i="2"/>
  <c r="N1002" i="2"/>
  <c r="R1002" i="2"/>
  <c r="O1002" i="2"/>
  <c r="P1002" i="2"/>
  <c r="Y990" i="2"/>
  <c r="Z990" i="2"/>
  <c r="X990" i="2"/>
  <c r="V990" i="2"/>
  <c r="W990" i="2"/>
  <c r="T990" i="2"/>
  <c r="U990" i="2"/>
  <c r="Q990" i="2"/>
  <c r="N990" i="2"/>
  <c r="S990" i="2"/>
  <c r="R990" i="2"/>
  <c r="O990" i="2"/>
  <c r="P990" i="2"/>
  <c r="Y982" i="2"/>
  <c r="Z982" i="2"/>
  <c r="X982" i="2"/>
  <c r="V982" i="2"/>
  <c r="T982" i="2"/>
  <c r="U982" i="2"/>
  <c r="Q982" i="2"/>
  <c r="W982" i="2"/>
  <c r="N982" i="2"/>
  <c r="S982" i="2"/>
  <c r="R982" i="2"/>
  <c r="P982" i="2"/>
  <c r="O982" i="2"/>
  <c r="Y970" i="2"/>
  <c r="X970" i="2"/>
  <c r="W970" i="2"/>
  <c r="V970" i="2"/>
  <c r="Z970" i="2"/>
  <c r="T970" i="2"/>
  <c r="S970" i="2"/>
  <c r="Q970" i="2"/>
  <c r="U970" i="2"/>
  <c r="N970" i="2"/>
  <c r="R970" i="2"/>
  <c r="O970" i="2"/>
  <c r="P970" i="2"/>
  <c r="Y958" i="2"/>
  <c r="Z958" i="2"/>
  <c r="X958" i="2"/>
  <c r="V958" i="2"/>
  <c r="W958" i="2"/>
  <c r="T958" i="2"/>
  <c r="U958" i="2"/>
  <c r="Q958" i="2"/>
  <c r="N958" i="2"/>
  <c r="S958" i="2"/>
  <c r="R958" i="2"/>
  <c r="O958" i="2"/>
  <c r="P958" i="2"/>
  <c r="Y950" i="2"/>
  <c r="Z950" i="2"/>
  <c r="X950" i="2"/>
  <c r="V950" i="2"/>
  <c r="T950" i="2"/>
  <c r="W950" i="2"/>
  <c r="U950" i="2"/>
  <c r="Q950" i="2"/>
  <c r="N950" i="2"/>
  <c r="S950" i="2"/>
  <c r="R950" i="2"/>
  <c r="P950" i="2"/>
  <c r="O950" i="2"/>
  <c r="Z938" i="2"/>
  <c r="Y938" i="2"/>
  <c r="X938" i="2"/>
  <c r="W938" i="2"/>
  <c r="V938" i="2"/>
  <c r="T938" i="2"/>
  <c r="S938" i="2"/>
  <c r="Q938" i="2"/>
  <c r="U938" i="2"/>
  <c r="N938" i="2"/>
  <c r="R938" i="2"/>
  <c r="O938" i="2"/>
  <c r="P938" i="2"/>
  <c r="Z926" i="2"/>
  <c r="Y926" i="2"/>
  <c r="X926" i="2"/>
  <c r="V926" i="2"/>
  <c r="W926" i="2"/>
  <c r="T926" i="2"/>
  <c r="U926" i="2"/>
  <c r="Q926" i="2"/>
  <c r="N926" i="2"/>
  <c r="S926" i="2"/>
  <c r="R926" i="2"/>
  <c r="O926" i="2"/>
  <c r="P926" i="2"/>
  <c r="Z914" i="2"/>
  <c r="Y914" i="2"/>
  <c r="X914" i="2"/>
  <c r="V914" i="2"/>
  <c r="W914" i="2"/>
  <c r="T914" i="2"/>
  <c r="S914" i="2"/>
  <c r="Q914" i="2"/>
  <c r="N914" i="2"/>
  <c r="U914" i="2"/>
  <c r="R914" i="2"/>
  <c r="P914" i="2"/>
  <c r="O914" i="2"/>
  <c r="Z902" i="2"/>
  <c r="Y902" i="2"/>
  <c r="X902" i="2"/>
  <c r="V902" i="2"/>
  <c r="T902" i="2"/>
  <c r="U902" i="2"/>
  <c r="W902" i="2"/>
  <c r="Q902" i="2"/>
  <c r="N902" i="2"/>
  <c r="S902" i="2"/>
  <c r="R902" i="2"/>
  <c r="P902" i="2"/>
  <c r="O902" i="2"/>
  <c r="Z890" i="2"/>
  <c r="Y890" i="2"/>
  <c r="X890" i="2"/>
  <c r="W890" i="2"/>
  <c r="V890" i="2"/>
  <c r="T890" i="2"/>
  <c r="S890" i="2"/>
  <c r="Q890" i="2"/>
  <c r="N890" i="2"/>
  <c r="R890" i="2"/>
  <c r="U890" i="2"/>
  <c r="O890" i="2"/>
  <c r="P890" i="2"/>
  <c r="Z882" i="2"/>
  <c r="Y882" i="2"/>
  <c r="V882" i="2"/>
  <c r="X882" i="2"/>
  <c r="W882" i="2"/>
  <c r="T882" i="2"/>
  <c r="S882" i="2"/>
  <c r="Q882" i="2"/>
  <c r="N882" i="2"/>
  <c r="U882" i="2"/>
  <c r="R882" i="2"/>
  <c r="P882" i="2"/>
  <c r="O882" i="2"/>
  <c r="Z874" i="2"/>
  <c r="Y874" i="2"/>
  <c r="X874" i="2"/>
  <c r="W874" i="2"/>
  <c r="V874" i="2"/>
  <c r="T874" i="2"/>
  <c r="S874" i="2"/>
  <c r="Q874" i="2"/>
  <c r="U874" i="2"/>
  <c r="N874" i="2"/>
  <c r="R874" i="2"/>
  <c r="O874" i="2"/>
  <c r="P874" i="2"/>
  <c r="Z862" i="2"/>
  <c r="Y862" i="2"/>
  <c r="X862" i="2"/>
  <c r="V862" i="2"/>
  <c r="W862" i="2"/>
  <c r="T862" i="2"/>
  <c r="U862" i="2"/>
  <c r="Q862" i="2"/>
  <c r="N862" i="2"/>
  <c r="S862" i="2"/>
  <c r="R862" i="2"/>
  <c r="O862" i="2"/>
  <c r="P862" i="2"/>
  <c r="Z850" i="2"/>
  <c r="Y850" i="2"/>
  <c r="X850" i="2"/>
  <c r="V850" i="2"/>
  <c r="W850" i="2"/>
  <c r="T850" i="2"/>
  <c r="S850" i="2"/>
  <c r="Q850" i="2"/>
  <c r="N850" i="2"/>
  <c r="U850" i="2"/>
  <c r="R850" i="2"/>
  <c r="P850" i="2"/>
  <c r="O850" i="2"/>
  <c r="Z838" i="2"/>
  <c r="Y838" i="2"/>
  <c r="X838" i="2"/>
  <c r="V838" i="2"/>
  <c r="U838" i="2"/>
  <c r="T838" i="2"/>
  <c r="W838" i="2"/>
  <c r="Q838" i="2"/>
  <c r="N838" i="2"/>
  <c r="R838" i="2"/>
  <c r="S838" i="2"/>
  <c r="P838" i="2"/>
  <c r="O838" i="2"/>
  <c r="Z826" i="2"/>
  <c r="Y826" i="2"/>
  <c r="X826" i="2"/>
  <c r="W826" i="2"/>
  <c r="V826" i="2"/>
  <c r="T826" i="2"/>
  <c r="U826" i="2"/>
  <c r="S826" i="2"/>
  <c r="Q826" i="2"/>
  <c r="N826" i="2"/>
  <c r="R826" i="2"/>
  <c r="O826" i="2"/>
  <c r="P826" i="2"/>
  <c r="Z818" i="2"/>
  <c r="Y818" i="2"/>
  <c r="V818" i="2"/>
  <c r="X818" i="2"/>
  <c r="W818" i="2"/>
  <c r="T818" i="2"/>
  <c r="U818" i="2"/>
  <c r="Q818" i="2"/>
  <c r="N818" i="2"/>
  <c r="S818" i="2"/>
  <c r="R818" i="2"/>
  <c r="P818" i="2"/>
  <c r="O818" i="2"/>
  <c r="Z806" i="2"/>
  <c r="Y806" i="2"/>
  <c r="X806" i="2"/>
  <c r="V806" i="2"/>
  <c r="W806" i="2"/>
  <c r="U806" i="2"/>
  <c r="T806" i="2"/>
  <c r="Q806" i="2"/>
  <c r="N806" i="2"/>
  <c r="R806" i="2"/>
  <c r="P806" i="2"/>
  <c r="S806" i="2"/>
  <c r="O806" i="2"/>
  <c r="Z798" i="2"/>
  <c r="Y798" i="2"/>
  <c r="X798" i="2"/>
  <c r="V798" i="2"/>
  <c r="W798" i="2"/>
  <c r="T798" i="2"/>
  <c r="U798" i="2"/>
  <c r="Q798" i="2"/>
  <c r="S798" i="2"/>
  <c r="N798" i="2"/>
  <c r="R798" i="2"/>
  <c r="O798" i="2"/>
  <c r="P798" i="2"/>
  <c r="Z790" i="2"/>
  <c r="Y790" i="2"/>
  <c r="X790" i="2"/>
  <c r="V790" i="2"/>
  <c r="U790" i="2"/>
  <c r="T790" i="2"/>
  <c r="Q790" i="2"/>
  <c r="N790" i="2"/>
  <c r="W790" i="2"/>
  <c r="R790" i="2"/>
  <c r="S790" i="2"/>
  <c r="P790" i="2"/>
  <c r="O790" i="2"/>
  <c r="Z774" i="2"/>
  <c r="Y774" i="2"/>
  <c r="X774" i="2"/>
  <c r="V774" i="2"/>
  <c r="U774" i="2"/>
  <c r="T774" i="2"/>
  <c r="W774" i="2"/>
  <c r="Q774" i="2"/>
  <c r="N774" i="2"/>
  <c r="R774" i="2"/>
  <c r="P774" i="2"/>
  <c r="O774" i="2"/>
  <c r="S774" i="2"/>
  <c r="Z770" i="2"/>
  <c r="Y770" i="2"/>
  <c r="V770" i="2"/>
  <c r="W770" i="2"/>
  <c r="T770" i="2"/>
  <c r="X770" i="2"/>
  <c r="Q770" i="2"/>
  <c r="U770" i="2"/>
  <c r="N770" i="2"/>
  <c r="S770" i="2"/>
  <c r="R770" i="2"/>
  <c r="P770" i="2"/>
  <c r="O770" i="2"/>
  <c r="Z758" i="2"/>
  <c r="Y758" i="2"/>
  <c r="X758" i="2"/>
  <c r="V758" i="2"/>
  <c r="U758" i="2"/>
  <c r="T758" i="2"/>
  <c r="W758" i="2"/>
  <c r="Q758" i="2"/>
  <c r="N758" i="2"/>
  <c r="R758" i="2"/>
  <c r="P758" i="2"/>
  <c r="O758" i="2"/>
  <c r="S758" i="2"/>
  <c r="Z746" i="2"/>
  <c r="Y746" i="2"/>
  <c r="X746" i="2"/>
  <c r="W746" i="2"/>
  <c r="V746" i="2"/>
  <c r="T746" i="2"/>
  <c r="U746" i="2"/>
  <c r="S746" i="2"/>
  <c r="Q746" i="2"/>
  <c r="N746" i="2"/>
  <c r="R746" i="2"/>
  <c r="O746" i="2"/>
  <c r="P746" i="2"/>
  <c r="Z738" i="2"/>
  <c r="Y738" i="2"/>
  <c r="V738" i="2"/>
  <c r="X738" i="2"/>
  <c r="W738" i="2"/>
  <c r="T738" i="2"/>
  <c r="Q738" i="2"/>
  <c r="N738" i="2"/>
  <c r="S738" i="2"/>
  <c r="R738" i="2"/>
  <c r="U738" i="2"/>
  <c r="P738" i="2"/>
  <c r="O738" i="2"/>
  <c r="Z726" i="2"/>
  <c r="Y726" i="2"/>
  <c r="X726" i="2"/>
  <c r="V726" i="2"/>
  <c r="U726" i="2"/>
  <c r="T726" i="2"/>
  <c r="Q726" i="2"/>
  <c r="W726" i="2"/>
  <c r="N726" i="2"/>
  <c r="R726" i="2"/>
  <c r="S726" i="2"/>
  <c r="P726" i="2"/>
  <c r="O726" i="2"/>
  <c r="Z710" i="2"/>
  <c r="Y710" i="2"/>
  <c r="X710" i="2"/>
  <c r="V710" i="2"/>
  <c r="U710" i="2"/>
  <c r="T710" i="2"/>
  <c r="W710" i="2"/>
  <c r="Q710" i="2"/>
  <c r="N710" i="2"/>
  <c r="R710" i="2"/>
  <c r="S710" i="2"/>
  <c r="P710" i="2"/>
  <c r="O710" i="2"/>
  <c r="Z706" i="2"/>
  <c r="Y706" i="2"/>
  <c r="V706" i="2"/>
  <c r="W706" i="2"/>
  <c r="T706" i="2"/>
  <c r="X706" i="2"/>
  <c r="Q706" i="2"/>
  <c r="U706" i="2"/>
  <c r="N706" i="2"/>
  <c r="S706" i="2"/>
  <c r="R706" i="2"/>
  <c r="P706" i="2"/>
  <c r="O706" i="2"/>
  <c r="Z694" i="2"/>
  <c r="Y694" i="2"/>
  <c r="X694" i="2"/>
  <c r="V694" i="2"/>
  <c r="U694" i="2"/>
  <c r="T694" i="2"/>
  <c r="W694" i="2"/>
  <c r="Q694" i="2"/>
  <c r="N694" i="2"/>
  <c r="R694" i="2"/>
  <c r="P694" i="2"/>
  <c r="O694" i="2"/>
  <c r="S694" i="2"/>
  <c r="Z682" i="2"/>
  <c r="Y682" i="2"/>
  <c r="X682" i="2"/>
  <c r="W682" i="2"/>
  <c r="V682" i="2"/>
  <c r="T682" i="2"/>
  <c r="U682" i="2"/>
  <c r="S682" i="2"/>
  <c r="Q682" i="2"/>
  <c r="N682" i="2"/>
  <c r="R682" i="2"/>
  <c r="O682" i="2"/>
  <c r="P682" i="2"/>
  <c r="Z670" i="2"/>
  <c r="Y670" i="2"/>
  <c r="X670" i="2"/>
  <c r="V670" i="2"/>
  <c r="W670" i="2"/>
  <c r="T670" i="2"/>
  <c r="U670" i="2"/>
  <c r="Q670" i="2"/>
  <c r="S670" i="2"/>
  <c r="N670" i="2"/>
  <c r="R670" i="2"/>
  <c r="O670" i="2"/>
  <c r="P670" i="2"/>
  <c r="Z658" i="2"/>
  <c r="Y658" i="2"/>
  <c r="X658" i="2"/>
  <c r="V658" i="2"/>
  <c r="W658" i="2"/>
  <c r="T658" i="2"/>
  <c r="Q658" i="2"/>
  <c r="N658" i="2"/>
  <c r="U658" i="2"/>
  <c r="S658" i="2"/>
  <c r="R658" i="2"/>
  <c r="P658" i="2"/>
  <c r="O658" i="2"/>
  <c r="Z646" i="2"/>
  <c r="Y646" i="2"/>
  <c r="X646" i="2"/>
  <c r="V646" i="2"/>
  <c r="U646" i="2"/>
  <c r="T646" i="2"/>
  <c r="W646" i="2"/>
  <c r="Q646" i="2"/>
  <c r="N646" i="2"/>
  <c r="R646" i="2"/>
  <c r="P646" i="2"/>
  <c r="O646" i="2"/>
  <c r="S646" i="2"/>
  <c r="Z634" i="2"/>
  <c r="Y634" i="2"/>
  <c r="X634" i="2"/>
  <c r="W634" i="2"/>
  <c r="V634" i="2"/>
  <c r="T634" i="2"/>
  <c r="U634" i="2"/>
  <c r="S634" i="2"/>
  <c r="Q634" i="2"/>
  <c r="N634" i="2"/>
  <c r="R634" i="2"/>
  <c r="O634" i="2"/>
  <c r="P634" i="2"/>
  <c r="Z622" i="2"/>
  <c r="Y622" i="2"/>
  <c r="X622" i="2"/>
  <c r="V622" i="2"/>
  <c r="W622" i="2"/>
  <c r="T622" i="2"/>
  <c r="U622" i="2"/>
  <c r="Q622" i="2"/>
  <c r="S622" i="2"/>
  <c r="N622" i="2"/>
  <c r="R622" i="2"/>
  <c r="O622" i="2"/>
  <c r="P622" i="2"/>
  <c r="Z610" i="2"/>
  <c r="Y610" i="2"/>
  <c r="V610" i="2"/>
  <c r="X610" i="2"/>
  <c r="W610" i="2"/>
  <c r="T610" i="2"/>
  <c r="Q610" i="2"/>
  <c r="N610" i="2"/>
  <c r="S610" i="2"/>
  <c r="R610" i="2"/>
  <c r="U610" i="2"/>
  <c r="P610" i="2"/>
  <c r="O610" i="2"/>
  <c r="Z602" i="2"/>
  <c r="Y602" i="2"/>
  <c r="X602" i="2"/>
  <c r="W602" i="2"/>
  <c r="V602" i="2"/>
  <c r="T602" i="2"/>
  <c r="U602" i="2"/>
  <c r="S602" i="2"/>
  <c r="Q602" i="2"/>
  <c r="N602" i="2"/>
  <c r="R602" i="2"/>
  <c r="O602" i="2"/>
  <c r="P602" i="2"/>
  <c r="Z590" i="2"/>
  <c r="Y590" i="2"/>
  <c r="X590" i="2"/>
  <c r="V590" i="2"/>
  <c r="W590" i="2"/>
  <c r="T590" i="2"/>
  <c r="U590" i="2"/>
  <c r="Q590" i="2"/>
  <c r="S590" i="2"/>
  <c r="N590" i="2"/>
  <c r="R590" i="2"/>
  <c r="O590" i="2"/>
  <c r="P590" i="2"/>
  <c r="Z578" i="2"/>
  <c r="Y578" i="2"/>
  <c r="V578" i="2"/>
  <c r="W578" i="2"/>
  <c r="T578" i="2"/>
  <c r="Q578" i="2"/>
  <c r="U578" i="2"/>
  <c r="N578" i="2"/>
  <c r="X578" i="2"/>
  <c r="S578" i="2"/>
  <c r="R578" i="2"/>
  <c r="P578" i="2"/>
  <c r="O578" i="2"/>
  <c r="Z566" i="2"/>
  <c r="Y566" i="2"/>
  <c r="X566" i="2"/>
  <c r="V566" i="2"/>
  <c r="U566" i="2"/>
  <c r="T566" i="2"/>
  <c r="W566" i="2"/>
  <c r="Q566" i="2"/>
  <c r="N566" i="2"/>
  <c r="R566" i="2"/>
  <c r="P566" i="2"/>
  <c r="O566" i="2"/>
  <c r="S566" i="2"/>
  <c r="Z558" i="2"/>
  <c r="Y558" i="2"/>
  <c r="X558" i="2"/>
  <c r="V558" i="2"/>
  <c r="W558" i="2"/>
  <c r="T558" i="2"/>
  <c r="U558" i="2"/>
  <c r="Q558" i="2"/>
  <c r="S558" i="2"/>
  <c r="N558" i="2"/>
  <c r="R558" i="2"/>
  <c r="O558" i="2"/>
  <c r="P558" i="2"/>
  <c r="Z546" i="2"/>
  <c r="Y546" i="2"/>
  <c r="V546" i="2"/>
  <c r="X546" i="2"/>
  <c r="W546" i="2"/>
  <c r="T546" i="2"/>
  <c r="Q546" i="2"/>
  <c r="N546" i="2"/>
  <c r="S546" i="2"/>
  <c r="R546" i="2"/>
  <c r="P546" i="2"/>
  <c r="O546" i="2"/>
  <c r="U546" i="2"/>
  <c r="Z534" i="2"/>
  <c r="Y534" i="2"/>
  <c r="X534" i="2"/>
  <c r="V534" i="2"/>
  <c r="U534" i="2"/>
  <c r="T534" i="2"/>
  <c r="Q534" i="2"/>
  <c r="N534" i="2"/>
  <c r="W534" i="2"/>
  <c r="R534" i="2"/>
  <c r="S534" i="2"/>
  <c r="P534" i="2"/>
  <c r="O534" i="2"/>
  <c r="Z522" i="2"/>
  <c r="Y522" i="2"/>
  <c r="X522" i="2"/>
  <c r="W522" i="2"/>
  <c r="V522" i="2"/>
  <c r="T522" i="2"/>
  <c r="U522" i="2"/>
  <c r="S522" i="2"/>
  <c r="Q522" i="2"/>
  <c r="N522" i="2"/>
  <c r="R522" i="2"/>
  <c r="O522" i="2"/>
  <c r="P522" i="2"/>
  <c r="Z506" i="2"/>
  <c r="Y506" i="2"/>
  <c r="X506" i="2"/>
  <c r="W506" i="2"/>
  <c r="V506" i="2"/>
  <c r="T506" i="2"/>
  <c r="U506" i="2"/>
  <c r="S506" i="2"/>
  <c r="Q506" i="2"/>
  <c r="N506" i="2"/>
  <c r="R506" i="2"/>
  <c r="O506" i="2"/>
  <c r="P506" i="2"/>
  <c r="Z498" i="2"/>
  <c r="Y498" i="2"/>
  <c r="V498" i="2"/>
  <c r="X498" i="2"/>
  <c r="W498" i="2"/>
  <c r="T498" i="2"/>
  <c r="U498" i="2"/>
  <c r="Q498" i="2"/>
  <c r="N498" i="2"/>
  <c r="S498" i="2"/>
  <c r="R498" i="2"/>
  <c r="P498" i="2"/>
  <c r="O498" i="2"/>
  <c r="Z482" i="2"/>
  <c r="Y482" i="2"/>
  <c r="V482" i="2"/>
  <c r="X482" i="2"/>
  <c r="W482" i="2"/>
  <c r="T482" i="2"/>
  <c r="Q482" i="2"/>
  <c r="N482" i="2"/>
  <c r="S482" i="2"/>
  <c r="R482" i="2"/>
  <c r="U482" i="2"/>
  <c r="P482" i="2"/>
  <c r="O482" i="2"/>
  <c r="Z478" i="2"/>
  <c r="Y478" i="2"/>
  <c r="X478" i="2"/>
  <c r="V478" i="2"/>
  <c r="W478" i="2"/>
  <c r="U478" i="2"/>
  <c r="Q478" i="2"/>
  <c r="S478" i="2"/>
  <c r="N478" i="2"/>
  <c r="T478" i="2"/>
  <c r="R478" i="2"/>
  <c r="O478" i="2"/>
  <c r="P478" i="2"/>
  <c r="Z466" i="2"/>
  <c r="Y466" i="2"/>
  <c r="X466" i="2"/>
  <c r="V466" i="2"/>
  <c r="W466" i="2"/>
  <c r="T466" i="2"/>
  <c r="Q466" i="2"/>
  <c r="N466" i="2"/>
  <c r="U466" i="2"/>
  <c r="S466" i="2"/>
  <c r="R466" i="2"/>
  <c r="P466" i="2"/>
  <c r="O466" i="2"/>
  <c r="Z450" i="2"/>
  <c r="Y450" i="2"/>
  <c r="V450" i="2"/>
  <c r="W450" i="2"/>
  <c r="X450" i="2"/>
  <c r="T450" i="2"/>
  <c r="Q450" i="2"/>
  <c r="U450" i="2"/>
  <c r="N450" i="2"/>
  <c r="S450" i="2"/>
  <c r="R450" i="2"/>
  <c r="P450" i="2"/>
  <c r="O450" i="2"/>
  <c r="Z438" i="2"/>
  <c r="Y438" i="2"/>
  <c r="X438" i="2"/>
  <c r="V438" i="2"/>
  <c r="U438" i="2"/>
  <c r="W438" i="2"/>
  <c r="T438" i="2"/>
  <c r="Q438" i="2"/>
  <c r="N438" i="2"/>
  <c r="R438" i="2"/>
  <c r="P438" i="2"/>
  <c r="O438" i="2"/>
  <c r="S438" i="2"/>
  <c r="Z422" i="2"/>
  <c r="Y422" i="2"/>
  <c r="X422" i="2"/>
  <c r="V422" i="2"/>
  <c r="W422" i="2"/>
  <c r="U422" i="2"/>
  <c r="T422" i="2"/>
  <c r="Q422" i="2"/>
  <c r="N422" i="2"/>
  <c r="R422" i="2"/>
  <c r="P422" i="2"/>
  <c r="S422" i="2"/>
  <c r="O422" i="2"/>
  <c r="Z414" i="2"/>
  <c r="Y414" i="2"/>
  <c r="X414" i="2"/>
  <c r="V414" i="2"/>
  <c r="W414" i="2"/>
  <c r="U414" i="2"/>
  <c r="Q414" i="2"/>
  <c r="S414" i="2"/>
  <c r="N414" i="2"/>
  <c r="T414" i="2"/>
  <c r="R414" i="2"/>
  <c r="O414" i="2"/>
  <c r="P414" i="2"/>
  <c r="Z402" i="2"/>
  <c r="Y402" i="2"/>
  <c r="X402" i="2"/>
  <c r="V402" i="2"/>
  <c r="W402" i="2"/>
  <c r="T402" i="2"/>
  <c r="Q402" i="2"/>
  <c r="N402" i="2"/>
  <c r="U402" i="2"/>
  <c r="S402" i="2"/>
  <c r="R402" i="2"/>
  <c r="P402" i="2"/>
  <c r="O402" i="2"/>
  <c r="Z390" i="2"/>
  <c r="Y390" i="2"/>
  <c r="X390" i="2"/>
  <c r="V390" i="2"/>
  <c r="U390" i="2"/>
  <c r="T390" i="2"/>
  <c r="W390" i="2"/>
  <c r="Q390" i="2"/>
  <c r="N390" i="2"/>
  <c r="R390" i="2"/>
  <c r="P390" i="2"/>
  <c r="O390" i="2"/>
  <c r="S390" i="2"/>
  <c r="Z382" i="2"/>
  <c r="Y382" i="2"/>
  <c r="X382" i="2"/>
  <c r="V382" i="2"/>
  <c r="W382" i="2"/>
  <c r="U382" i="2"/>
  <c r="T382" i="2"/>
  <c r="Q382" i="2"/>
  <c r="S382" i="2"/>
  <c r="N382" i="2"/>
  <c r="R382" i="2"/>
  <c r="O382" i="2"/>
  <c r="P382" i="2"/>
  <c r="Z370" i="2"/>
  <c r="Y370" i="2"/>
  <c r="V370" i="2"/>
  <c r="X370" i="2"/>
  <c r="W370" i="2"/>
  <c r="T370" i="2"/>
  <c r="U370" i="2"/>
  <c r="Q370" i="2"/>
  <c r="N370" i="2"/>
  <c r="S370" i="2"/>
  <c r="R370" i="2"/>
  <c r="P370" i="2"/>
  <c r="O370" i="2"/>
  <c r="Z362" i="2"/>
  <c r="Y362" i="2"/>
  <c r="X362" i="2"/>
  <c r="W362" i="2"/>
  <c r="V362" i="2"/>
  <c r="T362" i="2"/>
  <c r="U362" i="2"/>
  <c r="S362" i="2"/>
  <c r="Q362" i="2"/>
  <c r="N362" i="2"/>
  <c r="R362" i="2"/>
  <c r="O362" i="2"/>
  <c r="P362" i="2"/>
  <c r="Z350" i="2"/>
  <c r="Y350" i="2"/>
  <c r="X350" i="2"/>
  <c r="V350" i="2"/>
  <c r="W350" i="2"/>
  <c r="U350" i="2"/>
  <c r="Q350" i="2"/>
  <c r="S350" i="2"/>
  <c r="N350" i="2"/>
  <c r="T350" i="2"/>
  <c r="R350" i="2"/>
  <c r="O350" i="2"/>
  <c r="P350" i="2"/>
  <c r="Z334" i="2"/>
  <c r="Y334" i="2"/>
  <c r="X334" i="2"/>
  <c r="V334" i="2"/>
  <c r="W334" i="2"/>
  <c r="U334" i="2"/>
  <c r="Q334" i="2"/>
  <c r="S334" i="2"/>
  <c r="R334" i="2"/>
  <c r="N334" i="2"/>
  <c r="T334" i="2"/>
  <c r="O334" i="2"/>
  <c r="P334" i="2"/>
  <c r="Z322" i="2"/>
  <c r="Y322" i="2"/>
  <c r="V322" i="2"/>
  <c r="W322" i="2"/>
  <c r="T322" i="2"/>
  <c r="Q322" i="2"/>
  <c r="X322" i="2"/>
  <c r="U322" i="2"/>
  <c r="N322" i="2"/>
  <c r="S322" i="2"/>
  <c r="O322" i="2"/>
  <c r="P322" i="2"/>
  <c r="R322" i="2"/>
  <c r="Z310" i="2"/>
  <c r="Y310" i="2"/>
  <c r="X310" i="2"/>
  <c r="V310" i="2"/>
  <c r="U310" i="2"/>
  <c r="W310" i="2"/>
  <c r="T310" i="2"/>
  <c r="Q310" i="2"/>
  <c r="R310" i="2"/>
  <c r="N310" i="2"/>
  <c r="P310" i="2"/>
  <c r="O310" i="2"/>
  <c r="S310" i="2"/>
  <c r="Z294" i="2"/>
  <c r="Y294" i="2"/>
  <c r="X294" i="2"/>
  <c r="V294" i="2"/>
  <c r="W294" i="2"/>
  <c r="U294" i="2"/>
  <c r="T294" i="2"/>
  <c r="Q294" i="2"/>
  <c r="R294" i="2"/>
  <c r="N294" i="2"/>
  <c r="P294" i="2"/>
  <c r="S294" i="2"/>
  <c r="O294" i="2"/>
  <c r="Z282" i="2"/>
  <c r="Y282" i="2"/>
  <c r="X282" i="2"/>
  <c r="W282" i="2"/>
  <c r="V282" i="2"/>
  <c r="T282" i="2"/>
  <c r="U282" i="2"/>
  <c r="S282" i="2"/>
  <c r="Q282" i="2"/>
  <c r="N282" i="2"/>
  <c r="R282" i="2"/>
  <c r="P282" i="2"/>
  <c r="O282" i="2"/>
  <c r="Z270" i="2"/>
  <c r="Y270" i="2"/>
  <c r="X270" i="2"/>
  <c r="V270" i="2"/>
  <c r="W270" i="2"/>
  <c r="U270" i="2"/>
  <c r="Q270" i="2"/>
  <c r="S270" i="2"/>
  <c r="R270" i="2"/>
  <c r="N270" i="2"/>
  <c r="O270" i="2"/>
  <c r="P270" i="2"/>
  <c r="T270" i="2"/>
  <c r="Z258" i="2"/>
  <c r="Y258" i="2"/>
  <c r="V258" i="2"/>
  <c r="W258" i="2"/>
  <c r="X258" i="2"/>
  <c r="T258" i="2"/>
  <c r="Q258" i="2"/>
  <c r="U258" i="2"/>
  <c r="N258" i="2"/>
  <c r="S258" i="2"/>
  <c r="P258" i="2"/>
  <c r="O258" i="2"/>
  <c r="R258" i="2"/>
  <c r="Z246" i="2"/>
  <c r="Y246" i="2"/>
  <c r="X246" i="2"/>
  <c r="V246" i="2"/>
  <c r="U246" i="2"/>
  <c r="W246" i="2"/>
  <c r="T246" i="2"/>
  <c r="Q246" i="2"/>
  <c r="R246" i="2"/>
  <c r="N246" i="2"/>
  <c r="P246" i="2"/>
  <c r="O246" i="2"/>
  <c r="S246" i="2"/>
  <c r="Z234" i="2"/>
  <c r="Y234" i="2"/>
  <c r="X234" i="2"/>
  <c r="W234" i="2"/>
  <c r="V234" i="2"/>
  <c r="T234" i="2"/>
  <c r="U234" i="2"/>
  <c r="S234" i="2"/>
  <c r="Q234" i="2"/>
  <c r="N234" i="2"/>
  <c r="P234" i="2"/>
  <c r="R234" i="2"/>
  <c r="O234" i="2"/>
  <c r="Z222" i="2"/>
  <c r="Y222" i="2"/>
  <c r="X222" i="2"/>
  <c r="V222" i="2"/>
  <c r="W222" i="2"/>
  <c r="U222" i="2"/>
  <c r="Q222" i="2"/>
  <c r="S222" i="2"/>
  <c r="R222" i="2"/>
  <c r="N222" i="2"/>
  <c r="T222" i="2"/>
  <c r="P222" i="2"/>
  <c r="O222" i="2"/>
  <c r="Z210" i="2"/>
  <c r="Y210" i="2"/>
  <c r="X210" i="2"/>
  <c r="V210" i="2"/>
  <c r="W210" i="2"/>
  <c r="T210" i="2"/>
  <c r="Q210" i="2"/>
  <c r="N210" i="2"/>
  <c r="U210" i="2"/>
  <c r="S210" i="2"/>
  <c r="P210" i="2"/>
  <c r="R210" i="2"/>
  <c r="O210" i="2"/>
  <c r="Z198" i="2"/>
  <c r="Y198" i="2"/>
  <c r="X198" i="2"/>
  <c r="V198" i="2"/>
  <c r="U198" i="2"/>
  <c r="T198" i="2"/>
  <c r="W198" i="2"/>
  <c r="Q198" i="2"/>
  <c r="R198" i="2"/>
  <c r="N198" i="2"/>
  <c r="P198" i="2"/>
  <c r="O198" i="2"/>
  <c r="S198" i="2"/>
  <c r="Z186" i="2"/>
  <c r="Y186" i="2"/>
  <c r="X186" i="2"/>
  <c r="V186" i="2"/>
  <c r="W186" i="2"/>
  <c r="T186" i="2"/>
  <c r="U186" i="2"/>
  <c r="S186" i="2"/>
  <c r="Q186" i="2"/>
  <c r="N186" i="2"/>
  <c r="P186" i="2"/>
  <c r="R186" i="2"/>
  <c r="O186" i="2"/>
  <c r="Z174" i="2"/>
  <c r="Y174" i="2"/>
  <c r="W174" i="2"/>
  <c r="X174" i="2"/>
  <c r="V174" i="2"/>
  <c r="U174" i="2"/>
  <c r="Q174" i="2"/>
  <c r="T174" i="2"/>
  <c r="S174" i="2"/>
  <c r="R174" i="2"/>
  <c r="N174" i="2"/>
  <c r="P174" i="2"/>
  <c r="O174" i="2"/>
  <c r="Z162" i="2"/>
  <c r="Y162" i="2"/>
  <c r="W162" i="2"/>
  <c r="V162" i="2"/>
  <c r="X162" i="2"/>
  <c r="T162" i="2"/>
  <c r="Q162" i="2"/>
  <c r="N162" i="2"/>
  <c r="S162" i="2"/>
  <c r="P162" i="2"/>
  <c r="U162" i="2"/>
  <c r="O162" i="2"/>
  <c r="R162" i="2"/>
  <c r="Z150" i="2"/>
  <c r="X150" i="2"/>
  <c r="Y150" i="2"/>
  <c r="W150" i="2"/>
  <c r="V150" i="2"/>
  <c r="U150" i="2"/>
  <c r="T150" i="2"/>
  <c r="Q150" i="2"/>
  <c r="R150" i="2"/>
  <c r="N150" i="2"/>
  <c r="P150" i="2"/>
  <c r="S150" i="2"/>
  <c r="O150" i="2"/>
  <c r="Z138" i="2"/>
  <c r="X138" i="2"/>
  <c r="Y138" i="2"/>
  <c r="W138" i="2"/>
  <c r="V138" i="2"/>
  <c r="T138" i="2"/>
  <c r="U138" i="2"/>
  <c r="S138" i="2"/>
  <c r="Q138" i="2"/>
  <c r="N138" i="2"/>
  <c r="P138" i="2"/>
  <c r="R138" i="2"/>
  <c r="O138" i="2"/>
  <c r="Z126" i="2"/>
  <c r="X126" i="2"/>
  <c r="Y126" i="2"/>
  <c r="W126" i="2"/>
  <c r="V126" i="2"/>
  <c r="U126" i="2"/>
  <c r="T126" i="2"/>
  <c r="Q126" i="2"/>
  <c r="S126" i="2"/>
  <c r="R126" i="2"/>
  <c r="N126" i="2"/>
  <c r="P126" i="2"/>
  <c r="O126" i="2"/>
  <c r="Z114" i="2"/>
  <c r="X114" i="2"/>
  <c r="Y114" i="2"/>
  <c r="W114" i="2"/>
  <c r="V114" i="2"/>
  <c r="T114" i="2"/>
  <c r="U114" i="2"/>
  <c r="Q114" i="2"/>
  <c r="N114" i="2"/>
  <c r="S114" i="2"/>
  <c r="P114" i="2"/>
  <c r="R114" i="2"/>
  <c r="O114" i="2"/>
  <c r="Z98" i="2"/>
  <c r="X98" i="2"/>
  <c r="Y98" i="2"/>
  <c r="W98" i="2"/>
  <c r="V98" i="2"/>
  <c r="T98" i="2"/>
  <c r="Q98" i="2"/>
  <c r="N98" i="2"/>
  <c r="S98" i="2"/>
  <c r="P98" i="2"/>
  <c r="U98" i="2"/>
  <c r="O98" i="2"/>
  <c r="R98" i="2"/>
  <c r="Z86" i="2"/>
  <c r="X86" i="2"/>
  <c r="Y86" i="2"/>
  <c r="W86" i="2"/>
  <c r="V86" i="2"/>
  <c r="T86" i="2"/>
  <c r="U86" i="2"/>
  <c r="Q86" i="2"/>
  <c r="R86" i="2"/>
  <c r="N86" i="2"/>
  <c r="P86" i="2"/>
  <c r="S86" i="2"/>
  <c r="O86" i="2"/>
  <c r="Z74" i="2"/>
  <c r="X74" i="2"/>
  <c r="Y74" i="2"/>
  <c r="W74" i="2"/>
  <c r="V74" i="2"/>
  <c r="T74" i="2"/>
  <c r="U74" i="2"/>
  <c r="S74" i="2"/>
  <c r="Q74" i="2"/>
  <c r="N74" i="2"/>
  <c r="P74" i="2"/>
  <c r="R74" i="2"/>
  <c r="O74" i="2"/>
  <c r="Z62" i="2"/>
  <c r="X62" i="2"/>
  <c r="Y62" i="2"/>
  <c r="W62" i="2"/>
  <c r="V62" i="2"/>
  <c r="T62" i="2"/>
  <c r="U62" i="2"/>
  <c r="Q62" i="2"/>
  <c r="S62" i="2"/>
  <c r="R62" i="2"/>
  <c r="N62" i="2"/>
  <c r="P62" i="2"/>
  <c r="O62" i="2"/>
  <c r="Z50" i="2"/>
  <c r="X50" i="2"/>
  <c r="Y50" i="2"/>
  <c r="W50" i="2"/>
  <c r="V50" i="2"/>
  <c r="T50" i="2"/>
  <c r="U50" i="2"/>
  <c r="Q50" i="2"/>
  <c r="N50" i="2"/>
  <c r="S50" i="2"/>
  <c r="P50" i="2"/>
  <c r="R50" i="2"/>
  <c r="O50" i="2"/>
  <c r="Z38" i="2"/>
  <c r="X38" i="2"/>
  <c r="Y38" i="2"/>
  <c r="W38" i="2"/>
  <c r="V38" i="2"/>
  <c r="T38" i="2"/>
  <c r="U38" i="2"/>
  <c r="Q38" i="2"/>
  <c r="R38" i="2"/>
  <c r="N38" i="2"/>
  <c r="P38" i="2"/>
  <c r="S38" i="2"/>
  <c r="O38" i="2"/>
  <c r="Y1001" i="2"/>
  <c r="Z1001" i="2"/>
  <c r="X1001" i="2"/>
  <c r="W1001" i="2"/>
  <c r="U1001" i="2"/>
  <c r="V1001" i="2"/>
  <c r="T1001" i="2"/>
  <c r="N1001" i="2"/>
  <c r="R1001" i="2"/>
  <c r="P1001" i="2"/>
  <c r="O1001" i="2"/>
  <c r="S1001" i="2"/>
  <c r="Q1001" i="2"/>
  <c r="Y997" i="2"/>
  <c r="Z997" i="2"/>
  <c r="X997" i="2"/>
  <c r="W997" i="2"/>
  <c r="U997" i="2"/>
  <c r="V997" i="2"/>
  <c r="N997" i="2"/>
  <c r="S997" i="2"/>
  <c r="R997" i="2"/>
  <c r="P997" i="2"/>
  <c r="O997" i="2"/>
  <c r="Q997" i="2"/>
  <c r="T997" i="2"/>
  <c r="Y993" i="2"/>
  <c r="Z993" i="2"/>
  <c r="X993" i="2"/>
  <c r="W993" i="2"/>
  <c r="U993" i="2"/>
  <c r="N993" i="2"/>
  <c r="V993" i="2"/>
  <c r="R993" i="2"/>
  <c r="P993" i="2"/>
  <c r="O993" i="2"/>
  <c r="T993" i="2"/>
  <c r="Q993" i="2"/>
  <c r="S993" i="2"/>
  <c r="Y989" i="2"/>
  <c r="Z989" i="2"/>
  <c r="X989" i="2"/>
  <c r="W989" i="2"/>
  <c r="U989" i="2"/>
  <c r="V989" i="2"/>
  <c r="N989" i="2"/>
  <c r="T989" i="2"/>
  <c r="S989" i="2"/>
  <c r="R989" i="2"/>
  <c r="P989" i="2"/>
  <c r="O989" i="2"/>
  <c r="Q989" i="2"/>
  <c r="Y985" i="2"/>
  <c r="Z985" i="2"/>
  <c r="X985" i="2"/>
  <c r="W985" i="2"/>
  <c r="U985" i="2"/>
  <c r="V985" i="2"/>
  <c r="T985" i="2"/>
  <c r="N985" i="2"/>
  <c r="R985" i="2"/>
  <c r="P985" i="2"/>
  <c r="O985" i="2"/>
  <c r="S985" i="2"/>
  <c r="Q985" i="2"/>
  <c r="Y981" i="2"/>
  <c r="Z981" i="2"/>
  <c r="X981" i="2"/>
  <c r="W981" i="2"/>
  <c r="U981" i="2"/>
  <c r="V981" i="2"/>
  <c r="N981" i="2"/>
  <c r="S981" i="2"/>
  <c r="R981" i="2"/>
  <c r="P981" i="2"/>
  <c r="O981" i="2"/>
  <c r="Q981" i="2"/>
  <c r="T981" i="2"/>
  <c r="Y977" i="2"/>
  <c r="Z977" i="2"/>
  <c r="X977" i="2"/>
  <c r="W977" i="2"/>
  <c r="U977" i="2"/>
  <c r="V977" i="2"/>
  <c r="N977" i="2"/>
  <c r="R977" i="2"/>
  <c r="P977" i="2"/>
  <c r="O977" i="2"/>
  <c r="T977" i="2"/>
  <c r="S977" i="2"/>
  <c r="Q977" i="2"/>
  <c r="Y973" i="2"/>
  <c r="Z973" i="2"/>
  <c r="X973" i="2"/>
  <c r="W973" i="2"/>
  <c r="U973" i="2"/>
  <c r="V973" i="2"/>
  <c r="N973" i="2"/>
  <c r="T973" i="2"/>
  <c r="S973" i="2"/>
  <c r="R973" i="2"/>
  <c r="P973" i="2"/>
  <c r="O973" i="2"/>
  <c r="Q973" i="2"/>
  <c r="Y969" i="2"/>
  <c r="Z969" i="2"/>
  <c r="X969" i="2"/>
  <c r="W969" i="2"/>
  <c r="U969" i="2"/>
  <c r="V969" i="2"/>
  <c r="T969" i="2"/>
  <c r="N969" i="2"/>
  <c r="R969" i="2"/>
  <c r="P969" i="2"/>
  <c r="O969" i="2"/>
  <c r="S969" i="2"/>
  <c r="Q969" i="2"/>
  <c r="Y965" i="2"/>
  <c r="Z965" i="2"/>
  <c r="X965" i="2"/>
  <c r="W965" i="2"/>
  <c r="U965" i="2"/>
  <c r="V965" i="2"/>
  <c r="N965" i="2"/>
  <c r="S965" i="2"/>
  <c r="R965" i="2"/>
  <c r="P965" i="2"/>
  <c r="O965" i="2"/>
  <c r="T965" i="2"/>
  <c r="Q965" i="2"/>
  <c r="Y961" i="2"/>
  <c r="Z961" i="2"/>
  <c r="X961" i="2"/>
  <c r="W961" i="2"/>
  <c r="U961" i="2"/>
  <c r="N961" i="2"/>
  <c r="R961" i="2"/>
  <c r="P961" i="2"/>
  <c r="O961" i="2"/>
  <c r="T961" i="2"/>
  <c r="Q961" i="2"/>
  <c r="V961" i="2"/>
  <c r="S961" i="2"/>
  <c r="Y957" i="2"/>
  <c r="Z957" i="2"/>
  <c r="X957" i="2"/>
  <c r="W957" i="2"/>
  <c r="U957" i="2"/>
  <c r="V957" i="2"/>
  <c r="N957" i="2"/>
  <c r="T957" i="2"/>
  <c r="S957" i="2"/>
  <c r="R957" i="2"/>
  <c r="P957" i="2"/>
  <c r="O957" i="2"/>
  <c r="Q957" i="2"/>
  <c r="Y953" i="2"/>
  <c r="Z953" i="2"/>
  <c r="X953" i="2"/>
  <c r="W953" i="2"/>
  <c r="U953" i="2"/>
  <c r="V953" i="2"/>
  <c r="T953" i="2"/>
  <c r="N953" i="2"/>
  <c r="R953" i="2"/>
  <c r="P953" i="2"/>
  <c r="O953" i="2"/>
  <c r="S953" i="2"/>
  <c r="Q953" i="2"/>
  <c r="Y949" i="2"/>
  <c r="Z949" i="2"/>
  <c r="X949" i="2"/>
  <c r="W949" i="2"/>
  <c r="U949" i="2"/>
  <c r="V949" i="2"/>
  <c r="N949" i="2"/>
  <c r="S949" i="2"/>
  <c r="R949" i="2"/>
  <c r="P949" i="2"/>
  <c r="O949" i="2"/>
  <c r="T949" i="2"/>
  <c r="Q949" i="2"/>
  <c r="Z945" i="2"/>
  <c r="Y945" i="2"/>
  <c r="X945" i="2"/>
  <c r="W945" i="2"/>
  <c r="U945" i="2"/>
  <c r="N945" i="2"/>
  <c r="R945" i="2"/>
  <c r="P945" i="2"/>
  <c r="O945" i="2"/>
  <c r="V945" i="2"/>
  <c r="T945" i="2"/>
  <c r="S945" i="2"/>
  <c r="Q945" i="2"/>
  <c r="Z941" i="2"/>
  <c r="Y941" i="2"/>
  <c r="X941" i="2"/>
  <c r="W941" i="2"/>
  <c r="U941" i="2"/>
  <c r="V941" i="2"/>
  <c r="N941" i="2"/>
  <c r="T941" i="2"/>
  <c r="S941" i="2"/>
  <c r="R941" i="2"/>
  <c r="P941" i="2"/>
  <c r="O941" i="2"/>
  <c r="Q941" i="2"/>
  <c r="Z937" i="2"/>
  <c r="Y937" i="2"/>
  <c r="X937" i="2"/>
  <c r="W937" i="2"/>
  <c r="U937" i="2"/>
  <c r="V937" i="2"/>
  <c r="T937" i="2"/>
  <c r="N937" i="2"/>
  <c r="R937" i="2"/>
  <c r="P937" i="2"/>
  <c r="O937" i="2"/>
  <c r="S937" i="2"/>
  <c r="Q937" i="2"/>
  <c r="Z933" i="2"/>
  <c r="Y933" i="2"/>
  <c r="X933" i="2"/>
  <c r="W933" i="2"/>
  <c r="U933" i="2"/>
  <c r="V933" i="2"/>
  <c r="N933" i="2"/>
  <c r="S933" i="2"/>
  <c r="R933" i="2"/>
  <c r="P933" i="2"/>
  <c r="O933" i="2"/>
  <c r="T933" i="2"/>
  <c r="Q933" i="2"/>
  <c r="Z929" i="2"/>
  <c r="Y929" i="2"/>
  <c r="X929" i="2"/>
  <c r="W929" i="2"/>
  <c r="U929" i="2"/>
  <c r="N929" i="2"/>
  <c r="V929" i="2"/>
  <c r="R929" i="2"/>
  <c r="P929" i="2"/>
  <c r="O929" i="2"/>
  <c r="T929" i="2"/>
  <c r="Q929" i="2"/>
  <c r="S929" i="2"/>
  <c r="Z925" i="2"/>
  <c r="Y925" i="2"/>
  <c r="X925" i="2"/>
  <c r="W925" i="2"/>
  <c r="U925" i="2"/>
  <c r="V925" i="2"/>
  <c r="N925" i="2"/>
  <c r="T925" i="2"/>
  <c r="S925" i="2"/>
  <c r="R925" i="2"/>
  <c r="P925" i="2"/>
  <c r="O925" i="2"/>
  <c r="Q925" i="2"/>
  <c r="Z921" i="2"/>
  <c r="Y921" i="2"/>
  <c r="X921" i="2"/>
  <c r="W921" i="2"/>
  <c r="U921" i="2"/>
  <c r="V921" i="2"/>
  <c r="T921" i="2"/>
  <c r="N921" i="2"/>
  <c r="R921" i="2"/>
  <c r="P921" i="2"/>
  <c r="O921" i="2"/>
  <c r="S921" i="2"/>
  <c r="Q921" i="2"/>
  <c r="Z917" i="2"/>
  <c r="Y917" i="2"/>
  <c r="X917" i="2"/>
  <c r="W917" i="2"/>
  <c r="U917" i="2"/>
  <c r="V917" i="2"/>
  <c r="N917" i="2"/>
  <c r="S917" i="2"/>
  <c r="R917" i="2"/>
  <c r="P917" i="2"/>
  <c r="O917" i="2"/>
  <c r="Q917" i="2"/>
  <c r="T917" i="2"/>
  <c r="Z913" i="2"/>
  <c r="Y913" i="2"/>
  <c r="X913" i="2"/>
  <c r="W913" i="2"/>
  <c r="U913" i="2"/>
  <c r="V913" i="2"/>
  <c r="N913" i="2"/>
  <c r="R913" i="2"/>
  <c r="P913" i="2"/>
  <c r="O913" i="2"/>
  <c r="T913" i="2"/>
  <c r="S913" i="2"/>
  <c r="Q913" i="2"/>
  <c r="Z909" i="2"/>
  <c r="Y909" i="2"/>
  <c r="X909" i="2"/>
  <c r="W909" i="2"/>
  <c r="U909" i="2"/>
  <c r="V909" i="2"/>
  <c r="N909" i="2"/>
  <c r="T909" i="2"/>
  <c r="S909" i="2"/>
  <c r="R909" i="2"/>
  <c r="P909" i="2"/>
  <c r="O909" i="2"/>
  <c r="Q909" i="2"/>
  <c r="Z905" i="2"/>
  <c r="Y905" i="2"/>
  <c r="X905" i="2"/>
  <c r="W905" i="2"/>
  <c r="U905" i="2"/>
  <c r="V905" i="2"/>
  <c r="T905" i="2"/>
  <c r="N905" i="2"/>
  <c r="R905" i="2"/>
  <c r="P905" i="2"/>
  <c r="O905" i="2"/>
  <c r="S905" i="2"/>
  <c r="Q905" i="2"/>
  <c r="Z901" i="2"/>
  <c r="Y901" i="2"/>
  <c r="X901" i="2"/>
  <c r="W901" i="2"/>
  <c r="U901" i="2"/>
  <c r="V901" i="2"/>
  <c r="N901" i="2"/>
  <c r="S901" i="2"/>
  <c r="R901" i="2"/>
  <c r="P901" i="2"/>
  <c r="O901" i="2"/>
  <c r="T901" i="2"/>
  <c r="Q901" i="2"/>
  <c r="Z897" i="2"/>
  <c r="Y897" i="2"/>
  <c r="X897" i="2"/>
  <c r="W897" i="2"/>
  <c r="U897" i="2"/>
  <c r="N897" i="2"/>
  <c r="R897" i="2"/>
  <c r="P897" i="2"/>
  <c r="O897" i="2"/>
  <c r="T897" i="2"/>
  <c r="V897" i="2"/>
  <c r="Q897" i="2"/>
  <c r="S897" i="2"/>
  <c r="Z893" i="2"/>
  <c r="Y893" i="2"/>
  <c r="X893" i="2"/>
  <c r="W893" i="2"/>
  <c r="U893" i="2"/>
  <c r="V893" i="2"/>
  <c r="N893" i="2"/>
  <c r="T893" i="2"/>
  <c r="S893" i="2"/>
  <c r="R893" i="2"/>
  <c r="P893" i="2"/>
  <c r="O893" i="2"/>
  <c r="Q893" i="2"/>
  <c r="Z889" i="2"/>
  <c r="Y889" i="2"/>
  <c r="X889" i="2"/>
  <c r="W889" i="2"/>
  <c r="U889" i="2"/>
  <c r="V889" i="2"/>
  <c r="T889" i="2"/>
  <c r="N889" i="2"/>
  <c r="R889" i="2"/>
  <c r="P889" i="2"/>
  <c r="O889" i="2"/>
  <c r="S889" i="2"/>
  <c r="Q889" i="2"/>
  <c r="Z885" i="2"/>
  <c r="Y885" i="2"/>
  <c r="X885" i="2"/>
  <c r="W885" i="2"/>
  <c r="U885" i="2"/>
  <c r="V885" i="2"/>
  <c r="N885" i="2"/>
  <c r="S885" i="2"/>
  <c r="R885" i="2"/>
  <c r="P885" i="2"/>
  <c r="O885" i="2"/>
  <c r="T885" i="2"/>
  <c r="Q885" i="2"/>
  <c r="Z881" i="2"/>
  <c r="Y881" i="2"/>
  <c r="X881" i="2"/>
  <c r="W881" i="2"/>
  <c r="U881" i="2"/>
  <c r="N881" i="2"/>
  <c r="R881" i="2"/>
  <c r="P881" i="2"/>
  <c r="O881" i="2"/>
  <c r="V881" i="2"/>
  <c r="T881" i="2"/>
  <c r="S881" i="2"/>
  <c r="Q881" i="2"/>
  <c r="Z877" i="2"/>
  <c r="Y877" i="2"/>
  <c r="X877" i="2"/>
  <c r="W877" i="2"/>
  <c r="U877" i="2"/>
  <c r="V877" i="2"/>
  <c r="N877" i="2"/>
  <c r="T877" i="2"/>
  <c r="S877" i="2"/>
  <c r="R877" i="2"/>
  <c r="P877" i="2"/>
  <c r="O877" i="2"/>
  <c r="Q877" i="2"/>
  <c r="Z873" i="2"/>
  <c r="Y873" i="2"/>
  <c r="X873" i="2"/>
  <c r="W873" i="2"/>
  <c r="U873" i="2"/>
  <c r="V873" i="2"/>
  <c r="T873" i="2"/>
  <c r="N873" i="2"/>
  <c r="R873" i="2"/>
  <c r="P873" i="2"/>
  <c r="O873" i="2"/>
  <c r="S873" i="2"/>
  <c r="Q873" i="2"/>
  <c r="Z869" i="2"/>
  <c r="Y869" i="2"/>
  <c r="X869" i="2"/>
  <c r="W869" i="2"/>
  <c r="U869" i="2"/>
  <c r="V869" i="2"/>
  <c r="N869" i="2"/>
  <c r="S869" i="2"/>
  <c r="R869" i="2"/>
  <c r="P869" i="2"/>
  <c r="O869" i="2"/>
  <c r="Q869" i="2"/>
  <c r="T869" i="2"/>
  <c r="Z865" i="2"/>
  <c r="Y865" i="2"/>
  <c r="X865" i="2"/>
  <c r="W865" i="2"/>
  <c r="U865" i="2"/>
  <c r="N865" i="2"/>
  <c r="V865" i="2"/>
  <c r="R865" i="2"/>
  <c r="P865" i="2"/>
  <c r="O865" i="2"/>
  <c r="T865" i="2"/>
  <c r="Q865" i="2"/>
  <c r="S865" i="2"/>
  <c r="Z861" i="2"/>
  <c r="Y861" i="2"/>
  <c r="X861" i="2"/>
  <c r="W861" i="2"/>
  <c r="U861" i="2"/>
  <c r="V861" i="2"/>
  <c r="N861" i="2"/>
  <c r="T861" i="2"/>
  <c r="S861" i="2"/>
  <c r="R861" i="2"/>
  <c r="P861" i="2"/>
  <c r="O861" i="2"/>
  <c r="Q861" i="2"/>
  <c r="Z857" i="2"/>
  <c r="Y857" i="2"/>
  <c r="X857" i="2"/>
  <c r="W857" i="2"/>
  <c r="U857" i="2"/>
  <c r="V857" i="2"/>
  <c r="T857" i="2"/>
  <c r="N857" i="2"/>
  <c r="R857" i="2"/>
  <c r="P857" i="2"/>
  <c r="O857" i="2"/>
  <c r="S857" i="2"/>
  <c r="Q857" i="2"/>
  <c r="Z853" i="2"/>
  <c r="Y853" i="2"/>
  <c r="X853" i="2"/>
  <c r="W853" i="2"/>
  <c r="U853" i="2"/>
  <c r="V853" i="2"/>
  <c r="N853" i="2"/>
  <c r="S853" i="2"/>
  <c r="R853" i="2"/>
  <c r="P853" i="2"/>
  <c r="O853" i="2"/>
  <c r="Q853" i="2"/>
  <c r="T853" i="2"/>
  <c r="Z849" i="2"/>
  <c r="Y849" i="2"/>
  <c r="X849" i="2"/>
  <c r="W849" i="2"/>
  <c r="U849" i="2"/>
  <c r="V849" i="2"/>
  <c r="N849" i="2"/>
  <c r="R849" i="2"/>
  <c r="P849" i="2"/>
  <c r="O849" i="2"/>
  <c r="T849" i="2"/>
  <c r="S849" i="2"/>
  <c r="Q849" i="2"/>
  <c r="Z845" i="2"/>
  <c r="Y845" i="2"/>
  <c r="X845" i="2"/>
  <c r="W845" i="2"/>
  <c r="U845" i="2"/>
  <c r="V845" i="2"/>
  <c r="N845" i="2"/>
  <c r="T845" i="2"/>
  <c r="S845" i="2"/>
  <c r="R845" i="2"/>
  <c r="P845" i="2"/>
  <c r="O845" i="2"/>
  <c r="Q845" i="2"/>
  <c r="Z841" i="2"/>
  <c r="Y841" i="2"/>
  <c r="X841" i="2"/>
  <c r="W841" i="2"/>
  <c r="U841" i="2"/>
  <c r="V841" i="2"/>
  <c r="S841" i="2"/>
  <c r="T841" i="2"/>
  <c r="N841" i="2"/>
  <c r="R841" i="2"/>
  <c r="P841" i="2"/>
  <c r="O841" i="2"/>
  <c r="Q841" i="2"/>
  <c r="Z837" i="2"/>
  <c r="Y837" i="2"/>
  <c r="X837" i="2"/>
  <c r="W837" i="2"/>
  <c r="U837" i="2"/>
  <c r="V837" i="2"/>
  <c r="S837" i="2"/>
  <c r="N837" i="2"/>
  <c r="R837" i="2"/>
  <c r="P837" i="2"/>
  <c r="O837" i="2"/>
  <c r="T837" i="2"/>
  <c r="Q837" i="2"/>
  <c r="Z833" i="2"/>
  <c r="Y833" i="2"/>
  <c r="X833" i="2"/>
  <c r="W833" i="2"/>
  <c r="U833" i="2"/>
  <c r="S833" i="2"/>
  <c r="N833" i="2"/>
  <c r="R833" i="2"/>
  <c r="P833" i="2"/>
  <c r="O833" i="2"/>
  <c r="T833" i="2"/>
  <c r="Q833" i="2"/>
  <c r="V833" i="2"/>
  <c r="Z829" i="2"/>
  <c r="Y829" i="2"/>
  <c r="X829" i="2"/>
  <c r="W829" i="2"/>
  <c r="U829" i="2"/>
  <c r="V829" i="2"/>
  <c r="S829" i="2"/>
  <c r="N829" i="2"/>
  <c r="T829" i="2"/>
  <c r="R829" i="2"/>
  <c r="P829" i="2"/>
  <c r="O829" i="2"/>
  <c r="Q829" i="2"/>
  <c r="Z825" i="2"/>
  <c r="Y825" i="2"/>
  <c r="X825" i="2"/>
  <c r="W825" i="2"/>
  <c r="U825" i="2"/>
  <c r="V825" i="2"/>
  <c r="S825" i="2"/>
  <c r="T825" i="2"/>
  <c r="N825" i="2"/>
  <c r="R825" i="2"/>
  <c r="P825" i="2"/>
  <c r="O825" i="2"/>
  <c r="Q825" i="2"/>
  <c r="Z821" i="2"/>
  <c r="Y821" i="2"/>
  <c r="X821" i="2"/>
  <c r="W821" i="2"/>
  <c r="U821" i="2"/>
  <c r="V821" i="2"/>
  <c r="S821" i="2"/>
  <c r="N821" i="2"/>
  <c r="R821" i="2"/>
  <c r="P821" i="2"/>
  <c r="O821" i="2"/>
  <c r="T821" i="2"/>
  <c r="Q821" i="2"/>
  <c r="Z817" i="2"/>
  <c r="Y817" i="2"/>
  <c r="X817" i="2"/>
  <c r="W817" i="2"/>
  <c r="U817" i="2"/>
  <c r="S817" i="2"/>
  <c r="N817" i="2"/>
  <c r="R817" i="2"/>
  <c r="P817" i="2"/>
  <c r="O817" i="2"/>
  <c r="V817" i="2"/>
  <c r="T817" i="2"/>
  <c r="Q817" i="2"/>
  <c r="Z813" i="2"/>
  <c r="Y813" i="2"/>
  <c r="X813" i="2"/>
  <c r="W813" i="2"/>
  <c r="U813" i="2"/>
  <c r="V813" i="2"/>
  <c r="S813" i="2"/>
  <c r="N813" i="2"/>
  <c r="T813" i="2"/>
  <c r="R813" i="2"/>
  <c r="P813" i="2"/>
  <c r="O813" i="2"/>
  <c r="Q813" i="2"/>
  <c r="Z809" i="2"/>
  <c r="Y809" i="2"/>
  <c r="X809" i="2"/>
  <c r="W809" i="2"/>
  <c r="U809" i="2"/>
  <c r="V809" i="2"/>
  <c r="S809" i="2"/>
  <c r="T809" i="2"/>
  <c r="N809" i="2"/>
  <c r="R809" i="2"/>
  <c r="P809" i="2"/>
  <c r="O809" i="2"/>
  <c r="Q809" i="2"/>
  <c r="Z805" i="2"/>
  <c r="Y805" i="2"/>
  <c r="X805" i="2"/>
  <c r="W805" i="2"/>
  <c r="U805" i="2"/>
  <c r="V805" i="2"/>
  <c r="S805" i="2"/>
  <c r="N805" i="2"/>
  <c r="R805" i="2"/>
  <c r="P805" i="2"/>
  <c r="O805" i="2"/>
  <c r="T805" i="2"/>
  <c r="Q805" i="2"/>
  <c r="Z801" i="2"/>
  <c r="Y801" i="2"/>
  <c r="X801" i="2"/>
  <c r="W801" i="2"/>
  <c r="U801" i="2"/>
  <c r="S801" i="2"/>
  <c r="N801" i="2"/>
  <c r="V801" i="2"/>
  <c r="R801" i="2"/>
  <c r="P801" i="2"/>
  <c r="O801" i="2"/>
  <c r="T801" i="2"/>
  <c r="Q801" i="2"/>
  <c r="Z797" i="2"/>
  <c r="Y797" i="2"/>
  <c r="X797" i="2"/>
  <c r="W797" i="2"/>
  <c r="U797" i="2"/>
  <c r="V797" i="2"/>
  <c r="S797" i="2"/>
  <c r="N797" i="2"/>
  <c r="T797" i="2"/>
  <c r="R797" i="2"/>
  <c r="P797" i="2"/>
  <c r="O797" i="2"/>
  <c r="Q797" i="2"/>
  <c r="Z793" i="2"/>
  <c r="Y793" i="2"/>
  <c r="X793" i="2"/>
  <c r="W793" i="2"/>
  <c r="U793" i="2"/>
  <c r="V793" i="2"/>
  <c r="S793" i="2"/>
  <c r="T793" i="2"/>
  <c r="N793" i="2"/>
  <c r="R793" i="2"/>
  <c r="P793" i="2"/>
  <c r="O793" i="2"/>
  <c r="Q793" i="2"/>
  <c r="Z789" i="2"/>
  <c r="Y789" i="2"/>
  <c r="X789" i="2"/>
  <c r="W789" i="2"/>
  <c r="U789" i="2"/>
  <c r="V789" i="2"/>
  <c r="S789" i="2"/>
  <c r="N789" i="2"/>
  <c r="R789" i="2"/>
  <c r="P789" i="2"/>
  <c r="O789" i="2"/>
  <c r="Q789" i="2"/>
  <c r="T789" i="2"/>
  <c r="Z785" i="2"/>
  <c r="Y785" i="2"/>
  <c r="X785" i="2"/>
  <c r="W785" i="2"/>
  <c r="U785" i="2"/>
  <c r="S785" i="2"/>
  <c r="V785" i="2"/>
  <c r="N785" i="2"/>
  <c r="R785" i="2"/>
  <c r="P785" i="2"/>
  <c r="O785" i="2"/>
  <c r="T785" i="2"/>
  <c r="Q785" i="2"/>
  <c r="Z781" i="2"/>
  <c r="Y781" i="2"/>
  <c r="X781" i="2"/>
  <c r="W781" i="2"/>
  <c r="U781" i="2"/>
  <c r="V781" i="2"/>
  <c r="S781" i="2"/>
  <c r="N781" i="2"/>
  <c r="T781" i="2"/>
  <c r="R781" i="2"/>
  <c r="P781" i="2"/>
  <c r="O781" i="2"/>
  <c r="Q781" i="2"/>
  <c r="Z777" i="2"/>
  <c r="Y777" i="2"/>
  <c r="X777" i="2"/>
  <c r="W777" i="2"/>
  <c r="U777" i="2"/>
  <c r="V777" i="2"/>
  <c r="S777" i="2"/>
  <c r="T777" i="2"/>
  <c r="N777" i="2"/>
  <c r="R777" i="2"/>
  <c r="P777" i="2"/>
  <c r="O777" i="2"/>
  <c r="Q777" i="2"/>
  <c r="Z773" i="2"/>
  <c r="Y773" i="2"/>
  <c r="X773" i="2"/>
  <c r="W773" i="2"/>
  <c r="U773" i="2"/>
  <c r="V773" i="2"/>
  <c r="S773" i="2"/>
  <c r="N773" i="2"/>
  <c r="R773" i="2"/>
  <c r="P773" i="2"/>
  <c r="O773" i="2"/>
  <c r="T773" i="2"/>
  <c r="Q773" i="2"/>
  <c r="Z769" i="2"/>
  <c r="Y769" i="2"/>
  <c r="X769" i="2"/>
  <c r="W769" i="2"/>
  <c r="U769" i="2"/>
  <c r="S769" i="2"/>
  <c r="N769" i="2"/>
  <c r="R769" i="2"/>
  <c r="P769" i="2"/>
  <c r="O769" i="2"/>
  <c r="T769" i="2"/>
  <c r="Q769" i="2"/>
  <c r="V769" i="2"/>
  <c r="Z765" i="2"/>
  <c r="Y765" i="2"/>
  <c r="X765" i="2"/>
  <c r="W765" i="2"/>
  <c r="U765" i="2"/>
  <c r="V765" i="2"/>
  <c r="S765" i="2"/>
  <c r="N765" i="2"/>
  <c r="T765" i="2"/>
  <c r="R765" i="2"/>
  <c r="P765" i="2"/>
  <c r="O765" i="2"/>
  <c r="Q765" i="2"/>
  <c r="Z761" i="2"/>
  <c r="Y761" i="2"/>
  <c r="X761" i="2"/>
  <c r="W761" i="2"/>
  <c r="U761" i="2"/>
  <c r="V761" i="2"/>
  <c r="S761" i="2"/>
  <c r="T761" i="2"/>
  <c r="N761" i="2"/>
  <c r="R761" i="2"/>
  <c r="P761" i="2"/>
  <c r="O761" i="2"/>
  <c r="Q761" i="2"/>
  <c r="Z757" i="2"/>
  <c r="Y757" i="2"/>
  <c r="X757" i="2"/>
  <c r="W757" i="2"/>
  <c r="U757" i="2"/>
  <c r="V757" i="2"/>
  <c r="S757" i="2"/>
  <c r="N757" i="2"/>
  <c r="R757" i="2"/>
  <c r="P757" i="2"/>
  <c r="O757" i="2"/>
  <c r="T757" i="2"/>
  <c r="Q757" i="2"/>
  <c r="Z753" i="2"/>
  <c r="Y753" i="2"/>
  <c r="X753" i="2"/>
  <c r="W753" i="2"/>
  <c r="U753" i="2"/>
  <c r="S753" i="2"/>
  <c r="N753" i="2"/>
  <c r="R753" i="2"/>
  <c r="P753" i="2"/>
  <c r="O753" i="2"/>
  <c r="V753" i="2"/>
  <c r="T753" i="2"/>
  <c r="Q753" i="2"/>
  <c r="Z749" i="2"/>
  <c r="Y749" i="2"/>
  <c r="X749" i="2"/>
  <c r="W749" i="2"/>
  <c r="U749" i="2"/>
  <c r="V749" i="2"/>
  <c r="S749" i="2"/>
  <c r="N749" i="2"/>
  <c r="T749" i="2"/>
  <c r="R749" i="2"/>
  <c r="P749" i="2"/>
  <c r="O749" i="2"/>
  <c r="Q749" i="2"/>
  <c r="Z745" i="2"/>
  <c r="Y745" i="2"/>
  <c r="X745" i="2"/>
  <c r="W745" i="2"/>
  <c r="U745" i="2"/>
  <c r="V745" i="2"/>
  <c r="S745" i="2"/>
  <c r="T745" i="2"/>
  <c r="N745" i="2"/>
  <c r="R745" i="2"/>
  <c r="P745" i="2"/>
  <c r="O745" i="2"/>
  <c r="Q745" i="2"/>
  <c r="Z741" i="2"/>
  <c r="Y741" i="2"/>
  <c r="X741" i="2"/>
  <c r="W741" i="2"/>
  <c r="U741" i="2"/>
  <c r="V741" i="2"/>
  <c r="S741" i="2"/>
  <c r="N741" i="2"/>
  <c r="R741" i="2"/>
  <c r="P741" i="2"/>
  <c r="O741" i="2"/>
  <c r="Q741" i="2"/>
  <c r="T741" i="2"/>
  <c r="Z737" i="2"/>
  <c r="Y737" i="2"/>
  <c r="X737" i="2"/>
  <c r="W737" i="2"/>
  <c r="U737" i="2"/>
  <c r="S737" i="2"/>
  <c r="N737" i="2"/>
  <c r="V737" i="2"/>
  <c r="R737" i="2"/>
  <c r="P737" i="2"/>
  <c r="O737" i="2"/>
  <c r="T737" i="2"/>
  <c r="Q737" i="2"/>
  <c r="Z733" i="2"/>
  <c r="Y733" i="2"/>
  <c r="X733" i="2"/>
  <c r="W733" i="2"/>
  <c r="U733" i="2"/>
  <c r="V733" i="2"/>
  <c r="S733" i="2"/>
  <c r="N733" i="2"/>
  <c r="T733" i="2"/>
  <c r="R733" i="2"/>
  <c r="P733" i="2"/>
  <c r="O733" i="2"/>
  <c r="Q733" i="2"/>
  <c r="Z729" i="2"/>
  <c r="Y729" i="2"/>
  <c r="X729" i="2"/>
  <c r="W729" i="2"/>
  <c r="U729" i="2"/>
  <c r="V729" i="2"/>
  <c r="S729" i="2"/>
  <c r="T729" i="2"/>
  <c r="N729" i="2"/>
  <c r="R729" i="2"/>
  <c r="P729" i="2"/>
  <c r="O729" i="2"/>
  <c r="Q729" i="2"/>
  <c r="Z725" i="2"/>
  <c r="Y725" i="2"/>
  <c r="X725" i="2"/>
  <c r="W725" i="2"/>
  <c r="U725" i="2"/>
  <c r="V725" i="2"/>
  <c r="S725" i="2"/>
  <c r="N725" i="2"/>
  <c r="R725" i="2"/>
  <c r="P725" i="2"/>
  <c r="O725" i="2"/>
  <c r="Q725" i="2"/>
  <c r="T725" i="2"/>
  <c r="Z721" i="2"/>
  <c r="Y721" i="2"/>
  <c r="X721" i="2"/>
  <c r="W721" i="2"/>
  <c r="U721" i="2"/>
  <c r="S721" i="2"/>
  <c r="V721" i="2"/>
  <c r="N721" i="2"/>
  <c r="R721" i="2"/>
  <c r="P721" i="2"/>
  <c r="O721" i="2"/>
  <c r="T721" i="2"/>
  <c r="Q721" i="2"/>
  <c r="Z717" i="2"/>
  <c r="Y717" i="2"/>
  <c r="X717" i="2"/>
  <c r="W717" i="2"/>
  <c r="U717" i="2"/>
  <c r="V717" i="2"/>
  <c r="S717" i="2"/>
  <c r="N717" i="2"/>
  <c r="T717" i="2"/>
  <c r="R717" i="2"/>
  <c r="P717" i="2"/>
  <c r="O717" i="2"/>
  <c r="Q717" i="2"/>
  <c r="Z713" i="2"/>
  <c r="Y713" i="2"/>
  <c r="X713" i="2"/>
  <c r="W713" i="2"/>
  <c r="U713" i="2"/>
  <c r="V713" i="2"/>
  <c r="S713" i="2"/>
  <c r="T713" i="2"/>
  <c r="N713" i="2"/>
  <c r="R713" i="2"/>
  <c r="P713" i="2"/>
  <c r="O713" i="2"/>
  <c r="Q713" i="2"/>
  <c r="Z709" i="2"/>
  <c r="Y709" i="2"/>
  <c r="X709" i="2"/>
  <c r="W709" i="2"/>
  <c r="U709" i="2"/>
  <c r="V709" i="2"/>
  <c r="S709" i="2"/>
  <c r="N709" i="2"/>
  <c r="R709" i="2"/>
  <c r="P709" i="2"/>
  <c r="O709" i="2"/>
  <c r="T709" i="2"/>
  <c r="Q709" i="2"/>
  <c r="Z705" i="2"/>
  <c r="Y705" i="2"/>
  <c r="X705" i="2"/>
  <c r="W705" i="2"/>
  <c r="U705" i="2"/>
  <c r="S705" i="2"/>
  <c r="N705" i="2"/>
  <c r="R705" i="2"/>
  <c r="P705" i="2"/>
  <c r="O705" i="2"/>
  <c r="T705" i="2"/>
  <c r="Q705" i="2"/>
  <c r="V705" i="2"/>
  <c r="Z701" i="2"/>
  <c r="Y701" i="2"/>
  <c r="X701" i="2"/>
  <c r="W701" i="2"/>
  <c r="U701" i="2"/>
  <c r="V701" i="2"/>
  <c r="S701" i="2"/>
  <c r="N701" i="2"/>
  <c r="T701" i="2"/>
  <c r="R701" i="2"/>
  <c r="P701" i="2"/>
  <c r="O701" i="2"/>
  <c r="Q701" i="2"/>
  <c r="Z697" i="2"/>
  <c r="Y697" i="2"/>
  <c r="X697" i="2"/>
  <c r="W697" i="2"/>
  <c r="U697" i="2"/>
  <c r="V697" i="2"/>
  <c r="S697" i="2"/>
  <c r="T697" i="2"/>
  <c r="N697" i="2"/>
  <c r="R697" i="2"/>
  <c r="P697" i="2"/>
  <c r="O697" i="2"/>
  <c r="Q697" i="2"/>
  <c r="Z693" i="2"/>
  <c r="Y693" i="2"/>
  <c r="X693" i="2"/>
  <c r="W693" i="2"/>
  <c r="U693" i="2"/>
  <c r="V693" i="2"/>
  <c r="S693" i="2"/>
  <c r="N693" i="2"/>
  <c r="R693" i="2"/>
  <c r="P693" i="2"/>
  <c r="O693" i="2"/>
  <c r="T693" i="2"/>
  <c r="Q693" i="2"/>
  <c r="Z689" i="2"/>
  <c r="Y689" i="2"/>
  <c r="X689" i="2"/>
  <c r="W689" i="2"/>
  <c r="U689" i="2"/>
  <c r="S689" i="2"/>
  <c r="N689" i="2"/>
  <c r="R689" i="2"/>
  <c r="P689" i="2"/>
  <c r="O689" i="2"/>
  <c r="V689" i="2"/>
  <c r="T689" i="2"/>
  <c r="Q689" i="2"/>
  <c r="Z685" i="2"/>
  <c r="Y685" i="2"/>
  <c r="X685" i="2"/>
  <c r="W685" i="2"/>
  <c r="U685" i="2"/>
  <c r="V685" i="2"/>
  <c r="S685" i="2"/>
  <c r="N685" i="2"/>
  <c r="T685" i="2"/>
  <c r="R685" i="2"/>
  <c r="P685" i="2"/>
  <c r="O685" i="2"/>
  <c r="Q685" i="2"/>
  <c r="Z681" i="2"/>
  <c r="Y681" i="2"/>
  <c r="X681" i="2"/>
  <c r="W681" i="2"/>
  <c r="U681" i="2"/>
  <c r="V681" i="2"/>
  <c r="S681" i="2"/>
  <c r="T681" i="2"/>
  <c r="N681" i="2"/>
  <c r="R681" i="2"/>
  <c r="P681" i="2"/>
  <c r="O681" i="2"/>
  <c r="Q681" i="2"/>
  <c r="Z677" i="2"/>
  <c r="Y677" i="2"/>
  <c r="X677" i="2"/>
  <c r="W677" i="2"/>
  <c r="U677" i="2"/>
  <c r="V677" i="2"/>
  <c r="S677" i="2"/>
  <c r="N677" i="2"/>
  <c r="R677" i="2"/>
  <c r="P677" i="2"/>
  <c r="O677" i="2"/>
  <c r="T677" i="2"/>
  <c r="Q677" i="2"/>
  <c r="Z673" i="2"/>
  <c r="Y673" i="2"/>
  <c r="X673" i="2"/>
  <c r="W673" i="2"/>
  <c r="U673" i="2"/>
  <c r="S673" i="2"/>
  <c r="N673" i="2"/>
  <c r="V673" i="2"/>
  <c r="R673" i="2"/>
  <c r="P673" i="2"/>
  <c r="O673" i="2"/>
  <c r="T673" i="2"/>
  <c r="Q673" i="2"/>
  <c r="Z669" i="2"/>
  <c r="Y669" i="2"/>
  <c r="X669" i="2"/>
  <c r="W669" i="2"/>
  <c r="U669" i="2"/>
  <c r="V669" i="2"/>
  <c r="S669" i="2"/>
  <c r="N669" i="2"/>
  <c r="T669" i="2"/>
  <c r="R669" i="2"/>
  <c r="P669" i="2"/>
  <c r="O669" i="2"/>
  <c r="Q669" i="2"/>
  <c r="Z665" i="2"/>
  <c r="Y665" i="2"/>
  <c r="X665" i="2"/>
  <c r="W665" i="2"/>
  <c r="U665" i="2"/>
  <c r="V665" i="2"/>
  <c r="S665" i="2"/>
  <c r="T665" i="2"/>
  <c r="N665" i="2"/>
  <c r="R665" i="2"/>
  <c r="P665" i="2"/>
  <c r="O665" i="2"/>
  <c r="Q665" i="2"/>
  <c r="Z661" i="2"/>
  <c r="Y661" i="2"/>
  <c r="X661" i="2"/>
  <c r="W661" i="2"/>
  <c r="U661" i="2"/>
  <c r="V661" i="2"/>
  <c r="S661" i="2"/>
  <c r="N661" i="2"/>
  <c r="R661" i="2"/>
  <c r="P661" i="2"/>
  <c r="O661" i="2"/>
  <c r="Q661" i="2"/>
  <c r="T661" i="2"/>
  <c r="Z657" i="2"/>
  <c r="Y657" i="2"/>
  <c r="X657" i="2"/>
  <c r="W657" i="2"/>
  <c r="U657" i="2"/>
  <c r="S657" i="2"/>
  <c r="V657" i="2"/>
  <c r="N657" i="2"/>
  <c r="R657" i="2"/>
  <c r="P657" i="2"/>
  <c r="O657" i="2"/>
  <c r="T657" i="2"/>
  <c r="Q657" i="2"/>
  <c r="Z653" i="2"/>
  <c r="Y653" i="2"/>
  <c r="X653" i="2"/>
  <c r="W653" i="2"/>
  <c r="U653" i="2"/>
  <c r="V653" i="2"/>
  <c r="S653" i="2"/>
  <c r="N653" i="2"/>
  <c r="T653" i="2"/>
  <c r="R653" i="2"/>
  <c r="P653" i="2"/>
  <c r="O653" i="2"/>
  <c r="Q653" i="2"/>
  <c r="Z649" i="2"/>
  <c r="Y649" i="2"/>
  <c r="X649" i="2"/>
  <c r="W649" i="2"/>
  <c r="U649" i="2"/>
  <c r="V649" i="2"/>
  <c r="S649" i="2"/>
  <c r="T649" i="2"/>
  <c r="N649" i="2"/>
  <c r="R649" i="2"/>
  <c r="P649" i="2"/>
  <c r="O649" i="2"/>
  <c r="Q649" i="2"/>
  <c r="Z645" i="2"/>
  <c r="Y645" i="2"/>
  <c r="X645" i="2"/>
  <c r="W645" i="2"/>
  <c r="U645" i="2"/>
  <c r="V645" i="2"/>
  <c r="S645" i="2"/>
  <c r="N645" i="2"/>
  <c r="R645" i="2"/>
  <c r="P645" i="2"/>
  <c r="O645" i="2"/>
  <c r="T645" i="2"/>
  <c r="Q645" i="2"/>
  <c r="Z641" i="2"/>
  <c r="Y641" i="2"/>
  <c r="X641" i="2"/>
  <c r="W641" i="2"/>
  <c r="U641" i="2"/>
  <c r="S641" i="2"/>
  <c r="N641" i="2"/>
  <c r="R641" i="2"/>
  <c r="P641" i="2"/>
  <c r="O641" i="2"/>
  <c r="T641" i="2"/>
  <c r="V641" i="2"/>
  <c r="Q641" i="2"/>
  <c r="Z637" i="2"/>
  <c r="Y637" i="2"/>
  <c r="X637" i="2"/>
  <c r="W637" i="2"/>
  <c r="U637" i="2"/>
  <c r="V637" i="2"/>
  <c r="S637" i="2"/>
  <c r="N637" i="2"/>
  <c r="T637" i="2"/>
  <c r="R637" i="2"/>
  <c r="P637" i="2"/>
  <c r="O637" i="2"/>
  <c r="Q637" i="2"/>
  <c r="Z633" i="2"/>
  <c r="Y633" i="2"/>
  <c r="X633" i="2"/>
  <c r="W633" i="2"/>
  <c r="U633" i="2"/>
  <c r="V633" i="2"/>
  <c r="S633" i="2"/>
  <c r="T633" i="2"/>
  <c r="N633" i="2"/>
  <c r="R633" i="2"/>
  <c r="P633" i="2"/>
  <c r="O633" i="2"/>
  <c r="Q633" i="2"/>
  <c r="Z629" i="2"/>
  <c r="Y629" i="2"/>
  <c r="X629" i="2"/>
  <c r="W629" i="2"/>
  <c r="U629" i="2"/>
  <c r="V629" i="2"/>
  <c r="S629" i="2"/>
  <c r="N629" i="2"/>
  <c r="R629" i="2"/>
  <c r="P629" i="2"/>
  <c r="O629" i="2"/>
  <c r="T629" i="2"/>
  <c r="Q629" i="2"/>
  <c r="Z625" i="2"/>
  <c r="Y625" i="2"/>
  <c r="X625" i="2"/>
  <c r="W625" i="2"/>
  <c r="U625" i="2"/>
  <c r="S625" i="2"/>
  <c r="N625" i="2"/>
  <c r="R625" i="2"/>
  <c r="P625" i="2"/>
  <c r="O625" i="2"/>
  <c r="V625" i="2"/>
  <c r="T625" i="2"/>
  <c r="Q625" i="2"/>
  <c r="Z621" i="2"/>
  <c r="Y621" i="2"/>
  <c r="X621" i="2"/>
  <c r="W621" i="2"/>
  <c r="U621" i="2"/>
  <c r="V621" i="2"/>
  <c r="S621" i="2"/>
  <c r="N621" i="2"/>
  <c r="T621" i="2"/>
  <c r="R621" i="2"/>
  <c r="P621" i="2"/>
  <c r="O621" i="2"/>
  <c r="Q621" i="2"/>
  <c r="Z617" i="2"/>
  <c r="Y617" i="2"/>
  <c r="X617" i="2"/>
  <c r="W617" i="2"/>
  <c r="U617" i="2"/>
  <c r="V617" i="2"/>
  <c r="S617" i="2"/>
  <c r="T617" i="2"/>
  <c r="N617" i="2"/>
  <c r="R617" i="2"/>
  <c r="P617" i="2"/>
  <c r="O617" i="2"/>
  <c r="Q617" i="2"/>
  <c r="Z613" i="2"/>
  <c r="Y613" i="2"/>
  <c r="X613" i="2"/>
  <c r="W613" i="2"/>
  <c r="U613" i="2"/>
  <c r="V613" i="2"/>
  <c r="S613" i="2"/>
  <c r="N613" i="2"/>
  <c r="R613" i="2"/>
  <c r="P613" i="2"/>
  <c r="O613" i="2"/>
  <c r="Q613" i="2"/>
  <c r="T613" i="2"/>
  <c r="Z609" i="2"/>
  <c r="Y609" i="2"/>
  <c r="X609" i="2"/>
  <c r="W609" i="2"/>
  <c r="U609" i="2"/>
  <c r="S609" i="2"/>
  <c r="N609" i="2"/>
  <c r="V609" i="2"/>
  <c r="R609" i="2"/>
  <c r="P609" i="2"/>
  <c r="O609" i="2"/>
  <c r="T609" i="2"/>
  <c r="Q609" i="2"/>
  <c r="Z605" i="2"/>
  <c r="Y605" i="2"/>
  <c r="X605" i="2"/>
  <c r="W605" i="2"/>
  <c r="U605" i="2"/>
  <c r="V605" i="2"/>
  <c r="S605" i="2"/>
  <c r="N605" i="2"/>
  <c r="T605" i="2"/>
  <c r="R605" i="2"/>
  <c r="P605" i="2"/>
  <c r="O605" i="2"/>
  <c r="Q605" i="2"/>
  <c r="Z601" i="2"/>
  <c r="Y601" i="2"/>
  <c r="X601" i="2"/>
  <c r="W601" i="2"/>
  <c r="U601" i="2"/>
  <c r="V601" i="2"/>
  <c r="S601" i="2"/>
  <c r="T601" i="2"/>
  <c r="N601" i="2"/>
  <c r="R601" i="2"/>
  <c r="P601" i="2"/>
  <c r="O601" i="2"/>
  <c r="Q601" i="2"/>
  <c r="Z597" i="2"/>
  <c r="Y597" i="2"/>
  <c r="X597" i="2"/>
  <c r="W597" i="2"/>
  <c r="U597" i="2"/>
  <c r="V597" i="2"/>
  <c r="S597" i="2"/>
  <c r="N597" i="2"/>
  <c r="R597" i="2"/>
  <c r="P597" i="2"/>
  <c r="O597" i="2"/>
  <c r="Q597" i="2"/>
  <c r="T597" i="2"/>
  <c r="Z593" i="2"/>
  <c r="Y593" i="2"/>
  <c r="X593" i="2"/>
  <c r="W593" i="2"/>
  <c r="U593" i="2"/>
  <c r="S593" i="2"/>
  <c r="V593" i="2"/>
  <c r="N593" i="2"/>
  <c r="R593" i="2"/>
  <c r="P593" i="2"/>
  <c r="O593" i="2"/>
  <c r="T593" i="2"/>
  <c r="Q593" i="2"/>
  <c r="Z589" i="2"/>
  <c r="Y589" i="2"/>
  <c r="X589" i="2"/>
  <c r="W589" i="2"/>
  <c r="U589" i="2"/>
  <c r="V589" i="2"/>
  <c r="S589" i="2"/>
  <c r="N589" i="2"/>
  <c r="T589" i="2"/>
  <c r="R589" i="2"/>
  <c r="P589" i="2"/>
  <c r="O589" i="2"/>
  <c r="Q589" i="2"/>
  <c r="Z585" i="2"/>
  <c r="Y585" i="2"/>
  <c r="X585" i="2"/>
  <c r="W585" i="2"/>
  <c r="U585" i="2"/>
  <c r="V585" i="2"/>
  <c r="S585" i="2"/>
  <c r="T585" i="2"/>
  <c r="N585" i="2"/>
  <c r="R585" i="2"/>
  <c r="P585" i="2"/>
  <c r="O585" i="2"/>
  <c r="Q585" i="2"/>
  <c r="Z581" i="2"/>
  <c r="Y581" i="2"/>
  <c r="X581" i="2"/>
  <c r="W581" i="2"/>
  <c r="U581" i="2"/>
  <c r="V581" i="2"/>
  <c r="S581" i="2"/>
  <c r="N581" i="2"/>
  <c r="R581" i="2"/>
  <c r="P581" i="2"/>
  <c r="O581" i="2"/>
  <c r="T581" i="2"/>
  <c r="Q581" i="2"/>
  <c r="Z577" i="2"/>
  <c r="Y577" i="2"/>
  <c r="X577" i="2"/>
  <c r="W577" i="2"/>
  <c r="U577" i="2"/>
  <c r="S577" i="2"/>
  <c r="N577" i="2"/>
  <c r="R577" i="2"/>
  <c r="P577" i="2"/>
  <c r="O577" i="2"/>
  <c r="T577" i="2"/>
  <c r="Q577" i="2"/>
  <c r="V577" i="2"/>
  <c r="Z573" i="2"/>
  <c r="Y573" i="2"/>
  <c r="X573" i="2"/>
  <c r="W573" i="2"/>
  <c r="U573" i="2"/>
  <c r="V573" i="2"/>
  <c r="S573" i="2"/>
  <c r="N573" i="2"/>
  <c r="T573" i="2"/>
  <c r="R573" i="2"/>
  <c r="P573" i="2"/>
  <c r="O573" i="2"/>
  <c r="Q573" i="2"/>
  <c r="Z569" i="2"/>
  <c r="Y569" i="2"/>
  <c r="X569" i="2"/>
  <c r="W569" i="2"/>
  <c r="U569" i="2"/>
  <c r="V569" i="2"/>
  <c r="S569" i="2"/>
  <c r="T569" i="2"/>
  <c r="N569" i="2"/>
  <c r="R569" i="2"/>
  <c r="P569" i="2"/>
  <c r="O569" i="2"/>
  <c r="Q569" i="2"/>
  <c r="Z565" i="2"/>
  <c r="Y565" i="2"/>
  <c r="X565" i="2"/>
  <c r="W565" i="2"/>
  <c r="U565" i="2"/>
  <c r="V565" i="2"/>
  <c r="S565" i="2"/>
  <c r="N565" i="2"/>
  <c r="R565" i="2"/>
  <c r="P565" i="2"/>
  <c r="O565" i="2"/>
  <c r="T565" i="2"/>
  <c r="Q565" i="2"/>
  <c r="Z561" i="2"/>
  <c r="Y561" i="2"/>
  <c r="X561" i="2"/>
  <c r="W561" i="2"/>
  <c r="U561" i="2"/>
  <c r="S561" i="2"/>
  <c r="N561" i="2"/>
  <c r="R561" i="2"/>
  <c r="P561" i="2"/>
  <c r="O561" i="2"/>
  <c r="V561" i="2"/>
  <c r="T561" i="2"/>
  <c r="Q561" i="2"/>
  <c r="Z557" i="2"/>
  <c r="Y557" i="2"/>
  <c r="X557" i="2"/>
  <c r="W557" i="2"/>
  <c r="U557" i="2"/>
  <c r="V557" i="2"/>
  <c r="S557" i="2"/>
  <c r="N557" i="2"/>
  <c r="T557" i="2"/>
  <c r="R557" i="2"/>
  <c r="P557" i="2"/>
  <c r="O557" i="2"/>
  <c r="Q557" i="2"/>
  <c r="Z553" i="2"/>
  <c r="Y553" i="2"/>
  <c r="X553" i="2"/>
  <c r="W553" i="2"/>
  <c r="U553" i="2"/>
  <c r="V553" i="2"/>
  <c r="S553" i="2"/>
  <c r="T553" i="2"/>
  <c r="N553" i="2"/>
  <c r="R553" i="2"/>
  <c r="P553" i="2"/>
  <c r="O553" i="2"/>
  <c r="Q553" i="2"/>
  <c r="Z549" i="2"/>
  <c r="Y549" i="2"/>
  <c r="X549" i="2"/>
  <c r="W549" i="2"/>
  <c r="U549" i="2"/>
  <c r="V549" i="2"/>
  <c r="T549" i="2"/>
  <c r="S549" i="2"/>
  <c r="N549" i="2"/>
  <c r="R549" i="2"/>
  <c r="P549" i="2"/>
  <c r="O549" i="2"/>
  <c r="Q549" i="2"/>
  <c r="Z545" i="2"/>
  <c r="Y545" i="2"/>
  <c r="X545" i="2"/>
  <c r="W545" i="2"/>
  <c r="U545" i="2"/>
  <c r="T545" i="2"/>
  <c r="S545" i="2"/>
  <c r="N545" i="2"/>
  <c r="V545" i="2"/>
  <c r="R545" i="2"/>
  <c r="P545" i="2"/>
  <c r="O545" i="2"/>
  <c r="Q545" i="2"/>
  <c r="Z541" i="2"/>
  <c r="Y541" i="2"/>
  <c r="X541" i="2"/>
  <c r="W541" i="2"/>
  <c r="U541" i="2"/>
  <c r="V541" i="2"/>
  <c r="T541" i="2"/>
  <c r="S541" i="2"/>
  <c r="N541" i="2"/>
  <c r="R541" i="2"/>
  <c r="P541" i="2"/>
  <c r="O541" i="2"/>
  <c r="Q541" i="2"/>
  <c r="Z537" i="2"/>
  <c r="Y537" i="2"/>
  <c r="X537" i="2"/>
  <c r="W537" i="2"/>
  <c r="U537" i="2"/>
  <c r="V537" i="2"/>
  <c r="S537" i="2"/>
  <c r="N537" i="2"/>
  <c r="T537" i="2"/>
  <c r="R537" i="2"/>
  <c r="P537" i="2"/>
  <c r="O537" i="2"/>
  <c r="Q537" i="2"/>
  <c r="Z533" i="2"/>
  <c r="Y533" i="2"/>
  <c r="X533" i="2"/>
  <c r="W533" i="2"/>
  <c r="U533" i="2"/>
  <c r="V533" i="2"/>
  <c r="T533" i="2"/>
  <c r="S533" i="2"/>
  <c r="N533" i="2"/>
  <c r="R533" i="2"/>
  <c r="P533" i="2"/>
  <c r="O533" i="2"/>
  <c r="Q533" i="2"/>
  <c r="Z529" i="2"/>
  <c r="Y529" i="2"/>
  <c r="X529" i="2"/>
  <c r="W529" i="2"/>
  <c r="U529" i="2"/>
  <c r="T529" i="2"/>
  <c r="S529" i="2"/>
  <c r="V529" i="2"/>
  <c r="N529" i="2"/>
  <c r="R529" i="2"/>
  <c r="P529" i="2"/>
  <c r="O529" i="2"/>
  <c r="Q529" i="2"/>
  <c r="Z525" i="2"/>
  <c r="Y525" i="2"/>
  <c r="X525" i="2"/>
  <c r="W525" i="2"/>
  <c r="U525" i="2"/>
  <c r="V525" i="2"/>
  <c r="T525" i="2"/>
  <c r="S525" i="2"/>
  <c r="N525" i="2"/>
  <c r="R525" i="2"/>
  <c r="P525" i="2"/>
  <c r="O525" i="2"/>
  <c r="Q525" i="2"/>
  <c r="Z521" i="2"/>
  <c r="Y521" i="2"/>
  <c r="X521" i="2"/>
  <c r="W521" i="2"/>
  <c r="U521" i="2"/>
  <c r="V521" i="2"/>
  <c r="S521" i="2"/>
  <c r="N521" i="2"/>
  <c r="R521" i="2"/>
  <c r="P521" i="2"/>
  <c r="O521" i="2"/>
  <c r="T521" i="2"/>
  <c r="Q521" i="2"/>
  <c r="Z517" i="2"/>
  <c r="Y517" i="2"/>
  <c r="X517" i="2"/>
  <c r="W517" i="2"/>
  <c r="U517" i="2"/>
  <c r="V517" i="2"/>
  <c r="T517" i="2"/>
  <c r="S517" i="2"/>
  <c r="N517" i="2"/>
  <c r="R517" i="2"/>
  <c r="P517" i="2"/>
  <c r="O517" i="2"/>
  <c r="Q517" i="2"/>
  <c r="Z513" i="2"/>
  <c r="Y513" i="2"/>
  <c r="X513" i="2"/>
  <c r="W513" i="2"/>
  <c r="U513" i="2"/>
  <c r="T513" i="2"/>
  <c r="S513" i="2"/>
  <c r="N513" i="2"/>
  <c r="R513" i="2"/>
  <c r="P513" i="2"/>
  <c r="O513" i="2"/>
  <c r="Q513" i="2"/>
  <c r="V513" i="2"/>
  <c r="Z509" i="2"/>
  <c r="Y509" i="2"/>
  <c r="X509" i="2"/>
  <c r="W509" i="2"/>
  <c r="U509" i="2"/>
  <c r="V509" i="2"/>
  <c r="T509" i="2"/>
  <c r="S509" i="2"/>
  <c r="N509" i="2"/>
  <c r="R509" i="2"/>
  <c r="P509" i="2"/>
  <c r="O509" i="2"/>
  <c r="Q509" i="2"/>
  <c r="Z505" i="2"/>
  <c r="Y505" i="2"/>
  <c r="X505" i="2"/>
  <c r="W505" i="2"/>
  <c r="U505" i="2"/>
  <c r="V505" i="2"/>
  <c r="S505" i="2"/>
  <c r="N505" i="2"/>
  <c r="R505" i="2"/>
  <c r="P505" i="2"/>
  <c r="O505" i="2"/>
  <c r="T505" i="2"/>
  <c r="Q505" i="2"/>
  <c r="Z501" i="2"/>
  <c r="Y501" i="2"/>
  <c r="X501" i="2"/>
  <c r="W501" i="2"/>
  <c r="U501" i="2"/>
  <c r="V501" i="2"/>
  <c r="T501" i="2"/>
  <c r="S501" i="2"/>
  <c r="N501" i="2"/>
  <c r="R501" i="2"/>
  <c r="P501" i="2"/>
  <c r="O501" i="2"/>
  <c r="Q501" i="2"/>
  <c r="Z497" i="2"/>
  <c r="Y497" i="2"/>
  <c r="X497" i="2"/>
  <c r="W497" i="2"/>
  <c r="U497" i="2"/>
  <c r="T497" i="2"/>
  <c r="S497" i="2"/>
  <c r="N497" i="2"/>
  <c r="R497" i="2"/>
  <c r="P497" i="2"/>
  <c r="O497" i="2"/>
  <c r="V497" i="2"/>
  <c r="Q497" i="2"/>
  <c r="Z493" i="2"/>
  <c r="Y493" i="2"/>
  <c r="X493" i="2"/>
  <c r="W493" i="2"/>
  <c r="U493" i="2"/>
  <c r="V493" i="2"/>
  <c r="T493" i="2"/>
  <c r="S493" i="2"/>
  <c r="N493" i="2"/>
  <c r="R493" i="2"/>
  <c r="P493" i="2"/>
  <c r="O493" i="2"/>
  <c r="Q493" i="2"/>
  <c r="Z489" i="2"/>
  <c r="Y489" i="2"/>
  <c r="X489" i="2"/>
  <c r="W489" i="2"/>
  <c r="U489" i="2"/>
  <c r="V489" i="2"/>
  <c r="S489" i="2"/>
  <c r="T489" i="2"/>
  <c r="N489" i="2"/>
  <c r="R489" i="2"/>
  <c r="P489" i="2"/>
  <c r="O489" i="2"/>
  <c r="Q489" i="2"/>
  <c r="Z485" i="2"/>
  <c r="Y485" i="2"/>
  <c r="X485" i="2"/>
  <c r="W485" i="2"/>
  <c r="U485" i="2"/>
  <c r="V485" i="2"/>
  <c r="T485" i="2"/>
  <c r="S485" i="2"/>
  <c r="N485" i="2"/>
  <c r="R485" i="2"/>
  <c r="P485" i="2"/>
  <c r="O485" i="2"/>
  <c r="Q485" i="2"/>
  <c r="Z481" i="2"/>
  <c r="Y481" i="2"/>
  <c r="X481" i="2"/>
  <c r="W481" i="2"/>
  <c r="U481" i="2"/>
  <c r="T481" i="2"/>
  <c r="S481" i="2"/>
  <c r="N481" i="2"/>
  <c r="V481" i="2"/>
  <c r="R481" i="2"/>
  <c r="P481" i="2"/>
  <c r="O481" i="2"/>
  <c r="Q481" i="2"/>
  <c r="Z477" i="2"/>
  <c r="Y477" i="2"/>
  <c r="X477" i="2"/>
  <c r="W477" i="2"/>
  <c r="U477" i="2"/>
  <c r="V477" i="2"/>
  <c r="T477" i="2"/>
  <c r="S477" i="2"/>
  <c r="N477" i="2"/>
  <c r="R477" i="2"/>
  <c r="P477" i="2"/>
  <c r="O477" i="2"/>
  <c r="Q477" i="2"/>
  <c r="Z473" i="2"/>
  <c r="Y473" i="2"/>
  <c r="X473" i="2"/>
  <c r="W473" i="2"/>
  <c r="U473" i="2"/>
  <c r="V473" i="2"/>
  <c r="S473" i="2"/>
  <c r="N473" i="2"/>
  <c r="T473" i="2"/>
  <c r="R473" i="2"/>
  <c r="P473" i="2"/>
  <c r="O473" i="2"/>
  <c r="Q473" i="2"/>
  <c r="Z469" i="2"/>
  <c r="Y469" i="2"/>
  <c r="X469" i="2"/>
  <c r="W469" i="2"/>
  <c r="U469" i="2"/>
  <c r="V469" i="2"/>
  <c r="T469" i="2"/>
  <c r="S469" i="2"/>
  <c r="N469" i="2"/>
  <c r="R469" i="2"/>
  <c r="P469" i="2"/>
  <c r="O469" i="2"/>
  <c r="Q469" i="2"/>
  <c r="Z465" i="2"/>
  <c r="Y465" i="2"/>
  <c r="X465" i="2"/>
  <c r="W465" i="2"/>
  <c r="U465" i="2"/>
  <c r="T465" i="2"/>
  <c r="S465" i="2"/>
  <c r="V465" i="2"/>
  <c r="N465" i="2"/>
  <c r="R465" i="2"/>
  <c r="P465" i="2"/>
  <c r="O465" i="2"/>
  <c r="Q465" i="2"/>
  <c r="Z461" i="2"/>
  <c r="Y461" i="2"/>
  <c r="X461" i="2"/>
  <c r="W461" i="2"/>
  <c r="U461" i="2"/>
  <c r="V461" i="2"/>
  <c r="T461" i="2"/>
  <c r="S461" i="2"/>
  <c r="N461" i="2"/>
  <c r="R461" i="2"/>
  <c r="P461" i="2"/>
  <c r="O461" i="2"/>
  <c r="Q461" i="2"/>
  <c r="Z457" i="2"/>
  <c r="Y457" i="2"/>
  <c r="X457" i="2"/>
  <c r="W457" i="2"/>
  <c r="U457" i="2"/>
  <c r="V457" i="2"/>
  <c r="S457" i="2"/>
  <c r="N457" i="2"/>
  <c r="R457" i="2"/>
  <c r="P457" i="2"/>
  <c r="O457" i="2"/>
  <c r="T457" i="2"/>
  <c r="Q457" i="2"/>
  <c r="Z453" i="2"/>
  <c r="Y453" i="2"/>
  <c r="X453" i="2"/>
  <c r="W453" i="2"/>
  <c r="U453" i="2"/>
  <c r="V453" i="2"/>
  <c r="T453" i="2"/>
  <c r="S453" i="2"/>
  <c r="N453" i="2"/>
  <c r="R453" i="2"/>
  <c r="P453" i="2"/>
  <c r="O453" i="2"/>
  <c r="Q453" i="2"/>
  <c r="Z449" i="2"/>
  <c r="Y449" i="2"/>
  <c r="X449" i="2"/>
  <c r="W449" i="2"/>
  <c r="U449" i="2"/>
  <c r="T449" i="2"/>
  <c r="S449" i="2"/>
  <c r="N449" i="2"/>
  <c r="R449" i="2"/>
  <c r="P449" i="2"/>
  <c r="O449" i="2"/>
  <c r="Q449" i="2"/>
  <c r="V449" i="2"/>
  <c r="Z445" i="2"/>
  <c r="Y445" i="2"/>
  <c r="X445" i="2"/>
  <c r="W445" i="2"/>
  <c r="U445" i="2"/>
  <c r="V445" i="2"/>
  <c r="T445" i="2"/>
  <c r="S445" i="2"/>
  <c r="N445" i="2"/>
  <c r="R445" i="2"/>
  <c r="P445" i="2"/>
  <c r="O445" i="2"/>
  <c r="Q445" i="2"/>
  <c r="Z441" i="2"/>
  <c r="Y441" i="2"/>
  <c r="X441" i="2"/>
  <c r="W441" i="2"/>
  <c r="U441" i="2"/>
  <c r="V441" i="2"/>
  <c r="S441" i="2"/>
  <c r="N441" i="2"/>
  <c r="R441" i="2"/>
  <c r="P441" i="2"/>
  <c r="O441" i="2"/>
  <c r="T441" i="2"/>
  <c r="Q441" i="2"/>
  <c r="Z437" i="2"/>
  <c r="Y437" i="2"/>
  <c r="X437" i="2"/>
  <c r="W437" i="2"/>
  <c r="U437" i="2"/>
  <c r="V437" i="2"/>
  <c r="T437" i="2"/>
  <c r="S437" i="2"/>
  <c r="N437" i="2"/>
  <c r="R437" i="2"/>
  <c r="P437" i="2"/>
  <c r="O437" i="2"/>
  <c r="Q437" i="2"/>
  <c r="Z433" i="2"/>
  <c r="Y433" i="2"/>
  <c r="X433" i="2"/>
  <c r="W433" i="2"/>
  <c r="U433" i="2"/>
  <c r="T433" i="2"/>
  <c r="S433" i="2"/>
  <c r="N433" i="2"/>
  <c r="R433" i="2"/>
  <c r="P433" i="2"/>
  <c r="O433" i="2"/>
  <c r="V433" i="2"/>
  <c r="Q433" i="2"/>
  <c r="Z429" i="2"/>
  <c r="Y429" i="2"/>
  <c r="X429" i="2"/>
  <c r="W429" i="2"/>
  <c r="U429" i="2"/>
  <c r="V429" i="2"/>
  <c r="T429" i="2"/>
  <c r="S429" i="2"/>
  <c r="N429" i="2"/>
  <c r="R429" i="2"/>
  <c r="P429" i="2"/>
  <c r="O429" i="2"/>
  <c r="Q429" i="2"/>
  <c r="Z425" i="2"/>
  <c r="Y425" i="2"/>
  <c r="X425" i="2"/>
  <c r="W425" i="2"/>
  <c r="U425" i="2"/>
  <c r="V425" i="2"/>
  <c r="S425" i="2"/>
  <c r="T425" i="2"/>
  <c r="N425" i="2"/>
  <c r="R425" i="2"/>
  <c r="P425" i="2"/>
  <c r="O425" i="2"/>
  <c r="Q425" i="2"/>
  <c r="Z421" i="2"/>
  <c r="Y421" i="2"/>
  <c r="X421" i="2"/>
  <c r="W421" i="2"/>
  <c r="U421" i="2"/>
  <c r="V421" i="2"/>
  <c r="T421" i="2"/>
  <c r="S421" i="2"/>
  <c r="N421" i="2"/>
  <c r="R421" i="2"/>
  <c r="P421" i="2"/>
  <c r="O421" i="2"/>
  <c r="Q421" i="2"/>
  <c r="Z417" i="2"/>
  <c r="Y417" i="2"/>
  <c r="X417" i="2"/>
  <c r="W417" i="2"/>
  <c r="U417" i="2"/>
  <c r="T417" i="2"/>
  <c r="S417" i="2"/>
  <c r="N417" i="2"/>
  <c r="V417" i="2"/>
  <c r="R417" i="2"/>
  <c r="P417" i="2"/>
  <c r="O417" i="2"/>
  <c r="Q417" i="2"/>
  <c r="Z413" i="2"/>
  <c r="Y413" i="2"/>
  <c r="X413" i="2"/>
  <c r="W413" i="2"/>
  <c r="U413" i="2"/>
  <c r="V413" i="2"/>
  <c r="T413" i="2"/>
  <c r="S413" i="2"/>
  <c r="N413" i="2"/>
  <c r="R413" i="2"/>
  <c r="P413" i="2"/>
  <c r="O413" i="2"/>
  <c r="Q413" i="2"/>
  <c r="Z409" i="2"/>
  <c r="Y409" i="2"/>
  <c r="X409" i="2"/>
  <c r="W409" i="2"/>
  <c r="U409" i="2"/>
  <c r="V409" i="2"/>
  <c r="S409" i="2"/>
  <c r="N409" i="2"/>
  <c r="T409" i="2"/>
  <c r="R409" i="2"/>
  <c r="P409" i="2"/>
  <c r="O409" i="2"/>
  <c r="Q409" i="2"/>
  <c r="Z405" i="2"/>
  <c r="Y405" i="2"/>
  <c r="X405" i="2"/>
  <c r="W405" i="2"/>
  <c r="U405" i="2"/>
  <c r="V405" i="2"/>
  <c r="T405" i="2"/>
  <c r="S405" i="2"/>
  <c r="N405" i="2"/>
  <c r="R405" i="2"/>
  <c r="P405" i="2"/>
  <c r="O405" i="2"/>
  <c r="Q405" i="2"/>
  <c r="Z401" i="2"/>
  <c r="Y401" i="2"/>
  <c r="X401" i="2"/>
  <c r="W401" i="2"/>
  <c r="U401" i="2"/>
  <c r="T401" i="2"/>
  <c r="S401" i="2"/>
  <c r="V401" i="2"/>
  <c r="N401" i="2"/>
  <c r="R401" i="2"/>
  <c r="P401" i="2"/>
  <c r="O401" i="2"/>
  <c r="Q401" i="2"/>
  <c r="Z397" i="2"/>
  <c r="Y397" i="2"/>
  <c r="X397" i="2"/>
  <c r="W397" i="2"/>
  <c r="U397" i="2"/>
  <c r="V397" i="2"/>
  <c r="T397" i="2"/>
  <c r="S397" i="2"/>
  <c r="N397" i="2"/>
  <c r="R397" i="2"/>
  <c r="P397" i="2"/>
  <c r="O397" i="2"/>
  <c r="Q397" i="2"/>
  <c r="Z393" i="2"/>
  <c r="Y393" i="2"/>
  <c r="X393" i="2"/>
  <c r="W393" i="2"/>
  <c r="U393" i="2"/>
  <c r="V393" i="2"/>
  <c r="S393" i="2"/>
  <c r="N393" i="2"/>
  <c r="R393" i="2"/>
  <c r="P393" i="2"/>
  <c r="O393" i="2"/>
  <c r="T393" i="2"/>
  <c r="Q393" i="2"/>
  <c r="Z389" i="2"/>
  <c r="Y389" i="2"/>
  <c r="X389" i="2"/>
  <c r="W389" i="2"/>
  <c r="U389" i="2"/>
  <c r="V389" i="2"/>
  <c r="T389" i="2"/>
  <c r="S389" i="2"/>
  <c r="N389" i="2"/>
  <c r="R389" i="2"/>
  <c r="P389" i="2"/>
  <c r="O389" i="2"/>
  <c r="Q389" i="2"/>
  <c r="Z385" i="2"/>
  <c r="Y385" i="2"/>
  <c r="X385" i="2"/>
  <c r="W385" i="2"/>
  <c r="U385" i="2"/>
  <c r="T385" i="2"/>
  <c r="S385" i="2"/>
  <c r="N385" i="2"/>
  <c r="R385" i="2"/>
  <c r="P385" i="2"/>
  <c r="O385" i="2"/>
  <c r="V385" i="2"/>
  <c r="Q385" i="2"/>
  <c r="Z381" i="2"/>
  <c r="Y381" i="2"/>
  <c r="X381" i="2"/>
  <c r="W381" i="2"/>
  <c r="U381" i="2"/>
  <c r="V381" i="2"/>
  <c r="T381" i="2"/>
  <c r="S381" i="2"/>
  <c r="N381" i="2"/>
  <c r="R381" i="2"/>
  <c r="P381" i="2"/>
  <c r="O381" i="2"/>
  <c r="Q381" i="2"/>
  <c r="Z377" i="2"/>
  <c r="Y377" i="2"/>
  <c r="X377" i="2"/>
  <c r="W377" i="2"/>
  <c r="U377" i="2"/>
  <c r="V377" i="2"/>
  <c r="S377" i="2"/>
  <c r="N377" i="2"/>
  <c r="R377" i="2"/>
  <c r="P377" i="2"/>
  <c r="O377" i="2"/>
  <c r="T377" i="2"/>
  <c r="Q377" i="2"/>
  <c r="Z373" i="2"/>
  <c r="Y373" i="2"/>
  <c r="X373" i="2"/>
  <c r="W373" i="2"/>
  <c r="U373" i="2"/>
  <c r="V373" i="2"/>
  <c r="T373" i="2"/>
  <c r="S373" i="2"/>
  <c r="N373" i="2"/>
  <c r="R373" i="2"/>
  <c r="P373" i="2"/>
  <c r="O373" i="2"/>
  <c r="Q373" i="2"/>
  <c r="Z369" i="2"/>
  <c r="Y369" i="2"/>
  <c r="X369" i="2"/>
  <c r="W369" i="2"/>
  <c r="U369" i="2"/>
  <c r="T369" i="2"/>
  <c r="S369" i="2"/>
  <c r="N369" i="2"/>
  <c r="R369" i="2"/>
  <c r="P369" i="2"/>
  <c r="O369" i="2"/>
  <c r="V369" i="2"/>
  <c r="Q369" i="2"/>
  <c r="Z365" i="2"/>
  <c r="Y365" i="2"/>
  <c r="X365" i="2"/>
  <c r="W365" i="2"/>
  <c r="U365" i="2"/>
  <c r="V365" i="2"/>
  <c r="T365" i="2"/>
  <c r="S365" i="2"/>
  <c r="N365" i="2"/>
  <c r="R365" i="2"/>
  <c r="P365" i="2"/>
  <c r="O365" i="2"/>
  <c r="Q365" i="2"/>
  <c r="Z361" i="2"/>
  <c r="Y361" i="2"/>
  <c r="X361" i="2"/>
  <c r="W361" i="2"/>
  <c r="U361" i="2"/>
  <c r="V361" i="2"/>
  <c r="S361" i="2"/>
  <c r="T361" i="2"/>
  <c r="N361" i="2"/>
  <c r="R361" i="2"/>
  <c r="P361" i="2"/>
  <c r="O361" i="2"/>
  <c r="Q361" i="2"/>
  <c r="Z357" i="2"/>
  <c r="Y357" i="2"/>
  <c r="X357" i="2"/>
  <c r="W357" i="2"/>
  <c r="U357" i="2"/>
  <c r="V357" i="2"/>
  <c r="T357" i="2"/>
  <c r="S357" i="2"/>
  <c r="N357" i="2"/>
  <c r="R357" i="2"/>
  <c r="P357" i="2"/>
  <c r="O357" i="2"/>
  <c r="Q357" i="2"/>
  <c r="Z353" i="2"/>
  <c r="Y353" i="2"/>
  <c r="X353" i="2"/>
  <c r="W353" i="2"/>
  <c r="U353" i="2"/>
  <c r="T353" i="2"/>
  <c r="S353" i="2"/>
  <c r="N353" i="2"/>
  <c r="V353" i="2"/>
  <c r="R353" i="2"/>
  <c r="P353" i="2"/>
  <c r="O353" i="2"/>
  <c r="Q353" i="2"/>
  <c r="Z349" i="2"/>
  <c r="Y349" i="2"/>
  <c r="X349" i="2"/>
  <c r="W349" i="2"/>
  <c r="U349" i="2"/>
  <c r="V349" i="2"/>
  <c r="T349" i="2"/>
  <c r="S349" i="2"/>
  <c r="N349" i="2"/>
  <c r="R349" i="2"/>
  <c r="P349" i="2"/>
  <c r="O349" i="2"/>
  <c r="Q349" i="2"/>
  <c r="Z345" i="2"/>
  <c r="Y345" i="2"/>
  <c r="X345" i="2"/>
  <c r="W345" i="2"/>
  <c r="U345" i="2"/>
  <c r="V345" i="2"/>
  <c r="S345" i="2"/>
  <c r="N345" i="2"/>
  <c r="T345" i="2"/>
  <c r="R345" i="2"/>
  <c r="P345" i="2"/>
  <c r="O345" i="2"/>
  <c r="Q345" i="2"/>
  <c r="Z341" i="2"/>
  <c r="Y341" i="2"/>
  <c r="X341" i="2"/>
  <c r="W341" i="2"/>
  <c r="U341" i="2"/>
  <c r="V341" i="2"/>
  <c r="T341" i="2"/>
  <c r="S341" i="2"/>
  <c r="N341" i="2"/>
  <c r="P341" i="2"/>
  <c r="O341" i="2"/>
  <c r="R341" i="2"/>
  <c r="Q341" i="2"/>
  <c r="Z337" i="2"/>
  <c r="Y337" i="2"/>
  <c r="X337" i="2"/>
  <c r="W337" i="2"/>
  <c r="U337" i="2"/>
  <c r="T337" i="2"/>
  <c r="S337" i="2"/>
  <c r="V337" i="2"/>
  <c r="N337" i="2"/>
  <c r="P337" i="2"/>
  <c r="O337" i="2"/>
  <c r="R337" i="2"/>
  <c r="Q337" i="2"/>
  <c r="Y333" i="2"/>
  <c r="Z333" i="2"/>
  <c r="X333" i="2"/>
  <c r="W333" i="2"/>
  <c r="U333" i="2"/>
  <c r="R333" i="2"/>
  <c r="V333" i="2"/>
  <c r="T333" i="2"/>
  <c r="S333" i="2"/>
  <c r="N333" i="2"/>
  <c r="P333" i="2"/>
  <c r="O333" i="2"/>
  <c r="Q333" i="2"/>
  <c r="Z329" i="2"/>
  <c r="Y329" i="2"/>
  <c r="X329" i="2"/>
  <c r="W329" i="2"/>
  <c r="U329" i="2"/>
  <c r="V329" i="2"/>
  <c r="R329" i="2"/>
  <c r="S329" i="2"/>
  <c r="N329" i="2"/>
  <c r="P329" i="2"/>
  <c r="O329" i="2"/>
  <c r="T329" i="2"/>
  <c r="Q329" i="2"/>
  <c r="Z325" i="2"/>
  <c r="Y325" i="2"/>
  <c r="X325" i="2"/>
  <c r="W325" i="2"/>
  <c r="U325" i="2"/>
  <c r="V325" i="2"/>
  <c r="T325" i="2"/>
  <c r="R325" i="2"/>
  <c r="S325" i="2"/>
  <c r="N325" i="2"/>
  <c r="P325" i="2"/>
  <c r="O325" i="2"/>
  <c r="Q325" i="2"/>
  <c r="Z321" i="2"/>
  <c r="Y321" i="2"/>
  <c r="X321" i="2"/>
  <c r="W321" i="2"/>
  <c r="U321" i="2"/>
  <c r="T321" i="2"/>
  <c r="R321" i="2"/>
  <c r="S321" i="2"/>
  <c r="N321" i="2"/>
  <c r="P321" i="2"/>
  <c r="O321" i="2"/>
  <c r="Q321" i="2"/>
  <c r="V321" i="2"/>
  <c r="Y317" i="2"/>
  <c r="Z317" i="2"/>
  <c r="X317" i="2"/>
  <c r="W317" i="2"/>
  <c r="U317" i="2"/>
  <c r="R317" i="2"/>
  <c r="V317" i="2"/>
  <c r="T317" i="2"/>
  <c r="S317" i="2"/>
  <c r="N317" i="2"/>
  <c r="P317" i="2"/>
  <c r="O317" i="2"/>
  <c r="Q317" i="2"/>
  <c r="Z313" i="2"/>
  <c r="Y313" i="2"/>
  <c r="X313" i="2"/>
  <c r="W313" i="2"/>
  <c r="U313" i="2"/>
  <c r="V313" i="2"/>
  <c r="R313" i="2"/>
  <c r="S313" i="2"/>
  <c r="N313" i="2"/>
  <c r="P313" i="2"/>
  <c r="O313" i="2"/>
  <c r="T313" i="2"/>
  <c r="Q313" i="2"/>
  <c r="Z309" i="2"/>
  <c r="Y309" i="2"/>
  <c r="X309" i="2"/>
  <c r="W309" i="2"/>
  <c r="U309" i="2"/>
  <c r="V309" i="2"/>
  <c r="T309" i="2"/>
  <c r="R309" i="2"/>
  <c r="S309" i="2"/>
  <c r="N309" i="2"/>
  <c r="P309" i="2"/>
  <c r="O309" i="2"/>
  <c r="Q309" i="2"/>
  <c r="Z305" i="2"/>
  <c r="Y305" i="2"/>
  <c r="X305" i="2"/>
  <c r="W305" i="2"/>
  <c r="U305" i="2"/>
  <c r="T305" i="2"/>
  <c r="R305" i="2"/>
  <c r="S305" i="2"/>
  <c r="N305" i="2"/>
  <c r="P305" i="2"/>
  <c r="O305" i="2"/>
  <c r="V305" i="2"/>
  <c r="Q305" i="2"/>
  <c r="Z301" i="2"/>
  <c r="Y301" i="2"/>
  <c r="X301" i="2"/>
  <c r="W301" i="2"/>
  <c r="U301" i="2"/>
  <c r="R301" i="2"/>
  <c r="V301" i="2"/>
  <c r="T301" i="2"/>
  <c r="S301" i="2"/>
  <c r="N301" i="2"/>
  <c r="P301" i="2"/>
  <c r="O301" i="2"/>
  <c r="Q301" i="2"/>
  <c r="Z297" i="2"/>
  <c r="Y297" i="2"/>
  <c r="X297" i="2"/>
  <c r="W297" i="2"/>
  <c r="U297" i="2"/>
  <c r="V297" i="2"/>
  <c r="R297" i="2"/>
  <c r="S297" i="2"/>
  <c r="T297" i="2"/>
  <c r="N297" i="2"/>
  <c r="P297" i="2"/>
  <c r="O297" i="2"/>
  <c r="Q297" i="2"/>
  <c r="Z293" i="2"/>
  <c r="Y293" i="2"/>
  <c r="X293" i="2"/>
  <c r="W293" i="2"/>
  <c r="U293" i="2"/>
  <c r="V293" i="2"/>
  <c r="T293" i="2"/>
  <c r="R293" i="2"/>
  <c r="S293" i="2"/>
  <c r="N293" i="2"/>
  <c r="P293" i="2"/>
  <c r="O293" i="2"/>
  <c r="Q293" i="2"/>
  <c r="Z289" i="2"/>
  <c r="Y289" i="2"/>
  <c r="X289" i="2"/>
  <c r="W289" i="2"/>
  <c r="U289" i="2"/>
  <c r="T289" i="2"/>
  <c r="R289" i="2"/>
  <c r="S289" i="2"/>
  <c r="N289" i="2"/>
  <c r="V289" i="2"/>
  <c r="P289" i="2"/>
  <c r="O289" i="2"/>
  <c r="Q289" i="2"/>
  <c r="Z285" i="2"/>
  <c r="Y285" i="2"/>
  <c r="X285" i="2"/>
  <c r="W285" i="2"/>
  <c r="U285" i="2"/>
  <c r="R285" i="2"/>
  <c r="V285" i="2"/>
  <c r="T285" i="2"/>
  <c r="S285" i="2"/>
  <c r="N285" i="2"/>
  <c r="P285" i="2"/>
  <c r="O285" i="2"/>
  <c r="Q285" i="2"/>
  <c r="Z281" i="2"/>
  <c r="Y281" i="2"/>
  <c r="X281" i="2"/>
  <c r="W281" i="2"/>
  <c r="U281" i="2"/>
  <c r="V281" i="2"/>
  <c r="R281" i="2"/>
  <c r="S281" i="2"/>
  <c r="N281" i="2"/>
  <c r="T281" i="2"/>
  <c r="P281" i="2"/>
  <c r="O281" i="2"/>
  <c r="Q281" i="2"/>
  <c r="Z277" i="2"/>
  <c r="Y277" i="2"/>
  <c r="X277" i="2"/>
  <c r="W277" i="2"/>
  <c r="U277" i="2"/>
  <c r="V277" i="2"/>
  <c r="T277" i="2"/>
  <c r="R277" i="2"/>
  <c r="S277" i="2"/>
  <c r="N277" i="2"/>
  <c r="P277" i="2"/>
  <c r="O277" i="2"/>
  <c r="Q277" i="2"/>
  <c r="Z273" i="2"/>
  <c r="Y273" i="2"/>
  <c r="X273" i="2"/>
  <c r="W273" i="2"/>
  <c r="U273" i="2"/>
  <c r="T273" i="2"/>
  <c r="R273" i="2"/>
  <c r="S273" i="2"/>
  <c r="V273" i="2"/>
  <c r="N273" i="2"/>
  <c r="P273" i="2"/>
  <c r="O273" i="2"/>
  <c r="Q273" i="2"/>
  <c r="Y269" i="2"/>
  <c r="X269" i="2"/>
  <c r="Z269" i="2"/>
  <c r="W269" i="2"/>
  <c r="U269" i="2"/>
  <c r="R269" i="2"/>
  <c r="V269" i="2"/>
  <c r="T269" i="2"/>
  <c r="S269" i="2"/>
  <c r="N269" i="2"/>
  <c r="P269" i="2"/>
  <c r="O269" i="2"/>
  <c r="Q269" i="2"/>
  <c r="Z265" i="2"/>
  <c r="Y265" i="2"/>
  <c r="X265" i="2"/>
  <c r="W265" i="2"/>
  <c r="U265" i="2"/>
  <c r="V265" i="2"/>
  <c r="R265" i="2"/>
  <c r="S265" i="2"/>
  <c r="N265" i="2"/>
  <c r="P265" i="2"/>
  <c r="O265" i="2"/>
  <c r="T265" i="2"/>
  <c r="Q265" i="2"/>
  <c r="Z261" i="2"/>
  <c r="Y261" i="2"/>
  <c r="X261" i="2"/>
  <c r="W261" i="2"/>
  <c r="U261" i="2"/>
  <c r="V261" i="2"/>
  <c r="T261" i="2"/>
  <c r="R261" i="2"/>
  <c r="S261" i="2"/>
  <c r="N261" i="2"/>
  <c r="P261" i="2"/>
  <c r="O261" i="2"/>
  <c r="Q261" i="2"/>
  <c r="Z257" i="2"/>
  <c r="Y257" i="2"/>
  <c r="X257" i="2"/>
  <c r="W257" i="2"/>
  <c r="U257" i="2"/>
  <c r="T257" i="2"/>
  <c r="R257" i="2"/>
  <c r="S257" i="2"/>
  <c r="N257" i="2"/>
  <c r="P257" i="2"/>
  <c r="O257" i="2"/>
  <c r="Q257" i="2"/>
  <c r="V257" i="2"/>
  <c r="Y253" i="2"/>
  <c r="Z253" i="2"/>
  <c r="X253" i="2"/>
  <c r="W253" i="2"/>
  <c r="U253" i="2"/>
  <c r="R253" i="2"/>
  <c r="V253" i="2"/>
  <c r="T253" i="2"/>
  <c r="S253" i="2"/>
  <c r="N253" i="2"/>
  <c r="P253" i="2"/>
  <c r="O253" i="2"/>
  <c r="Q253" i="2"/>
  <c r="Z249" i="2"/>
  <c r="Y249" i="2"/>
  <c r="X249" i="2"/>
  <c r="W249" i="2"/>
  <c r="U249" i="2"/>
  <c r="V249" i="2"/>
  <c r="R249" i="2"/>
  <c r="S249" i="2"/>
  <c r="N249" i="2"/>
  <c r="P249" i="2"/>
  <c r="O249" i="2"/>
  <c r="T249" i="2"/>
  <c r="Q249" i="2"/>
  <c r="Z245" i="2"/>
  <c r="Y245" i="2"/>
  <c r="X245" i="2"/>
  <c r="W245" i="2"/>
  <c r="U245" i="2"/>
  <c r="V245" i="2"/>
  <c r="T245" i="2"/>
  <c r="R245" i="2"/>
  <c r="S245" i="2"/>
  <c r="N245" i="2"/>
  <c r="P245" i="2"/>
  <c r="O245" i="2"/>
  <c r="Q245" i="2"/>
  <c r="Z241" i="2"/>
  <c r="Y241" i="2"/>
  <c r="X241" i="2"/>
  <c r="W241" i="2"/>
  <c r="U241" i="2"/>
  <c r="T241" i="2"/>
  <c r="R241" i="2"/>
  <c r="S241" i="2"/>
  <c r="N241" i="2"/>
  <c r="P241" i="2"/>
  <c r="O241" i="2"/>
  <c r="V241" i="2"/>
  <c r="Q241" i="2"/>
  <c r="Z237" i="2"/>
  <c r="Y237" i="2"/>
  <c r="X237" i="2"/>
  <c r="W237" i="2"/>
  <c r="U237" i="2"/>
  <c r="R237" i="2"/>
  <c r="V237" i="2"/>
  <c r="T237" i="2"/>
  <c r="S237" i="2"/>
  <c r="N237" i="2"/>
  <c r="P237" i="2"/>
  <c r="O237" i="2"/>
  <c r="Q237" i="2"/>
  <c r="Z233" i="2"/>
  <c r="Y233" i="2"/>
  <c r="X233" i="2"/>
  <c r="W233" i="2"/>
  <c r="U233" i="2"/>
  <c r="V233" i="2"/>
  <c r="R233" i="2"/>
  <c r="S233" i="2"/>
  <c r="T233" i="2"/>
  <c r="N233" i="2"/>
  <c r="P233" i="2"/>
  <c r="O233" i="2"/>
  <c r="Q233" i="2"/>
  <c r="Z229" i="2"/>
  <c r="Y229" i="2"/>
  <c r="X229" i="2"/>
  <c r="W229" i="2"/>
  <c r="U229" i="2"/>
  <c r="V229" i="2"/>
  <c r="T229" i="2"/>
  <c r="R229" i="2"/>
  <c r="S229" i="2"/>
  <c r="N229" i="2"/>
  <c r="P229" i="2"/>
  <c r="O229" i="2"/>
  <c r="Q229" i="2"/>
  <c r="Z225" i="2"/>
  <c r="Y225" i="2"/>
  <c r="X225" i="2"/>
  <c r="W225" i="2"/>
  <c r="U225" i="2"/>
  <c r="T225" i="2"/>
  <c r="R225" i="2"/>
  <c r="S225" i="2"/>
  <c r="N225" i="2"/>
  <c r="V225" i="2"/>
  <c r="P225" i="2"/>
  <c r="O225" i="2"/>
  <c r="Q225" i="2"/>
  <c r="Z221" i="2"/>
  <c r="Y221" i="2"/>
  <c r="X221" i="2"/>
  <c r="W221" i="2"/>
  <c r="U221" i="2"/>
  <c r="R221" i="2"/>
  <c r="V221" i="2"/>
  <c r="T221" i="2"/>
  <c r="S221" i="2"/>
  <c r="N221" i="2"/>
  <c r="P221" i="2"/>
  <c r="O221" i="2"/>
  <c r="Q221" i="2"/>
  <c r="Z217" i="2"/>
  <c r="Y217" i="2"/>
  <c r="X217" i="2"/>
  <c r="W217" i="2"/>
  <c r="U217" i="2"/>
  <c r="V217" i="2"/>
  <c r="R217" i="2"/>
  <c r="S217" i="2"/>
  <c r="N217" i="2"/>
  <c r="T217" i="2"/>
  <c r="P217" i="2"/>
  <c r="O217" i="2"/>
  <c r="Q217" i="2"/>
  <c r="Z213" i="2"/>
  <c r="Y213" i="2"/>
  <c r="X213" i="2"/>
  <c r="W213" i="2"/>
  <c r="U213" i="2"/>
  <c r="V213" i="2"/>
  <c r="T213" i="2"/>
  <c r="R213" i="2"/>
  <c r="S213" i="2"/>
  <c r="N213" i="2"/>
  <c r="P213" i="2"/>
  <c r="O213" i="2"/>
  <c r="Q213" i="2"/>
  <c r="Z209" i="2"/>
  <c r="Y209" i="2"/>
  <c r="X209" i="2"/>
  <c r="W209" i="2"/>
  <c r="U209" i="2"/>
  <c r="T209" i="2"/>
  <c r="R209" i="2"/>
  <c r="S209" i="2"/>
  <c r="V209" i="2"/>
  <c r="N209" i="2"/>
  <c r="P209" i="2"/>
  <c r="O209" i="2"/>
  <c r="Q209" i="2"/>
  <c r="Y205" i="2"/>
  <c r="Z205" i="2"/>
  <c r="X205" i="2"/>
  <c r="W205" i="2"/>
  <c r="U205" i="2"/>
  <c r="R205" i="2"/>
  <c r="V205" i="2"/>
  <c r="T205" i="2"/>
  <c r="S205" i="2"/>
  <c r="N205" i="2"/>
  <c r="P205" i="2"/>
  <c r="O205" i="2"/>
  <c r="Q205" i="2"/>
  <c r="Z201" i="2"/>
  <c r="Y201" i="2"/>
  <c r="X201" i="2"/>
  <c r="W201" i="2"/>
  <c r="V201" i="2"/>
  <c r="U201" i="2"/>
  <c r="R201" i="2"/>
  <c r="S201" i="2"/>
  <c r="N201" i="2"/>
  <c r="P201" i="2"/>
  <c r="O201" i="2"/>
  <c r="T201" i="2"/>
  <c r="Q201" i="2"/>
  <c r="Z197" i="2"/>
  <c r="Y197" i="2"/>
  <c r="X197" i="2"/>
  <c r="W197" i="2"/>
  <c r="V197" i="2"/>
  <c r="U197" i="2"/>
  <c r="T197" i="2"/>
  <c r="R197" i="2"/>
  <c r="S197" i="2"/>
  <c r="N197" i="2"/>
  <c r="P197" i="2"/>
  <c r="O197" i="2"/>
  <c r="Q197" i="2"/>
  <c r="Z193" i="2"/>
  <c r="Y193" i="2"/>
  <c r="X193" i="2"/>
  <c r="W193" i="2"/>
  <c r="V193" i="2"/>
  <c r="U193" i="2"/>
  <c r="T193" i="2"/>
  <c r="R193" i="2"/>
  <c r="S193" i="2"/>
  <c r="N193" i="2"/>
  <c r="P193" i="2"/>
  <c r="O193" i="2"/>
  <c r="Q193" i="2"/>
  <c r="Y189" i="2"/>
  <c r="Z189" i="2"/>
  <c r="X189" i="2"/>
  <c r="W189" i="2"/>
  <c r="V189" i="2"/>
  <c r="U189" i="2"/>
  <c r="R189" i="2"/>
  <c r="T189" i="2"/>
  <c r="S189" i="2"/>
  <c r="N189" i="2"/>
  <c r="P189" i="2"/>
  <c r="O189" i="2"/>
  <c r="Q189" i="2"/>
  <c r="Z185" i="2"/>
  <c r="Y185" i="2"/>
  <c r="X185" i="2"/>
  <c r="W185" i="2"/>
  <c r="V185" i="2"/>
  <c r="U185" i="2"/>
  <c r="R185" i="2"/>
  <c r="S185" i="2"/>
  <c r="N185" i="2"/>
  <c r="P185" i="2"/>
  <c r="O185" i="2"/>
  <c r="T185" i="2"/>
  <c r="Q185" i="2"/>
  <c r="Z181" i="2"/>
  <c r="Y181" i="2"/>
  <c r="X181" i="2"/>
  <c r="W181" i="2"/>
  <c r="V181" i="2"/>
  <c r="U181" i="2"/>
  <c r="T181" i="2"/>
  <c r="R181" i="2"/>
  <c r="S181" i="2"/>
  <c r="N181" i="2"/>
  <c r="P181" i="2"/>
  <c r="O181" i="2"/>
  <c r="Q181" i="2"/>
  <c r="Z177" i="2"/>
  <c r="Y177" i="2"/>
  <c r="X177" i="2"/>
  <c r="V177" i="2"/>
  <c r="W177" i="2"/>
  <c r="U177" i="2"/>
  <c r="T177" i="2"/>
  <c r="R177" i="2"/>
  <c r="S177" i="2"/>
  <c r="N177" i="2"/>
  <c r="P177" i="2"/>
  <c r="O177" i="2"/>
  <c r="Q177" i="2"/>
  <c r="Z173" i="2"/>
  <c r="Y173" i="2"/>
  <c r="X173" i="2"/>
  <c r="W173" i="2"/>
  <c r="V173" i="2"/>
  <c r="U173" i="2"/>
  <c r="R173" i="2"/>
  <c r="T173" i="2"/>
  <c r="S173" i="2"/>
  <c r="N173" i="2"/>
  <c r="P173" i="2"/>
  <c r="O173" i="2"/>
  <c r="Q173" i="2"/>
  <c r="Z169" i="2"/>
  <c r="Y169" i="2"/>
  <c r="X169" i="2"/>
  <c r="W169" i="2"/>
  <c r="V169" i="2"/>
  <c r="U169" i="2"/>
  <c r="R169" i="2"/>
  <c r="S169" i="2"/>
  <c r="T169" i="2"/>
  <c r="N169" i="2"/>
  <c r="P169" i="2"/>
  <c r="O169" i="2"/>
  <c r="Q169" i="2"/>
  <c r="Z165" i="2"/>
  <c r="Y165" i="2"/>
  <c r="W165" i="2"/>
  <c r="X165" i="2"/>
  <c r="V165" i="2"/>
  <c r="U165" i="2"/>
  <c r="T165" i="2"/>
  <c r="R165" i="2"/>
  <c r="S165" i="2"/>
  <c r="N165" i="2"/>
  <c r="P165" i="2"/>
  <c r="O165" i="2"/>
  <c r="Q165" i="2"/>
  <c r="Z161" i="2"/>
  <c r="Y161" i="2"/>
  <c r="W161" i="2"/>
  <c r="X161" i="2"/>
  <c r="V161" i="2"/>
  <c r="U161" i="2"/>
  <c r="T161" i="2"/>
  <c r="R161" i="2"/>
  <c r="S161" i="2"/>
  <c r="N161" i="2"/>
  <c r="P161" i="2"/>
  <c r="O161" i="2"/>
  <c r="Q161" i="2"/>
  <c r="Z157" i="2"/>
  <c r="Y157" i="2"/>
  <c r="X157" i="2"/>
  <c r="W157" i="2"/>
  <c r="V157" i="2"/>
  <c r="U157" i="2"/>
  <c r="R157" i="2"/>
  <c r="T157" i="2"/>
  <c r="S157" i="2"/>
  <c r="N157" i="2"/>
  <c r="P157" i="2"/>
  <c r="O157" i="2"/>
  <c r="Q157" i="2"/>
  <c r="Z153" i="2"/>
  <c r="Y153" i="2"/>
  <c r="W153" i="2"/>
  <c r="X153" i="2"/>
  <c r="V153" i="2"/>
  <c r="U153" i="2"/>
  <c r="R153" i="2"/>
  <c r="S153" i="2"/>
  <c r="N153" i="2"/>
  <c r="T153" i="2"/>
  <c r="P153" i="2"/>
  <c r="O153" i="2"/>
  <c r="Q153" i="2"/>
  <c r="Z149" i="2"/>
  <c r="Y149" i="2"/>
  <c r="X149" i="2"/>
  <c r="W149" i="2"/>
  <c r="V149" i="2"/>
  <c r="U149" i="2"/>
  <c r="T149" i="2"/>
  <c r="R149" i="2"/>
  <c r="S149" i="2"/>
  <c r="N149" i="2"/>
  <c r="P149" i="2"/>
  <c r="O149" i="2"/>
  <c r="Q149" i="2"/>
  <c r="Z145" i="2"/>
  <c r="Y145" i="2"/>
  <c r="W145" i="2"/>
  <c r="X145" i="2"/>
  <c r="V145" i="2"/>
  <c r="U145" i="2"/>
  <c r="T145" i="2"/>
  <c r="R145" i="2"/>
  <c r="S145" i="2"/>
  <c r="N145" i="2"/>
  <c r="P145" i="2"/>
  <c r="O145" i="2"/>
  <c r="Q145" i="2"/>
  <c r="Y141" i="2"/>
  <c r="X141" i="2"/>
  <c r="Z141" i="2"/>
  <c r="W141" i="2"/>
  <c r="V141" i="2"/>
  <c r="U141" i="2"/>
  <c r="R141" i="2"/>
  <c r="T141" i="2"/>
  <c r="S141" i="2"/>
  <c r="N141" i="2"/>
  <c r="P141" i="2"/>
  <c r="O141" i="2"/>
  <c r="Q141" i="2"/>
  <c r="Z137" i="2"/>
  <c r="Y137" i="2"/>
  <c r="W137" i="2"/>
  <c r="X137" i="2"/>
  <c r="V137" i="2"/>
  <c r="U137" i="2"/>
  <c r="R137" i="2"/>
  <c r="S137" i="2"/>
  <c r="N137" i="2"/>
  <c r="P137" i="2"/>
  <c r="O137" i="2"/>
  <c r="T137" i="2"/>
  <c r="Q137" i="2"/>
  <c r="Z133" i="2"/>
  <c r="Y133" i="2"/>
  <c r="X133" i="2"/>
  <c r="W133" i="2"/>
  <c r="V133" i="2"/>
  <c r="U133" i="2"/>
  <c r="T133" i="2"/>
  <c r="R133" i="2"/>
  <c r="S133" i="2"/>
  <c r="N133" i="2"/>
  <c r="P133" i="2"/>
  <c r="O133" i="2"/>
  <c r="Q133" i="2"/>
  <c r="Z129" i="2"/>
  <c r="Y129" i="2"/>
  <c r="W129" i="2"/>
  <c r="X129" i="2"/>
  <c r="V129" i="2"/>
  <c r="U129" i="2"/>
  <c r="T129" i="2"/>
  <c r="R129" i="2"/>
  <c r="S129" i="2"/>
  <c r="N129" i="2"/>
  <c r="P129" i="2"/>
  <c r="O129" i="2"/>
  <c r="Q129" i="2"/>
  <c r="Y125" i="2"/>
  <c r="Z125" i="2"/>
  <c r="X125" i="2"/>
  <c r="W125" i="2"/>
  <c r="V125" i="2"/>
  <c r="U125" i="2"/>
  <c r="R125" i="2"/>
  <c r="T125" i="2"/>
  <c r="S125" i="2"/>
  <c r="N125" i="2"/>
  <c r="P125" i="2"/>
  <c r="O125" i="2"/>
  <c r="Q125" i="2"/>
  <c r="Z121" i="2"/>
  <c r="X121" i="2"/>
  <c r="Y121" i="2"/>
  <c r="W121" i="2"/>
  <c r="V121" i="2"/>
  <c r="U121" i="2"/>
  <c r="R121" i="2"/>
  <c r="S121" i="2"/>
  <c r="N121" i="2"/>
  <c r="P121" i="2"/>
  <c r="O121" i="2"/>
  <c r="T121" i="2"/>
  <c r="Q121" i="2"/>
  <c r="Z117" i="2"/>
  <c r="X117" i="2"/>
  <c r="Y117" i="2"/>
  <c r="W117" i="2"/>
  <c r="V117" i="2"/>
  <c r="U117" i="2"/>
  <c r="T117" i="2"/>
  <c r="R117" i="2"/>
  <c r="S117" i="2"/>
  <c r="N117" i="2"/>
  <c r="P117" i="2"/>
  <c r="O117" i="2"/>
  <c r="Q117" i="2"/>
  <c r="Z113" i="2"/>
  <c r="X113" i="2"/>
  <c r="Y113" i="2"/>
  <c r="W113" i="2"/>
  <c r="V113" i="2"/>
  <c r="U113" i="2"/>
  <c r="R113" i="2"/>
  <c r="T113" i="2"/>
  <c r="S113" i="2"/>
  <c r="N113" i="2"/>
  <c r="P113" i="2"/>
  <c r="O113" i="2"/>
  <c r="Q113" i="2"/>
  <c r="X109" i="2"/>
  <c r="Z109" i="2"/>
  <c r="Y109" i="2"/>
  <c r="W109" i="2"/>
  <c r="V109" i="2"/>
  <c r="U109" i="2"/>
  <c r="T109" i="2"/>
  <c r="R109" i="2"/>
  <c r="S109" i="2"/>
  <c r="N109" i="2"/>
  <c r="P109" i="2"/>
  <c r="O109" i="2"/>
  <c r="Q109" i="2"/>
  <c r="Z105" i="2"/>
  <c r="X105" i="2"/>
  <c r="Y105" i="2"/>
  <c r="W105" i="2"/>
  <c r="V105" i="2"/>
  <c r="U105" i="2"/>
  <c r="R105" i="2"/>
  <c r="T105" i="2"/>
  <c r="S105" i="2"/>
  <c r="N105" i="2"/>
  <c r="P105" i="2"/>
  <c r="O105" i="2"/>
  <c r="Q105" i="2"/>
  <c r="Z101" i="2"/>
  <c r="X101" i="2"/>
  <c r="Y101" i="2"/>
  <c r="W101" i="2"/>
  <c r="V101" i="2"/>
  <c r="U101" i="2"/>
  <c r="T101" i="2"/>
  <c r="R101" i="2"/>
  <c r="S101" i="2"/>
  <c r="N101" i="2"/>
  <c r="P101" i="2"/>
  <c r="O101" i="2"/>
  <c r="Q101" i="2"/>
  <c r="Z97" i="2"/>
  <c r="X97" i="2"/>
  <c r="Y97" i="2"/>
  <c r="W97" i="2"/>
  <c r="V97" i="2"/>
  <c r="U97" i="2"/>
  <c r="R97" i="2"/>
  <c r="T97" i="2"/>
  <c r="S97" i="2"/>
  <c r="N97" i="2"/>
  <c r="P97" i="2"/>
  <c r="O97" i="2"/>
  <c r="Q97" i="2"/>
  <c r="Z93" i="2"/>
  <c r="X93" i="2"/>
  <c r="Y93" i="2"/>
  <c r="W93" i="2"/>
  <c r="V93" i="2"/>
  <c r="U93" i="2"/>
  <c r="T93" i="2"/>
  <c r="R93" i="2"/>
  <c r="S93" i="2"/>
  <c r="N93" i="2"/>
  <c r="P93" i="2"/>
  <c r="O93" i="2"/>
  <c r="Q93" i="2"/>
  <c r="Z89" i="2"/>
  <c r="X89" i="2"/>
  <c r="Y89" i="2"/>
  <c r="W89" i="2"/>
  <c r="V89" i="2"/>
  <c r="U89" i="2"/>
  <c r="R89" i="2"/>
  <c r="T89" i="2"/>
  <c r="S89" i="2"/>
  <c r="N89" i="2"/>
  <c r="P89" i="2"/>
  <c r="O89" i="2"/>
  <c r="Q89" i="2"/>
  <c r="Z85" i="2"/>
  <c r="X85" i="2"/>
  <c r="Y85" i="2"/>
  <c r="W85" i="2"/>
  <c r="V85" i="2"/>
  <c r="U85" i="2"/>
  <c r="T85" i="2"/>
  <c r="R85" i="2"/>
  <c r="S85" i="2"/>
  <c r="N85" i="2"/>
  <c r="P85" i="2"/>
  <c r="O85" i="2"/>
  <c r="Q85" i="2"/>
  <c r="Z81" i="2"/>
  <c r="X81" i="2"/>
  <c r="Y81" i="2"/>
  <c r="W81" i="2"/>
  <c r="V81" i="2"/>
  <c r="U81" i="2"/>
  <c r="R81" i="2"/>
  <c r="T81" i="2"/>
  <c r="S81" i="2"/>
  <c r="N81" i="2"/>
  <c r="P81" i="2"/>
  <c r="O81" i="2"/>
  <c r="Q81" i="2"/>
  <c r="X77" i="2"/>
  <c r="Y77" i="2"/>
  <c r="Z77" i="2"/>
  <c r="W77" i="2"/>
  <c r="V77" i="2"/>
  <c r="U77" i="2"/>
  <c r="T77" i="2"/>
  <c r="R77" i="2"/>
  <c r="S77" i="2"/>
  <c r="N77" i="2"/>
  <c r="P77" i="2"/>
  <c r="O77" i="2"/>
  <c r="Q77" i="2"/>
  <c r="Z73" i="2"/>
  <c r="X73" i="2"/>
  <c r="Y73" i="2"/>
  <c r="W73" i="2"/>
  <c r="V73" i="2"/>
  <c r="U73" i="2"/>
  <c r="R73" i="2"/>
  <c r="T73" i="2"/>
  <c r="S73" i="2"/>
  <c r="N73" i="2"/>
  <c r="P73" i="2"/>
  <c r="O73" i="2"/>
  <c r="Q73" i="2"/>
  <c r="Z69" i="2"/>
  <c r="X69" i="2"/>
  <c r="Y69" i="2"/>
  <c r="W69" i="2"/>
  <c r="V69" i="2"/>
  <c r="U69" i="2"/>
  <c r="T69" i="2"/>
  <c r="R69" i="2"/>
  <c r="S69" i="2"/>
  <c r="N69" i="2"/>
  <c r="P69" i="2"/>
  <c r="O69" i="2"/>
  <c r="Q69" i="2"/>
  <c r="Z65" i="2"/>
  <c r="X65" i="2"/>
  <c r="Y65" i="2"/>
  <c r="W65" i="2"/>
  <c r="V65" i="2"/>
  <c r="U65" i="2"/>
  <c r="R65" i="2"/>
  <c r="T65" i="2"/>
  <c r="S65" i="2"/>
  <c r="N65" i="2"/>
  <c r="P65" i="2"/>
  <c r="O65" i="2"/>
  <c r="Q65" i="2"/>
  <c r="X61" i="2"/>
  <c r="Y61" i="2"/>
  <c r="Z61" i="2"/>
  <c r="W61" i="2"/>
  <c r="V61" i="2"/>
  <c r="U61" i="2"/>
  <c r="T61" i="2"/>
  <c r="R61" i="2"/>
  <c r="S61" i="2"/>
  <c r="N61" i="2"/>
  <c r="P61" i="2"/>
  <c r="O61" i="2"/>
  <c r="Q61" i="2"/>
  <c r="Z57" i="2"/>
  <c r="X57" i="2"/>
  <c r="Y57" i="2"/>
  <c r="W57" i="2"/>
  <c r="V57" i="2"/>
  <c r="U57" i="2"/>
  <c r="R57" i="2"/>
  <c r="T57" i="2"/>
  <c r="S57" i="2"/>
  <c r="N57" i="2"/>
  <c r="P57" i="2"/>
  <c r="O57" i="2"/>
  <c r="Q57" i="2"/>
  <c r="Z53" i="2"/>
  <c r="X53" i="2"/>
  <c r="Y53" i="2"/>
  <c r="W53" i="2"/>
  <c r="V53" i="2"/>
  <c r="U53" i="2"/>
  <c r="T53" i="2"/>
  <c r="R53" i="2"/>
  <c r="S53" i="2"/>
  <c r="N53" i="2"/>
  <c r="P53" i="2"/>
  <c r="O53" i="2"/>
  <c r="Q53" i="2"/>
  <c r="Z49" i="2"/>
  <c r="X49" i="2"/>
  <c r="Y49" i="2"/>
  <c r="W49" i="2"/>
  <c r="V49" i="2"/>
  <c r="U49" i="2"/>
  <c r="R49" i="2"/>
  <c r="T49" i="2"/>
  <c r="S49" i="2"/>
  <c r="N49" i="2"/>
  <c r="P49" i="2"/>
  <c r="O49" i="2"/>
  <c r="Q49" i="2"/>
  <c r="X45" i="2"/>
  <c r="Z45" i="2"/>
  <c r="Y45" i="2"/>
  <c r="W45" i="2"/>
  <c r="V45" i="2"/>
  <c r="U45" i="2"/>
  <c r="T45" i="2"/>
  <c r="R45" i="2"/>
  <c r="S45" i="2"/>
  <c r="N45" i="2"/>
  <c r="P45" i="2"/>
  <c r="O45" i="2"/>
  <c r="Q45" i="2"/>
  <c r="Z41" i="2"/>
  <c r="X41" i="2"/>
  <c r="Y41" i="2"/>
  <c r="W41" i="2"/>
  <c r="V41" i="2"/>
  <c r="U41" i="2"/>
  <c r="R41" i="2"/>
  <c r="T41" i="2"/>
  <c r="S41" i="2"/>
  <c r="N41" i="2"/>
  <c r="P41" i="2"/>
  <c r="O41" i="2"/>
  <c r="Q41" i="2"/>
  <c r="Z37" i="2"/>
  <c r="X37" i="2"/>
  <c r="Y37" i="2"/>
  <c r="W37" i="2"/>
  <c r="V37" i="2"/>
  <c r="U37" i="2"/>
  <c r="T37" i="2"/>
  <c r="R37" i="2"/>
  <c r="S37" i="2"/>
  <c r="N37" i="2"/>
  <c r="P37" i="2"/>
  <c r="O37" i="2"/>
  <c r="Q37" i="2"/>
  <c r="Z33" i="2"/>
  <c r="X33" i="2"/>
  <c r="Y33" i="2"/>
  <c r="W33" i="2"/>
  <c r="V33" i="2"/>
  <c r="U33" i="2"/>
  <c r="R33" i="2"/>
  <c r="T33" i="2"/>
  <c r="S33" i="2"/>
  <c r="N33" i="2"/>
  <c r="P33" i="2"/>
  <c r="O33" i="2"/>
  <c r="Q33" i="2"/>
  <c r="Z29" i="2"/>
  <c r="X29" i="2"/>
  <c r="Y29" i="2"/>
  <c r="W29" i="2"/>
  <c r="V29" i="2"/>
  <c r="U29" i="2"/>
  <c r="T29" i="2"/>
  <c r="R29" i="2"/>
  <c r="S29" i="2"/>
  <c r="N29" i="2"/>
  <c r="P29" i="2"/>
  <c r="O29" i="2"/>
  <c r="Q29" i="2"/>
  <c r="Z25" i="2"/>
  <c r="X25" i="2"/>
  <c r="Y25" i="2"/>
  <c r="W25" i="2"/>
  <c r="V25" i="2"/>
  <c r="U25" i="2"/>
  <c r="R25" i="2"/>
  <c r="T25" i="2"/>
  <c r="S25" i="2"/>
  <c r="N25" i="2"/>
  <c r="P25" i="2"/>
  <c r="O25" i="2"/>
  <c r="Q25" i="2"/>
  <c r="Z21" i="2"/>
  <c r="X21" i="2"/>
  <c r="Y21" i="2"/>
  <c r="W21" i="2"/>
  <c r="V21" i="2"/>
  <c r="U21" i="2"/>
  <c r="T21" i="2"/>
  <c r="R21" i="2"/>
  <c r="S21" i="2"/>
  <c r="N21" i="2"/>
  <c r="P21" i="2"/>
  <c r="O21" i="2"/>
  <c r="Q21" i="2"/>
  <c r="Z17" i="2"/>
  <c r="X17" i="2"/>
  <c r="Y17" i="2"/>
  <c r="W17" i="2"/>
  <c r="V17" i="2"/>
  <c r="U17" i="2"/>
  <c r="R17" i="2"/>
  <c r="T17" i="2"/>
  <c r="S17" i="2"/>
  <c r="N17" i="2"/>
  <c r="P17" i="2"/>
  <c r="O17" i="2"/>
  <c r="Q17" i="2"/>
  <c r="Z13" i="2"/>
  <c r="X13" i="2"/>
  <c r="Y13" i="2"/>
  <c r="W13" i="2"/>
  <c r="V13" i="2"/>
  <c r="T13" i="2"/>
  <c r="U13" i="2"/>
  <c r="R13" i="2"/>
  <c r="O13" i="2"/>
  <c r="P13" i="2"/>
  <c r="N13" i="2"/>
  <c r="S13" i="2"/>
  <c r="Q13" i="2"/>
  <c r="Y998" i="2"/>
  <c r="Z998" i="2"/>
  <c r="X998" i="2"/>
  <c r="V998" i="2"/>
  <c r="T998" i="2"/>
  <c r="W998" i="2"/>
  <c r="U998" i="2"/>
  <c r="Q998" i="2"/>
  <c r="N998" i="2"/>
  <c r="S998" i="2"/>
  <c r="R998" i="2"/>
  <c r="P998" i="2"/>
  <c r="O998" i="2"/>
  <c r="Y986" i="2"/>
  <c r="Z986" i="2"/>
  <c r="X986" i="2"/>
  <c r="V986" i="2"/>
  <c r="W986" i="2"/>
  <c r="T986" i="2"/>
  <c r="S986" i="2"/>
  <c r="Q986" i="2"/>
  <c r="N986" i="2"/>
  <c r="R986" i="2"/>
  <c r="U986" i="2"/>
  <c r="O986" i="2"/>
  <c r="P986" i="2"/>
  <c r="Y974" i="2"/>
  <c r="Z974" i="2"/>
  <c r="X974" i="2"/>
  <c r="V974" i="2"/>
  <c r="W974" i="2"/>
  <c r="T974" i="2"/>
  <c r="U974" i="2"/>
  <c r="Q974" i="2"/>
  <c r="N974" i="2"/>
  <c r="S974" i="2"/>
  <c r="R974" i="2"/>
  <c r="O974" i="2"/>
  <c r="P974" i="2"/>
  <c r="Y966" i="2"/>
  <c r="Z966" i="2"/>
  <c r="X966" i="2"/>
  <c r="V966" i="2"/>
  <c r="T966" i="2"/>
  <c r="U966" i="2"/>
  <c r="W966" i="2"/>
  <c r="Q966" i="2"/>
  <c r="N966" i="2"/>
  <c r="S966" i="2"/>
  <c r="R966" i="2"/>
  <c r="P966" i="2"/>
  <c r="O966" i="2"/>
  <c r="Y954" i="2"/>
  <c r="X954" i="2"/>
  <c r="Z954" i="2"/>
  <c r="W954" i="2"/>
  <c r="V954" i="2"/>
  <c r="T954" i="2"/>
  <c r="S954" i="2"/>
  <c r="Q954" i="2"/>
  <c r="N954" i="2"/>
  <c r="R954" i="2"/>
  <c r="O954" i="2"/>
  <c r="P954" i="2"/>
  <c r="U954" i="2"/>
  <c r="Z942" i="2"/>
  <c r="Y942" i="2"/>
  <c r="X942" i="2"/>
  <c r="V942" i="2"/>
  <c r="W942" i="2"/>
  <c r="T942" i="2"/>
  <c r="U942" i="2"/>
  <c r="Q942" i="2"/>
  <c r="N942" i="2"/>
  <c r="S942" i="2"/>
  <c r="R942" i="2"/>
  <c r="O942" i="2"/>
  <c r="P942" i="2"/>
  <c r="Z930" i="2"/>
  <c r="Y930" i="2"/>
  <c r="V930" i="2"/>
  <c r="X930" i="2"/>
  <c r="W930" i="2"/>
  <c r="T930" i="2"/>
  <c r="U930" i="2"/>
  <c r="S930" i="2"/>
  <c r="Q930" i="2"/>
  <c r="N930" i="2"/>
  <c r="R930" i="2"/>
  <c r="P930" i="2"/>
  <c r="O930" i="2"/>
  <c r="Z918" i="2"/>
  <c r="Y918" i="2"/>
  <c r="X918" i="2"/>
  <c r="V918" i="2"/>
  <c r="T918" i="2"/>
  <c r="U918" i="2"/>
  <c r="W918" i="2"/>
  <c r="Q918" i="2"/>
  <c r="N918" i="2"/>
  <c r="S918" i="2"/>
  <c r="R918" i="2"/>
  <c r="P918" i="2"/>
  <c r="O918" i="2"/>
  <c r="Z906" i="2"/>
  <c r="Y906" i="2"/>
  <c r="X906" i="2"/>
  <c r="W906" i="2"/>
  <c r="V906" i="2"/>
  <c r="T906" i="2"/>
  <c r="S906" i="2"/>
  <c r="Q906" i="2"/>
  <c r="U906" i="2"/>
  <c r="N906" i="2"/>
  <c r="R906" i="2"/>
  <c r="O906" i="2"/>
  <c r="P906" i="2"/>
  <c r="Z894" i="2"/>
  <c r="Y894" i="2"/>
  <c r="X894" i="2"/>
  <c r="V894" i="2"/>
  <c r="W894" i="2"/>
  <c r="T894" i="2"/>
  <c r="U894" i="2"/>
  <c r="Q894" i="2"/>
  <c r="N894" i="2"/>
  <c r="S894" i="2"/>
  <c r="R894" i="2"/>
  <c r="O894" i="2"/>
  <c r="P894" i="2"/>
  <c r="Z878" i="2"/>
  <c r="Y878" i="2"/>
  <c r="X878" i="2"/>
  <c r="V878" i="2"/>
  <c r="W878" i="2"/>
  <c r="T878" i="2"/>
  <c r="U878" i="2"/>
  <c r="Q878" i="2"/>
  <c r="N878" i="2"/>
  <c r="S878" i="2"/>
  <c r="R878" i="2"/>
  <c r="O878" i="2"/>
  <c r="P878" i="2"/>
  <c r="Z866" i="2"/>
  <c r="Y866" i="2"/>
  <c r="V866" i="2"/>
  <c r="X866" i="2"/>
  <c r="W866" i="2"/>
  <c r="T866" i="2"/>
  <c r="U866" i="2"/>
  <c r="S866" i="2"/>
  <c r="Q866" i="2"/>
  <c r="N866" i="2"/>
  <c r="R866" i="2"/>
  <c r="P866" i="2"/>
  <c r="O866" i="2"/>
  <c r="Z854" i="2"/>
  <c r="Y854" i="2"/>
  <c r="X854" i="2"/>
  <c r="V854" i="2"/>
  <c r="T854" i="2"/>
  <c r="U854" i="2"/>
  <c r="Q854" i="2"/>
  <c r="N854" i="2"/>
  <c r="S854" i="2"/>
  <c r="R854" i="2"/>
  <c r="W854" i="2"/>
  <c r="P854" i="2"/>
  <c r="O854" i="2"/>
  <c r="Z846" i="2"/>
  <c r="Y846" i="2"/>
  <c r="X846" i="2"/>
  <c r="V846" i="2"/>
  <c r="W846" i="2"/>
  <c r="T846" i="2"/>
  <c r="U846" i="2"/>
  <c r="Q846" i="2"/>
  <c r="N846" i="2"/>
  <c r="S846" i="2"/>
  <c r="R846" i="2"/>
  <c r="O846" i="2"/>
  <c r="P846" i="2"/>
  <c r="Z834" i="2"/>
  <c r="Y834" i="2"/>
  <c r="V834" i="2"/>
  <c r="W834" i="2"/>
  <c r="T834" i="2"/>
  <c r="Q834" i="2"/>
  <c r="U834" i="2"/>
  <c r="N834" i="2"/>
  <c r="S834" i="2"/>
  <c r="R834" i="2"/>
  <c r="X834" i="2"/>
  <c r="P834" i="2"/>
  <c r="O834" i="2"/>
  <c r="Z822" i="2"/>
  <c r="Y822" i="2"/>
  <c r="X822" i="2"/>
  <c r="V822" i="2"/>
  <c r="U822" i="2"/>
  <c r="T822" i="2"/>
  <c r="W822" i="2"/>
  <c r="Q822" i="2"/>
  <c r="N822" i="2"/>
  <c r="R822" i="2"/>
  <c r="P822" i="2"/>
  <c r="O822" i="2"/>
  <c r="S822" i="2"/>
  <c r="Z810" i="2"/>
  <c r="Y810" i="2"/>
  <c r="X810" i="2"/>
  <c r="W810" i="2"/>
  <c r="V810" i="2"/>
  <c r="T810" i="2"/>
  <c r="U810" i="2"/>
  <c r="S810" i="2"/>
  <c r="Q810" i="2"/>
  <c r="N810" i="2"/>
  <c r="R810" i="2"/>
  <c r="O810" i="2"/>
  <c r="P810" i="2"/>
  <c r="Z794" i="2"/>
  <c r="Y794" i="2"/>
  <c r="X794" i="2"/>
  <c r="W794" i="2"/>
  <c r="V794" i="2"/>
  <c r="T794" i="2"/>
  <c r="U794" i="2"/>
  <c r="S794" i="2"/>
  <c r="Q794" i="2"/>
  <c r="N794" i="2"/>
  <c r="R794" i="2"/>
  <c r="O794" i="2"/>
  <c r="P794" i="2"/>
  <c r="Z786" i="2"/>
  <c r="Y786" i="2"/>
  <c r="X786" i="2"/>
  <c r="V786" i="2"/>
  <c r="W786" i="2"/>
  <c r="T786" i="2"/>
  <c r="Q786" i="2"/>
  <c r="N786" i="2"/>
  <c r="U786" i="2"/>
  <c r="S786" i="2"/>
  <c r="R786" i="2"/>
  <c r="P786" i="2"/>
  <c r="O786" i="2"/>
  <c r="Z778" i="2"/>
  <c r="Y778" i="2"/>
  <c r="X778" i="2"/>
  <c r="W778" i="2"/>
  <c r="V778" i="2"/>
  <c r="T778" i="2"/>
  <c r="U778" i="2"/>
  <c r="S778" i="2"/>
  <c r="Q778" i="2"/>
  <c r="N778" i="2"/>
  <c r="R778" i="2"/>
  <c r="O778" i="2"/>
  <c r="P778" i="2"/>
  <c r="Z766" i="2"/>
  <c r="Y766" i="2"/>
  <c r="X766" i="2"/>
  <c r="V766" i="2"/>
  <c r="W766" i="2"/>
  <c r="T766" i="2"/>
  <c r="U766" i="2"/>
  <c r="Q766" i="2"/>
  <c r="S766" i="2"/>
  <c r="N766" i="2"/>
  <c r="R766" i="2"/>
  <c r="O766" i="2"/>
  <c r="P766" i="2"/>
  <c r="Z754" i="2"/>
  <c r="Y754" i="2"/>
  <c r="V754" i="2"/>
  <c r="X754" i="2"/>
  <c r="W754" i="2"/>
  <c r="T754" i="2"/>
  <c r="U754" i="2"/>
  <c r="Q754" i="2"/>
  <c r="N754" i="2"/>
  <c r="S754" i="2"/>
  <c r="R754" i="2"/>
  <c r="P754" i="2"/>
  <c r="O754" i="2"/>
  <c r="Z742" i="2"/>
  <c r="Y742" i="2"/>
  <c r="X742" i="2"/>
  <c r="V742" i="2"/>
  <c r="W742" i="2"/>
  <c r="U742" i="2"/>
  <c r="T742" i="2"/>
  <c r="Q742" i="2"/>
  <c r="N742" i="2"/>
  <c r="R742" i="2"/>
  <c r="P742" i="2"/>
  <c r="S742" i="2"/>
  <c r="O742" i="2"/>
  <c r="Z734" i="2"/>
  <c r="Y734" i="2"/>
  <c r="X734" i="2"/>
  <c r="V734" i="2"/>
  <c r="W734" i="2"/>
  <c r="T734" i="2"/>
  <c r="U734" i="2"/>
  <c r="Q734" i="2"/>
  <c r="S734" i="2"/>
  <c r="N734" i="2"/>
  <c r="R734" i="2"/>
  <c r="O734" i="2"/>
  <c r="P734" i="2"/>
  <c r="Z722" i="2"/>
  <c r="Y722" i="2"/>
  <c r="X722" i="2"/>
  <c r="V722" i="2"/>
  <c r="W722" i="2"/>
  <c r="T722" i="2"/>
  <c r="Q722" i="2"/>
  <c r="N722" i="2"/>
  <c r="U722" i="2"/>
  <c r="S722" i="2"/>
  <c r="R722" i="2"/>
  <c r="P722" i="2"/>
  <c r="O722" i="2"/>
  <c r="Z714" i="2"/>
  <c r="Y714" i="2"/>
  <c r="X714" i="2"/>
  <c r="W714" i="2"/>
  <c r="V714" i="2"/>
  <c r="T714" i="2"/>
  <c r="U714" i="2"/>
  <c r="S714" i="2"/>
  <c r="Q714" i="2"/>
  <c r="N714" i="2"/>
  <c r="R714" i="2"/>
  <c r="O714" i="2"/>
  <c r="P714" i="2"/>
  <c r="Z702" i="2"/>
  <c r="Y702" i="2"/>
  <c r="X702" i="2"/>
  <c r="V702" i="2"/>
  <c r="W702" i="2"/>
  <c r="T702" i="2"/>
  <c r="U702" i="2"/>
  <c r="Q702" i="2"/>
  <c r="S702" i="2"/>
  <c r="N702" i="2"/>
  <c r="R702" i="2"/>
  <c r="O702" i="2"/>
  <c r="P702" i="2"/>
  <c r="Z690" i="2"/>
  <c r="Y690" i="2"/>
  <c r="V690" i="2"/>
  <c r="X690" i="2"/>
  <c r="W690" i="2"/>
  <c r="T690" i="2"/>
  <c r="U690" i="2"/>
  <c r="Q690" i="2"/>
  <c r="N690" i="2"/>
  <c r="S690" i="2"/>
  <c r="R690" i="2"/>
  <c r="P690" i="2"/>
  <c r="O690" i="2"/>
  <c r="Z678" i="2"/>
  <c r="Y678" i="2"/>
  <c r="X678" i="2"/>
  <c r="V678" i="2"/>
  <c r="W678" i="2"/>
  <c r="U678" i="2"/>
  <c r="T678" i="2"/>
  <c r="Q678" i="2"/>
  <c r="N678" i="2"/>
  <c r="R678" i="2"/>
  <c r="P678" i="2"/>
  <c r="S678" i="2"/>
  <c r="O678" i="2"/>
  <c r="Z666" i="2"/>
  <c r="Y666" i="2"/>
  <c r="X666" i="2"/>
  <c r="W666" i="2"/>
  <c r="V666" i="2"/>
  <c r="T666" i="2"/>
  <c r="U666" i="2"/>
  <c r="S666" i="2"/>
  <c r="Q666" i="2"/>
  <c r="N666" i="2"/>
  <c r="R666" i="2"/>
  <c r="O666" i="2"/>
  <c r="P666" i="2"/>
  <c r="Z654" i="2"/>
  <c r="Y654" i="2"/>
  <c r="X654" i="2"/>
  <c r="V654" i="2"/>
  <c r="W654" i="2"/>
  <c r="T654" i="2"/>
  <c r="U654" i="2"/>
  <c r="Q654" i="2"/>
  <c r="S654" i="2"/>
  <c r="N654" i="2"/>
  <c r="R654" i="2"/>
  <c r="O654" i="2"/>
  <c r="P654" i="2"/>
  <c r="Z642" i="2"/>
  <c r="Y642" i="2"/>
  <c r="V642" i="2"/>
  <c r="W642" i="2"/>
  <c r="X642" i="2"/>
  <c r="T642" i="2"/>
  <c r="Q642" i="2"/>
  <c r="U642" i="2"/>
  <c r="N642" i="2"/>
  <c r="S642" i="2"/>
  <c r="R642" i="2"/>
  <c r="P642" i="2"/>
  <c r="O642" i="2"/>
  <c r="Z630" i="2"/>
  <c r="Y630" i="2"/>
  <c r="X630" i="2"/>
  <c r="V630" i="2"/>
  <c r="U630" i="2"/>
  <c r="T630" i="2"/>
  <c r="W630" i="2"/>
  <c r="Q630" i="2"/>
  <c r="N630" i="2"/>
  <c r="R630" i="2"/>
  <c r="P630" i="2"/>
  <c r="O630" i="2"/>
  <c r="S630" i="2"/>
  <c r="Z618" i="2"/>
  <c r="Y618" i="2"/>
  <c r="X618" i="2"/>
  <c r="W618" i="2"/>
  <c r="V618" i="2"/>
  <c r="T618" i="2"/>
  <c r="U618" i="2"/>
  <c r="S618" i="2"/>
  <c r="Q618" i="2"/>
  <c r="N618" i="2"/>
  <c r="R618" i="2"/>
  <c r="O618" i="2"/>
  <c r="P618" i="2"/>
  <c r="Z598" i="2"/>
  <c r="Y598" i="2"/>
  <c r="X598" i="2"/>
  <c r="V598" i="2"/>
  <c r="U598" i="2"/>
  <c r="T598" i="2"/>
  <c r="Q598" i="2"/>
  <c r="N598" i="2"/>
  <c r="R598" i="2"/>
  <c r="S598" i="2"/>
  <c r="P598" i="2"/>
  <c r="O598" i="2"/>
  <c r="W598" i="2"/>
  <c r="Z586" i="2"/>
  <c r="Y586" i="2"/>
  <c r="X586" i="2"/>
  <c r="W586" i="2"/>
  <c r="V586" i="2"/>
  <c r="T586" i="2"/>
  <c r="U586" i="2"/>
  <c r="S586" i="2"/>
  <c r="Q586" i="2"/>
  <c r="N586" i="2"/>
  <c r="R586" i="2"/>
  <c r="O586" i="2"/>
  <c r="P586" i="2"/>
  <c r="Z574" i="2"/>
  <c r="Y574" i="2"/>
  <c r="X574" i="2"/>
  <c r="V574" i="2"/>
  <c r="W574" i="2"/>
  <c r="T574" i="2"/>
  <c r="U574" i="2"/>
  <c r="Q574" i="2"/>
  <c r="S574" i="2"/>
  <c r="N574" i="2"/>
  <c r="R574" i="2"/>
  <c r="O574" i="2"/>
  <c r="P574" i="2"/>
  <c r="Z562" i="2"/>
  <c r="Y562" i="2"/>
  <c r="V562" i="2"/>
  <c r="X562" i="2"/>
  <c r="W562" i="2"/>
  <c r="T562" i="2"/>
  <c r="U562" i="2"/>
  <c r="Q562" i="2"/>
  <c r="N562" i="2"/>
  <c r="S562" i="2"/>
  <c r="R562" i="2"/>
  <c r="P562" i="2"/>
  <c r="O562" i="2"/>
  <c r="Z550" i="2"/>
  <c r="Y550" i="2"/>
  <c r="X550" i="2"/>
  <c r="V550" i="2"/>
  <c r="W550" i="2"/>
  <c r="U550" i="2"/>
  <c r="T550" i="2"/>
  <c r="Q550" i="2"/>
  <c r="N550" i="2"/>
  <c r="R550" i="2"/>
  <c r="P550" i="2"/>
  <c r="S550" i="2"/>
  <c r="O550" i="2"/>
  <c r="Z538" i="2"/>
  <c r="Y538" i="2"/>
  <c r="X538" i="2"/>
  <c r="W538" i="2"/>
  <c r="V538" i="2"/>
  <c r="T538" i="2"/>
  <c r="U538" i="2"/>
  <c r="S538" i="2"/>
  <c r="Q538" i="2"/>
  <c r="N538" i="2"/>
  <c r="R538" i="2"/>
  <c r="O538" i="2"/>
  <c r="P538" i="2"/>
  <c r="Z530" i="2"/>
  <c r="Y530" i="2"/>
  <c r="X530" i="2"/>
  <c r="V530" i="2"/>
  <c r="W530" i="2"/>
  <c r="T530" i="2"/>
  <c r="Q530" i="2"/>
  <c r="N530" i="2"/>
  <c r="U530" i="2"/>
  <c r="S530" i="2"/>
  <c r="R530" i="2"/>
  <c r="P530" i="2"/>
  <c r="O530" i="2"/>
  <c r="Z518" i="2"/>
  <c r="Y518" i="2"/>
  <c r="X518" i="2"/>
  <c r="V518" i="2"/>
  <c r="U518" i="2"/>
  <c r="T518" i="2"/>
  <c r="W518" i="2"/>
  <c r="Q518" i="2"/>
  <c r="N518" i="2"/>
  <c r="R518" i="2"/>
  <c r="P518" i="2"/>
  <c r="O518" i="2"/>
  <c r="S518" i="2"/>
  <c r="Z510" i="2"/>
  <c r="Y510" i="2"/>
  <c r="X510" i="2"/>
  <c r="V510" i="2"/>
  <c r="W510" i="2"/>
  <c r="U510" i="2"/>
  <c r="T510" i="2"/>
  <c r="Q510" i="2"/>
  <c r="S510" i="2"/>
  <c r="N510" i="2"/>
  <c r="R510" i="2"/>
  <c r="O510" i="2"/>
  <c r="P510" i="2"/>
  <c r="Z494" i="2"/>
  <c r="Y494" i="2"/>
  <c r="X494" i="2"/>
  <c r="V494" i="2"/>
  <c r="W494" i="2"/>
  <c r="U494" i="2"/>
  <c r="Q494" i="2"/>
  <c r="T494" i="2"/>
  <c r="S494" i="2"/>
  <c r="N494" i="2"/>
  <c r="R494" i="2"/>
  <c r="O494" i="2"/>
  <c r="P494" i="2"/>
  <c r="Z486" i="2"/>
  <c r="Y486" i="2"/>
  <c r="X486" i="2"/>
  <c r="V486" i="2"/>
  <c r="W486" i="2"/>
  <c r="U486" i="2"/>
  <c r="T486" i="2"/>
  <c r="Q486" i="2"/>
  <c r="N486" i="2"/>
  <c r="R486" i="2"/>
  <c r="P486" i="2"/>
  <c r="S486" i="2"/>
  <c r="O486" i="2"/>
  <c r="Z474" i="2"/>
  <c r="Y474" i="2"/>
  <c r="X474" i="2"/>
  <c r="W474" i="2"/>
  <c r="V474" i="2"/>
  <c r="T474" i="2"/>
  <c r="U474" i="2"/>
  <c r="S474" i="2"/>
  <c r="Q474" i="2"/>
  <c r="N474" i="2"/>
  <c r="R474" i="2"/>
  <c r="O474" i="2"/>
  <c r="P474" i="2"/>
  <c r="Z462" i="2"/>
  <c r="Y462" i="2"/>
  <c r="X462" i="2"/>
  <c r="V462" i="2"/>
  <c r="W462" i="2"/>
  <c r="U462" i="2"/>
  <c r="Q462" i="2"/>
  <c r="S462" i="2"/>
  <c r="N462" i="2"/>
  <c r="R462" i="2"/>
  <c r="O462" i="2"/>
  <c r="T462" i="2"/>
  <c r="P462" i="2"/>
  <c r="Z454" i="2"/>
  <c r="Y454" i="2"/>
  <c r="X454" i="2"/>
  <c r="V454" i="2"/>
  <c r="U454" i="2"/>
  <c r="T454" i="2"/>
  <c r="W454" i="2"/>
  <c r="Q454" i="2"/>
  <c r="N454" i="2"/>
  <c r="R454" i="2"/>
  <c r="S454" i="2"/>
  <c r="P454" i="2"/>
  <c r="O454" i="2"/>
  <c r="Z442" i="2"/>
  <c r="Y442" i="2"/>
  <c r="X442" i="2"/>
  <c r="W442" i="2"/>
  <c r="V442" i="2"/>
  <c r="T442" i="2"/>
  <c r="U442" i="2"/>
  <c r="S442" i="2"/>
  <c r="Q442" i="2"/>
  <c r="N442" i="2"/>
  <c r="R442" i="2"/>
  <c r="O442" i="2"/>
  <c r="P442" i="2"/>
  <c r="Z430" i="2"/>
  <c r="Y430" i="2"/>
  <c r="X430" i="2"/>
  <c r="V430" i="2"/>
  <c r="W430" i="2"/>
  <c r="U430" i="2"/>
  <c r="Q430" i="2"/>
  <c r="T430" i="2"/>
  <c r="S430" i="2"/>
  <c r="N430" i="2"/>
  <c r="R430" i="2"/>
  <c r="O430" i="2"/>
  <c r="P430" i="2"/>
  <c r="Z418" i="2"/>
  <c r="Y418" i="2"/>
  <c r="V418" i="2"/>
  <c r="X418" i="2"/>
  <c r="W418" i="2"/>
  <c r="T418" i="2"/>
  <c r="Q418" i="2"/>
  <c r="N418" i="2"/>
  <c r="S418" i="2"/>
  <c r="R418" i="2"/>
  <c r="U418" i="2"/>
  <c r="P418" i="2"/>
  <c r="O418" i="2"/>
  <c r="Z410" i="2"/>
  <c r="Y410" i="2"/>
  <c r="X410" i="2"/>
  <c r="W410" i="2"/>
  <c r="V410" i="2"/>
  <c r="T410" i="2"/>
  <c r="U410" i="2"/>
  <c r="S410" i="2"/>
  <c r="Q410" i="2"/>
  <c r="N410" i="2"/>
  <c r="R410" i="2"/>
  <c r="O410" i="2"/>
  <c r="P410" i="2"/>
  <c r="Z398" i="2"/>
  <c r="Y398" i="2"/>
  <c r="X398" i="2"/>
  <c r="V398" i="2"/>
  <c r="W398" i="2"/>
  <c r="U398" i="2"/>
  <c r="Q398" i="2"/>
  <c r="S398" i="2"/>
  <c r="N398" i="2"/>
  <c r="R398" i="2"/>
  <c r="T398" i="2"/>
  <c r="O398" i="2"/>
  <c r="P398" i="2"/>
  <c r="Z386" i="2"/>
  <c r="Y386" i="2"/>
  <c r="V386" i="2"/>
  <c r="W386" i="2"/>
  <c r="X386" i="2"/>
  <c r="T386" i="2"/>
  <c r="Q386" i="2"/>
  <c r="U386" i="2"/>
  <c r="N386" i="2"/>
  <c r="S386" i="2"/>
  <c r="R386" i="2"/>
  <c r="P386" i="2"/>
  <c r="O386" i="2"/>
  <c r="Z374" i="2"/>
  <c r="Y374" i="2"/>
  <c r="X374" i="2"/>
  <c r="V374" i="2"/>
  <c r="U374" i="2"/>
  <c r="W374" i="2"/>
  <c r="T374" i="2"/>
  <c r="Q374" i="2"/>
  <c r="N374" i="2"/>
  <c r="R374" i="2"/>
  <c r="P374" i="2"/>
  <c r="O374" i="2"/>
  <c r="S374" i="2"/>
  <c r="Z366" i="2"/>
  <c r="Y366" i="2"/>
  <c r="X366" i="2"/>
  <c r="V366" i="2"/>
  <c r="W366" i="2"/>
  <c r="U366" i="2"/>
  <c r="Q366" i="2"/>
  <c r="T366" i="2"/>
  <c r="S366" i="2"/>
  <c r="N366" i="2"/>
  <c r="R366" i="2"/>
  <c r="O366" i="2"/>
  <c r="P366" i="2"/>
  <c r="Z354" i="2"/>
  <c r="Y354" i="2"/>
  <c r="V354" i="2"/>
  <c r="X354" i="2"/>
  <c r="W354" i="2"/>
  <c r="T354" i="2"/>
  <c r="Q354" i="2"/>
  <c r="N354" i="2"/>
  <c r="S354" i="2"/>
  <c r="R354" i="2"/>
  <c r="P354" i="2"/>
  <c r="U354" i="2"/>
  <c r="O354" i="2"/>
  <c r="Z342" i="2"/>
  <c r="Y342" i="2"/>
  <c r="X342" i="2"/>
  <c r="V342" i="2"/>
  <c r="U342" i="2"/>
  <c r="T342" i="2"/>
  <c r="Q342" i="2"/>
  <c r="N342" i="2"/>
  <c r="S342" i="2"/>
  <c r="P342" i="2"/>
  <c r="W342" i="2"/>
  <c r="R342" i="2"/>
  <c r="O342" i="2"/>
  <c r="Z330" i="2"/>
  <c r="Y330" i="2"/>
  <c r="X330" i="2"/>
  <c r="W330" i="2"/>
  <c r="V330" i="2"/>
  <c r="T330" i="2"/>
  <c r="U330" i="2"/>
  <c r="S330" i="2"/>
  <c r="Q330" i="2"/>
  <c r="N330" i="2"/>
  <c r="P330" i="2"/>
  <c r="R330" i="2"/>
  <c r="O330" i="2"/>
  <c r="Z318" i="2"/>
  <c r="Y318" i="2"/>
  <c r="X318" i="2"/>
  <c r="V318" i="2"/>
  <c r="W318" i="2"/>
  <c r="U318" i="2"/>
  <c r="T318" i="2"/>
  <c r="Q318" i="2"/>
  <c r="S318" i="2"/>
  <c r="R318" i="2"/>
  <c r="N318" i="2"/>
  <c r="O318" i="2"/>
  <c r="P318" i="2"/>
  <c r="Z306" i="2"/>
  <c r="Y306" i="2"/>
  <c r="V306" i="2"/>
  <c r="X306" i="2"/>
  <c r="W306" i="2"/>
  <c r="T306" i="2"/>
  <c r="U306" i="2"/>
  <c r="Q306" i="2"/>
  <c r="N306" i="2"/>
  <c r="S306" i="2"/>
  <c r="R306" i="2"/>
  <c r="O306" i="2"/>
  <c r="P306" i="2"/>
  <c r="Z290" i="2"/>
  <c r="Y290" i="2"/>
  <c r="V290" i="2"/>
  <c r="X290" i="2"/>
  <c r="W290" i="2"/>
  <c r="T290" i="2"/>
  <c r="Q290" i="2"/>
  <c r="N290" i="2"/>
  <c r="S290" i="2"/>
  <c r="O290" i="2"/>
  <c r="P290" i="2"/>
  <c r="U290" i="2"/>
  <c r="R290" i="2"/>
  <c r="Z274" i="2"/>
  <c r="Y274" i="2"/>
  <c r="X274" i="2"/>
  <c r="V274" i="2"/>
  <c r="W274" i="2"/>
  <c r="T274" i="2"/>
  <c r="Q274" i="2"/>
  <c r="N274" i="2"/>
  <c r="U274" i="2"/>
  <c r="S274" i="2"/>
  <c r="R274" i="2"/>
  <c r="O274" i="2"/>
  <c r="P274" i="2"/>
  <c r="Z262" i="2"/>
  <c r="Y262" i="2"/>
  <c r="X262" i="2"/>
  <c r="V262" i="2"/>
  <c r="U262" i="2"/>
  <c r="T262" i="2"/>
  <c r="W262" i="2"/>
  <c r="Q262" i="2"/>
  <c r="R262" i="2"/>
  <c r="N262" i="2"/>
  <c r="S262" i="2"/>
  <c r="P262" i="2"/>
  <c r="O262" i="2"/>
  <c r="Z250" i="2"/>
  <c r="Y250" i="2"/>
  <c r="X250" i="2"/>
  <c r="W250" i="2"/>
  <c r="V250" i="2"/>
  <c r="T250" i="2"/>
  <c r="U250" i="2"/>
  <c r="S250" i="2"/>
  <c r="Q250" i="2"/>
  <c r="N250" i="2"/>
  <c r="R250" i="2"/>
  <c r="O250" i="2"/>
  <c r="P250" i="2"/>
  <c r="Z238" i="2"/>
  <c r="Y238" i="2"/>
  <c r="X238" i="2"/>
  <c r="V238" i="2"/>
  <c r="W238" i="2"/>
  <c r="U238" i="2"/>
  <c r="Q238" i="2"/>
  <c r="T238" i="2"/>
  <c r="S238" i="2"/>
  <c r="R238" i="2"/>
  <c r="N238" i="2"/>
  <c r="P238" i="2"/>
  <c r="O238" i="2"/>
  <c r="Z230" i="2"/>
  <c r="Y230" i="2"/>
  <c r="X230" i="2"/>
  <c r="V230" i="2"/>
  <c r="W230" i="2"/>
  <c r="U230" i="2"/>
  <c r="T230" i="2"/>
  <c r="Q230" i="2"/>
  <c r="R230" i="2"/>
  <c r="N230" i="2"/>
  <c r="P230" i="2"/>
  <c r="S230" i="2"/>
  <c r="O230" i="2"/>
  <c r="Z218" i="2"/>
  <c r="Y218" i="2"/>
  <c r="X218" i="2"/>
  <c r="W218" i="2"/>
  <c r="V218" i="2"/>
  <c r="T218" i="2"/>
  <c r="U218" i="2"/>
  <c r="S218" i="2"/>
  <c r="Q218" i="2"/>
  <c r="N218" i="2"/>
  <c r="P218" i="2"/>
  <c r="R218" i="2"/>
  <c r="O218" i="2"/>
  <c r="Z206" i="2"/>
  <c r="Y206" i="2"/>
  <c r="X206" i="2"/>
  <c r="V206" i="2"/>
  <c r="W206" i="2"/>
  <c r="U206" i="2"/>
  <c r="Q206" i="2"/>
  <c r="S206" i="2"/>
  <c r="R206" i="2"/>
  <c r="N206" i="2"/>
  <c r="P206" i="2"/>
  <c r="T206" i="2"/>
  <c r="O206" i="2"/>
  <c r="Z194" i="2"/>
  <c r="Y194" i="2"/>
  <c r="V194" i="2"/>
  <c r="W194" i="2"/>
  <c r="X194" i="2"/>
  <c r="T194" i="2"/>
  <c r="Q194" i="2"/>
  <c r="U194" i="2"/>
  <c r="N194" i="2"/>
  <c r="S194" i="2"/>
  <c r="P194" i="2"/>
  <c r="O194" i="2"/>
  <c r="R194" i="2"/>
  <c r="Z182" i="2"/>
  <c r="Y182" i="2"/>
  <c r="X182" i="2"/>
  <c r="V182" i="2"/>
  <c r="U182" i="2"/>
  <c r="W182" i="2"/>
  <c r="T182" i="2"/>
  <c r="Q182" i="2"/>
  <c r="R182" i="2"/>
  <c r="N182" i="2"/>
  <c r="P182" i="2"/>
  <c r="O182" i="2"/>
  <c r="S182" i="2"/>
  <c r="Z170" i="2"/>
  <c r="Y170" i="2"/>
  <c r="X170" i="2"/>
  <c r="W170" i="2"/>
  <c r="V170" i="2"/>
  <c r="T170" i="2"/>
  <c r="U170" i="2"/>
  <c r="S170" i="2"/>
  <c r="Q170" i="2"/>
  <c r="N170" i="2"/>
  <c r="P170" i="2"/>
  <c r="R170" i="2"/>
  <c r="O170" i="2"/>
  <c r="Z158" i="2"/>
  <c r="X158" i="2"/>
  <c r="Y158" i="2"/>
  <c r="V158" i="2"/>
  <c r="W158" i="2"/>
  <c r="U158" i="2"/>
  <c r="Q158" i="2"/>
  <c r="S158" i="2"/>
  <c r="R158" i="2"/>
  <c r="N158" i="2"/>
  <c r="T158" i="2"/>
  <c r="P158" i="2"/>
  <c r="O158" i="2"/>
  <c r="Z146" i="2"/>
  <c r="X146" i="2"/>
  <c r="Y146" i="2"/>
  <c r="W146" i="2"/>
  <c r="V146" i="2"/>
  <c r="T146" i="2"/>
  <c r="Q146" i="2"/>
  <c r="N146" i="2"/>
  <c r="U146" i="2"/>
  <c r="S146" i="2"/>
  <c r="P146" i="2"/>
  <c r="R146" i="2"/>
  <c r="O146" i="2"/>
  <c r="Z134" i="2"/>
  <c r="X134" i="2"/>
  <c r="Y134" i="2"/>
  <c r="W134" i="2"/>
  <c r="V134" i="2"/>
  <c r="U134" i="2"/>
  <c r="T134" i="2"/>
  <c r="Q134" i="2"/>
  <c r="R134" i="2"/>
  <c r="N134" i="2"/>
  <c r="P134" i="2"/>
  <c r="O134" i="2"/>
  <c r="S134" i="2"/>
  <c r="Z122" i="2"/>
  <c r="X122" i="2"/>
  <c r="Y122" i="2"/>
  <c r="W122" i="2"/>
  <c r="V122" i="2"/>
  <c r="T122" i="2"/>
  <c r="U122" i="2"/>
  <c r="S122" i="2"/>
  <c r="Q122" i="2"/>
  <c r="N122" i="2"/>
  <c r="P122" i="2"/>
  <c r="R122" i="2"/>
  <c r="O122" i="2"/>
  <c r="Z110" i="2"/>
  <c r="X110" i="2"/>
  <c r="Y110" i="2"/>
  <c r="W110" i="2"/>
  <c r="V110" i="2"/>
  <c r="T110" i="2"/>
  <c r="U110" i="2"/>
  <c r="Q110" i="2"/>
  <c r="S110" i="2"/>
  <c r="R110" i="2"/>
  <c r="N110" i="2"/>
  <c r="P110" i="2"/>
  <c r="O110" i="2"/>
  <c r="Z102" i="2"/>
  <c r="X102" i="2"/>
  <c r="Y102" i="2"/>
  <c r="W102" i="2"/>
  <c r="V102" i="2"/>
  <c r="T102" i="2"/>
  <c r="U102" i="2"/>
  <c r="Q102" i="2"/>
  <c r="R102" i="2"/>
  <c r="N102" i="2"/>
  <c r="P102" i="2"/>
  <c r="S102" i="2"/>
  <c r="O102" i="2"/>
  <c r="Z90" i="2"/>
  <c r="X90" i="2"/>
  <c r="Y90" i="2"/>
  <c r="W90" i="2"/>
  <c r="V90" i="2"/>
  <c r="T90" i="2"/>
  <c r="U90" i="2"/>
  <c r="S90" i="2"/>
  <c r="Q90" i="2"/>
  <c r="N90" i="2"/>
  <c r="P90" i="2"/>
  <c r="R90" i="2"/>
  <c r="O90" i="2"/>
  <c r="Z78" i="2"/>
  <c r="X78" i="2"/>
  <c r="Y78" i="2"/>
  <c r="W78" i="2"/>
  <c r="V78" i="2"/>
  <c r="T78" i="2"/>
  <c r="U78" i="2"/>
  <c r="Q78" i="2"/>
  <c r="S78" i="2"/>
  <c r="R78" i="2"/>
  <c r="N78" i="2"/>
  <c r="P78" i="2"/>
  <c r="O78" i="2"/>
  <c r="Z66" i="2"/>
  <c r="X66" i="2"/>
  <c r="Y66" i="2"/>
  <c r="W66" i="2"/>
  <c r="V66" i="2"/>
  <c r="T66" i="2"/>
  <c r="Q66" i="2"/>
  <c r="U66" i="2"/>
  <c r="N66" i="2"/>
  <c r="S66" i="2"/>
  <c r="P66" i="2"/>
  <c r="O66" i="2"/>
  <c r="R66" i="2"/>
  <c r="Z58" i="2"/>
  <c r="X58" i="2"/>
  <c r="Y58" i="2"/>
  <c r="W58" i="2"/>
  <c r="V58" i="2"/>
  <c r="T58" i="2"/>
  <c r="U58" i="2"/>
  <c r="S58" i="2"/>
  <c r="Q58" i="2"/>
  <c r="N58" i="2"/>
  <c r="P58" i="2"/>
  <c r="R58" i="2"/>
  <c r="O58" i="2"/>
  <c r="Z46" i="2"/>
  <c r="X46" i="2"/>
  <c r="Y46" i="2"/>
  <c r="W46" i="2"/>
  <c r="V46" i="2"/>
  <c r="T46" i="2"/>
  <c r="U46" i="2"/>
  <c r="Q46" i="2"/>
  <c r="S46" i="2"/>
  <c r="R46" i="2"/>
  <c r="N46" i="2"/>
  <c r="P46" i="2"/>
  <c r="O46" i="2"/>
  <c r="Z34" i="2"/>
  <c r="X34" i="2"/>
  <c r="Y34" i="2"/>
  <c r="W34" i="2"/>
  <c r="V34" i="2"/>
  <c r="T34" i="2"/>
  <c r="Q34" i="2"/>
  <c r="N34" i="2"/>
  <c r="S34" i="2"/>
  <c r="P34" i="2"/>
  <c r="O34" i="2"/>
  <c r="U34" i="2"/>
  <c r="R34" i="2"/>
  <c r="Z30" i="2"/>
  <c r="X30" i="2"/>
  <c r="Y30" i="2"/>
  <c r="W30" i="2"/>
  <c r="V30" i="2"/>
  <c r="T30" i="2"/>
  <c r="U30" i="2"/>
  <c r="Q30" i="2"/>
  <c r="S30" i="2"/>
  <c r="R30" i="2"/>
  <c r="N30" i="2"/>
  <c r="P30" i="2"/>
  <c r="O30" i="2"/>
  <c r="Z22" i="2"/>
  <c r="X22" i="2"/>
  <c r="Y22" i="2"/>
  <c r="W22" i="2"/>
  <c r="V22" i="2"/>
  <c r="T22" i="2"/>
  <c r="U22" i="2"/>
  <c r="Q22" i="2"/>
  <c r="R22" i="2"/>
  <c r="N22" i="2"/>
  <c r="P22" i="2"/>
  <c r="S22" i="2"/>
  <c r="O22" i="2"/>
  <c r="Z14" i="2"/>
  <c r="X14" i="2"/>
  <c r="Y14" i="2"/>
  <c r="W14" i="2"/>
  <c r="V14" i="2"/>
  <c r="T14" i="2"/>
  <c r="U14" i="2"/>
  <c r="Q14" i="2"/>
  <c r="P14" i="2"/>
  <c r="S14" i="2"/>
  <c r="R14" i="2"/>
  <c r="N14" i="2"/>
  <c r="O14" i="2"/>
  <c r="Y1000" i="2"/>
  <c r="Z1000" i="2"/>
  <c r="X1000" i="2"/>
  <c r="W1000" i="2"/>
  <c r="V1000" i="2"/>
  <c r="S1000" i="2"/>
  <c r="U1000" i="2"/>
  <c r="T1000" i="2"/>
  <c r="R1000" i="2"/>
  <c r="P1000" i="2"/>
  <c r="O1000" i="2"/>
  <c r="Q1000" i="2"/>
  <c r="N1000" i="2"/>
  <c r="Y996" i="2"/>
  <c r="Z996" i="2"/>
  <c r="X996" i="2"/>
  <c r="W996" i="2"/>
  <c r="V996" i="2"/>
  <c r="U996" i="2"/>
  <c r="S996" i="2"/>
  <c r="T996" i="2"/>
  <c r="R996" i="2"/>
  <c r="P996" i="2"/>
  <c r="O996" i="2"/>
  <c r="Q996" i="2"/>
  <c r="N996" i="2"/>
  <c r="Y992" i="2"/>
  <c r="Z992" i="2"/>
  <c r="X992" i="2"/>
  <c r="W992" i="2"/>
  <c r="V992" i="2"/>
  <c r="S992" i="2"/>
  <c r="U992" i="2"/>
  <c r="T992" i="2"/>
  <c r="R992" i="2"/>
  <c r="P992" i="2"/>
  <c r="O992" i="2"/>
  <c r="Q992" i="2"/>
  <c r="N992" i="2"/>
  <c r="Y988" i="2"/>
  <c r="Z988" i="2"/>
  <c r="X988" i="2"/>
  <c r="W988" i="2"/>
  <c r="V988" i="2"/>
  <c r="U988" i="2"/>
  <c r="S988" i="2"/>
  <c r="T988" i="2"/>
  <c r="R988" i="2"/>
  <c r="P988" i="2"/>
  <c r="O988" i="2"/>
  <c r="Q988" i="2"/>
  <c r="N988" i="2"/>
  <c r="Y984" i="2"/>
  <c r="Z984" i="2"/>
  <c r="X984" i="2"/>
  <c r="W984" i="2"/>
  <c r="V984" i="2"/>
  <c r="S984" i="2"/>
  <c r="U984" i="2"/>
  <c r="T984" i="2"/>
  <c r="R984" i="2"/>
  <c r="P984" i="2"/>
  <c r="O984" i="2"/>
  <c r="Q984" i="2"/>
  <c r="N984" i="2"/>
  <c r="Y980" i="2"/>
  <c r="Z980" i="2"/>
  <c r="X980" i="2"/>
  <c r="W980" i="2"/>
  <c r="V980" i="2"/>
  <c r="U980" i="2"/>
  <c r="S980" i="2"/>
  <c r="T980" i="2"/>
  <c r="R980" i="2"/>
  <c r="P980" i="2"/>
  <c r="O980" i="2"/>
  <c r="Q980" i="2"/>
  <c r="N980" i="2"/>
  <c r="Y976" i="2"/>
  <c r="Z976" i="2"/>
  <c r="X976" i="2"/>
  <c r="W976" i="2"/>
  <c r="V976" i="2"/>
  <c r="S976" i="2"/>
  <c r="U976" i="2"/>
  <c r="T976" i="2"/>
  <c r="R976" i="2"/>
  <c r="P976" i="2"/>
  <c r="O976" i="2"/>
  <c r="Q976" i="2"/>
  <c r="N976" i="2"/>
  <c r="Y972" i="2"/>
  <c r="Z972" i="2"/>
  <c r="X972" i="2"/>
  <c r="W972" i="2"/>
  <c r="V972" i="2"/>
  <c r="U972" i="2"/>
  <c r="S972" i="2"/>
  <c r="T972" i="2"/>
  <c r="R972" i="2"/>
  <c r="P972" i="2"/>
  <c r="O972" i="2"/>
  <c r="Q972" i="2"/>
  <c r="N972" i="2"/>
  <c r="Y968" i="2"/>
  <c r="Z968" i="2"/>
  <c r="X968" i="2"/>
  <c r="W968" i="2"/>
  <c r="V968" i="2"/>
  <c r="S968" i="2"/>
  <c r="U968" i="2"/>
  <c r="T968" i="2"/>
  <c r="R968" i="2"/>
  <c r="P968" i="2"/>
  <c r="O968" i="2"/>
  <c r="Q968" i="2"/>
  <c r="N968" i="2"/>
  <c r="Y964" i="2"/>
  <c r="Z964" i="2"/>
  <c r="X964" i="2"/>
  <c r="W964" i="2"/>
  <c r="V964" i="2"/>
  <c r="U964" i="2"/>
  <c r="S964" i="2"/>
  <c r="T964" i="2"/>
  <c r="R964" i="2"/>
  <c r="P964" i="2"/>
  <c r="O964" i="2"/>
  <c r="Q964" i="2"/>
  <c r="N964" i="2"/>
  <c r="Y960" i="2"/>
  <c r="Z960" i="2"/>
  <c r="X960" i="2"/>
  <c r="W960" i="2"/>
  <c r="V960" i="2"/>
  <c r="S960" i="2"/>
  <c r="U960" i="2"/>
  <c r="T960" i="2"/>
  <c r="R960" i="2"/>
  <c r="P960" i="2"/>
  <c r="O960" i="2"/>
  <c r="Q960" i="2"/>
  <c r="N960" i="2"/>
  <c r="Y956" i="2"/>
  <c r="Z956" i="2"/>
  <c r="X956" i="2"/>
  <c r="W956" i="2"/>
  <c r="V956" i="2"/>
  <c r="U956" i="2"/>
  <c r="S956" i="2"/>
  <c r="T956" i="2"/>
  <c r="R956" i="2"/>
  <c r="P956" i="2"/>
  <c r="O956" i="2"/>
  <c r="Q956" i="2"/>
  <c r="N956" i="2"/>
  <c r="Y952" i="2"/>
  <c r="Z952" i="2"/>
  <c r="X952" i="2"/>
  <c r="W952" i="2"/>
  <c r="V952" i="2"/>
  <c r="S952" i="2"/>
  <c r="U952" i="2"/>
  <c r="T952" i="2"/>
  <c r="R952" i="2"/>
  <c r="P952" i="2"/>
  <c r="O952" i="2"/>
  <c r="Q952" i="2"/>
  <c r="N952" i="2"/>
  <c r="Y948" i="2"/>
  <c r="Z948" i="2"/>
  <c r="X948" i="2"/>
  <c r="W948" i="2"/>
  <c r="V948" i="2"/>
  <c r="U948" i="2"/>
  <c r="S948" i="2"/>
  <c r="T948" i="2"/>
  <c r="R948" i="2"/>
  <c r="P948" i="2"/>
  <c r="O948" i="2"/>
  <c r="Q948" i="2"/>
  <c r="N948" i="2"/>
  <c r="Z944" i="2"/>
  <c r="Y944" i="2"/>
  <c r="X944" i="2"/>
  <c r="W944" i="2"/>
  <c r="V944" i="2"/>
  <c r="S944" i="2"/>
  <c r="U944" i="2"/>
  <c r="T944" i="2"/>
  <c r="R944" i="2"/>
  <c r="P944" i="2"/>
  <c r="O944" i="2"/>
  <c r="Q944" i="2"/>
  <c r="N944" i="2"/>
  <c r="Y940" i="2"/>
  <c r="Z940" i="2"/>
  <c r="X940" i="2"/>
  <c r="W940" i="2"/>
  <c r="V940" i="2"/>
  <c r="U940" i="2"/>
  <c r="S940" i="2"/>
  <c r="T940" i="2"/>
  <c r="R940" i="2"/>
  <c r="P940" i="2"/>
  <c r="O940" i="2"/>
  <c r="Q940" i="2"/>
  <c r="N940" i="2"/>
  <c r="Y936" i="2"/>
  <c r="Z936" i="2"/>
  <c r="X936" i="2"/>
  <c r="W936" i="2"/>
  <c r="V936" i="2"/>
  <c r="S936" i="2"/>
  <c r="U936" i="2"/>
  <c r="T936" i="2"/>
  <c r="R936" i="2"/>
  <c r="P936" i="2"/>
  <c r="O936" i="2"/>
  <c r="Q936" i="2"/>
  <c r="N936" i="2"/>
  <c r="Y932" i="2"/>
  <c r="Z932" i="2"/>
  <c r="X932" i="2"/>
  <c r="W932" i="2"/>
  <c r="V932" i="2"/>
  <c r="U932" i="2"/>
  <c r="S932" i="2"/>
  <c r="T932" i="2"/>
  <c r="R932" i="2"/>
  <c r="P932" i="2"/>
  <c r="O932" i="2"/>
  <c r="Q932" i="2"/>
  <c r="N932" i="2"/>
  <c r="Z928" i="2"/>
  <c r="Y928" i="2"/>
  <c r="X928" i="2"/>
  <c r="W928" i="2"/>
  <c r="V928" i="2"/>
  <c r="S928" i="2"/>
  <c r="U928" i="2"/>
  <c r="T928" i="2"/>
  <c r="R928" i="2"/>
  <c r="P928" i="2"/>
  <c r="O928" i="2"/>
  <c r="Q928" i="2"/>
  <c r="N928" i="2"/>
  <c r="Y924" i="2"/>
  <c r="Z924" i="2"/>
  <c r="X924" i="2"/>
  <c r="W924" i="2"/>
  <c r="V924" i="2"/>
  <c r="U924" i="2"/>
  <c r="S924" i="2"/>
  <c r="T924" i="2"/>
  <c r="R924" i="2"/>
  <c r="P924" i="2"/>
  <c r="O924" i="2"/>
  <c r="Q924" i="2"/>
  <c r="N924" i="2"/>
  <c r="Y920" i="2"/>
  <c r="Z920" i="2"/>
  <c r="X920" i="2"/>
  <c r="W920" i="2"/>
  <c r="V920" i="2"/>
  <c r="S920" i="2"/>
  <c r="U920" i="2"/>
  <c r="T920" i="2"/>
  <c r="R920" i="2"/>
  <c r="P920" i="2"/>
  <c r="O920" i="2"/>
  <c r="Q920" i="2"/>
  <c r="N920" i="2"/>
  <c r="Y916" i="2"/>
  <c r="Z916" i="2"/>
  <c r="X916" i="2"/>
  <c r="W916" i="2"/>
  <c r="V916" i="2"/>
  <c r="U916" i="2"/>
  <c r="S916" i="2"/>
  <c r="T916" i="2"/>
  <c r="R916" i="2"/>
  <c r="P916" i="2"/>
  <c r="O916" i="2"/>
  <c r="Q916" i="2"/>
  <c r="N916" i="2"/>
  <c r="Z912" i="2"/>
  <c r="Y912" i="2"/>
  <c r="X912" i="2"/>
  <c r="W912" i="2"/>
  <c r="V912" i="2"/>
  <c r="S912" i="2"/>
  <c r="U912" i="2"/>
  <c r="T912" i="2"/>
  <c r="R912" i="2"/>
  <c r="P912" i="2"/>
  <c r="O912" i="2"/>
  <c r="Q912" i="2"/>
  <c r="N912" i="2"/>
  <c r="Y908" i="2"/>
  <c r="X908" i="2"/>
  <c r="Z908" i="2"/>
  <c r="W908" i="2"/>
  <c r="V908" i="2"/>
  <c r="U908" i="2"/>
  <c r="S908" i="2"/>
  <c r="T908" i="2"/>
  <c r="R908" i="2"/>
  <c r="P908" i="2"/>
  <c r="O908" i="2"/>
  <c r="Q908" i="2"/>
  <c r="N908" i="2"/>
  <c r="Y904" i="2"/>
  <c r="Z904" i="2"/>
  <c r="X904" i="2"/>
  <c r="W904" i="2"/>
  <c r="V904" i="2"/>
  <c r="S904" i="2"/>
  <c r="U904" i="2"/>
  <c r="T904" i="2"/>
  <c r="R904" i="2"/>
  <c r="P904" i="2"/>
  <c r="O904" i="2"/>
  <c r="Q904" i="2"/>
  <c r="N904" i="2"/>
  <c r="Y900" i="2"/>
  <c r="Z900" i="2"/>
  <c r="X900" i="2"/>
  <c r="W900" i="2"/>
  <c r="V900" i="2"/>
  <c r="U900" i="2"/>
  <c r="S900" i="2"/>
  <c r="T900" i="2"/>
  <c r="R900" i="2"/>
  <c r="P900" i="2"/>
  <c r="O900" i="2"/>
  <c r="Q900" i="2"/>
  <c r="N900" i="2"/>
  <c r="Z896" i="2"/>
  <c r="Y896" i="2"/>
  <c r="X896" i="2"/>
  <c r="W896" i="2"/>
  <c r="V896" i="2"/>
  <c r="S896" i="2"/>
  <c r="U896" i="2"/>
  <c r="T896" i="2"/>
  <c r="R896" i="2"/>
  <c r="P896" i="2"/>
  <c r="O896" i="2"/>
  <c r="Q896" i="2"/>
  <c r="N896" i="2"/>
  <c r="Y892" i="2"/>
  <c r="X892" i="2"/>
  <c r="Z892" i="2"/>
  <c r="W892" i="2"/>
  <c r="V892" i="2"/>
  <c r="U892" i="2"/>
  <c r="S892" i="2"/>
  <c r="T892" i="2"/>
  <c r="R892" i="2"/>
  <c r="P892" i="2"/>
  <c r="O892" i="2"/>
  <c r="Q892" i="2"/>
  <c r="N892" i="2"/>
  <c r="Y888" i="2"/>
  <c r="Z888" i="2"/>
  <c r="X888" i="2"/>
  <c r="W888" i="2"/>
  <c r="V888" i="2"/>
  <c r="S888" i="2"/>
  <c r="U888" i="2"/>
  <c r="T888" i="2"/>
  <c r="R888" i="2"/>
  <c r="P888" i="2"/>
  <c r="O888" i="2"/>
  <c r="Q888" i="2"/>
  <c r="N888" i="2"/>
  <c r="Y884" i="2"/>
  <c r="Z884" i="2"/>
  <c r="X884" i="2"/>
  <c r="W884" i="2"/>
  <c r="V884" i="2"/>
  <c r="U884" i="2"/>
  <c r="S884" i="2"/>
  <c r="T884" i="2"/>
  <c r="R884" i="2"/>
  <c r="P884" i="2"/>
  <c r="O884" i="2"/>
  <c r="Q884" i="2"/>
  <c r="N884" i="2"/>
  <c r="Z880" i="2"/>
  <c r="Y880" i="2"/>
  <c r="X880" i="2"/>
  <c r="W880" i="2"/>
  <c r="V880" i="2"/>
  <c r="S880" i="2"/>
  <c r="U880" i="2"/>
  <c r="T880" i="2"/>
  <c r="R880" i="2"/>
  <c r="P880" i="2"/>
  <c r="O880" i="2"/>
  <c r="Q880" i="2"/>
  <c r="N880" i="2"/>
  <c r="Y876" i="2"/>
  <c r="Z876" i="2"/>
  <c r="X876" i="2"/>
  <c r="W876" i="2"/>
  <c r="V876" i="2"/>
  <c r="U876" i="2"/>
  <c r="S876" i="2"/>
  <c r="T876" i="2"/>
  <c r="R876" i="2"/>
  <c r="P876" i="2"/>
  <c r="O876" i="2"/>
  <c r="Q876" i="2"/>
  <c r="N876" i="2"/>
  <c r="Y872" i="2"/>
  <c r="Z872" i="2"/>
  <c r="X872" i="2"/>
  <c r="W872" i="2"/>
  <c r="V872" i="2"/>
  <c r="S872" i="2"/>
  <c r="U872" i="2"/>
  <c r="T872" i="2"/>
  <c r="R872" i="2"/>
  <c r="P872" i="2"/>
  <c r="O872" i="2"/>
  <c r="Q872" i="2"/>
  <c r="N872" i="2"/>
  <c r="Y868" i="2"/>
  <c r="Z868" i="2"/>
  <c r="X868" i="2"/>
  <c r="W868" i="2"/>
  <c r="V868" i="2"/>
  <c r="U868" i="2"/>
  <c r="S868" i="2"/>
  <c r="T868" i="2"/>
  <c r="R868" i="2"/>
  <c r="P868" i="2"/>
  <c r="O868" i="2"/>
  <c r="Q868" i="2"/>
  <c r="N868" i="2"/>
  <c r="Z864" i="2"/>
  <c r="Y864" i="2"/>
  <c r="X864" i="2"/>
  <c r="W864" i="2"/>
  <c r="V864" i="2"/>
  <c r="S864" i="2"/>
  <c r="U864" i="2"/>
  <c r="T864" i="2"/>
  <c r="R864" i="2"/>
  <c r="P864" i="2"/>
  <c r="O864" i="2"/>
  <c r="Q864" i="2"/>
  <c r="N864" i="2"/>
  <c r="Y860" i="2"/>
  <c r="Z860" i="2"/>
  <c r="X860" i="2"/>
  <c r="W860" i="2"/>
  <c r="V860" i="2"/>
  <c r="U860" i="2"/>
  <c r="S860" i="2"/>
  <c r="T860" i="2"/>
  <c r="R860" i="2"/>
  <c r="P860" i="2"/>
  <c r="O860" i="2"/>
  <c r="Q860" i="2"/>
  <c r="N860" i="2"/>
  <c r="Y856" i="2"/>
  <c r="Z856" i="2"/>
  <c r="X856" i="2"/>
  <c r="W856" i="2"/>
  <c r="V856" i="2"/>
  <c r="S856" i="2"/>
  <c r="U856" i="2"/>
  <c r="T856" i="2"/>
  <c r="R856" i="2"/>
  <c r="P856" i="2"/>
  <c r="O856" i="2"/>
  <c r="Q856" i="2"/>
  <c r="N856" i="2"/>
  <c r="Y852" i="2"/>
  <c r="Z852" i="2"/>
  <c r="X852" i="2"/>
  <c r="W852" i="2"/>
  <c r="V852" i="2"/>
  <c r="U852" i="2"/>
  <c r="S852" i="2"/>
  <c r="T852" i="2"/>
  <c r="R852" i="2"/>
  <c r="P852" i="2"/>
  <c r="O852" i="2"/>
  <c r="Q852" i="2"/>
  <c r="N852" i="2"/>
  <c r="Z848" i="2"/>
  <c r="Y848" i="2"/>
  <c r="X848" i="2"/>
  <c r="W848" i="2"/>
  <c r="U848" i="2"/>
  <c r="V848" i="2"/>
  <c r="S848" i="2"/>
  <c r="T848" i="2"/>
  <c r="R848" i="2"/>
  <c r="P848" i="2"/>
  <c r="O848" i="2"/>
  <c r="Q848" i="2"/>
  <c r="N848" i="2"/>
  <c r="Y844" i="2"/>
  <c r="X844" i="2"/>
  <c r="Z844" i="2"/>
  <c r="W844" i="2"/>
  <c r="U844" i="2"/>
  <c r="V844" i="2"/>
  <c r="S844" i="2"/>
  <c r="T844" i="2"/>
  <c r="R844" i="2"/>
  <c r="P844" i="2"/>
  <c r="O844" i="2"/>
  <c r="Q844" i="2"/>
  <c r="N844" i="2"/>
  <c r="Y840" i="2"/>
  <c r="Z840" i="2"/>
  <c r="X840" i="2"/>
  <c r="W840" i="2"/>
  <c r="U840" i="2"/>
  <c r="V840" i="2"/>
  <c r="S840" i="2"/>
  <c r="T840" i="2"/>
  <c r="R840" i="2"/>
  <c r="P840" i="2"/>
  <c r="O840" i="2"/>
  <c r="Q840" i="2"/>
  <c r="N840" i="2"/>
  <c r="Y836" i="2"/>
  <c r="Z836" i="2"/>
  <c r="X836" i="2"/>
  <c r="W836" i="2"/>
  <c r="U836" i="2"/>
  <c r="V836" i="2"/>
  <c r="S836" i="2"/>
  <c r="T836" i="2"/>
  <c r="R836" i="2"/>
  <c r="P836" i="2"/>
  <c r="O836" i="2"/>
  <c r="Q836" i="2"/>
  <c r="N836" i="2"/>
  <c r="Z832" i="2"/>
  <c r="Y832" i="2"/>
  <c r="X832" i="2"/>
  <c r="W832" i="2"/>
  <c r="U832" i="2"/>
  <c r="V832" i="2"/>
  <c r="S832" i="2"/>
  <c r="T832" i="2"/>
  <c r="R832" i="2"/>
  <c r="P832" i="2"/>
  <c r="O832" i="2"/>
  <c r="Q832" i="2"/>
  <c r="N832" i="2"/>
  <c r="Y828" i="2"/>
  <c r="X828" i="2"/>
  <c r="Z828" i="2"/>
  <c r="W828" i="2"/>
  <c r="U828" i="2"/>
  <c r="V828" i="2"/>
  <c r="S828" i="2"/>
  <c r="T828" i="2"/>
  <c r="R828" i="2"/>
  <c r="P828" i="2"/>
  <c r="O828" i="2"/>
  <c r="Q828" i="2"/>
  <c r="N828" i="2"/>
  <c r="Y824" i="2"/>
  <c r="Z824" i="2"/>
  <c r="X824" i="2"/>
  <c r="W824" i="2"/>
  <c r="U824" i="2"/>
  <c r="V824" i="2"/>
  <c r="S824" i="2"/>
  <c r="T824" i="2"/>
  <c r="R824" i="2"/>
  <c r="P824" i="2"/>
  <c r="O824" i="2"/>
  <c r="Q824" i="2"/>
  <c r="N824" i="2"/>
  <c r="Y820" i="2"/>
  <c r="Z820" i="2"/>
  <c r="X820" i="2"/>
  <c r="W820" i="2"/>
  <c r="U820" i="2"/>
  <c r="V820" i="2"/>
  <c r="S820" i="2"/>
  <c r="T820" i="2"/>
  <c r="R820" i="2"/>
  <c r="P820" i="2"/>
  <c r="O820" i="2"/>
  <c r="Q820" i="2"/>
  <c r="N820" i="2"/>
  <c r="Z816" i="2"/>
  <c r="Y816" i="2"/>
  <c r="X816" i="2"/>
  <c r="W816" i="2"/>
  <c r="U816" i="2"/>
  <c r="V816" i="2"/>
  <c r="S816" i="2"/>
  <c r="T816" i="2"/>
  <c r="R816" i="2"/>
  <c r="P816" i="2"/>
  <c r="O816" i="2"/>
  <c r="Q816" i="2"/>
  <c r="N816" i="2"/>
  <c r="Y812" i="2"/>
  <c r="Z812" i="2"/>
  <c r="X812" i="2"/>
  <c r="W812" i="2"/>
  <c r="U812" i="2"/>
  <c r="V812" i="2"/>
  <c r="S812" i="2"/>
  <c r="T812" i="2"/>
  <c r="R812" i="2"/>
  <c r="P812" i="2"/>
  <c r="O812" i="2"/>
  <c r="Q812" i="2"/>
  <c r="N812" i="2"/>
  <c r="Y808" i="2"/>
  <c r="Z808" i="2"/>
  <c r="X808" i="2"/>
  <c r="W808" i="2"/>
  <c r="U808" i="2"/>
  <c r="V808" i="2"/>
  <c r="S808" i="2"/>
  <c r="T808" i="2"/>
  <c r="R808" i="2"/>
  <c r="P808" i="2"/>
  <c r="O808" i="2"/>
  <c r="Q808" i="2"/>
  <c r="N808" i="2"/>
  <c r="Y804" i="2"/>
  <c r="Z804" i="2"/>
  <c r="X804" i="2"/>
  <c r="W804" i="2"/>
  <c r="U804" i="2"/>
  <c r="V804" i="2"/>
  <c r="S804" i="2"/>
  <c r="T804" i="2"/>
  <c r="R804" i="2"/>
  <c r="P804" i="2"/>
  <c r="O804" i="2"/>
  <c r="Q804" i="2"/>
  <c r="N804" i="2"/>
  <c r="Z800" i="2"/>
  <c r="Y800" i="2"/>
  <c r="X800" i="2"/>
  <c r="W800" i="2"/>
  <c r="U800" i="2"/>
  <c r="V800" i="2"/>
  <c r="S800" i="2"/>
  <c r="T800" i="2"/>
  <c r="R800" i="2"/>
  <c r="P800" i="2"/>
  <c r="O800" i="2"/>
  <c r="Q800" i="2"/>
  <c r="N800" i="2"/>
  <c r="Y796" i="2"/>
  <c r="Z796" i="2"/>
  <c r="X796" i="2"/>
  <c r="W796" i="2"/>
  <c r="U796" i="2"/>
  <c r="V796" i="2"/>
  <c r="S796" i="2"/>
  <c r="T796" i="2"/>
  <c r="R796" i="2"/>
  <c r="P796" i="2"/>
  <c r="O796" i="2"/>
  <c r="Q796" i="2"/>
  <c r="N796" i="2"/>
  <c r="Y792" i="2"/>
  <c r="Z792" i="2"/>
  <c r="X792" i="2"/>
  <c r="W792" i="2"/>
  <c r="U792" i="2"/>
  <c r="V792" i="2"/>
  <c r="S792" i="2"/>
  <c r="T792" i="2"/>
  <c r="R792" i="2"/>
  <c r="P792" i="2"/>
  <c r="O792" i="2"/>
  <c r="Q792" i="2"/>
  <c r="N792" i="2"/>
  <c r="Y788" i="2"/>
  <c r="Z788" i="2"/>
  <c r="X788" i="2"/>
  <c r="W788" i="2"/>
  <c r="U788" i="2"/>
  <c r="V788" i="2"/>
  <c r="S788" i="2"/>
  <c r="T788" i="2"/>
  <c r="R788" i="2"/>
  <c r="P788" i="2"/>
  <c r="O788" i="2"/>
  <c r="Q788" i="2"/>
  <c r="N788" i="2"/>
  <c r="Z784" i="2"/>
  <c r="Y784" i="2"/>
  <c r="X784" i="2"/>
  <c r="W784" i="2"/>
  <c r="U784" i="2"/>
  <c r="V784" i="2"/>
  <c r="S784" i="2"/>
  <c r="T784" i="2"/>
  <c r="R784" i="2"/>
  <c r="P784" i="2"/>
  <c r="O784" i="2"/>
  <c r="Q784" i="2"/>
  <c r="N784" i="2"/>
  <c r="Y780" i="2"/>
  <c r="X780" i="2"/>
  <c r="W780" i="2"/>
  <c r="Z780" i="2"/>
  <c r="U780" i="2"/>
  <c r="V780" i="2"/>
  <c r="S780" i="2"/>
  <c r="T780" i="2"/>
  <c r="R780" i="2"/>
  <c r="P780" i="2"/>
  <c r="O780" i="2"/>
  <c r="Q780" i="2"/>
  <c r="N780" i="2"/>
  <c r="Y776" i="2"/>
  <c r="Z776" i="2"/>
  <c r="X776" i="2"/>
  <c r="W776" i="2"/>
  <c r="U776" i="2"/>
  <c r="V776" i="2"/>
  <c r="S776" i="2"/>
  <c r="T776" i="2"/>
  <c r="R776" i="2"/>
  <c r="P776" i="2"/>
  <c r="O776" i="2"/>
  <c r="Q776" i="2"/>
  <c r="N776" i="2"/>
  <c r="Y772" i="2"/>
  <c r="Z772" i="2"/>
  <c r="X772" i="2"/>
  <c r="W772" i="2"/>
  <c r="U772" i="2"/>
  <c r="V772" i="2"/>
  <c r="S772" i="2"/>
  <c r="T772" i="2"/>
  <c r="R772" i="2"/>
  <c r="P772" i="2"/>
  <c r="O772" i="2"/>
  <c r="Q772" i="2"/>
  <c r="N772" i="2"/>
  <c r="Z768" i="2"/>
  <c r="Y768" i="2"/>
  <c r="X768" i="2"/>
  <c r="W768" i="2"/>
  <c r="U768" i="2"/>
  <c r="V768" i="2"/>
  <c r="S768" i="2"/>
  <c r="T768" i="2"/>
  <c r="R768" i="2"/>
  <c r="P768" i="2"/>
  <c r="O768" i="2"/>
  <c r="Q768" i="2"/>
  <c r="N768" i="2"/>
  <c r="Y764" i="2"/>
  <c r="X764" i="2"/>
  <c r="Z764" i="2"/>
  <c r="W764" i="2"/>
  <c r="U764" i="2"/>
  <c r="V764" i="2"/>
  <c r="S764" i="2"/>
  <c r="T764" i="2"/>
  <c r="R764" i="2"/>
  <c r="P764" i="2"/>
  <c r="O764" i="2"/>
  <c r="Q764" i="2"/>
  <c r="N764" i="2"/>
  <c r="Y760" i="2"/>
  <c r="Z760" i="2"/>
  <c r="X760" i="2"/>
  <c r="W760" i="2"/>
  <c r="U760" i="2"/>
  <c r="V760" i="2"/>
  <c r="S760" i="2"/>
  <c r="T760" i="2"/>
  <c r="R760" i="2"/>
  <c r="P760" i="2"/>
  <c r="O760" i="2"/>
  <c r="Q760" i="2"/>
  <c r="N760" i="2"/>
  <c r="Y756" i="2"/>
  <c r="Z756" i="2"/>
  <c r="X756" i="2"/>
  <c r="W756" i="2"/>
  <c r="U756" i="2"/>
  <c r="V756" i="2"/>
  <c r="S756" i="2"/>
  <c r="T756" i="2"/>
  <c r="R756" i="2"/>
  <c r="P756" i="2"/>
  <c r="O756" i="2"/>
  <c r="Q756" i="2"/>
  <c r="N756" i="2"/>
  <c r="Z752" i="2"/>
  <c r="Y752" i="2"/>
  <c r="X752" i="2"/>
  <c r="W752" i="2"/>
  <c r="U752" i="2"/>
  <c r="V752" i="2"/>
  <c r="S752" i="2"/>
  <c r="T752" i="2"/>
  <c r="R752" i="2"/>
  <c r="P752" i="2"/>
  <c r="O752" i="2"/>
  <c r="Q752" i="2"/>
  <c r="N752" i="2"/>
  <c r="Y748" i="2"/>
  <c r="Z748" i="2"/>
  <c r="X748" i="2"/>
  <c r="W748" i="2"/>
  <c r="U748" i="2"/>
  <c r="V748" i="2"/>
  <c r="S748" i="2"/>
  <c r="T748" i="2"/>
  <c r="R748" i="2"/>
  <c r="P748" i="2"/>
  <c r="O748" i="2"/>
  <c r="Q748" i="2"/>
  <c r="N748" i="2"/>
  <c r="Y744" i="2"/>
  <c r="Z744" i="2"/>
  <c r="X744" i="2"/>
  <c r="W744" i="2"/>
  <c r="U744" i="2"/>
  <c r="V744" i="2"/>
  <c r="S744" i="2"/>
  <c r="T744" i="2"/>
  <c r="R744" i="2"/>
  <c r="P744" i="2"/>
  <c r="O744" i="2"/>
  <c r="Q744" i="2"/>
  <c r="N744" i="2"/>
  <c r="Y740" i="2"/>
  <c r="Z740" i="2"/>
  <c r="X740" i="2"/>
  <c r="W740" i="2"/>
  <c r="U740" i="2"/>
  <c r="V740" i="2"/>
  <c r="S740" i="2"/>
  <c r="T740" i="2"/>
  <c r="R740" i="2"/>
  <c r="P740" i="2"/>
  <c r="O740" i="2"/>
  <c r="Q740" i="2"/>
  <c r="N740" i="2"/>
  <c r="Z736" i="2"/>
  <c r="Y736" i="2"/>
  <c r="X736" i="2"/>
  <c r="W736" i="2"/>
  <c r="U736" i="2"/>
  <c r="V736" i="2"/>
  <c r="S736" i="2"/>
  <c r="T736" i="2"/>
  <c r="R736" i="2"/>
  <c r="P736" i="2"/>
  <c r="O736" i="2"/>
  <c r="Q736" i="2"/>
  <c r="N736" i="2"/>
  <c r="Y732" i="2"/>
  <c r="Z732" i="2"/>
  <c r="X732" i="2"/>
  <c r="W732" i="2"/>
  <c r="U732" i="2"/>
  <c r="V732" i="2"/>
  <c r="S732" i="2"/>
  <c r="T732" i="2"/>
  <c r="R732" i="2"/>
  <c r="P732" i="2"/>
  <c r="O732" i="2"/>
  <c r="Q732" i="2"/>
  <c r="N732" i="2"/>
  <c r="Y728" i="2"/>
  <c r="Z728" i="2"/>
  <c r="X728" i="2"/>
  <c r="W728" i="2"/>
  <c r="U728" i="2"/>
  <c r="V728" i="2"/>
  <c r="S728" i="2"/>
  <c r="T728" i="2"/>
  <c r="R728" i="2"/>
  <c r="P728" i="2"/>
  <c r="O728" i="2"/>
  <c r="Q728" i="2"/>
  <c r="N728" i="2"/>
  <c r="Y724" i="2"/>
  <c r="Z724" i="2"/>
  <c r="X724" i="2"/>
  <c r="W724" i="2"/>
  <c r="U724" i="2"/>
  <c r="V724" i="2"/>
  <c r="S724" i="2"/>
  <c r="T724" i="2"/>
  <c r="R724" i="2"/>
  <c r="P724" i="2"/>
  <c r="O724" i="2"/>
  <c r="Q724" i="2"/>
  <c r="N724" i="2"/>
  <c r="Z720" i="2"/>
  <c r="Y720" i="2"/>
  <c r="X720" i="2"/>
  <c r="W720" i="2"/>
  <c r="U720" i="2"/>
  <c r="V720" i="2"/>
  <c r="S720" i="2"/>
  <c r="T720" i="2"/>
  <c r="R720" i="2"/>
  <c r="P720" i="2"/>
  <c r="O720" i="2"/>
  <c r="Q720" i="2"/>
  <c r="N720" i="2"/>
  <c r="Y716" i="2"/>
  <c r="X716" i="2"/>
  <c r="W716" i="2"/>
  <c r="Z716" i="2"/>
  <c r="U716" i="2"/>
  <c r="V716" i="2"/>
  <c r="S716" i="2"/>
  <c r="T716" i="2"/>
  <c r="R716" i="2"/>
  <c r="P716" i="2"/>
  <c r="O716" i="2"/>
  <c r="Q716" i="2"/>
  <c r="N716" i="2"/>
  <c r="Y712" i="2"/>
  <c r="Z712" i="2"/>
  <c r="X712" i="2"/>
  <c r="W712" i="2"/>
  <c r="U712" i="2"/>
  <c r="V712" i="2"/>
  <c r="S712" i="2"/>
  <c r="T712" i="2"/>
  <c r="R712" i="2"/>
  <c r="P712" i="2"/>
  <c r="O712" i="2"/>
  <c r="Q712" i="2"/>
  <c r="N712" i="2"/>
  <c r="Y708" i="2"/>
  <c r="Z708" i="2"/>
  <c r="X708" i="2"/>
  <c r="W708" i="2"/>
  <c r="U708" i="2"/>
  <c r="V708" i="2"/>
  <c r="S708" i="2"/>
  <c r="T708" i="2"/>
  <c r="R708" i="2"/>
  <c r="P708" i="2"/>
  <c r="O708" i="2"/>
  <c r="Q708" i="2"/>
  <c r="N708" i="2"/>
  <c r="Z704" i="2"/>
  <c r="Y704" i="2"/>
  <c r="X704" i="2"/>
  <c r="W704" i="2"/>
  <c r="U704" i="2"/>
  <c r="V704" i="2"/>
  <c r="S704" i="2"/>
  <c r="T704" i="2"/>
  <c r="R704" i="2"/>
  <c r="P704" i="2"/>
  <c r="O704" i="2"/>
  <c r="Q704" i="2"/>
  <c r="N704" i="2"/>
  <c r="Y700" i="2"/>
  <c r="X700" i="2"/>
  <c r="Z700" i="2"/>
  <c r="W700" i="2"/>
  <c r="U700" i="2"/>
  <c r="V700" i="2"/>
  <c r="S700" i="2"/>
  <c r="T700" i="2"/>
  <c r="R700" i="2"/>
  <c r="P700" i="2"/>
  <c r="O700" i="2"/>
  <c r="Q700" i="2"/>
  <c r="N700" i="2"/>
  <c r="Y696" i="2"/>
  <c r="Z696" i="2"/>
  <c r="X696" i="2"/>
  <c r="W696" i="2"/>
  <c r="U696" i="2"/>
  <c r="V696" i="2"/>
  <c r="S696" i="2"/>
  <c r="T696" i="2"/>
  <c r="R696" i="2"/>
  <c r="P696" i="2"/>
  <c r="O696" i="2"/>
  <c r="Q696" i="2"/>
  <c r="N696" i="2"/>
  <c r="Y692" i="2"/>
  <c r="Z692" i="2"/>
  <c r="X692" i="2"/>
  <c r="W692" i="2"/>
  <c r="U692" i="2"/>
  <c r="V692" i="2"/>
  <c r="S692" i="2"/>
  <c r="T692" i="2"/>
  <c r="R692" i="2"/>
  <c r="P692" i="2"/>
  <c r="O692" i="2"/>
  <c r="Q692" i="2"/>
  <c r="N692" i="2"/>
  <c r="Z688" i="2"/>
  <c r="Y688" i="2"/>
  <c r="X688" i="2"/>
  <c r="W688" i="2"/>
  <c r="U688" i="2"/>
  <c r="V688" i="2"/>
  <c r="S688" i="2"/>
  <c r="T688" i="2"/>
  <c r="R688" i="2"/>
  <c r="P688" i="2"/>
  <c r="O688" i="2"/>
  <c r="Q688" i="2"/>
  <c r="N688" i="2"/>
  <c r="Y684" i="2"/>
  <c r="Z684" i="2"/>
  <c r="X684" i="2"/>
  <c r="W684" i="2"/>
  <c r="U684" i="2"/>
  <c r="V684" i="2"/>
  <c r="S684" i="2"/>
  <c r="T684" i="2"/>
  <c r="R684" i="2"/>
  <c r="P684" i="2"/>
  <c r="O684" i="2"/>
  <c r="Q684" i="2"/>
  <c r="N684" i="2"/>
  <c r="Y680" i="2"/>
  <c r="Z680" i="2"/>
  <c r="X680" i="2"/>
  <c r="W680" i="2"/>
  <c r="U680" i="2"/>
  <c r="V680" i="2"/>
  <c r="S680" i="2"/>
  <c r="T680" i="2"/>
  <c r="R680" i="2"/>
  <c r="P680" i="2"/>
  <c r="O680" i="2"/>
  <c r="Q680" i="2"/>
  <c r="N680" i="2"/>
  <c r="Y676" i="2"/>
  <c r="Z676" i="2"/>
  <c r="X676" i="2"/>
  <c r="W676" i="2"/>
  <c r="U676" i="2"/>
  <c r="V676" i="2"/>
  <c r="S676" i="2"/>
  <c r="T676" i="2"/>
  <c r="R676" i="2"/>
  <c r="P676" i="2"/>
  <c r="O676" i="2"/>
  <c r="Q676" i="2"/>
  <c r="N676" i="2"/>
  <c r="Z672" i="2"/>
  <c r="Y672" i="2"/>
  <c r="X672" i="2"/>
  <c r="W672" i="2"/>
  <c r="U672" i="2"/>
  <c r="V672" i="2"/>
  <c r="S672" i="2"/>
  <c r="T672" i="2"/>
  <c r="R672" i="2"/>
  <c r="P672" i="2"/>
  <c r="O672" i="2"/>
  <c r="Q672" i="2"/>
  <c r="N672" i="2"/>
  <c r="Y668" i="2"/>
  <c r="Z668" i="2"/>
  <c r="X668" i="2"/>
  <c r="W668" i="2"/>
  <c r="U668" i="2"/>
  <c r="V668" i="2"/>
  <c r="S668" i="2"/>
  <c r="T668" i="2"/>
  <c r="R668" i="2"/>
  <c r="P668" i="2"/>
  <c r="O668" i="2"/>
  <c r="Q668" i="2"/>
  <c r="N668" i="2"/>
  <c r="Y664" i="2"/>
  <c r="Z664" i="2"/>
  <c r="X664" i="2"/>
  <c r="W664" i="2"/>
  <c r="U664" i="2"/>
  <c r="V664" i="2"/>
  <c r="S664" i="2"/>
  <c r="T664" i="2"/>
  <c r="R664" i="2"/>
  <c r="P664" i="2"/>
  <c r="O664" i="2"/>
  <c r="Q664" i="2"/>
  <c r="N664" i="2"/>
  <c r="Y660" i="2"/>
  <c r="Z660" i="2"/>
  <c r="X660" i="2"/>
  <c r="W660" i="2"/>
  <c r="U660" i="2"/>
  <c r="V660" i="2"/>
  <c r="S660" i="2"/>
  <c r="T660" i="2"/>
  <c r="R660" i="2"/>
  <c r="P660" i="2"/>
  <c r="O660" i="2"/>
  <c r="Q660" i="2"/>
  <c r="N660" i="2"/>
  <c r="Z656" i="2"/>
  <c r="Y656" i="2"/>
  <c r="X656" i="2"/>
  <c r="W656" i="2"/>
  <c r="U656" i="2"/>
  <c r="V656" i="2"/>
  <c r="S656" i="2"/>
  <c r="T656" i="2"/>
  <c r="R656" i="2"/>
  <c r="P656" i="2"/>
  <c r="O656" i="2"/>
  <c r="Q656" i="2"/>
  <c r="N656" i="2"/>
  <c r="Y652" i="2"/>
  <c r="X652" i="2"/>
  <c r="Z652" i="2"/>
  <c r="W652" i="2"/>
  <c r="U652" i="2"/>
  <c r="V652" i="2"/>
  <c r="S652" i="2"/>
  <c r="T652" i="2"/>
  <c r="R652" i="2"/>
  <c r="P652" i="2"/>
  <c r="O652" i="2"/>
  <c r="Q652" i="2"/>
  <c r="N652" i="2"/>
  <c r="Y648" i="2"/>
  <c r="Z648" i="2"/>
  <c r="X648" i="2"/>
  <c r="W648" i="2"/>
  <c r="U648" i="2"/>
  <c r="V648" i="2"/>
  <c r="S648" i="2"/>
  <c r="T648" i="2"/>
  <c r="R648" i="2"/>
  <c r="P648" i="2"/>
  <c r="O648" i="2"/>
  <c r="Q648" i="2"/>
  <c r="N648" i="2"/>
  <c r="Y644" i="2"/>
  <c r="Z644" i="2"/>
  <c r="X644" i="2"/>
  <c r="W644" i="2"/>
  <c r="U644" i="2"/>
  <c r="V644" i="2"/>
  <c r="S644" i="2"/>
  <c r="T644" i="2"/>
  <c r="R644" i="2"/>
  <c r="P644" i="2"/>
  <c r="O644" i="2"/>
  <c r="Q644" i="2"/>
  <c r="N644" i="2"/>
  <c r="Z640" i="2"/>
  <c r="Y640" i="2"/>
  <c r="X640" i="2"/>
  <c r="W640" i="2"/>
  <c r="U640" i="2"/>
  <c r="V640" i="2"/>
  <c r="S640" i="2"/>
  <c r="T640" i="2"/>
  <c r="R640" i="2"/>
  <c r="P640" i="2"/>
  <c r="O640" i="2"/>
  <c r="Q640" i="2"/>
  <c r="N640" i="2"/>
  <c r="Y636" i="2"/>
  <c r="X636" i="2"/>
  <c r="Z636" i="2"/>
  <c r="W636" i="2"/>
  <c r="U636" i="2"/>
  <c r="V636" i="2"/>
  <c r="S636" i="2"/>
  <c r="T636" i="2"/>
  <c r="R636" i="2"/>
  <c r="P636" i="2"/>
  <c r="O636" i="2"/>
  <c r="Q636" i="2"/>
  <c r="N636" i="2"/>
  <c r="Y632" i="2"/>
  <c r="Z632" i="2"/>
  <c r="X632" i="2"/>
  <c r="W632" i="2"/>
  <c r="U632" i="2"/>
  <c r="V632" i="2"/>
  <c r="S632" i="2"/>
  <c r="T632" i="2"/>
  <c r="R632" i="2"/>
  <c r="P632" i="2"/>
  <c r="O632" i="2"/>
  <c r="Q632" i="2"/>
  <c r="N632" i="2"/>
  <c r="Y628" i="2"/>
  <c r="Z628" i="2"/>
  <c r="X628" i="2"/>
  <c r="W628" i="2"/>
  <c r="U628" i="2"/>
  <c r="V628" i="2"/>
  <c r="S628" i="2"/>
  <c r="T628" i="2"/>
  <c r="R628" i="2"/>
  <c r="P628" i="2"/>
  <c r="O628" i="2"/>
  <c r="Q628" i="2"/>
  <c r="N628" i="2"/>
  <c r="Z624" i="2"/>
  <c r="Y624" i="2"/>
  <c r="X624" i="2"/>
  <c r="W624" i="2"/>
  <c r="U624" i="2"/>
  <c r="V624" i="2"/>
  <c r="S624" i="2"/>
  <c r="T624" i="2"/>
  <c r="R624" i="2"/>
  <c r="P624" i="2"/>
  <c r="O624" i="2"/>
  <c r="Q624" i="2"/>
  <c r="N624" i="2"/>
  <c r="Y620" i="2"/>
  <c r="Z620" i="2"/>
  <c r="X620" i="2"/>
  <c r="W620" i="2"/>
  <c r="U620" i="2"/>
  <c r="V620" i="2"/>
  <c r="S620" i="2"/>
  <c r="T620" i="2"/>
  <c r="R620" i="2"/>
  <c r="P620" i="2"/>
  <c r="O620" i="2"/>
  <c r="Q620" i="2"/>
  <c r="N620" i="2"/>
  <c r="Y616" i="2"/>
  <c r="Z616" i="2"/>
  <c r="X616" i="2"/>
  <c r="W616" i="2"/>
  <c r="U616" i="2"/>
  <c r="V616" i="2"/>
  <c r="S616" i="2"/>
  <c r="T616" i="2"/>
  <c r="R616" i="2"/>
  <c r="P616" i="2"/>
  <c r="O616" i="2"/>
  <c r="Q616" i="2"/>
  <c r="N616" i="2"/>
  <c r="Y612" i="2"/>
  <c r="Z612" i="2"/>
  <c r="X612" i="2"/>
  <c r="W612" i="2"/>
  <c r="U612" i="2"/>
  <c r="V612" i="2"/>
  <c r="S612" i="2"/>
  <c r="T612" i="2"/>
  <c r="R612" i="2"/>
  <c r="P612" i="2"/>
  <c r="O612" i="2"/>
  <c r="Q612" i="2"/>
  <c r="N612" i="2"/>
  <c r="Z608" i="2"/>
  <c r="Y608" i="2"/>
  <c r="X608" i="2"/>
  <c r="W608" i="2"/>
  <c r="U608" i="2"/>
  <c r="V608" i="2"/>
  <c r="S608" i="2"/>
  <c r="T608" i="2"/>
  <c r="R608" i="2"/>
  <c r="P608" i="2"/>
  <c r="O608" i="2"/>
  <c r="Q608" i="2"/>
  <c r="N608" i="2"/>
  <c r="Y604" i="2"/>
  <c r="Z604" i="2"/>
  <c r="X604" i="2"/>
  <c r="W604" i="2"/>
  <c r="U604" i="2"/>
  <c r="V604" i="2"/>
  <c r="S604" i="2"/>
  <c r="T604" i="2"/>
  <c r="R604" i="2"/>
  <c r="P604" i="2"/>
  <c r="O604" i="2"/>
  <c r="Q604" i="2"/>
  <c r="N604" i="2"/>
  <c r="Y600" i="2"/>
  <c r="Z600" i="2"/>
  <c r="X600" i="2"/>
  <c r="W600" i="2"/>
  <c r="U600" i="2"/>
  <c r="V600" i="2"/>
  <c r="S600" i="2"/>
  <c r="T600" i="2"/>
  <c r="R600" i="2"/>
  <c r="P600" i="2"/>
  <c r="O600" i="2"/>
  <c r="Q600" i="2"/>
  <c r="N600" i="2"/>
  <c r="Y596" i="2"/>
  <c r="Z596" i="2"/>
  <c r="X596" i="2"/>
  <c r="W596" i="2"/>
  <c r="U596" i="2"/>
  <c r="V596" i="2"/>
  <c r="S596" i="2"/>
  <c r="T596" i="2"/>
  <c r="R596" i="2"/>
  <c r="P596" i="2"/>
  <c r="O596" i="2"/>
  <c r="Q596" i="2"/>
  <c r="N596" i="2"/>
  <c r="Z592" i="2"/>
  <c r="Y592" i="2"/>
  <c r="X592" i="2"/>
  <c r="W592" i="2"/>
  <c r="U592" i="2"/>
  <c r="V592" i="2"/>
  <c r="S592" i="2"/>
  <c r="T592" i="2"/>
  <c r="R592" i="2"/>
  <c r="P592" i="2"/>
  <c r="O592" i="2"/>
  <c r="Q592" i="2"/>
  <c r="N592" i="2"/>
  <c r="Y588" i="2"/>
  <c r="X588" i="2"/>
  <c r="Z588" i="2"/>
  <c r="W588" i="2"/>
  <c r="U588" i="2"/>
  <c r="V588" i="2"/>
  <c r="S588" i="2"/>
  <c r="T588" i="2"/>
  <c r="R588" i="2"/>
  <c r="P588" i="2"/>
  <c r="O588" i="2"/>
  <c r="Q588" i="2"/>
  <c r="N588" i="2"/>
  <c r="Y584" i="2"/>
  <c r="Z584" i="2"/>
  <c r="X584" i="2"/>
  <c r="W584" i="2"/>
  <c r="U584" i="2"/>
  <c r="V584" i="2"/>
  <c r="S584" i="2"/>
  <c r="T584" i="2"/>
  <c r="R584" i="2"/>
  <c r="P584" i="2"/>
  <c r="O584" i="2"/>
  <c r="Q584" i="2"/>
  <c r="N584" i="2"/>
  <c r="Y580" i="2"/>
  <c r="Z580" i="2"/>
  <c r="X580" i="2"/>
  <c r="W580" i="2"/>
  <c r="U580" i="2"/>
  <c r="V580" i="2"/>
  <c r="S580" i="2"/>
  <c r="T580" i="2"/>
  <c r="R580" i="2"/>
  <c r="P580" i="2"/>
  <c r="O580" i="2"/>
  <c r="Q580" i="2"/>
  <c r="N580" i="2"/>
  <c r="Z576" i="2"/>
  <c r="Y576" i="2"/>
  <c r="X576" i="2"/>
  <c r="W576" i="2"/>
  <c r="U576" i="2"/>
  <c r="V576" i="2"/>
  <c r="S576" i="2"/>
  <c r="T576" i="2"/>
  <c r="R576" i="2"/>
  <c r="P576" i="2"/>
  <c r="O576" i="2"/>
  <c r="Q576" i="2"/>
  <c r="N576" i="2"/>
  <c r="Y572" i="2"/>
  <c r="X572" i="2"/>
  <c r="Z572" i="2"/>
  <c r="W572" i="2"/>
  <c r="U572" i="2"/>
  <c r="V572" i="2"/>
  <c r="S572" i="2"/>
  <c r="T572" i="2"/>
  <c r="R572" i="2"/>
  <c r="P572" i="2"/>
  <c r="O572" i="2"/>
  <c r="Q572" i="2"/>
  <c r="N572" i="2"/>
  <c r="Y568" i="2"/>
  <c r="Z568" i="2"/>
  <c r="X568" i="2"/>
  <c r="W568" i="2"/>
  <c r="U568" i="2"/>
  <c r="V568" i="2"/>
  <c r="S568" i="2"/>
  <c r="T568" i="2"/>
  <c r="R568" i="2"/>
  <c r="P568" i="2"/>
  <c r="O568" i="2"/>
  <c r="Q568" i="2"/>
  <c r="N568" i="2"/>
  <c r="Y564" i="2"/>
  <c r="Z564" i="2"/>
  <c r="X564" i="2"/>
  <c r="W564" i="2"/>
  <c r="U564" i="2"/>
  <c r="V564" i="2"/>
  <c r="S564" i="2"/>
  <c r="T564" i="2"/>
  <c r="R564" i="2"/>
  <c r="P564" i="2"/>
  <c r="O564" i="2"/>
  <c r="Q564" i="2"/>
  <c r="N564" i="2"/>
  <c r="Z560" i="2"/>
  <c r="Y560" i="2"/>
  <c r="X560" i="2"/>
  <c r="W560" i="2"/>
  <c r="U560" i="2"/>
  <c r="V560" i="2"/>
  <c r="S560" i="2"/>
  <c r="T560" i="2"/>
  <c r="R560" i="2"/>
  <c r="P560" i="2"/>
  <c r="O560" i="2"/>
  <c r="Q560" i="2"/>
  <c r="N560" i="2"/>
  <c r="Y556" i="2"/>
  <c r="Z556" i="2"/>
  <c r="X556" i="2"/>
  <c r="W556" i="2"/>
  <c r="U556" i="2"/>
  <c r="V556" i="2"/>
  <c r="S556" i="2"/>
  <c r="T556" i="2"/>
  <c r="R556" i="2"/>
  <c r="P556" i="2"/>
  <c r="O556" i="2"/>
  <c r="Q556" i="2"/>
  <c r="N556" i="2"/>
  <c r="Y552" i="2"/>
  <c r="Z552" i="2"/>
  <c r="X552" i="2"/>
  <c r="W552" i="2"/>
  <c r="T552" i="2"/>
  <c r="U552" i="2"/>
  <c r="V552" i="2"/>
  <c r="S552" i="2"/>
  <c r="R552" i="2"/>
  <c r="P552" i="2"/>
  <c r="O552" i="2"/>
  <c r="Q552" i="2"/>
  <c r="N552" i="2"/>
  <c r="Y548" i="2"/>
  <c r="Z548" i="2"/>
  <c r="X548" i="2"/>
  <c r="W548" i="2"/>
  <c r="T548" i="2"/>
  <c r="U548" i="2"/>
  <c r="V548" i="2"/>
  <c r="S548" i="2"/>
  <c r="R548" i="2"/>
  <c r="P548" i="2"/>
  <c r="O548" i="2"/>
  <c r="Q548" i="2"/>
  <c r="N548" i="2"/>
  <c r="Z544" i="2"/>
  <c r="Y544" i="2"/>
  <c r="X544" i="2"/>
  <c r="W544" i="2"/>
  <c r="T544" i="2"/>
  <c r="U544" i="2"/>
  <c r="V544" i="2"/>
  <c r="S544" i="2"/>
  <c r="R544" i="2"/>
  <c r="P544" i="2"/>
  <c r="O544" i="2"/>
  <c r="Q544" i="2"/>
  <c r="N544" i="2"/>
  <c r="Y540" i="2"/>
  <c r="Z540" i="2"/>
  <c r="X540" i="2"/>
  <c r="W540" i="2"/>
  <c r="T540" i="2"/>
  <c r="U540" i="2"/>
  <c r="V540" i="2"/>
  <c r="S540" i="2"/>
  <c r="R540" i="2"/>
  <c r="P540" i="2"/>
  <c r="O540" i="2"/>
  <c r="Q540" i="2"/>
  <c r="N540" i="2"/>
  <c r="Y536" i="2"/>
  <c r="Z536" i="2"/>
  <c r="X536" i="2"/>
  <c r="W536" i="2"/>
  <c r="T536" i="2"/>
  <c r="U536" i="2"/>
  <c r="V536" i="2"/>
  <c r="S536" i="2"/>
  <c r="R536" i="2"/>
  <c r="P536" i="2"/>
  <c r="O536" i="2"/>
  <c r="Q536" i="2"/>
  <c r="N536" i="2"/>
  <c r="Y532" i="2"/>
  <c r="Z532" i="2"/>
  <c r="X532" i="2"/>
  <c r="W532" i="2"/>
  <c r="T532" i="2"/>
  <c r="U532" i="2"/>
  <c r="V532" i="2"/>
  <c r="S532" i="2"/>
  <c r="R532" i="2"/>
  <c r="P532" i="2"/>
  <c r="O532" i="2"/>
  <c r="Q532" i="2"/>
  <c r="N532" i="2"/>
  <c r="Z528" i="2"/>
  <c r="Y528" i="2"/>
  <c r="X528" i="2"/>
  <c r="W528" i="2"/>
  <c r="T528" i="2"/>
  <c r="U528" i="2"/>
  <c r="V528" i="2"/>
  <c r="S528" i="2"/>
  <c r="R528" i="2"/>
  <c r="P528" i="2"/>
  <c r="O528" i="2"/>
  <c r="Q528" i="2"/>
  <c r="N528" i="2"/>
  <c r="Y524" i="2"/>
  <c r="X524" i="2"/>
  <c r="W524" i="2"/>
  <c r="Z524" i="2"/>
  <c r="T524" i="2"/>
  <c r="U524" i="2"/>
  <c r="V524" i="2"/>
  <c r="S524" i="2"/>
  <c r="R524" i="2"/>
  <c r="P524" i="2"/>
  <c r="O524" i="2"/>
  <c r="Q524" i="2"/>
  <c r="N524" i="2"/>
  <c r="Y520" i="2"/>
  <c r="Z520" i="2"/>
  <c r="X520" i="2"/>
  <c r="W520" i="2"/>
  <c r="T520" i="2"/>
  <c r="U520" i="2"/>
  <c r="V520" i="2"/>
  <c r="S520" i="2"/>
  <c r="R520" i="2"/>
  <c r="P520" i="2"/>
  <c r="O520" i="2"/>
  <c r="Q520" i="2"/>
  <c r="N520" i="2"/>
  <c r="Y516" i="2"/>
  <c r="Z516" i="2"/>
  <c r="X516" i="2"/>
  <c r="W516" i="2"/>
  <c r="T516" i="2"/>
  <c r="U516" i="2"/>
  <c r="V516" i="2"/>
  <c r="S516" i="2"/>
  <c r="R516" i="2"/>
  <c r="P516" i="2"/>
  <c r="O516" i="2"/>
  <c r="Q516" i="2"/>
  <c r="N516" i="2"/>
  <c r="Z512" i="2"/>
  <c r="Y512" i="2"/>
  <c r="X512" i="2"/>
  <c r="W512" i="2"/>
  <c r="T512" i="2"/>
  <c r="U512" i="2"/>
  <c r="V512" i="2"/>
  <c r="S512" i="2"/>
  <c r="R512" i="2"/>
  <c r="P512" i="2"/>
  <c r="O512" i="2"/>
  <c r="Q512" i="2"/>
  <c r="N512" i="2"/>
  <c r="Y508" i="2"/>
  <c r="X508" i="2"/>
  <c r="Z508" i="2"/>
  <c r="W508" i="2"/>
  <c r="T508" i="2"/>
  <c r="U508" i="2"/>
  <c r="V508" i="2"/>
  <c r="S508" i="2"/>
  <c r="R508" i="2"/>
  <c r="P508" i="2"/>
  <c r="O508" i="2"/>
  <c r="Q508" i="2"/>
  <c r="N508" i="2"/>
  <c r="Y504" i="2"/>
  <c r="Z504" i="2"/>
  <c r="X504" i="2"/>
  <c r="W504" i="2"/>
  <c r="T504" i="2"/>
  <c r="U504" i="2"/>
  <c r="V504" i="2"/>
  <c r="S504" i="2"/>
  <c r="R504" i="2"/>
  <c r="P504" i="2"/>
  <c r="O504" i="2"/>
  <c r="Q504" i="2"/>
  <c r="N504" i="2"/>
  <c r="Y500" i="2"/>
  <c r="Z500" i="2"/>
  <c r="X500" i="2"/>
  <c r="W500" i="2"/>
  <c r="T500" i="2"/>
  <c r="U500" i="2"/>
  <c r="V500" i="2"/>
  <c r="S500" i="2"/>
  <c r="R500" i="2"/>
  <c r="P500" i="2"/>
  <c r="O500" i="2"/>
  <c r="Q500" i="2"/>
  <c r="N500" i="2"/>
  <c r="Z496" i="2"/>
  <c r="Y496" i="2"/>
  <c r="X496" i="2"/>
  <c r="W496" i="2"/>
  <c r="T496" i="2"/>
  <c r="U496" i="2"/>
  <c r="V496" i="2"/>
  <c r="S496" i="2"/>
  <c r="R496" i="2"/>
  <c r="P496" i="2"/>
  <c r="O496" i="2"/>
  <c r="Q496" i="2"/>
  <c r="N496" i="2"/>
  <c r="Y492" i="2"/>
  <c r="Z492" i="2"/>
  <c r="X492" i="2"/>
  <c r="W492" i="2"/>
  <c r="T492" i="2"/>
  <c r="U492" i="2"/>
  <c r="V492" i="2"/>
  <c r="S492" i="2"/>
  <c r="R492" i="2"/>
  <c r="P492" i="2"/>
  <c r="O492" i="2"/>
  <c r="Q492" i="2"/>
  <c r="N492" i="2"/>
  <c r="Y488" i="2"/>
  <c r="Z488" i="2"/>
  <c r="X488" i="2"/>
  <c r="W488" i="2"/>
  <c r="T488" i="2"/>
  <c r="U488" i="2"/>
  <c r="V488" i="2"/>
  <c r="S488" i="2"/>
  <c r="R488" i="2"/>
  <c r="P488" i="2"/>
  <c r="O488" i="2"/>
  <c r="Q488" i="2"/>
  <c r="N488" i="2"/>
  <c r="Y484" i="2"/>
  <c r="Z484" i="2"/>
  <c r="X484" i="2"/>
  <c r="W484" i="2"/>
  <c r="T484" i="2"/>
  <c r="U484" i="2"/>
  <c r="V484" i="2"/>
  <c r="S484" i="2"/>
  <c r="R484" i="2"/>
  <c r="P484" i="2"/>
  <c r="O484" i="2"/>
  <c r="Q484" i="2"/>
  <c r="N484" i="2"/>
  <c r="Z480" i="2"/>
  <c r="Y480" i="2"/>
  <c r="X480" i="2"/>
  <c r="W480" i="2"/>
  <c r="T480" i="2"/>
  <c r="U480" i="2"/>
  <c r="V480" i="2"/>
  <c r="S480" i="2"/>
  <c r="R480" i="2"/>
  <c r="P480" i="2"/>
  <c r="O480" i="2"/>
  <c r="Q480" i="2"/>
  <c r="N480" i="2"/>
  <c r="Y476" i="2"/>
  <c r="Z476" i="2"/>
  <c r="X476" i="2"/>
  <c r="W476" i="2"/>
  <c r="T476" i="2"/>
  <c r="U476" i="2"/>
  <c r="V476" i="2"/>
  <c r="S476" i="2"/>
  <c r="R476" i="2"/>
  <c r="P476" i="2"/>
  <c r="O476" i="2"/>
  <c r="Q476" i="2"/>
  <c r="N476" i="2"/>
  <c r="Y472" i="2"/>
  <c r="Z472" i="2"/>
  <c r="X472" i="2"/>
  <c r="W472" i="2"/>
  <c r="T472" i="2"/>
  <c r="U472" i="2"/>
  <c r="V472" i="2"/>
  <c r="S472" i="2"/>
  <c r="R472" i="2"/>
  <c r="P472" i="2"/>
  <c r="O472" i="2"/>
  <c r="Q472" i="2"/>
  <c r="N472" i="2"/>
  <c r="Y468" i="2"/>
  <c r="Z468" i="2"/>
  <c r="X468" i="2"/>
  <c r="W468" i="2"/>
  <c r="T468" i="2"/>
  <c r="U468" i="2"/>
  <c r="V468" i="2"/>
  <c r="S468" i="2"/>
  <c r="R468" i="2"/>
  <c r="P468" i="2"/>
  <c r="O468" i="2"/>
  <c r="Q468" i="2"/>
  <c r="N468" i="2"/>
  <c r="Z464" i="2"/>
  <c r="Y464" i="2"/>
  <c r="X464" i="2"/>
  <c r="W464" i="2"/>
  <c r="T464" i="2"/>
  <c r="U464" i="2"/>
  <c r="V464" i="2"/>
  <c r="S464" i="2"/>
  <c r="R464" i="2"/>
  <c r="P464" i="2"/>
  <c r="O464" i="2"/>
  <c r="Q464" i="2"/>
  <c r="N464" i="2"/>
  <c r="Y460" i="2"/>
  <c r="X460" i="2"/>
  <c r="W460" i="2"/>
  <c r="Z460" i="2"/>
  <c r="T460" i="2"/>
  <c r="U460" i="2"/>
  <c r="V460" i="2"/>
  <c r="S460" i="2"/>
  <c r="R460" i="2"/>
  <c r="P460" i="2"/>
  <c r="O460" i="2"/>
  <c r="Q460" i="2"/>
  <c r="N460" i="2"/>
  <c r="Y456" i="2"/>
  <c r="Z456" i="2"/>
  <c r="X456" i="2"/>
  <c r="W456" i="2"/>
  <c r="T456" i="2"/>
  <c r="U456" i="2"/>
  <c r="V456" i="2"/>
  <c r="S456" i="2"/>
  <c r="R456" i="2"/>
  <c r="P456" i="2"/>
  <c r="O456" i="2"/>
  <c r="Q456" i="2"/>
  <c r="N456" i="2"/>
  <c r="Y452" i="2"/>
  <c r="Z452" i="2"/>
  <c r="X452" i="2"/>
  <c r="W452" i="2"/>
  <c r="T452" i="2"/>
  <c r="U452" i="2"/>
  <c r="V452" i="2"/>
  <c r="S452" i="2"/>
  <c r="R452" i="2"/>
  <c r="P452" i="2"/>
  <c r="O452" i="2"/>
  <c r="Q452" i="2"/>
  <c r="N452" i="2"/>
  <c r="Z448" i="2"/>
  <c r="Y448" i="2"/>
  <c r="X448" i="2"/>
  <c r="W448" i="2"/>
  <c r="T448" i="2"/>
  <c r="U448" i="2"/>
  <c r="V448" i="2"/>
  <c r="S448" i="2"/>
  <c r="R448" i="2"/>
  <c r="P448" i="2"/>
  <c r="O448" i="2"/>
  <c r="Q448" i="2"/>
  <c r="N448" i="2"/>
  <c r="Y444" i="2"/>
  <c r="X444" i="2"/>
  <c r="Z444" i="2"/>
  <c r="W444" i="2"/>
  <c r="T444" i="2"/>
  <c r="U444" i="2"/>
  <c r="V444" i="2"/>
  <c r="S444" i="2"/>
  <c r="R444" i="2"/>
  <c r="P444" i="2"/>
  <c r="O444" i="2"/>
  <c r="Q444" i="2"/>
  <c r="N444" i="2"/>
  <c r="Y440" i="2"/>
  <c r="Z440" i="2"/>
  <c r="X440" i="2"/>
  <c r="W440" i="2"/>
  <c r="T440" i="2"/>
  <c r="U440" i="2"/>
  <c r="V440" i="2"/>
  <c r="S440" i="2"/>
  <c r="R440" i="2"/>
  <c r="P440" i="2"/>
  <c r="O440" i="2"/>
  <c r="Q440" i="2"/>
  <c r="N440" i="2"/>
  <c r="Y436" i="2"/>
  <c r="Z436" i="2"/>
  <c r="X436" i="2"/>
  <c r="W436" i="2"/>
  <c r="T436" i="2"/>
  <c r="U436" i="2"/>
  <c r="V436" i="2"/>
  <c r="S436" i="2"/>
  <c r="R436" i="2"/>
  <c r="P436" i="2"/>
  <c r="O436" i="2"/>
  <c r="Q436" i="2"/>
  <c r="N436" i="2"/>
  <c r="Z432" i="2"/>
  <c r="Y432" i="2"/>
  <c r="X432" i="2"/>
  <c r="W432" i="2"/>
  <c r="T432" i="2"/>
  <c r="U432" i="2"/>
  <c r="V432" i="2"/>
  <c r="S432" i="2"/>
  <c r="R432" i="2"/>
  <c r="P432" i="2"/>
  <c r="O432" i="2"/>
  <c r="Q432" i="2"/>
  <c r="N432" i="2"/>
  <c r="Y428" i="2"/>
  <c r="Z428" i="2"/>
  <c r="X428" i="2"/>
  <c r="W428" i="2"/>
  <c r="T428" i="2"/>
  <c r="U428" i="2"/>
  <c r="V428" i="2"/>
  <c r="S428" i="2"/>
  <c r="R428" i="2"/>
  <c r="P428" i="2"/>
  <c r="O428" i="2"/>
  <c r="Q428" i="2"/>
  <c r="N428" i="2"/>
  <c r="Y424" i="2"/>
  <c r="Z424" i="2"/>
  <c r="X424" i="2"/>
  <c r="W424" i="2"/>
  <c r="T424" i="2"/>
  <c r="U424" i="2"/>
  <c r="V424" i="2"/>
  <c r="S424" i="2"/>
  <c r="R424" i="2"/>
  <c r="P424" i="2"/>
  <c r="O424" i="2"/>
  <c r="Q424" i="2"/>
  <c r="N424" i="2"/>
  <c r="Y420" i="2"/>
  <c r="Z420" i="2"/>
  <c r="X420" i="2"/>
  <c r="W420" i="2"/>
  <c r="T420" i="2"/>
  <c r="U420" i="2"/>
  <c r="V420" i="2"/>
  <c r="S420" i="2"/>
  <c r="R420" i="2"/>
  <c r="P420" i="2"/>
  <c r="O420" i="2"/>
  <c r="Q420" i="2"/>
  <c r="N420" i="2"/>
  <c r="Z416" i="2"/>
  <c r="Y416" i="2"/>
  <c r="X416" i="2"/>
  <c r="W416" i="2"/>
  <c r="T416" i="2"/>
  <c r="U416" i="2"/>
  <c r="V416" i="2"/>
  <c r="S416" i="2"/>
  <c r="R416" i="2"/>
  <c r="P416" i="2"/>
  <c r="O416" i="2"/>
  <c r="Q416" i="2"/>
  <c r="N416" i="2"/>
  <c r="Y412" i="2"/>
  <c r="Z412" i="2"/>
  <c r="X412" i="2"/>
  <c r="W412" i="2"/>
  <c r="T412" i="2"/>
  <c r="U412" i="2"/>
  <c r="V412" i="2"/>
  <c r="S412" i="2"/>
  <c r="R412" i="2"/>
  <c r="P412" i="2"/>
  <c r="O412" i="2"/>
  <c r="Q412" i="2"/>
  <c r="N412" i="2"/>
  <c r="Y408" i="2"/>
  <c r="Z408" i="2"/>
  <c r="X408" i="2"/>
  <c r="W408" i="2"/>
  <c r="T408" i="2"/>
  <c r="U408" i="2"/>
  <c r="V408" i="2"/>
  <c r="S408" i="2"/>
  <c r="R408" i="2"/>
  <c r="P408" i="2"/>
  <c r="O408" i="2"/>
  <c r="Q408" i="2"/>
  <c r="N408" i="2"/>
  <c r="Y404" i="2"/>
  <c r="Z404" i="2"/>
  <c r="X404" i="2"/>
  <c r="W404" i="2"/>
  <c r="T404" i="2"/>
  <c r="U404" i="2"/>
  <c r="V404" i="2"/>
  <c r="S404" i="2"/>
  <c r="R404" i="2"/>
  <c r="P404" i="2"/>
  <c r="O404" i="2"/>
  <c r="Q404" i="2"/>
  <c r="N404" i="2"/>
  <c r="Z400" i="2"/>
  <c r="Y400" i="2"/>
  <c r="X400" i="2"/>
  <c r="W400" i="2"/>
  <c r="T400" i="2"/>
  <c r="U400" i="2"/>
  <c r="V400" i="2"/>
  <c r="S400" i="2"/>
  <c r="R400" i="2"/>
  <c r="P400" i="2"/>
  <c r="O400" i="2"/>
  <c r="Q400" i="2"/>
  <c r="N400" i="2"/>
  <c r="Y396" i="2"/>
  <c r="X396" i="2"/>
  <c r="Z396" i="2"/>
  <c r="W396" i="2"/>
  <c r="T396" i="2"/>
  <c r="U396" i="2"/>
  <c r="V396" i="2"/>
  <c r="S396" i="2"/>
  <c r="R396" i="2"/>
  <c r="P396" i="2"/>
  <c r="O396" i="2"/>
  <c r="Q396" i="2"/>
  <c r="N396" i="2"/>
  <c r="Y392" i="2"/>
  <c r="Z392" i="2"/>
  <c r="X392" i="2"/>
  <c r="W392" i="2"/>
  <c r="T392" i="2"/>
  <c r="U392" i="2"/>
  <c r="V392" i="2"/>
  <c r="S392" i="2"/>
  <c r="R392" i="2"/>
  <c r="P392" i="2"/>
  <c r="O392" i="2"/>
  <c r="Q392" i="2"/>
  <c r="N392" i="2"/>
  <c r="Y388" i="2"/>
  <c r="Z388" i="2"/>
  <c r="X388" i="2"/>
  <c r="W388" i="2"/>
  <c r="T388" i="2"/>
  <c r="U388" i="2"/>
  <c r="V388" i="2"/>
  <c r="S388" i="2"/>
  <c r="R388" i="2"/>
  <c r="P388" i="2"/>
  <c r="O388" i="2"/>
  <c r="Q388" i="2"/>
  <c r="N388" i="2"/>
  <c r="Z384" i="2"/>
  <c r="Y384" i="2"/>
  <c r="X384" i="2"/>
  <c r="W384" i="2"/>
  <c r="T384" i="2"/>
  <c r="U384" i="2"/>
  <c r="V384" i="2"/>
  <c r="S384" i="2"/>
  <c r="R384" i="2"/>
  <c r="P384" i="2"/>
  <c r="O384" i="2"/>
  <c r="Q384" i="2"/>
  <c r="N384" i="2"/>
  <c r="Y380" i="2"/>
  <c r="X380" i="2"/>
  <c r="Z380" i="2"/>
  <c r="W380" i="2"/>
  <c r="T380" i="2"/>
  <c r="U380" i="2"/>
  <c r="V380" i="2"/>
  <c r="S380" i="2"/>
  <c r="R380" i="2"/>
  <c r="P380" i="2"/>
  <c r="O380" i="2"/>
  <c r="Q380" i="2"/>
  <c r="N380" i="2"/>
  <c r="Y376" i="2"/>
  <c r="Z376" i="2"/>
  <c r="X376" i="2"/>
  <c r="W376" i="2"/>
  <c r="T376" i="2"/>
  <c r="U376" i="2"/>
  <c r="V376" i="2"/>
  <c r="S376" i="2"/>
  <c r="R376" i="2"/>
  <c r="P376" i="2"/>
  <c r="O376" i="2"/>
  <c r="Q376" i="2"/>
  <c r="N376" i="2"/>
  <c r="Y372" i="2"/>
  <c r="Z372" i="2"/>
  <c r="X372" i="2"/>
  <c r="W372" i="2"/>
  <c r="T372" i="2"/>
  <c r="U372" i="2"/>
  <c r="V372" i="2"/>
  <c r="S372" i="2"/>
  <c r="R372" i="2"/>
  <c r="P372" i="2"/>
  <c r="O372" i="2"/>
  <c r="Q372" i="2"/>
  <c r="N372" i="2"/>
  <c r="Z368" i="2"/>
  <c r="Y368" i="2"/>
  <c r="X368" i="2"/>
  <c r="W368" i="2"/>
  <c r="T368" i="2"/>
  <c r="U368" i="2"/>
  <c r="V368" i="2"/>
  <c r="S368" i="2"/>
  <c r="R368" i="2"/>
  <c r="P368" i="2"/>
  <c r="O368" i="2"/>
  <c r="Q368" i="2"/>
  <c r="N368" i="2"/>
  <c r="Y364" i="2"/>
  <c r="Z364" i="2"/>
  <c r="X364" i="2"/>
  <c r="W364" i="2"/>
  <c r="T364" i="2"/>
  <c r="U364" i="2"/>
  <c r="V364" i="2"/>
  <c r="S364" i="2"/>
  <c r="R364" i="2"/>
  <c r="P364" i="2"/>
  <c r="O364" i="2"/>
  <c r="Q364" i="2"/>
  <c r="N364" i="2"/>
  <c r="Y360" i="2"/>
  <c r="Z360" i="2"/>
  <c r="X360" i="2"/>
  <c r="W360" i="2"/>
  <c r="T360" i="2"/>
  <c r="U360" i="2"/>
  <c r="V360" i="2"/>
  <c r="S360" i="2"/>
  <c r="R360" i="2"/>
  <c r="P360" i="2"/>
  <c r="O360" i="2"/>
  <c r="Q360" i="2"/>
  <c r="N360" i="2"/>
  <c r="Y356" i="2"/>
  <c r="Z356" i="2"/>
  <c r="X356" i="2"/>
  <c r="W356" i="2"/>
  <c r="T356" i="2"/>
  <c r="U356" i="2"/>
  <c r="V356" i="2"/>
  <c r="S356" i="2"/>
  <c r="R356" i="2"/>
  <c r="P356" i="2"/>
  <c r="O356" i="2"/>
  <c r="Q356" i="2"/>
  <c r="N356" i="2"/>
  <c r="Z352" i="2"/>
  <c r="Y352" i="2"/>
  <c r="X352" i="2"/>
  <c r="W352" i="2"/>
  <c r="T352" i="2"/>
  <c r="U352" i="2"/>
  <c r="V352" i="2"/>
  <c r="S352" i="2"/>
  <c r="R352" i="2"/>
  <c r="P352" i="2"/>
  <c r="O352" i="2"/>
  <c r="Q352" i="2"/>
  <c r="N352" i="2"/>
  <c r="Z348" i="2"/>
  <c r="Y348" i="2"/>
  <c r="X348" i="2"/>
  <c r="W348" i="2"/>
  <c r="T348" i="2"/>
  <c r="U348" i="2"/>
  <c r="V348" i="2"/>
  <c r="S348" i="2"/>
  <c r="R348" i="2"/>
  <c r="P348" i="2"/>
  <c r="O348" i="2"/>
  <c r="Q348" i="2"/>
  <c r="N348" i="2"/>
  <c r="Z344" i="2"/>
  <c r="Y344" i="2"/>
  <c r="X344" i="2"/>
  <c r="W344" i="2"/>
  <c r="T344" i="2"/>
  <c r="U344" i="2"/>
  <c r="V344" i="2"/>
  <c r="R344" i="2"/>
  <c r="S344" i="2"/>
  <c r="P344" i="2"/>
  <c r="O344" i="2"/>
  <c r="Q344" i="2"/>
  <c r="N344" i="2"/>
  <c r="Z340" i="2"/>
  <c r="Y340" i="2"/>
  <c r="X340" i="2"/>
  <c r="W340" i="2"/>
  <c r="T340" i="2"/>
  <c r="U340" i="2"/>
  <c r="V340" i="2"/>
  <c r="R340" i="2"/>
  <c r="S340" i="2"/>
  <c r="P340" i="2"/>
  <c r="O340" i="2"/>
  <c r="Q340" i="2"/>
  <c r="N340" i="2"/>
  <c r="Z336" i="2"/>
  <c r="Y336" i="2"/>
  <c r="X336" i="2"/>
  <c r="W336" i="2"/>
  <c r="T336" i="2"/>
  <c r="U336" i="2"/>
  <c r="V336" i="2"/>
  <c r="R336" i="2"/>
  <c r="S336" i="2"/>
  <c r="P336" i="2"/>
  <c r="O336" i="2"/>
  <c r="Q336" i="2"/>
  <c r="N336" i="2"/>
  <c r="Z332" i="2"/>
  <c r="Y332" i="2"/>
  <c r="X332" i="2"/>
  <c r="W332" i="2"/>
  <c r="T332" i="2"/>
  <c r="U332" i="2"/>
  <c r="V332" i="2"/>
  <c r="R332" i="2"/>
  <c r="S332" i="2"/>
  <c r="P332" i="2"/>
  <c r="O332" i="2"/>
  <c r="Q332" i="2"/>
  <c r="N332" i="2"/>
  <c r="Z328" i="2"/>
  <c r="Y328" i="2"/>
  <c r="X328" i="2"/>
  <c r="W328" i="2"/>
  <c r="T328" i="2"/>
  <c r="U328" i="2"/>
  <c r="V328" i="2"/>
  <c r="R328" i="2"/>
  <c r="S328" i="2"/>
  <c r="P328" i="2"/>
  <c r="O328" i="2"/>
  <c r="Q328" i="2"/>
  <c r="N328" i="2"/>
  <c r="Z324" i="2"/>
  <c r="Y324" i="2"/>
  <c r="X324" i="2"/>
  <c r="W324" i="2"/>
  <c r="T324" i="2"/>
  <c r="U324" i="2"/>
  <c r="V324" i="2"/>
  <c r="R324" i="2"/>
  <c r="S324" i="2"/>
  <c r="P324" i="2"/>
  <c r="O324" i="2"/>
  <c r="Q324" i="2"/>
  <c r="N324" i="2"/>
  <c r="Z320" i="2"/>
  <c r="Y320" i="2"/>
  <c r="X320" i="2"/>
  <c r="W320" i="2"/>
  <c r="T320" i="2"/>
  <c r="U320" i="2"/>
  <c r="V320" i="2"/>
  <c r="R320" i="2"/>
  <c r="S320" i="2"/>
  <c r="P320" i="2"/>
  <c r="O320" i="2"/>
  <c r="Q320" i="2"/>
  <c r="N320" i="2"/>
  <c r="Z316" i="2"/>
  <c r="Y316" i="2"/>
  <c r="X316" i="2"/>
  <c r="W316" i="2"/>
  <c r="T316" i="2"/>
  <c r="U316" i="2"/>
  <c r="V316" i="2"/>
  <c r="R316" i="2"/>
  <c r="S316" i="2"/>
  <c r="P316" i="2"/>
  <c r="O316" i="2"/>
  <c r="Q316" i="2"/>
  <c r="N316" i="2"/>
  <c r="Z312" i="2"/>
  <c r="Y312" i="2"/>
  <c r="X312" i="2"/>
  <c r="W312" i="2"/>
  <c r="T312" i="2"/>
  <c r="U312" i="2"/>
  <c r="V312" i="2"/>
  <c r="R312" i="2"/>
  <c r="S312" i="2"/>
  <c r="P312" i="2"/>
  <c r="O312" i="2"/>
  <c r="Q312" i="2"/>
  <c r="N312" i="2"/>
  <c r="Z308" i="2"/>
  <c r="Y308" i="2"/>
  <c r="X308" i="2"/>
  <c r="W308" i="2"/>
  <c r="T308" i="2"/>
  <c r="U308" i="2"/>
  <c r="V308" i="2"/>
  <c r="R308" i="2"/>
  <c r="S308" i="2"/>
  <c r="P308" i="2"/>
  <c r="O308" i="2"/>
  <c r="Q308" i="2"/>
  <c r="N308" i="2"/>
  <c r="Z304" i="2"/>
  <c r="Y304" i="2"/>
  <c r="X304" i="2"/>
  <c r="W304" i="2"/>
  <c r="T304" i="2"/>
  <c r="U304" i="2"/>
  <c r="V304" i="2"/>
  <c r="R304" i="2"/>
  <c r="S304" i="2"/>
  <c r="P304" i="2"/>
  <c r="O304" i="2"/>
  <c r="Q304" i="2"/>
  <c r="N304" i="2"/>
  <c r="Z300" i="2"/>
  <c r="Y300" i="2"/>
  <c r="X300" i="2"/>
  <c r="W300" i="2"/>
  <c r="T300" i="2"/>
  <c r="U300" i="2"/>
  <c r="V300" i="2"/>
  <c r="R300" i="2"/>
  <c r="S300" i="2"/>
  <c r="P300" i="2"/>
  <c r="O300" i="2"/>
  <c r="Q300" i="2"/>
  <c r="N300" i="2"/>
  <c r="Z296" i="2"/>
  <c r="Y296" i="2"/>
  <c r="X296" i="2"/>
  <c r="W296" i="2"/>
  <c r="T296" i="2"/>
  <c r="U296" i="2"/>
  <c r="V296" i="2"/>
  <c r="R296" i="2"/>
  <c r="S296" i="2"/>
  <c r="P296" i="2"/>
  <c r="O296" i="2"/>
  <c r="Q296" i="2"/>
  <c r="N296" i="2"/>
  <c r="Z292" i="2"/>
  <c r="Y292" i="2"/>
  <c r="X292" i="2"/>
  <c r="W292" i="2"/>
  <c r="T292" i="2"/>
  <c r="U292" i="2"/>
  <c r="V292" i="2"/>
  <c r="R292" i="2"/>
  <c r="S292" i="2"/>
  <c r="P292" i="2"/>
  <c r="O292" i="2"/>
  <c r="Q292" i="2"/>
  <c r="N292" i="2"/>
  <c r="Z288" i="2"/>
  <c r="Y288" i="2"/>
  <c r="X288" i="2"/>
  <c r="W288" i="2"/>
  <c r="T288" i="2"/>
  <c r="U288" i="2"/>
  <c r="V288" i="2"/>
  <c r="R288" i="2"/>
  <c r="S288" i="2"/>
  <c r="P288" i="2"/>
  <c r="O288" i="2"/>
  <c r="Q288" i="2"/>
  <c r="N288" i="2"/>
  <c r="Z284" i="2"/>
  <c r="Y284" i="2"/>
  <c r="X284" i="2"/>
  <c r="W284" i="2"/>
  <c r="T284" i="2"/>
  <c r="U284" i="2"/>
  <c r="V284" i="2"/>
  <c r="R284" i="2"/>
  <c r="S284" i="2"/>
  <c r="P284" i="2"/>
  <c r="O284" i="2"/>
  <c r="Q284" i="2"/>
  <c r="N284" i="2"/>
  <c r="Z280" i="2"/>
  <c r="Y280" i="2"/>
  <c r="X280" i="2"/>
  <c r="W280" i="2"/>
  <c r="T280" i="2"/>
  <c r="U280" i="2"/>
  <c r="V280" i="2"/>
  <c r="R280" i="2"/>
  <c r="S280" i="2"/>
  <c r="P280" i="2"/>
  <c r="O280" i="2"/>
  <c r="Q280" i="2"/>
  <c r="N280" i="2"/>
  <c r="Z276" i="2"/>
  <c r="Y276" i="2"/>
  <c r="X276" i="2"/>
  <c r="W276" i="2"/>
  <c r="T276" i="2"/>
  <c r="U276" i="2"/>
  <c r="V276" i="2"/>
  <c r="R276" i="2"/>
  <c r="S276" i="2"/>
  <c r="P276" i="2"/>
  <c r="O276" i="2"/>
  <c r="Q276" i="2"/>
  <c r="N276" i="2"/>
  <c r="Z272" i="2"/>
  <c r="Y272" i="2"/>
  <c r="X272" i="2"/>
  <c r="W272" i="2"/>
  <c r="T272" i="2"/>
  <c r="U272" i="2"/>
  <c r="V272" i="2"/>
  <c r="R272" i="2"/>
  <c r="S272" i="2"/>
  <c r="P272" i="2"/>
  <c r="O272" i="2"/>
  <c r="Q272" i="2"/>
  <c r="N272" i="2"/>
  <c r="Z268" i="2"/>
  <c r="Y268" i="2"/>
  <c r="X268" i="2"/>
  <c r="W268" i="2"/>
  <c r="T268" i="2"/>
  <c r="U268" i="2"/>
  <c r="V268" i="2"/>
  <c r="R268" i="2"/>
  <c r="S268" i="2"/>
  <c r="P268" i="2"/>
  <c r="O268" i="2"/>
  <c r="Q268" i="2"/>
  <c r="N268" i="2"/>
  <c r="Z264" i="2"/>
  <c r="Y264" i="2"/>
  <c r="X264" i="2"/>
  <c r="W264" i="2"/>
  <c r="T264" i="2"/>
  <c r="U264" i="2"/>
  <c r="V264" i="2"/>
  <c r="R264" i="2"/>
  <c r="S264" i="2"/>
  <c r="P264" i="2"/>
  <c r="O264" i="2"/>
  <c r="Q264" i="2"/>
  <c r="N264" i="2"/>
  <c r="Z260" i="2"/>
  <c r="Y260" i="2"/>
  <c r="X260" i="2"/>
  <c r="W260" i="2"/>
  <c r="T260" i="2"/>
  <c r="U260" i="2"/>
  <c r="V260" i="2"/>
  <c r="R260" i="2"/>
  <c r="S260" i="2"/>
  <c r="P260" i="2"/>
  <c r="O260" i="2"/>
  <c r="Q260" i="2"/>
  <c r="N260" i="2"/>
  <c r="Z256" i="2"/>
  <c r="Y256" i="2"/>
  <c r="X256" i="2"/>
  <c r="W256" i="2"/>
  <c r="T256" i="2"/>
  <c r="U256" i="2"/>
  <c r="V256" i="2"/>
  <c r="R256" i="2"/>
  <c r="S256" i="2"/>
  <c r="P256" i="2"/>
  <c r="O256" i="2"/>
  <c r="Q256" i="2"/>
  <c r="N256" i="2"/>
  <c r="Z252" i="2"/>
  <c r="Y252" i="2"/>
  <c r="X252" i="2"/>
  <c r="W252" i="2"/>
  <c r="T252" i="2"/>
  <c r="U252" i="2"/>
  <c r="V252" i="2"/>
  <c r="R252" i="2"/>
  <c r="S252" i="2"/>
  <c r="P252" i="2"/>
  <c r="O252" i="2"/>
  <c r="Q252" i="2"/>
  <c r="N252" i="2"/>
  <c r="Z248" i="2"/>
  <c r="Y248" i="2"/>
  <c r="X248" i="2"/>
  <c r="W248" i="2"/>
  <c r="T248" i="2"/>
  <c r="U248" i="2"/>
  <c r="V248" i="2"/>
  <c r="R248" i="2"/>
  <c r="S248" i="2"/>
  <c r="P248" i="2"/>
  <c r="O248" i="2"/>
  <c r="Q248" i="2"/>
  <c r="N248" i="2"/>
  <c r="Z244" i="2"/>
  <c r="Y244" i="2"/>
  <c r="X244" i="2"/>
  <c r="W244" i="2"/>
  <c r="T244" i="2"/>
  <c r="U244" i="2"/>
  <c r="V244" i="2"/>
  <c r="R244" i="2"/>
  <c r="S244" i="2"/>
  <c r="P244" i="2"/>
  <c r="O244" i="2"/>
  <c r="Q244" i="2"/>
  <c r="N244" i="2"/>
  <c r="Z240" i="2"/>
  <c r="Y240" i="2"/>
  <c r="X240" i="2"/>
  <c r="W240" i="2"/>
  <c r="T240" i="2"/>
  <c r="U240" i="2"/>
  <c r="V240" i="2"/>
  <c r="R240" i="2"/>
  <c r="S240" i="2"/>
  <c r="P240" i="2"/>
  <c r="O240" i="2"/>
  <c r="Q240" i="2"/>
  <c r="N240" i="2"/>
  <c r="Z236" i="2"/>
  <c r="Y236" i="2"/>
  <c r="X236" i="2"/>
  <c r="W236" i="2"/>
  <c r="T236" i="2"/>
  <c r="U236" i="2"/>
  <c r="V236" i="2"/>
  <c r="R236" i="2"/>
  <c r="S236" i="2"/>
  <c r="P236" i="2"/>
  <c r="O236" i="2"/>
  <c r="Q236" i="2"/>
  <c r="N236" i="2"/>
  <c r="Z232" i="2"/>
  <c r="Y232" i="2"/>
  <c r="X232" i="2"/>
  <c r="W232" i="2"/>
  <c r="T232" i="2"/>
  <c r="U232" i="2"/>
  <c r="V232" i="2"/>
  <c r="R232" i="2"/>
  <c r="S232" i="2"/>
  <c r="P232" i="2"/>
  <c r="O232" i="2"/>
  <c r="Q232" i="2"/>
  <c r="N232" i="2"/>
  <c r="Z228" i="2"/>
  <c r="Y228" i="2"/>
  <c r="X228" i="2"/>
  <c r="W228" i="2"/>
  <c r="T228" i="2"/>
  <c r="U228" i="2"/>
  <c r="V228" i="2"/>
  <c r="R228" i="2"/>
  <c r="S228" i="2"/>
  <c r="P228" i="2"/>
  <c r="O228" i="2"/>
  <c r="Q228" i="2"/>
  <c r="N228" i="2"/>
  <c r="Z224" i="2"/>
  <c r="Y224" i="2"/>
  <c r="X224" i="2"/>
  <c r="W224" i="2"/>
  <c r="T224" i="2"/>
  <c r="U224" i="2"/>
  <c r="V224" i="2"/>
  <c r="R224" i="2"/>
  <c r="S224" i="2"/>
  <c r="P224" i="2"/>
  <c r="O224" i="2"/>
  <c r="Q224" i="2"/>
  <c r="N224" i="2"/>
  <c r="Z220" i="2"/>
  <c r="Y220" i="2"/>
  <c r="X220" i="2"/>
  <c r="W220" i="2"/>
  <c r="T220" i="2"/>
  <c r="U220" i="2"/>
  <c r="V220" i="2"/>
  <c r="R220" i="2"/>
  <c r="S220" i="2"/>
  <c r="P220" i="2"/>
  <c r="O220" i="2"/>
  <c r="Q220" i="2"/>
  <c r="N220" i="2"/>
  <c r="Z216" i="2"/>
  <c r="Y216" i="2"/>
  <c r="X216" i="2"/>
  <c r="W216" i="2"/>
  <c r="T216" i="2"/>
  <c r="U216" i="2"/>
  <c r="V216" i="2"/>
  <c r="R216" i="2"/>
  <c r="S216" i="2"/>
  <c r="P216" i="2"/>
  <c r="O216" i="2"/>
  <c r="Q216" i="2"/>
  <c r="N216" i="2"/>
  <c r="Z212" i="2"/>
  <c r="Y212" i="2"/>
  <c r="X212" i="2"/>
  <c r="W212" i="2"/>
  <c r="T212" i="2"/>
  <c r="U212" i="2"/>
  <c r="V212" i="2"/>
  <c r="R212" i="2"/>
  <c r="S212" i="2"/>
  <c r="P212" i="2"/>
  <c r="O212" i="2"/>
  <c r="Q212" i="2"/>
  <c r="N212" i="2"/>
  <c r="Z208" i="2"/>
  <c r="Y208" i="2"/>
  <c r="X208" i="2"/>
  <c r="W208" i="2"/>
  <c r="T208" i="2"/>
  <c r="U208" i="2"/>
  <c r="V208" i="2"/>
  <c r="R208" i="2"/>
  <c r="S208" i="2"/>
  <c r="P208" i="2"/>
  <c r="O208" i="2"/>
  <c r="Q208" i="2"/>
  <c r="N208" i="2"/>
  <c r="Z204" i="2"/>
  <c r="Y204" i="2"/>
  <c r="X204" i="2"/>
  <c r="W204" i="2"/>
  <c r="T204" i="2"/>
  <c r="U204" i="2"/>
  <c r="V204" i="2"/>
  <c r="R204" i="2"/>
  <c r="S204" i="2"/>
  <c r="P204" i="2"/>
  <c r="O204" i="2"/>
  <c r="Q204" i="2"/>
  <c r="N204" i="2"/>
  <c r="Z200" i="2"/>
  <c r="Y200" i="2"/>
  <c r="X200" i="2"/>
  <c r="V200" i="2"/>
  <c r="W200" i="2"/>
  <c r="T200" i="2"/>
  <c r="U200" i="2"/>
  <c r="R200" i="2"/>
  <c r="S200" i="2"/>
  <c r="P200" i="2"/>
  <c r="O200" i="2"/>
  <c r="Q200" i="2"/>
  <c r="N200" i="2"/>
  <c r="Z196" i="2"/>
  <c r="Y196" i="2"/>
  <c r="X196" i="2"/>
  <c r="V196" i="2"/>
  <c r="W196" i="2"/>
  <c r="T196" i="2"/>
  <c r="U196" i="2"/>
  <c r="R196" i="2"/>
  <c r="S196" i="2"/>
  <c r="P196" i="2"/>
  <c r="O196" i="2"/>
  <c r="Q196" i="2"/>
  <c r="N196" i="2"/>
  <c r="Z192" i="2"/>
  <c r="Y192" i="2"/>
  <c r="X192" i="2"/>
  <c r="V192" i="2"/>
  <c r="W192" i="2"/>
  <c r="T192" i="2"/>
  <c r="U192" i="2"/>
  <c r="R192" i="2"/>
  <c r="S192" i="2"/>
  <c r="P192" i="2"/>
  <c r="O192" i="2"/>
  <c r="Q192" i="2"/>
  <c r="N192" i="2"/>
  <c r="Z188" i="2"/>
  <c r="Y188" i="2"/>
  <c r="X188" i="2"/>
  <c r="V188" i="2"/>
  <c r="W188" i="2"/>
  <c r="T188" i="2"/>
  <c r="U188" i="2"/>
  <c r="R188" i="2"/>
  <c r="S188" i="2"/>
  <c r="P188" i="2"/>
  <c r="O188" i="2"/>
  <c r="Q188" i="2"/>
  <c r="N188" i="2"/>
  <c r="Z184" i="2"/>
  <c r="Y184" i="2"/>
  <c r="X184" i="2"/>
  <c r="V184" i="2"/>
  <c r="W184" i="2"/>
  <c r="T184" i="2"/>
  <c r="U184" i="2"/>
  <c r="R184" i="2"/>
  <c r="S184" i="2"/>
  <c r="P184" i="2"/>
  <c r="O184" i="2"/>
  <c r="Q184" i="2"/>
  <c r="N184" i="2"/>
  <c r="Z180" i="2"/>
  <c r="Y180" i="2"/>
  <c r="W180" i="2"/>
  <c r="X180" i="2"/>
  <c r="V180" i="2"/>
  <c r="T180" i="2"/>
  <c r="U180" i="2"/>
  <c r="R180" i="2"/>
  <c r="S180" i="2"/>
  <c r="P180" i="2"/>
  <c r="O180" i="2"/>
  <c r="Q180" i="2"/>
  <c r="N180" i="2"/>
  <c r="Z176" i="2"/>
  <c r="Y176" i="2"/>
  <c r="W176" i="2"/>
  <c r="X176" i="2"/>
  <c r="V176" i="2"/>
  <c r="T176" i="2"/>
  <c r="U176" i="2"/>
  <c r="R176" i="2"/>
  <c r="S176" i="2"/>
  <c r="P176" i="2"/>
  <c r="O176" i="2"/>
  <c r="Q176" i="2"/>
  <c r="N176" i="2"/>
  <c r="Z172" i="2"/>
  <c r="Y172" i="2"/>
  <c r="W172" i="2"/>
  <c r="X172" i="2"/>
  <c r="V172" i="2"/>
  <c r="T172" i="2"/>
  <c r="U172" i="2"/>
  <c r="R172" i="2"/>
  <c r="S172" i="2"/>
  <c r="P172" i="2"/>
  <c r="O172" i="2"/>
  <c r="Q172" i="2"/>
  <c r="N172" i="2"/>
  <c r="Z168" i="2"/>
  <c r="Y168" i="2"/>
  <c r="W168" i="2"/>
  <c r="X168" i="2"/>
  <c r="V168" i="2"/>
  <c r="T168" i="2"/>
  <c r="U168" i="2"/>
  <c r="R168" i="2"/>
  <c r="S168" i="2"/>
  <c r="P168" i="2"/>
  <c r="O168" i="2"/>
  <c r="Q168" i="2"/>
  <c r="N168" i="2"/>
  <c r="Z164" i="2"/>
  <c r="Y164" i="2"/>
  <c r="W164" i="2"/>
  <c r="X164" i="2"/>
  <c r="V164" i="2"/>
  <c r="T164" i="2"/>
  <c r="U164" i="2"/>
  <c r="R164" i="2"/>
  <c r="S164" i="2"/>
  <c r="P164" i="2"/>
  <c r="O164" i="2"/>
  <c r="Q164" i="2"/>
  <c r="N164" i="2"/>
  <c r="Z160" i="2"/>
  <c r="Y160" i="2"/>
  <c r="W160" i="2"/>
  <c r="X160" i="2"/>
  <c r="V160" i="2"/>
  <c r="T160" i="2"/>
  <c r="U160" i="2"/>
  <c r="R160" i="2"/>
  <c r="S160" i="2"/>
  <c r="P160" i="2"/>
  <c r="O160" i="2"/>
  <c r="Q160" i="2"/>
  <c r="N160" i="2"/>
  <c r="Z156" i="2"/>
  <c r="Y156" i="2"/>
  <c r="W156" i="2"/>
  <c r="V156" i="2"/>
  <c r="X156" i="2"/>
  <c r="T156" i="2"/>
  <c r="U156" i="2"/>
  <c r="R156" i="2"/>
  <c r="S156" i="2"/>
  <c r="P156" i="2"/>
  <c r="O156" i="2"/>
  <c r="Q156" i="2"/>
  <c r="N156" i="2"/>
  <c r="Z152" i="2"/>
  <c r="Y152" i="2"/>
  <c r="W152" i="2"/>
  <c r="X152" i="2"/>
  <c r="V152" i="2"/>
  <c r="T152" i="2"/>
  <c r="U152" i="2"/>
  <c r="R152" i="2"/>
  <c r="S152" i="2"/>
  <c r="P152" i="2"/>
  <c r="O152" i="2"/>
  <c r="Q152" i="2"/>
  <c r="N152" i="2"/>
  <c r="Z148" i="2"/>
  <c r="Y148" i="2"/>
  <c r="W148" i="2"/>
  <c r="V148" i="2"/>
  <c r="X148" i="2"/>
  <c r="T148" i="2"/>
  <c r="U148" i="2"/>
  <c r="R148" i="2"/>
  <c r="S148" i="2"/>
  <c r="P148" i="2"/>
  <c r="O148" i="2"/>
  <c r="Q148" i="2"/>
  <c r="N148" i="2"/>
  <c r="Z144" i="2"/>
  <c r="Y144" i="2"/>
  <c r="W144" i="2"/>
  <c r="X144" i="2"/>
  <c r="V144" i="2"/>
  <c r="T144" i="2"/>
  <c r="U144" i="2"/>
  <c r="R144" i="2"/>
  <c r="S144" i="2"/>
  <c r="P144" i="2"/>
  <c r="O144" i="2"/>
  <c r="Q144" i="2"/>
  <c r="N144" i="2"/>
  <c r="Z140" i="2"/>
  <c r="Y140" i="2"/>
  <c r="W140" i="2"/>
  <c r="X140" i="2"/>
  <c r="V140" i="2"/>
  <c r="T140" i="2"/>
  <c r="U140" i="2"/>
  <c r="R140" i="2"/>
  <c r="S140" i="2"/>
  <c r="P140" i="2"/>
  <c r="O140" i="2"/>
  <c r="Q140" i="2"/>
  <c r="N140" i="2"/>
  <c r="Z136" i="2"/>
  <c r="Y136" i="2"/>
  <c r="W136" i="2"/>
  <c r="X136" i="2"/>
  <c r="V136" i="2"/>
  <c r="T136" i="2"/>
  <c r="U136" i="2"/>
  <c r="R136" i="2"/>
  <c r="S136" i="2"/>
  <c r="P136" i="2"/>
  <c r="O136" i="2"/>
  <c r="Q136" i="2"/>
  <c r="N136" i="2"/>
  <c r="Z132" i="2"/>
  <c r="Y132" i="2"/>
  <c r="W132" i="2"/>
  <c r="V132" i="2"/>
  <c r="X132" i="2"/>
  <c r="T132" i="2"/>
  <c r="U132" i="2"/>
  <c r="R132" i="2"/>
  <c r="S132" i="2"/>
  <c r="P132" i="2"/>
  <c r="O132" i="2"/>
  <c r="Q132" i="2"/>
  <c r="N132" i="2"/>
  <c r="Z128" i="2"/>
  <c r="Y128" i="2"/>
  <c r="W128" i="2"/>
  <c r="X128" i="2"/>
  <c r="V128" i="2"/>
  <c r="T128" i="2"/>
  <c r="U128" i="2"/>
  <c r="R128" i="2"/>
  <c r="S128" i="2"/>
  <c r="P128" i="2"/>
  <c r="O128" i="2"/>
  <c r="Q128" i="2"/>
  <c r="N128" i="2"/>
  <c r="Z124" i="2"/>
  <c r="Y124" i="2"/>
  <c r="W124" i="2"/>
  <c r="V124" i="2"/>
  <c r="X124" i="2"/>
  <c r="T124" i="2"/>
  <c r="U124" i="2"/>
  <c r="R124" i="2"/>
  <c r="S124" i="2"/>
  <c r="P124" i="2"/>
  <c r="O124" i="2"/>
  <c r="Q124" i="2"/>
  <c r="N124" i="2"/>
  <c r="Z120" i="2"/>
  <c r="Y120" i="2"/>
  <c r="W120" i="2"/>
  <c r="X120" i="2"/>
  <c r="V120" i="2"/>
  <c r="T120" i="2"/>
  <c r="U120" i="2"/>
  <c r="R120" i="2"/>
  <c r="S120" i="2"/>
  <c r="P120" i="2"/>
  <c r="O120" i="2"/>
  <c r="Q120" i="2"/>
  <c r="N120" i="2"/>
  <c r="Z116" i="2"/>
  <c r="Y116" i="2"/>
  <c r="W116" i="2"/>
  <c r="X116" i="2"/>
  <c r="V116" i="2"/>
  <c r="T116" i="2"/>
  <c r="U116" i="2"/>
  <c r="R116" i="2"/>
  <c r="S116" i="2"/>
  <c r="P116" i="2"/>
  <c r="O116" i="2"/>
  <c r="Q116" i="2"/>
  <c r="N116" i="2"/>
  <c r="Z112" i="2"/>
  <c r="Y112" i="2"/>
  <c r="X112" i="2"/>
  <c r="W112" i="2"/>
  <c r="V112" i="2"/>
  <c r="T112" i="2"/>
  <c r="U112" i="2"/>
  <c r="R112" i="2"/>
  <c r="S112" i="2"/>
  <c r="P112" i="2"/>
  <c r="O112" i="2"/>
  <c r="Q112" i="2"/>
  <c r="N112" i="2"/>
  <c r="Z108" i="2"/>
  <c r="Y108" i="2"/>
  <c r="W108" i="2"/>
  <c r="V108" i="2"/>
  <c r="X108" i="2"/>
  <c r="T108" i="2"/>
  <c r="U108" i="2"/>
  <c r="R108" i="2"/>
  <c r="S108" i="2"/>
  <c r="P108" i="2"/>
  <c r="O108" i="2"/>
  <c r="Q108" i="2"/>
  <c r="N108" i="2"/>
  <c r="Z104" i="2"/>
  <c r="Y104" i="2"/>
  <c r="W104" i="2"/>
  <c r="X104" i="2"/>
  <c r="V104" i="2"/>
  <c r="T104" i="2"/>
  <c r="U104" i="2"/>
  <c r="R104" i="2"/>
  <c r="S104" i="2"/>
  <c r="P104" i="2"/>
  <c r="O104" i="2"/>
  <c r="Q104" i="2"/>
  <c r="N104" i="2"/>
  <c r="Z100" i="2"/>
  <c r="Y100" i="2"/>
  <c r="W100" i="2"/>
  <c r="X100" i="2"/>
  <c r="V100" i="2"/>
  <c r="T100" i="2"/>
  <c r="U100" i="2"/>
  <c r="R100" i="2"/>
  <c r="S100" i="2"/>
  <c r="P100" i="2"/>
  <c r="O100" i="2"/>
  <c r="Q100" i="2"/>
  <c r="N100" i="2"/>
  <c r="Z96" i="2"/>
  <c r="Y96" i="2"/>
  <c r="X96" i="2"/>
  <c r="W96" i="2"/>
  <c r="V96" i="2"/>
  <c r="T96" i="2"/>
  <c r="U96" i="2"/>
  <c r="R96" i="2"/>
  <c r="S96" i="2"/>
  <c r="P96" i="2"/>
  <c r="O96" i="2"/>
  <c r="Q96" i="2"/>
  <c r="N96" i="2"/>
  <c r="Z92" i="2"/>
  <c r="Y92" i="2"/>
  <c r="W92" i="2"/>
  <c r="X92" i="2"/>
  <c r="V92" i="2"/>
  <c r="T92" i="2"/>
  <c r="U92" i="2"/>
  <c r="R92" i="2"/>
  <c r="S92" i="2"/>
  <c r="P92" i="2"/>
  <c r="O92" i="2"/>
  <c r="Q92" i="2"/>
  <c r="N92" i="2"/>
  <c r="Z88" i="2"/>
  <c r="Y88" i="2"/>
  <c r="W88" i="2"/>
  <c r="X88" i="2"/>
  <c r="V88" i="2"/>
  <c r="T88" i="2"/>
  <c r="U88" i="2"/>
  <c r="R88" i="2"/>
  <c r="S88" i="2"/>
  <c r="P88" i="2"/>
  <c r="O88" i="2"/>
  <c r="Q88" i="2"/>
  <c r="N88" i="2"/>
  <c r="Z84" i="2"/>
  <c r="Y84" i="2"/>
  <c r="W84" i="2"/>
  <c r="X84" i="2"/>
  <c r="V84" i="2"/>
  <c r="T84" i="2"/>
  <c r="U84" i="2"/>
  <c r="R84" i="2"/>
  <c r="S84" i="2"/>
  <c r="P84" i="2"/>
  <c r="O84" i="2"/>
  <c r="Q84" i="2"/>
  <c r="N84" i="2"/>
  <c r="Z80" i="2"/>
  <c r="Y80" i="2"/>
  <c r="X80" i="2"/>
  <c r="W80" i="2"/>
  <c r="V80" i="2"/>
  <c r="T80" i="2"/>
  <c r="U80" i="2"/>
  <c r="R80" i="2"/>
  <c r="S80" i="2"/>
  <c r="P80" i="2"/>
  <c r="O80" i="2"/>
  <c r="Q80" i="2"/>
  <c r="N80" i="2"/>
  <c r="Z76" i="2"/>
  <c r="Y76" i="2"/>
  <c r="W76" i="2"/>
  <c r="V76" i="2"/>
  <c r="T76" i="2"/>
  <c r="U76" i="2"/>
  <c r="X76" i="2"/>
  <c r="R76" i="2"/>
  <c r="S76" i="2"/>
  <c r="P76" i="2"/>
  <c r="O76" i="2"/>
  <c r="Q76" i="2"/>
  <c r="N76" i="2"/>
  <c r="Z72" i="2"/>
  <c r="Y72" i="2"/>
  <c r="W72" i="2"/>
  <c r="X72" i="2"/>
  <c r="V72" i="2"/>
  <c r="T72" i="2"/>
  <c r="U72" i="2"/>
  <c r="R72" i="2"/>
  <c r="S72" i="2"/>
  <c r="P72" i="2"/>
  <c r="O72" i="2"/>
  <c r="Q72" i="2"/>
  <c r="N72" i="2"/>
  <c r="Z68" i="2"/>
  <c r="Y68" i="2"/>
  <c r="W68" i="2"/>
  <c r="X68" i="2"/>
  <c r="V68" i="2"/>
  <c r="T68" i="2"/>
  <c r="U68" i="2"/>
  <c r="R68" i="2"/>
  <c r="S68" i="2"/>
  <c r="P68" i="2"/>
  <c r="O68" i="2"/>
  <c r="Q68" i="2"/>
  <c r="N68" i="2"/>
  <c r="Z64" i="2"/>
  <c r="Y64" i="2"/>
  <c r="X64" i="2"/>
  <c r="W64" i="2"/>
  <c r="V64" i="2"/>
  <c r="T64" i="2"/>
  <c r="U64" i="2"/>
  <c r="R64" i="2"/>
  <c r="S64" i="2"/>
  <c r="P64" i="2"/>
  <c r="O64" i="2"/>
  <c r="Q64" i="2"/>
  <c r="N64" i="2"/>
  <c r="Z60" i="2"/>
  <c r="Y60" i="2"/>
  <c r="W60" i="2"/>
  <c r="V60" i="2"/>
  <c r="X60" i="2"/>
  <c r="T60" i="2"/>
  <c r="U60" i="2"/>
  <c r="R60" i="2"/>
  <c r="S60" i="2"/>
  <c r="P60" i="2"/>
  <c r="O60" i="2"/>
  <c r="Q60" i="2"/>
  <c r="N60" i="2"/>
  <c r="Z56" i="2"/>
  <c r="Y56" i="2"/>
  <c r="W56" i="2"/>
  <c r="X56" i="2"/>
  <c r="V56" i="2"/>
  <c r="T56" i="2"/>
  <c r="U56" i="2"/>
  <c r="R56" i="2"/>
  <c r="S56" i="2"/>
  <c r="P56" i="2"/>
  <c r="O56" i="2"/>
  <c r="Q56" i="2"/>
  <c r="N56" i="2"/>
  <c r="Z52" i="2"/>
  <c r="Y52" i="2"/>
  <c r="W52" i="2"/>
  <c r="X52" i="2"/>
  <c r="V52" i="2"/>
  <c r="T52" i="2"/>
  <c r="U52" i="2"/>
  <c r="R52" i="2"/>
  <c r="S52" i="2"/>
  <c r="P52" i="2"/>
  <c r="O52" i="2"/>
  <c r="Q52" i="2"/>
  <c r="N52" i="2"/>
  <c r="Z48" i="2"/>
  <c r="Y48" i="2"/>
  <c r="X48" i="2"/>
  <c r="W48" i="2"/>
  <c r="V48" i="2"/>
  <c r="T48" i="2"/>
  <c r="U48" i="2"/>
  <c r="R48" i="2"/>
  <c r="S48" i="2"/>
  <c r="P48" i="2"/>
  <c r="O48" i="2"/>
  <c r="Q48" i="2"/>
  <c r="N48" i="2"/>
  <c r="Z44" i="2"/>
  <c r="Y44" i="2"/>
  <c r="W44" i="2"/>
  <c r="V44" i="2"/>
  <c r="X44" i="2"/>
  <c r="T44" i="2"/>
  <c r="U44" i="2"/>
  <c r="R44" i="2"/>
  <c r="S44" i="2"/>
  <c r="P44" i="2"/>
  <c r="O44" i="2"/>
  <c r="Q44" i="2"/>
  <c r="N44" i="2"/>
  <c r="Z40" i="2"/>
  <c r="Y40" i="2"/>
  <c r="W40" i="2"/>
  <c r="X40" i="2"/>
  <c r="V40" i="2"/>
  <c r="T40" i="2"/>
  <c r="U40" i="2"/>
  <c r="R40" i="2"/>
  <c r="S40" i="2"/>
  <c r="P40" i="2"/>
  <c r="O40" i="2"/>
  <c r="Q40" i="2"/>
  <c r="N40" i="2"/>
  <c r="Z36" i="2"/>
  <c r="Y36" i="2"/>
  <c r="W36" i="2"/>
  <c r="X36" i="2"/>
  <c r="V36" i="2"/>
  <c r="T36" i="2"/>
  <c r="U36" i="2"/>
  <c r="R36" i="2"/>
  <c r="S36" i="2"/>
  <c r="P36" i="2"/>
  <c r="O36" i="2"/>
  <c r="Q36" i="2"/>
  <c r="N36" i="2"/>
  <c r="Z32" i="2"/>
  <c r="Y32" i="2"/>
  <c r="X32" i="2"/>
  <c r="W32" i="2"/>
  <c r="V32" i="2"/>
  <c r="T32" i="2"/>
  <c r="U32" i="2"/>
  <c r="R32" i="2"/>
  <c r="S32" i="2"/>
  <c r="P32" i="2"/>
  <c r="O32" i="2"/>
  <c r="Q32" i="2"/>
  <c r="N32" i="2"/>
  <c r="Z28" i="2"/>
  <c r="Y28" i="2"/>
  <c r="W28" i="2"/>
  <c r="X28" i="2"/>
  <c r="V28" i="2"/>
  <c r="T28" i="2"/>
  <c r="U28" i="2"/>
  <c r="R28" i="2"/>
  <c r="S28" i="2"/>
  <c r="P28" i="2"/>
  <c r="O28" i="2"/>
  <c r="Q28" i="2"/>
  <c r="N28" i="2"/>
  <c r="Z24" i="2"/>
  <c r="Y24" i="2"/>
  <c r="W24" i="2"/>
  <c r="X24" i="2"/>
  <c r="V24" i="2"/>
  <c r="T24" i="2"/>
  <c r="U24" i="2"/>
  <c r="R24" i="2"/>
  <c r="S24" i="2"/>
  <c r="P24" i="2"/>
  <c r="O24" i="2"/>
  <c r="Q24" i="2"/>
  <c r="N24" i="2"/>
  <c r="Z20" i="2"/>
  <c r="Y20" i="2"/>
  <c r="W20" i="2"/>
  <c r="X20" i="2"/>
  <c r="V20" i="2"/>
  <c r="T20" i="2"/>
  <c r="U20" i="2"/>
  <c r="R20" i="2"/>
  <c r="S20" i="2"/>
  <c r="P20" i="2"/>
  <c r="O20" i="2"/>
  <c r="Q20" i="2"/>
  <c r="N20" i="2"/>
  <c r="Z16" i="2"/>
  <c r="Y16" i="2"/>
  <c r="X16" i="2"/>
  <c r="W16" i="2"/>
  <c r="V16" i="2"/>
  <c r="T16" i="2"/>
  <c r="U16" i="2"/>
  <c r="R16" i="2"/>
  <c r="S16" i="2"/>
  <c r="P16" i="2"/>
  <c r="O16" i="2"/>
  <c r="Q16" i="2"/>
  <c r="N16" i="2"/>
  <c r="O12" i="2"/>
  <c r="N12" i="2"/>
  <c r="Q12" i="2"/>
  <c r="P12" i="2"/>
  <c r="Z1003" i="2"/>
  <c r="X1003" i="2"/>
  <c r="W1003" i="2"/>
  <c r="U1003" i="2"/>
  <c r="V1003" i="2"/>
  <c r="Y1003" i="2"/>
  <c r="S1003" i="2"/>
  <c r="T1003" i="2"/>
  <c r="Q1003" i="2"/>
  <c r="O1003" i="2"/>
  <c r="R1003" i="2"/>
  <c r="P1003" i="2"/>
  <c r="N1003" i="2"/>
  <c r="Z999" i="2"/>
  <c r="X999" i="2"/>
  <c r="Y999" i="2"/>
  <c r="W999" i="2"/>
  <c r="U999" i="2"/>
  <c r="V999" i="2"/>
  <c r="S999" i="2"/>
  <c r="T999" i="2"/>
  <c r="Q999" i="2"/>
  <c r="P999" i="2"/>
  <c r="R999" i="2"/>
  <c r="N999" i="2"/>
  <c r="O999" i="2"/>
  <c r="Z995" i="2"/>
  <c r="X995" i="2"/>
  <c r="Y995" i="2"/>
  <c r="W995" i="2"/>
  <c r="U995" i="2"/>
  <c r="V995" i="2"/>
  <c r="S995" i="2"/>
  <c r="T995" i="2"/>
  <c r="Q995" i="2"/>
  <c r="R995" i="2"/>
  <c r="O995" i="2"/>
  <c r="N995" i="2"/>
  <c r="P995" i="2"/>
  <c r="Z991" i="2"/>
  <c r="Y991" i="2"/>
  <c r="X991" i="2"/>
  <c r="W991" i="2"/>
  <c r="U991" i="2"/>
  <c r="V991" i="2"/>
  <c r="S991" i="2"/>
  <c r="T991" i="2"/>
  <c r="Q991" i="2"/>
  <c r="P991" i="2"/>
  <c r="R991" i="2"/>
  <c r="N991" i="2"/>
  <c r="O991" i="2"/>
  <c r="Z987" i="2"/>
  <c r="X987" i="2"/>
  <c r="W987" i="2"/>
  <c r="Y987" i="2"/>
  <c r="U987" i="2"/>
  <c r="V987" i="2"/>
  <c r="S987" i="2"/>
  <c r="T987" i="2"/>
  <c r="Q987" i="2"/>
  <c r="O987" i="2"/>
  <c r="N987" i="2"/>
  <c r="R987" i="2"/>
  <c r="P987" i="2"/>
  <c r="Z983" i="2"/>
  <c r="X983" i="2"/>
  <c r="Y983" i="2"/>
  <c r="W983" i="2"/>
  <c r="U983" i="2"/>
  <c r="V983" i="2"/>
  <c r="S983" i="2"/>
  <c r="T983" i="2"/>
  <c r="Q983" i="2"/>
  <c r="P983" i="2"/>
  <c r="R983" i="2"/>
  <c r="N983" i="2"/>
  <c r="O983" i="2"/>
  <c r="Z979" i="2"/>
  <c r="X979" i="2"/>
  <c r="Y979" i="2"/>
  <c r="W979" i="2"/>
  <c r="U979" i="2"/>
  <c r="V979" i="2"/>
  <c r="S979" i="2"/>
  <c r="T979" i="2"/>
  <c r="Q979" i="2"/>
  <c r="R979" i="2"/>
  <c r="O979" i="2"/>
  <c r="N979" i="2"/>
  <c r="P979" i="2"/>
  <c r="Z975" i="2"/>
  <c r="Y975" i="2"/>
  <c r="X975" i="2"/>
  <c r="W975" i="2"/>
  <c r="U975" i="2"/>
  <c r="V975" i="2"/>
  <c r="S975" i="2"/>
  <c r="T975" i="2"/>
  <c r="Q975" i="2"/>
  <c r="P975" i="2"/>
  <c r="N975" i="2"/>
  <c r="R975" i="2"/>
  <c r="O975" i="2"/>
  <c r="Z971" i="2"/>
  <c r="X971" i="2"/>
  <c r="W971" i="2"/>
  <c r="Y971" i="2"/>
  <c r="U971" i="2"/>
  <c r="V971" i="2"/>
  <c r="S971" i="2"/>
  <c r="T971" i="2"/>
  <c r="Q971" i="2"/>
  <c r="O971" i="2"/>
  <c r="R971" i="2"/>
  <c r="P971" i="2"/>
  <c r="N971" i="2"/>
  <c r="Z967" i="2"/>
  <c r="X967" i="2"/>
  <c r="Y967" i="2"/>
  <c r="W967" i="2"/>
  <c r="U967" i="2"/>
  <c r="V967" i="2"/>
  <c r="S967" i="2"/>
  <c r="T967" i="2"/>
  <c r="Q967" i="2"/>
  <c r="P967" i="2"/>
  <c r="R967" i="2"/>
  <c r="N967" i="2"/>
  <c r="O967" i="2"/>
  <c r="Z963" i="2"/>
  <c r="X963" i="2"/>
  <c r="Y963" i="2"/>
  <c r="W963" i="2"/>
  <c r="U963" i="2"/>
  <c r="V963" i="2"/>
  <c r="S963" i="2"/>
  <c r="T963" i="2"/>
  <c r="Q963" i="2"/>
  <c r="R963" i="2"/>
  <c r="O963" i="2"/>
  <c r="N963" i="2"/>
  <c r="P963" i="2"/>
  <c r="Z959" i="2"/>
  <c r="Y959" i="2"/>
  <c r="X959" i="2"/>
  <c r="W959" i="2"/>
  <c r="U959" i="2"/>
  <c r="V959" i="2"/>
  <c r="S959" i="2"/>
  <c r="T959" i="2"/>
  <c r="Q959" i="2"/>
  <c r="P959" i="2"/>
  <c r="R959" i="2"/>
  <c r="N959" i="2"/>
  <c r="O959" i="2"/>
  <c r="Z955" i="2"/>
  <c r="X955" i="2"/>
  <c r="Y955" i="2"/>
  <c r="W955" i="2"/>
  <c r="U955" i="2"/>
  <c r="V955" i="2"/>
  <c r="S955" i="2"/>
  <c r="T955" i="2"/>
  <c r="Q955" i="2"/>
  <c r="O955" i="2"/>
  <c r="N955" i="2"/>
  <c r="R955" i="2"/>
  <c r="P955" i="2"/>
  <c r="Z951" i="2"/>
  <c r="X951" i="2"/>
  <c r="Y951" i="2"/>
  <c r="W951" i="2"/>
  <c r="U951" i="2"/>
  <c r="V951" i="2"/>
  <c r="S951" i="2"/>
  <c r="T951" i="2"/>
  <c r="Q951" i="2"/>
  <c r="P951" i="2"/>
  <c r="R951" i="2"/>
  <c r="N951" i="2"/>
  <c r="O951" i="2"/>
  <c r="Z947" i="2"/>
  <c r="X947" i="2"/>
  <c r="Y947" i="2"/>
  <c r="W947" i="2"/>
  <c r="U947" i="2"/>
  <c r="V947" i="2"/>
  <c r="S947" i="2"/>
  <c r="T947" i="2"/>
  <c r="Q947" i="2"/>
  <c r="R947" i="2"/>
  <c r="O947" i="2"/>
  <c r="N947" i="2"/>
  <c r="P947" i="2"/>
  <c r="Z943" i="2"/>
  <c r="Y943" i="2"/>
  <c r="X943" i="2"/>
  <c r="W943" i="2"/>
  <c r="U943" i="2"/>
  <c r="V943" i="2"/>
  <c r="S943" i="2"/>
  <c r="T943" i="2"/>
  <c r="Q943" i="2"/>
  <c r="P943" i="2"/>
  <c r="N943" i="2"/>
  <c r="R943" i="2"/>
  <c r="O943" i="2"/>
  <c r="Z939" i="2"/>
  <c r="X939" i="2"/>
  <c r="W939" i="2"/>
  <c r="U939" i="2"/>
  <c r="Y939" i="2"/>
  <c r="V939" i="2"/>
  <c r="S939" i="2"/>
  <c r="T939" i="2"/>
  <c r="Q939" i="2"/>
  <c r="O939" i="2"/>
  <c r="R939" i="2"/>
  <c r="P939" i="2"/>
  <c r="N939" i="2"/>
  <c r="Z935" i="2"/>
  <c r="X935" i="2"/>
  <c r="Y935" i="2"/>
  <c r="W935" i="2"/>
  <c r="U935" i="2"/>
  <c r="V935" i="2"/>
  <c r="S935" i="2"/>
  <c r="T935" i="2"/>
  <c r="Q935" i="2"/>
  <c r="P935" i="2"/>
  <c r="R935" i="2"/>
  <c r="N935" i="2"/>
  <c r="O935" i="2"/>
  <c r="Z931" i="2"/>
  <c r="X931" i="2"/>
  <c r="Y931" i="2"/>
  <c r="W931" i="2"/>
  <c r="U931" i="2"/>
  <c r="V931" i="2"/>
  <c r="S931" i="2"/>
  <c r="T931" i="2"/>
  <c r="Q931" i="2"/>
  <c r="R931" i="2"/>
  <c r="O931" i="2"/>
  <c r="N931" i="2"/>
  <c r="P931" i="2"/>
  <c r="Z927" i="2"/>
  <c r="Y927" i="2"/>
  <c r="X927" i="2"/>
  <c r="W927" i="2"/>
  <c r="U927" i="2"/>
  <c r="V927" i="2"/>
  <c r="S927" i="2"/>
  <c r="T927" i="2"/>
  <c r="Q927" i="2"/>
  <c r="P927" i="2"/>
  <c r="R927" i="2"/>
  <c r="N927" i="2"/>
  <c r="O927" i="2"/>
  <c r="Z923" i="2"/>
  <c r="X923" i="2"/>
  <c r="W923" i="2"/>
  <c r="Y923" i="2"/>
  <c r="U923" i="2"/>
  <c r="V923" i="2"/>
  <c r="S923" i="2"/>
  <c r="T923" i="2"/>
  <c r="Q923" i="2"/>
  <c r="O923" i="2"/>
  <c r="N923" i="2"/>
  <c r="R923" i="2"/>
  <c r="P923" i="2"/>
  <c r="Z919" i="2"/>
  <c r="X919" i="2"/>
  <c r="Y919" i="2"/>
  <c r="W919" i="2"/>
  <c r="U919" i="2"/>
  <c r="V919" i="2"/>
  <c r="S919" i="2"/>
  <c r="T919" i="2"/>
  <c r="Q919" i="2"/>
  <c r="P919" i="2"/>
  <c r="R919" i="2"/>
  <c r="N919" i="2"/>
  <c r="O919" i="2"/>
  <c r="Z915" i="2"/>
  <c r="X915" i="2"/>
  <c r="Y915" i="2"/>
  <c r="W915" i="2"/>
  <c r="U915" i="2"/>
  <c r="V915" i="2"/>
  <c r="S915" i="2"/>
  <c r="T915" i="2"/>
  <c r="Q915" i="2"/>
  <c r="R915" i="2"/>
  <c r="O915" i="2"/>
  <c r="N915" i="2"/>
  <c r="P915" i="2"/>
  <c r="Z911" i="2"/>
  <c r="Y911" i="2"/>
  <c r="X911" i="2"/>
  <c r="W911" i="2"/>
  <c r="U911" i="2"/>
  <c r="V911" i="2"/>
  <c r="S911" i="2"/>
  <c r="T911" i="2"/>
  <c r="Q911" i="2"/>
  <c r="P911" i="2"/>
  <c r="N911" i="2"/>
  <c r="R911" i="2"/>
  <c r="O911" i="2"/>
  <c r="Z907" i="2"/>
  <c r="X907" i="2"/>
  <c r="W907" i="2"/>
  <c r="Y907" i="2"/>
  <c r="U907" i="2"/>
  <c r="V907" i="2"/>
  <c r="S907" i="2"/>
  <c r="T907" i="2"/>
  <c r="Q907" i="2"/>
  <c r="O907" i="2"/>
  <c r="N907" i="2"/>
  <c r="R907" i="2"/>
  <c r="P907" i="2"/>
  <c r="Z903" i="2"/>
  <c r="X903" i="2"/>
  <c r="Y903" i="2"/>
  <c r="W903" i="2"/>
  <c r="U903" i="2"/>
  <c r="V903" i="2"/>
  <c r="S903" i="2"/>
  <c r="T903" i="2"/>
  <c r="Q903" i="2"/>
  <c r="P903" i="2"/>
  <c r="R903" i="2"/>
  <c r="N903" i="2"/>
  <c r="O903" i="2"/>
  <c r="Z899" i="2"/>
  <c r="X899" i="2"/>
  <c r="Y899" i="2"/>
  <c r="W899" i="2"/>
  <c r="U899" i="2"/>
  <c r="V899" i="2"/>
  <c r="S899" i="2"/>
  <c r="T899" i="2"/>
  <c r="Q899" i="2"/>
  <c r="R899" i="2"/>
  <c r="O899" i="2"/>
  <c r="P899" i="2"/>
  <c r="N899" i="2"/>
  <c r="Z895" i="2"/>
  <c r="Y895" i="2"/>
  <c r="X895" i="2"/>
  <c r="W895" i="2"/>
  <c r="U895" i="2"/>
  <c r="V895" i="2"/>
  <c r="S895" i="2"/>
  <c r="T895" i="2"/>
  <c r="Q895" i="2"/>
  <c r="P895" i="2"/>
  <c r="R895" i="2"/>
  <c r="N895" i="2"/>
  <c r="O895" i="2"/>
  <c r="Z891" i="2"/>
  <c r="X891" i="2"/>
  <c r="Y891" i="2"/>
  <c r="W891" i="2"/>
  <c r="U891" i="2"/>
  <c r="V891" i="2"/>
  <c r="S891" i="2"/>
  <c r="T891" i="2"/>
  <c r="Q891" i="2"/>
  <c r="O891" i="2"/>
  <c r="N891" i="2"/>
  <c r="R891" i="2"/>
  <c r="P891" i="2"/>
  <c r="Z887" i="2"/>
  <c r="X887" i="2"/>
  <c r="Y887" i="2"/>
  <c r="W887" i="2"/>
  <c r="U887" i="2"/>
  <c r="V887" i="2"/>
  <c r="S887" i="2"/>
  <c r="T887" i="2"/>
  <c r="Q887" i="2"/>
  <c r="P887" i="2"/>
  <c r="R887" i="2"/>
  <c r="N887" i="2"/>
  <c r="O887" i="2"/>
  <c r="Z883" i="2"/>
  <c r="X883" i="2"/>
  <c r="Y883" i="2"/>
  <c r="W883" i="2"/>
  <c r="U883" i="2"/>
  <c r="V883" i="2"/>
  <c r="S883" i="2"/>
  <c r="T883" i="2"/>
  <c r="Q883" i="2"/>
  <c r="R883" i="2"/>
  <c r="O883" i="2"/>
  <c r="N883" i="2"/>
  <c r="P883" i="2"/>
  <c r="Z879" i="2"/>
  <c r="Y879" i="2"/>
  <c r="X879" i="2"/>
  <c r="W879" i="2"/>
  <c r="U879" i="2"/>
  <c r="V879" i="2"/>
  <c r="S879" i="2"/>
  <c r="T879" i="2"/>
  <c r="Q879" i="2"/>
  <c r="P879" i="2"/>
  <c r="N879" i="2"/>
  <c r="R879" i="2"/>
  <c r="O879" i="2"/>
  <c r="Z875" i="2"/>
  <c r="X875" i="2"/>
  <c r="W875" i="2"/>
  <c r="Y875" i="2"/>
  <c r="U875" i="2"/>
  <c r="V875" i="2"/>
  <c r="S875" i="2"/>
  <c r="T875" i="2"/>
  <c r="Q875" i="2"/>
  <c r="O875" i="2"/>
  <c r="N875" i="2"/>
  <c r="R875" i="2"/>
  <c r="P875" i="2"/>
  <c r="Z871" i="2"/>
  <c r="X871" i="2"/>
  <c r="Y871" i="2"/>
  <c r="W871" i="2"/>
  <c r="U871" i="2"/>
  <c r="V871" i="2"/>
  <c r="S871" i="2"/>
  <c r="T871" i="2"/>
  <c r="Q871" i="2"/>
  <c r="P871" i="2"/>
  <c r="R871" i="2"/>
  <c r="N871" i="2"/>
  <c r="O871" i="2"/>
  <c r="Z867" i="2"/>
  <c r="X867" i="2"/>
  <c r="Y867" i="2"/>
  <c r="W867" i="2"/>
  <c r="U867" i="2"/>
  <c r="V867" i="2"/>
  <c r="S867" i="2"/>
  <c r="T867" i="2"/>
  <c r="Q867" i="2"/>
  <c r="R867" i="2"/>
  <c r="O867" i="2"/>
  <c r="P867" i="2"/>
  <c r="N867" i="2"/>
  <c r="Z863" i="2"/>
  <c r="Y863" i="2"/>
  <c r="X863" i="2"/>
  <c r="W863" i="2"/>
  <c r="U863" i="2"/>
  <c r="V863" i="2"/>
  <c r="S863" i="2"/>
  <c r="T863" i="2"/>
  <c r="Q863" i="2"/>
  <c r="P863" i="2"/>
  <c r="R863" i="2"/>
  <c r="N863" i="2"/>
  <c r="O863" i="2"/>
  <c r="Z859" i="2"/>
  <c r="X859" i="2"/>
  <c r="W859" i="2"/>
  <c r="Y859" i="2"/>
  <c r="U859" i="2"/>
  <c r="V859" i="2"/>
  <c r="S859" i="2"/>
  <c r="T859" i="2"/>
  <c r="Q859" i="2"/>
  <c r="O859" i="2"/>
  <c r="N859" i="2"/>
  <c r="R859" i="2"/>
  <c r="P859" i="2"/>
  <c r="Z855" i="2"/>
  <c r="X855" i="2"/>
  <c r="Y855" i="2"/>
  <c r="W855" i="2"/>
  <c r="U855" i="2"/>
  <c r="V855" i="2"/>
  <c r="S855" i="2"/>
  <c r="T855" i="2"/>
  <c r="Q855" i="2"/>
  <c r="P855" i="2"/>
  <c r="R855" i="2"/>
  <c r="N855" i="2"/>
  <c r="O855" i="2"/>
  <c r="Z851" i="2"/>
  <c r="X851" i="2"/>
  <c r="Y851" i="2"/>
  <c r="W851" i="2"/>
  <c r="U851" i="2"/>
  <c r="V851" i="2"/>
  <c r="S851" i="2"/>
  <c r="T851" i="2"/>
  <c r="Q851" i="2"/>
  <c r="R851" i="2"/>
  <c r="O851" i="2"/>
  <c r="N851" i="2"/>
  <c r="P851" i="2"/>
  <c r="Z847" i="2"/>
  <c r="Y847" i="2"/>
  <c r="X847" i="2"/>
  <c r="W847" i="2"/>
  <c r="U847" i="2"/>
  <c r="V847" i="2"/>
  <c r="S847" i="2"/>
  <c r="T847" i="2"/>
  <c r="Q847" i="2"/>
  <c r="P847" i="2"/>
  <c r="N847" i="2"/>
  <c r="R847" i="2"/>
  <c r="O847" i="2"/>
  <c r="Z843" i="2"/>
  <c r="X843" i="2"/>
  <c r="W843" i="2"/>
  <c r="Y843" i="2"/>
  <c r="U843" i="2"/>
  <c r="V843" i="2"/>
  <c r="S843" i="2"/>
  <c r="T843" i="2"/>
  <c r="Q843" i="2"/>
  <c r="O843" i="2"/>
  <c r="N843" i="2"/>
  <c r="R843" i="2"/>
  <c r="P843" i="2"/>
  <c r="Z839" i="2"/>
  <c r="X839" i="2"/>
  <c r="Y839" i="2"/>
  <c r="W839" i="2"/>
  <c r="U839" i="2"/>
  <c r="V839" i="2"/>
  <c r="S839" i="2"/>
  <c r="T839" i="2"/>
  <c r="Q839" i="2"/>
  <c r="P839" i="2"/>
  <c r="R839" i="2"/>
  <c r="N839" i="2"/>
  <c r="O839" i="2"/>
  <c r="Z835" i="2"/>
  <c r="X835" i="2"/>
  <c r="Y835" i="2"/>
  <c r="W835" i="2"/>
  <c r="U835" i="2"/>
  <c r="V835" i="2"/>
  <c r="S835" i="2"/>
  <c r="T835" i="2"/>
  <c r="Q835" i="2"/>
  <c r="R835" i="2"/>
  <c r="O835" i="2"/>
  <c r="N835" i="2"/>
  <c r="P835" i="2"/>
  <c r="Z831" i="2"/>
  <c r="Y831" i="2"/>
  <c r="X831" i="2"/>
  <c r="W831" i="2"/>
  <c r="U831" i="2"/>
  <c r="V831" i="2"/>
  <c r="S831" i="2"/>
  <c r="T831" i="2"/>
  <c r="Q831" i="2"/>
  <c r="P831" i="2"/>
  <c r="R831" i="2"/>
  <c r="N831" i="2"/>
  <c r="O831" i="2"/>
  <c r="Z827" i="2"/>
  <c r="X827" i="2"/>
  <c r="Y827" i="2"/>
  <c r="W827" i="2"/>
  <c r="U827" i="2"/>
  <c r="V827" i="2"/>
  <c r="S827" i="2"/>
  <c r="T827" i="2"/>
  <c r="Q827" i="2"/>
  <c r="O827" i="2"/>
  <c r="R827" i="2"/>
  <c r="P827" i="2"/>
  <c r="N827" i="2"/>
  <c r="Z823" i="2"/>
  <c r="X823" i="2"/>
  <c r="Y823" i="2"/>
  <c r="W823" i="2"/>
  <c r="U823" i="2"/>
  <c r="V823" i="2"/>
  <c r="S823" i="2"/>
  <c r="T823" i="2"/>
  <c r="Q823" i="2"/>
  <c r="P823" i="2"/>
  <c r="R823" i="2"/>
  <c r="N823" i="2"/>
  <c r="O823" i="2"/>
  <c r="Z819" i="2"/>
  <c r="X819" i="2"/>
  <c r="Y819" i="2"/>
  <c r="W819" i="2"/>
  <c r="U819" i="2"/>
  <c r="V819" i="2"/>
  <c r="S819" i="2"/>
  <c r="T819" i="2"/>
  <c r="Q819" i="2"/>
  <c r="R819" i="2"/>
  <c r="O819" i="2"/>
  <c r="N819" i="2"/>
  <c r="P819" i="2"/>
  <c r="Z815" i="2"/>
  <c r="Y815" i="2"/>
  <c r="X815" i="2"/>
  <c r="W815" i="2"/>
  <c r="U815" i="2"/>
  <c r="V815" i="2"/>
  <c r="S815" i="2"/>
  <c r="T815" i="2"/>
  <c r="Q815" i="2"/>
  <c r="P815" i="2"/>
  <c r="N815" i="2"/>
  <c r="R815" i="2"/>
  <c r="O815" i="2"/>
  <c r="Z811" i="2"/>
  <c r="X811" i="2"/>
  <c r="W811" i="2"/>
  <c r="U811" i="2"/>
  <c r="V811" i="2"/>
  <c r="S811" i="2"/>
  <c r="T811" i="2"/>
  <c r="Y811" i="2"/>
  <c r="Q811" i="2"/>
  <c r="O811" i="2"/>
  <c r="N811" i="2"/>
  <c r="R811" i="2"/>
  <c r="P811" i="2"/>
  <c r="Z807" i="2"/>
  <c r="X807" i="2"/>
  <c r="Y807" i="2"/>
  <c r="W807" i="2"/>
  <c r="U807" i="2"/>
  <c r="V807" i="2"/>
  <c r="S807" i="2"/>
  <c r="T807" i="2"/>
  <c r="Q807" i="2"/>
  <c r="P807" i="2"/>
  <c r="R807" i="2"/>
  <c r="N807" i="2"/>
  <c r="O807" i="2"/>
  <c r="Z803" i="2"/>
  <c r="X803" i="2"/>
  <c r="Y803" i="2"/>
  <c r="W803" i="2"/>
  <c r="U803" i="2"/>
  <c r="V803" i="2"/>
  <c r="S803" i="2"/>
  <c r="T803" i="2"/>
  <c r="Q803" i="2"/>
  <c r="R803" i="2"/>
  <c r="O803" i="2"/>
  <c r="N803" i="2"/>
  <c r="P803" i="2"/>
  <c r="Z799" i="2"/>
  <c r="Y799" i="2"/>
  <c r="X799" i="2"/>
  <c r="W799" i="2"/>
  <c r="U799" i="2"/>
  <c r="V799" i="2"/>
  <c r="S799" i="2"/>
  <c r="T799" i="2"/>
  <c r="Q799" i="2"/>
  <c r="P799" i="2"/>
  <c r="R799" i="2"/>
  <c r="N799" i="2"/>
  <c r="O799" i="2"/>
  <c r="Z795" i="2"/>
  <c r="X795" i="2"/>
  <c r="W795" i="2"/>
  <c r="Y795" i="2"/>
  <c r="U795" i="2"/>
  <c r="V795" i="2"/>
  <c r="S795" i="2"/>
  <c r="T795" i="2"/>
  <c r="Q795" i="2"/>
  <c r="O795" i="2"/>
  <c r="R795" i="2"/>
  <c r="P795" i="2"/>
  <c r="N795" i="2"/>
  <c r="Z791" i="2"/>
  <c r="X791" i="2"/>
  <c r="Y791" i="2"/>
  <c r="W791" i="2"/>
  <c r="U791" i="2"/>
  <c r="V791" i="2"/>
  <c r="S791" i="2"/>
  <c r="T791" i="2"/>
  <c r="Q791" i="2"/>
  <c r="P791" i="2"/>
  <c r="R791" i="2"/>
  <c r="N791" i="2"/>
  <c r="O791" i="2"/>
  <c r="Z787" i="2"/>
  <c r="X787" i="2"/>
  <c r="Y787" i="2"/>
  <c r="W787" i="2"/>
  <c r="U787" i="2"/>
  <c r="V787" i="2"/>
  <c r="S787" i="2"/>
  <c r="T787" i="2"/>
  <c r="Q787" i="2"/>
  <c r="R787" i="2"/>
  <c r="O787" i="2"/>
  <c r="N787" i="2"/>
  <c r="P787" i="2"/>
  <c r="Z783" i="2"/>
  <c r="Y783" i="2"/>
  <c r="X783" i="2"/>
  <c r="W783" i="2"/>
  <c r="U783" i="2"/>
  <c r="V783" i="2"/>
  <c r="S783" i="2"/>
  <c r="T783" i="2"/>
  <c r="Q783" i="2"/>
  <c r="P783" i="2"/>
  <c r="N783" i="2"/>
  <c r="R783" i="2"/>
  <c r="O783" i="2"/>
  <c r="Z779" i="2"/>
  <c r="X779" i="2"/>
  <c r="W779" i="2"/>
  <c r="Y779" i="2"/>
  <c r="U779" i="2"/>
  <c r="V779" i="2"/>
  <c r="S779" i="2"/>
  <c r="T779" i="2"/>
  <c r="Q779" i="2"/>
  <c r="O779" i="2"/>
  <c r="N779" i="2"/>
  <c r="R779" i="2"/>
  <c r="P779" i="2"/>
  <c r="Z775" i="2"/>
  <c r="X775" i="2"/>
  <c r="Y775" i="2"/>
  <c r="W775" i="2"/>
  <c r="U775" i="2"/>
  <c r="V775" i="2"/>
  <c r="S775" i="2"/>
  <c r="T775" i="2"/>
  <c r="Q775" i="2"/>
  <c r="P775" i="2"/>
  <c r="R775" i="2"/>
  <c r="N775" i="2"/>
  <c r="O775" i="2"/>
  <c r="Z771" i="2"/>
  <c r="X771" i="2"/>
  <c r="Y771" i="2"/>
  <c r="W771" i="2"/>
  <c r="U771" i="2"/>
  <c r="V771" i="2"/>
  <c r="S771" i="2"/>
  <c r="T771" i="2"/>
  <c r="Q771" i="2"/>
  <c r="R771" i="2"/>
  <c r="O771" i="2"/>
  <c r="N771" i="2"/>
  <c r="P771" i="2"/>
  <c r="Z767" i="2"/>
  <c r="Y767" i="2"/>
  <c r="X767" i="2"/>
  <c r="W767" i="2"/>
  <c r="U767" i="2"/>
  <c r="V767" i="2"/>
  <c r="S767" i="2"/>
  <c r="T767" i="2"/>
  <c r="Q767" i="2"/>
  <c r="P767" i="2"/>
  <c r="R767" i="2"/>
  <c r="N767" i="2"/>
  <c r="O767" i="2"/>
  <c r="Z763" i="2"/>
  <c r="X763" i="2"/>
  <c r="Y763" i="2"/>
  <c r="W763" i="2"/>
  <c r="U763" i="2"/>
  <c r="V763" i="2"/>
  <c r="S763" i="2"/>
  <c r="T763" i="2"/>
  <c r="Q763" i="2"/>
  <c r="O763" i="2"/>
  <c r="R763" i="2"/>
  <c r="P763" i="2"/>
  <c r="N763" i="2"/>
  <c r="Z759" i="2"/>
  <c r="X759" i="2"/>
  <c r="Y759" i="2"/>
  <c r="W759" i="2"/>
  <c r="U759" i="2"/>
  <c r="V759" i="2"/>
  <c r="S759" i="2"/>
  <c r="T759" i="2"/>
  <c r="Q759" i="2"/>
  <c r="P759" i="2"/>
  <c r="R759" i="2"/>
  <c r="N759" i="2"/>
  <c r="O759" i="2"/>
  <c r="Z755" i="2"/>
  <c r="X755" i="2"/>
  <c r="Y755" i="2"/>
  <c r="W755" i="2"/>
  <c r="U755" i="2"/>
  <c r="V755" i="2"/>
  <c r="S755" i="2"/>
  <c r="T755" i="2"/>
  <c r="Q755" i="2"/>
  <c r="R755" i="2"/>
  <c r="O755" i="2"/>
  <c r="N755" i="2"/>
  <c r="P755" i="2"/>
  <c r="Z751" i="2"/>
  <c r="Y751" i="2"/>
  <c r="X751" i="2"/>
  <c r="W751" i="2"/>
  <c r="U751" i="2"/>
  <c r="V751" i="2"/>
  <c r="S751" i="2"/>
  <c r="T751" i="2"/>
  <c r="Q751" i="2"/>
  <c r="P751" i="2"/>
  <c r="N751" i="2"/>
  <c r="R751" i="2"/>
  <c r="O751" i="2"/>
  <c r="Z747" i="2"/>
  <c r="X747" i="2"/>
  <c r="W747" i="2"/>
  <c r="U747" i="2"/>
  <c r="V747" i="2"/>
  <c r="Y747" i="2"/>
  <c r="S747" i="2"/>
  <c r="T747" i="2"/>
  <c r="Q747" i="2"/>
  <c r="O747" i="2"/>
  <c r="N747" i="2"/>
  <c r="R747" i="2"/>
  <c r="P747" i="2"/>
  <c r="Z743" i="2"/>
  <c r="X743" i="2"/>
  <c r="Y743" i="2"/>
  <c r="W743" i="2"/>
  <c r="U743" i="2"/>
  <c r="V743" i="2"/>
  <c r="S743" i="2"/>
  <c r="T743" i="2"/>
  <c r="Q743" i="2"/>
  <c r="P743" i="2"/>
  <c r="R743" i="2"/>
  <c r="N743" i="2"/>
  <c r="O743" i="2"/>
  <c r="Z739" i="2"/>
  <c r="X739" i="2"/>
  <c r="Y739" i="2"/>
  <c r="W739" i="2"/>
  <c r="U739" i="2"/>
  <c r="V739" i="2"/>
  <c r="S739" i="2"/>
  <c r="T739" i="2"/>
  <c r="Q739" i="2"/>
  <c r="R739" i="2"/>
  <c r="O739" i="2"/>
  <c r="N739" i="2"/>
  <c r="P739" i="2"/>
  <c r="Z735" i="2"/>
  <c r="Y735" i="2"/>
  <c r="X735" i="2"/>
  <c r="W735" i="2"/>
  <c r="U735" i="2"/>
  <c r="V735" i="2"/>
  <c r="S735" i="2"/>
  <c r="T735" i="2"/>
  <c r="Q735" i="2"/>
  <c r="P735" i="2"/>
  <c r="R735" i="2"/>
  <c r="N735" i="2"/>
  <c r="O735" i="2"/>
  <c r="Z731" i="2"/>
  <c r="X731" i="2"/>
  <c r="W731" i="2"/>
  <c r="Y731" i="2"/>
  <c r="U731" i="2"/>
  <c r="V731" i="2"/>
  <c r="S731" i="2"/>
  <c r="T731" i="2"/>
  <c r="Q731" i="2"/>
  <c r="O731" i="2"/>
  <c r="R731" i="2"/>
  <c r="P731" i="2"/>
  <c r="N731" i="2"/>
  <c r="Z727" i="2"/>
  <c r="X727" i="2"/>
  <c r="Y727" i="2"/>
  <c r="W727" i="2"/>
  <c r="U727" i="2"/>
  <c r="V727" i="2"/>
  <c r="S727" i="2"/>
  <c r="T727" i="2"/>
  <c r="Q727" i="2"/>
  <c r="P727" i="2"/>
  <c r="R727" i="2"/>
  <c r="N727" i="2"/>
  <c r="O727" i="2"/>
  <c r="Z723" i="2"/>
  <c r="X723" i="2"/>
  <c r="Y723" i="2"/>
  <c r="W723" i="2"/>
  <c r="U723" i="2"/>
  <c r="V723" i="2"/>
  <c r="S723" i="2"/>
  <c r="T723" i="2"/>
  <c r="Q723" i="2"/>
  <c r="R723" i="2"/>
  <c r="O723" i="2"/>
  <c r="N723" i="2"/>
  <c r="P723" i="2"/>
  <c r="Z719" i="2"/>
  <c r="Y719" i="2"/>
  <c r="X719" i="2"/>
  <c r="W719" i="2"/>
  <c r="U719" i="2"/>
  <c r="V719" i="2"/>
  <c r="S719" i="2"/>
  <c r="T719" i="2"/>
  <c r="Q719" i="2"/>
  <c r="P719" i="2"/>
  <c r="N719" i="2"/>
  <c r="R719" i="2"/>
  <c r="O719" i="2"/>
  <c r="Z715" i="2"/>
  <c r="X715" i="2"/>
  <c r="W715" i="2"/>
  <c r="Y715" i="2"/>
  <c r="U715" i="2"/>
  <c r="V715" i="2"/>
  <c r="S715" i="2"/>
  <c r="T715" i="2"/>
  <c r="Q715" i="2"/>
  <c r="O715" i="2"/>
  <c r="N715" i="2"/>
  <c r="R715" i="2"/>
  <c r="P715" i="2"/>
  <c r="Z711" i="2"/>
  <c r="X711" i="2"/>
  <c r="Y711" i="2"/>
  <c r="W711" i="2"/>
  <c r="U711" i="2"/>
  <c r="V711" i="2"/>
  <c r="S711" i="2"/>
  <c r="T711" i="2"/>
  <c r="Q711" i="2"/>
  <c r="P711" i="2"/>
  <c r="R711" i="2"/>
  <c r="N711" i="2"/>
  <c r="O711" i="2"/>
  <c r="Z707" i="2"/>
  <c r="X707" i="2"/>
  <c r="Y707" i="2"/>
  <c r="W707" i="2"/>
  <c r="U707" i="2"/>
  <c r="V707" i="2"/>
  <c r="S707" i="2"/>
  <c r="T707" i="2"/>
  <c r="Q707" i="2"/>
  <c r="R707" i="2"/>
  <c r="O707" i="2"/>
  <c r="N707" i="2"/>
  <c r="P707" i="2"/>
  <c r="Z703" i="2"/>
  <c r="Y703" i="2"/>
  <c r="X703" i="2"/>
  <c r="W703" i="2"/>
  <c r="U703" i="2"/>
  <c r="V703" i="2"/>
  <c r="S703" i="2"/>
  <c r="T703" i="2"/>
  <c r="Q703" i="2"/>
  <c r="P703" i="2"/>
  <c r="R703" i="2"/>
  <c r="N703" i="2"/>
  <c r="O703" i="2"/>
  <c r="Z699" i="2"/>
  <c r="X699" i="2"/>
  <c r="Y699" i="2"/>
  <c r="W699" i="2"/>
  <c r="U699" i="2"/>
  <c r="V699" i="2"/>
  <c r="S699" i="2"/>
  <c r="T699" i="2"/>
  <c r="Q699" i="2"/>
  <c r="O699" i="2"/>
  <c r="R699" i="2"/>
  <c r="P699" i="2"/>
  <c r="N699" i="2"/>
  <c r="Z695" i="2"/>
  <c r="X695" i="2"/>
  <c r="Y695" i="2"/>
  <c r="W695" i="2"/>
  <c r="U695" i="2"/>
  <c r="V695" i="2"/>
  <c r="S695" i="2"/>
  <c r="T695" i="2"/>
  <c r="Q695" i="2"/>
  <c r="P695" i="2"/>
  <c r="R695" i="2"/>
  <c r="N695" i="2"/>
  <c r="O695" i="2"/>
  <c r="Z691" i="2"/>
  <c r="X691" i="2"/>
  <c r="Y691" i="2"/>
  <c r="W691" i="2"/>
  <c r="U691" i="2"/>
  <c r="V691" i="2"/>
  <c r="S691" i="2"/>
  <c r="T691" i="2"/>
  <c r="Q691" i="2"/>
  <c r="R691" i="2"/>
  <c r="O691" i="2"/>
  <c r="N691" i="2"/>
  <c r="P691" i="2"/>
  <c r="Z687" i="2"/>
  <c r="Y687" i="2"/>
  <c r="X687" i="2"/>
  <c r="W687" i="2"/>
  <c r="U687" i="2"/>
  <c r="V687" i="2"/>
  <c r="S687" i="2"/>
  <c r="T687" i="2"/>
  <c r="Q687" i="2"/>
  <c r="P687" i="2"/>
  <c r="N687" i="2"/>
  <c r="R687" i="2"/>
  <c r="O687" i="2"/>
  <c r="Z683" i="2"/>
  <c r="X683" i="2"/>
  <c r="W683" i="2"/>
  <c r="U683" i="2"/>
  <c r="Y683" i="2"/>
  <c r="V683" i="2"/>
  <c r="S683" i="2"/>
  <c r="T683" i="2"/>
  <c r="Q683" i="2"/>
  <c r="O683" i="2"/>
  <c r="N683" i="2"/>
  <c r="R683" i="2"/>
  <c r="P683" i="2"/>
  <c r="Z679" i="2"/>
  <c r="X679" i="2"/>
  <c r="Y679" i="2"/>
  <c r="W679" i="2"/>
  <c r="U679" i="2"/>
  <c r="V679" i="2"/>
  <c r="S679" i="2"/>
  <c r="T679" i="2"/>
  <c r="Q679" i="2"/>
  <c r="P679" i="2"/>
  <c r="R679" i="2"/>
  <c r="N679" i="2"/>
  <c r="O679" i="2"/>
  <c r="Z675" i="2"/>
  <c r="X675" i="2"/>
  <c r="Y675" i="2"/>
  <c r="W675" i="2"/>
  <c r="U675" i="2"/>
  <c r="V675" i="2"/>
  <c r="S675" i="2"/>
  <c r="T675" i="2"/>
  <c r="Q675" i="2"/>
  <c r="R675" i="2"/>
  <c r="O675" i="2"/>
  <c r="N675" i="2"/>
  <c r="P675" i="2"/>
  <c r="Z671" i="2"/>
  <c r="Y671" i="2"/>
  <c r="X671" i="2"/>
  <c r="W671" i="2"/>
  <c r="U671" i="2"/>
  <c r="V671" i="2"/>
  <c r="S671" i="2"/>
  <c r="T671" i="2"/>
  <c r="Q671" i="2"/>
  <c r="P671" i="2"/>
  <c r="R671" i="2"/>
  <c r="N671" i="2"/>
  <c r="O671" i="2"/>
  <c r="Z667" i="2"/>
  <c r="X667" i="2"/>
  <c r="W667" i="2"/>
  <c r="Y667" i="2"/>
  <c r="U667" i="2"/>
  <c r="V667" i="2"/>
  <c r="S667" i="2"/>
  <c r="T667" i="2"/>
  <c r="Q667" i="2"/>
  <c r="O667" i="2"/>
  <c r="R667" i="2"/>
  <c r="P667" i="2"/>
  <c r="N667" i="2"/>
  <c r="Z663" i="2"/>
  <c r="X663" i="2"/>
  <c r="Y663" i="2"/>
  <c r="W663" i="2"/>
  <c r="U663" i="2"/>
  <c r="V663" i="2"/>
  <c r="S663" i="2"/>
  <c r="T663" i="2"/>
  <c r="Q663" i="2"/>
  <c r="P663" i="2"/>
  <c r="R663" i="2"/>
  <c r="N663" i="2"/>
  <c r="O663" i="2"/>
  <c r="Z659" i="2"/>
  <c r="X659" i="2"/>
  <c r="Y659" i="2"/>
  <c r="W659" i="2"/>
  <c r="U659" i="2"/>
  <c r="V659" i="2"/>
  <c r="S659" i="2"/>
  <c r="T659" i="2"/>
  <c r="Q659" i="2"/>
  <c r="R659" i="2"/>
  <c r="O659" i="2"/>
  <c r="N659" i="2"/>
  <c r="P659" i="2"/>
  <c r="Z655" i="2"/>
  <c r="Y655" i="2"/>
  <c r="X655" i="2"/>
  <c r="W655" i="2"/>
  <c r="U655" i="2"/>
  <c r="V655" i="2"/>
  <c r="S655" i="2"/>
  <c r="T655" i="2"/>
  <c r="Q655" i="2"/>
  <c r="P655" i="2"/>
  <c r="N655" i="2"/>
  <c r="R655" i="2"/>
  <c r="O655" i="2"/>
  <c r="Z651" i="2"/>
  <c r="X651" i="2"/>
  <c r="W651" i="2"/>
  <c r="Y651" i="2"/>
  <c r="U651" i="2"/>
  <c r="V651" i="2"/>
  <c r="S651" i="2"/>
  <c r="T651" i="2"/>
  <c r="Q651" i="2"/>
  <c r="O651" i="2"/>
  <c r="N651" i="2"/>
  <c r="R651" i="2"/>
  <c r="P651" i="2"/>
  <c r="Z647" i="2"/>
  <c r="X647" i="2"/>
  <c r="Y647" i="2"/>
  <c r="W647" i="2"/>
  <c r="U647" i="2"/>
  <c r="V647" i="2"/>
  <c r="S647" i="2"/>
  <c r="T647" i="2"/>
  <c r="Q647" i="2"/>
  <c r="P647" i="2"/>
  <c r="R647" i="2"/>
  <c r="N647" i="2"/>
  <c r="O647" i="2"/>
  <c r="Z643" i="2"/>
  <c r="X643" i="2"/>
  <c r="Y643" i="2"/>
  <c r="W643" i="2"/>
  <c r="U643" i="2"/>
  <c r="V643" i="2"/>
  <c r="S643" i="2"/>
  <c r="T643" i="2"/>
  <c r="Q643" i="2"/>
  <c r="R643" i="2"/>
  <c r="O643" i="2"/>
  <c r="N643" i="2"/>
  <c r="P643" i="2"/>
  <c r="Z639" i="2"/>
  <c r="Y639" i="2"/>
  <c r="X639" i="2"/>
  <c r="W639" i="2"/>
  <c r="U639" i="2"/>
  <c r="V639" i="2"/>
  <c r="S639" i="2"/>
  <c r="T639" i="2"/>
  <c r="Q639" i="2"/>
  <c r="P639" i="2"/>
  <c r="R639" i="2"/>
  <c r="N639" i="2"/>
  <c r="O639" i="2"/>
  <c r="Z635" i="2"/>
  <c r="X635" i="2"/>
  <c r="Y635" i="2"/>
  <c r="W635" i="2"/>
  <c r="U635" i="2"/>
  <c r="V635" i="2"/>
  <c r="S635" i="2"/>
  <c r="T635" i="2"/>
  <c r="Q635" i="2"/>
  <c r="O635" i="2"/>
  <c r="R635" i="2"/>
  <c r="P635" i="2"/>
  <c r="N635" i="2"/>
  <c r="Z631" i="2"/>
  <c r="X631" i="2"/>
  <c r="Y631" i="2"/>
  <c r="W631" i="2"/>
  <c r="U631" i="2"/>
  <c r="V631" i="2"/>
  <c r="S631" i="2"/>
  <c r="T631" i="2"/>
  <c r="Q631" i="2"/>
  <c r="P631" i="2"/>
  <c r="R631" i="2"/>
  <c r="N631" i="2"/>
  <c r="O631" i="2"/>
  <c r="Z627" i="2"/>
  <c r="X627" i="2"/>
  <c r="Y627" i="2"/>
  <c r="W627" i="2"/>
  <c r="U627" i="2"/>
  <c r="V627" i="2"/>
  <c r="S627" i="2"/>
  <c r="T627" i="2"/>
  <c r="Q627" i="2"/>
  <c r="R627" i="2"/>
  <c r="O627" i="2"/>
  <c r="N627" i="2"/>
  <c r="P627" i="2"/>
  <c r="Z623" i="2"/>
  <c r="Y623" i="2"/>
  <c r="X623" i="2"/>
  <c r="W623" i="2"/>
  <c r="U623" i="2"/>
  <c r="V623" i="2"/>
  <c r="S623" i="2"/>
  <c r="T623" i="2"/>
  <c r="Q623" i="2"/>
  <c r="P623" i="2"/>
  <c r="N623" i="2"/>
  <c r="R623" i="2"/>
  <c r="O623" i="2"/>
  <c r="Z619" i="2"/>
  <c r="X619" i="2"/>
  <c r="W619" i="2"/>
  <c r="Y619" i="2"/>
  <c r="U619" i="2"/>
  <c r="V619" i="2"/>
  <c r="S619" i="2"/>
  <c r="T619" i="2"/>
  <c r="Q619" i="2"/>
  <c r="O619" i="2"/>
  <c r="N619" i="2"/>
  <c r="R619" i="2"/>
  <c r="P619" i="2"/>
  <c r="Z615" i="2"/>
  <c r="X615" i="2"/>
  <c r="Y615" i="2"/>
  <c r="W615" i="2"/>
  <c r="U615" i="2"/>
  <c r="V615" i="2"/>
  <c r="S615" i="2"/>
  <c r="T615" i="2"/>
  <c r="Q615" i="2"/>
  <c r="P615" i="2"/>
  <c r="R615" i="2"/>
  <c r="N615" i="2"/>
  <c r="O615" i="2"/>
  <c r="Z611" i="2"/>
  <c r="X611" i="2"/>
  <c r="Y611" i="2"/>
  <c r="W611" i="2"/>
  <c r="U611" i="2"/>
  <c r="V611" i="2"/>
  <c r="S611" i="2"/>
  <c r="T611" i="2"/>
  <c r="Q611" i="2"/>
  <c r="R611" i="2"/>
  <c r="O611" i="2"/>
  <c r="N611" i="2"/>
  <c r="P611" i="2"/>
  <c r="Z607" i="2"/>
  <c r="Y607" i="2"/>
  <c r="X607" i="2"/>
  <c r="W607" i="2"/>
  <c r="U607" i="2"/>
  <c r="V607" i="2"/>
  <c r="S607" i="2"/>
  <c r="T607" i="2"/>
  <c r="Q607" i="2"/>
  <c r="P607" i="2"/>
  <c r="R607" i="2"/>
  <c r="N607" i="2"/>
  <c r="O607" i="2"/>
  <c r="Z603" i="2"/>
  <c r="X603" i="2"/>
  <c r="W603" i="2"/>
  <c r="Y603" i="2"/>
  <c r="U603" i="2"/>
  <c r="V603" i="2"/>
  <c r="S603" i="2"/>
  <c r="T603" i="2"/>
  <c r="Q603" i="2"/>
  <c r="O603" i="2"/>
  <c r="R603" i="2"/>
  <c r="P603" i="2"/>
  <c r="N603" i="2"/>
  <c r="Z599" i="2"/>
  <c r="X599" i="2"/>
  <c r="Y599" i="2"/>
  <c r="W599" i="2"/>
  <c r="U599" i="2"/>
  <c r="V599" i="2"/>
  <c r="S599" i="2"/>
  <c r="T599" i="2"/>
  <c r="Q599" i="2"/>
  <c r="P599" i="2"/>
  <c r="R599" i="2"/>
  <c r="N599" i="2"/>
  <c r="O599" i="2"/>
  <c r="Z595" i="2"/>
  <c r="X595" i="2"/>
  <c r="Y595" i="2"/>
  <c r="W595" i="2"/>
  <c r="U595" i="2"/>
  <c r="V595" i="2"/>
  <c r="S595" i="2"/>
  <c r="T595" i="2"/>
  <c r="Q595" i="2"/>
  <c r="R595" i="2"/>
  <c r="O595" i="2"/>
  <c r="N595" i="2"/>
  <c r="P595" i="2"/>
  <c r="Z591" i="2"/>
  <c r="Y591" i="2"/>
  <c r="X591" i="2"/>
  <c r="W591" i="2"/>
  <c r="U591" i="2"/>
  <c r="V591" i="2"/>
  <c r="S591" i="2"/>
  <c r="T591" i="2"/>
  <c r="Q591" i="2"/>
  <c r="P591" i="2"/>
  <c r="N591" i="2"/>
  <c r="R591" i="2"/>
  <c r="O591" i="2"/>
  <c r="Z587" i="2"/>
  <c r="X587" i="2"/>
  <c r="W587" i="2"/>
  <c r="Y587" i="2"/>
  <c r="U587" i="2"/>
  <c r="V587" i="2"/>
  <c r="S587" i="2"/>
  <c r="T587" i="2"/>
  <c r="Q587" i="2"/>
  <c r="O587" i="2"/>
  <c r="N587" i="2"/>
  <c r="R587" i="2"/>
  <c r="P587" i="2"/>
  <c r="Z583" i="2"/>
  <c r="X583" i="2"/>
  <c r="Y583" i="2"/>
  <c r="W583" i="2"/>
  <c r="U583" i="2"/>
  <c r="V583" i="2"/>
  <c r="S583" i="2"/>
  <c r="T583" i="2"/>
  <c r="Q583" i="2"/>
  <c r="P583" i="2"/>
  <c r="R583" i="2"/>
  <c r="N583" i="2"/>
  <c r="O583" i="2"/>
  <c r="Z579" i="2"/>
  <c r="X579" i="2"/>
  <c r="Y579" i="2"/>
  <c r="W579" i="2"/>
  <c r="U579" i="2"/>
  <c r="V579" i="2"/>
  <c r="S579" i="2"/>
  <c r="T579" i="2"/>
  <c r="Q579" i="2"/>
  <c r="R579" i="2"/>
  <c r="O579" i="2"/>
  <c r="N579" i="2"/>
  <c r="P579" i="2"/>
  <c r="Z575" i="2"/>
  <c r="Y575" i="2"/>
  <c r="X575" i="2"/>
  <c r="W575" i="2"/>
  <c r="U575" i="2"/>
  <c r="V575" i="2"/>
  <c r="S575" i="2"/>
  <c r="T575" i="2"/>
  <c r="Q575" i="2"/>
  <c r="P575" i="2"/>
  <c r="R575" i="2"/>
  <c r="N575" i="2"/>
  <c r="O575" i="2"/>
  <c r="Z571" i="2"/>
  <c r="X571" i="2"/>
  <c r="Y571" i="2"/>
  <c r="W571" i="2"/>
  <c r="U571" i="2"/>
  <c r="V571" i="2"/>
  <c r="S571" i="2"/>
  <c r="T571" i="2"/>
  <c r="Q571" i="2"/>
  <c r="O571" i="2"/>
  <c r="R571" i="2"/>
  <c r="P571" i="2"/>
  <c r="N571" i="2"/>
  <c r="Z567" i="2"/>
  <c r="X567" i="2"/>
  <c r="Y567" i="2"/>
  <c r="W567" i="2"/>
  <c r="U567" i="2"/>
  <c r="V567" i="2"/>
  <c r="S567" i="2"/>
  <c r="T567" i="2"/>
  <c r="Q567" i="2"/>
  <c r="P567" i="2"/>
  <c r="R567" i="2"/>
  <c r="N567" i="2"/>
  <c r="O567" i="2"/>
  <c r="Z563" i="2"/>
  <c r="X563" i="2"/>
  <c r="Y563" i="2"/>
  <c r="W563" i="2"/>
  <c r="U563" i="2"/>
  <c r="V563" i="2"/>
  <c r="S563" i="2"/>
  <c r="T563" i="2"/>
  <c r="Q563" i="2"/>
  <c r="R563" i="2"/>
  <c r="O563" i="2"/>
  <c r="N563" i="2"/>
  <c r="P563" i="2"/>
  <c r="Z559" i="2"/>
  <c r="Y559" i="2"/>
  <c r="X559" i="2"/>
  <c r="W559" i="2"/>
  <c r="U559" i="2"/>
  <c r="V559" i="2"/>
  <c r="S559" i="2"/>
  <c r="T559" i="2"/>
  <c r="Q559" i="2"/>
  <c r="P559" i="2"/>
  <c r="N559" i="2"/>
  <c r="R559" i="2"/>
  <c r="O559" i="2"/>
  <c r="Z555" i="2"/>
  <c r="X555" i="2"/>
  <c r="W555" i="2"/>
  <c r="U555" i="2"/>
  <c r="V555" i="2"/>
  <c r="S555" i="2"/>
  <c r="T555" i="2"/>
  <c r="Y555" i="2"/>
  <c r="Q555" i="2"/>
  <c r="O555" i="2"/>
  <c r="N555" i="2"/>
  <c r="R555" i="2"/>
  <c r="P555" i="2"/>
  <c r="Z551" i="2"/>
  <c r="X551" i="2"/>
  <c r="Y551" i="2"/>
  <c r="W551" i="2"/>
  <c r="U551" i="2"/>
  <c r="V551" i="2"/>
  <c r="S551" i="2"/>
  <c r="T551" i="2"/>
  <c r="Q551" i="2"/>
  <c r="P551" i="2"/>
  <c r="R551" i="2"/>
  <c r="N551" i="2"/>
  <c r="O551" i="2"/>
  <c r="Z547" i="2"/>
  <c r="X547" i="2"/>
  <c r="Y547" i="2"/>
  <c r="W547" i="2"/>
  <c r="U547" i="2"/>
  <c r="V547" i="2"/>
  <c r="S547" i="2"/>
  <c r="Q547" i="2"/>
  <c r="R547" i="2"/>
  <c r="O547" i="2"/>
  <c r="T547" i="2"/>
  <c r="P547" i="2"/>
  <c r="N547" i="2"/>
  <c r="Z543" i="2"/>
  <c r="Y543" i="2"/>
  <c r="X543" i="2"/>
  <c r="W543" i="2"/>
  <c r="U543" i="2"/>
  <c r="V543" i="2"/>
  <c r="T543" i="2"/>
  <c r="S543" i="2"/>
  <c r="Q543" i="2"/>
  <c r="P543" i="2"/>
  <c r="R543" i="2"/>
  <c r="N543" i="2"/>
  <c r="O543" i="2"/>
  <c r="Z539" i="2"/>
  <c r="X539" i="2"/>
  <c r="W539" i="2"/>
  <c r="Y539" i="2"/>
  <c r="U539" i="2"/>
  <c r="V539" i="2"/>
  <c r="S539" i="2"/>
  <c r="T539" i="2"/>
  <c r="Q539" i="2"/>
  <c r="O539" i="2"/>
  <c r="N539" i="2"/>
  <c r="R539" i="2"/>
  <c r="P539" i="2"/>
  <c r="Z535" i="2"/>
  <c r="X535" i="2"/>
  <c r="Y535" i="2"/>
  <c r="W535" i="2"/>
  <c r="U535" i="2"/>
  <c r="V535" i="2"/>
  <c r="S535" i="2"/>
  <c r="T535" i="2"/>
  <c r="Q535" i="2"/>
  <c r="P535" i="2"/>
  <c r="R535" i="2"/>
  <c r="N535" i="2"/>
  <c r="O535" i="2"/>
  <c r="Z531" i="2"/>
  <c r="X531" i="2"/>
  <c r="Y531" i="2"/>
  <c r="W531" i="2"/>
  <c r="U531" i="2"/>
  <c r="V531" i="2"/>
  <c r="S531" i="2"/>
  <c r="T531" i="2"/>
  <c r="Q531" i="2"/>
  <c r="R531" i="2"/>
  <c r="O531" i="2"/>
  <c r="N531" i="2"/>
  <c r="P531" i="2"/>
  <c r="Z527" i="2"/>
  <c r="Y527" i="2"/>
  <c r="X527" i="2"/>
  <c r="W527" i="2"/>
  <c r="U527" i="2"/>
  <c r="V527" i="2"/>
  <c r="T527" i="2"/>
  <c r="S527" i="2"/>
  <c r="Q527" i="2"/>
  <c r="P527" i="2"/>
  <c r="N527" i="2"/>
  <c r="R527" i="2"/>
  <c r="O527" i="2"/>
  <c r="Z523" i="2"/>
  <c r="X523" i="2"/>
  <c r="W523" i="2"/>
  <c r="Y523" i="2"/>
  <c r="U523" i="2"/>
  <c r="V523" i="2"/>
  <c r="S523" i="2"/>
  <c r="T523" i="2"/>
  <c r="Q523" i="2"/>
  <c r="O523" i="2"/>
  <c r="N523" i="2"/>
  <c r="R523" i="2"/>
  <c r="P523" i="2"/>
  <c r="Z519" i="2"/>
  <c r="X519" i="2"/>
  <c r="Y519" i="2"/>
  <c r="W519" i="2"/>
  <c r="U519" i="2"/>
  <c r="V519" i="2"/>
  <c r="S519" i="2"/>
  <c r="T519" i="2"/>
  <c r="Q519" i="2"/>
  <c r="P519" i="2"/>
  <c r="R519" i="2"/>
  <c r="N519" i="2"/>
  <c r="O519" i="2"/>
  <c r="Z515" i="2"/>
  <c r="X515" i="2"/>
  <c r="Y515" i="2"/>
  <c r="W515" i="2"/>
  <c r="U515" i="2"/>
  <c r="V515" i="2"/>
  <c r="S515" i="2"/>
  <c r="T515" i="2"/>
  <c r="Q515" i="2"/>
  <c r="R515" i="2"/>
  <c r="O515" i="2"/>
  <c r="N515" i="2"/>
  <c r="P515" i="2"/>
  <c r="Z511" i="2"/>
  <c r="Y511" i="2"/>
  <c r="X511" i="2"/>
  <c r="W511" i="2"/>
  <c r="U511" i="2"/>
  <c r="V511" i="2"/>
  <c r="T511" i="2"/>
  <c r="S511" i="2"/>
  <c r="Q511" i="2"/>
  <c r="P511" i="2"/>
  <c r="R511" i="2"/>
  <c r="N511" i="2"/>
  <c r="O511" i="2"/>
  <c r="Z507" i="2"/>
  <c r="X507" i="2"/>
  <c r="Y507" i="2"/>
  <c r="W507" i="2"/>
  <c r="U507" i="2"/>
  <c r="V507" i="2"/>
  <c r="S507" i="2"/>
  <c r="T507" i="2"/>
  <c r="Q507" i="2"/>
  <c r="O507" i="2"/>
  <c r="R507" i="2"/>
  <c r="P507" i="2"/>
  <c r="N507" i="2"/>
  <c r="Z503" i="2"/>
  <c r="X503" i="2"/>
  <c r="Y503" i="2"/>
  <c r="W503" i="2"/>
  <c r="U503" i="2"/>
  <c r="V503" i="2"/>
  <c r="S503" i="2"/>
  <c r="T503" i="2"/>
  <c r="Q503" i="2"/>
  <c r="P503" i="2"/>
  <c r="R503" i="2"/>
  <c r="N503" i="2"/>
  <c r="O503" i="2"/>
  <c r="Z499" i="2"/>
  <c r="X499" i="2"/>
  <c r="Y499" i="2"/>
  <c r="W499" i="2"/>
  <c r="U499" i="2"/>
  <c r="V499" i="2"/>
  <c r="S499" i="2"/>
  <c r="Q499" i="2"/>
  <c r="T499" i="2"/>
  <c r="R499" i="2"/>
  <c r="O499" i="2"/>
  <c r="N499" i="2"/>
  <c r="P499" i="2"/>
  <c r="Z495" i="2"/>
  <c r="Y495" i="2"/>
  <c r="X495" i="2"/>
  <c r="W495" i="2"/>
  <c r="U495" i="2"/>
  <c r="V495" i="2"/>
  <c r="T495" i="2"/>
  <c r="S495" i="2"/>
  <c r="Q495" i="2"/>
  <c r="P495" i="2"/>
  <c r="N495" i="2"/>
  <c r="R495" i="2"/>
  <c r="O495" i="2"/>
  <c r="Z491" i="2"/>
  <c r="X491" i="2"/>
  <c r="W491" i="2"/>
  <c r="U491" i="2"/>
  <c r="V491" i="2"/>
  <c r="Y491" i="2"/>
  <c r="S491" i="2"/>
  <c r="T491" i="2"/>
  <c r="Q491" i="2"/>
  <c r="O491" i="2"/>
  <c r="N491" i="2"/>
  <c r="R491" i="2"/>
  <c r="P491" i="2"/>
  <c r="Z487" i="2"/>
  <c r="X487" i="2"/>
  <c r="Y487" i="2"/>
  <c r="W487" i="2"/>
  <c r="U487" i="2"/>
  <c r="V487" i="2"/>
  <c r="S487" i="2"/>
  <c r="T487" i="2"/>
  <c r="Q487" i="2"/>
  <c r="P487" i="2"/>
  <c r="R487" i="2"/>
  <c r="N487" i="2"/>
  <c r="O487" i="2"/>
  <c r="Z483" i="2"/>
  <c r="X483" i="2"/>
  <c r="Y483" i="2"/>
  <c r="W483" i="2"/>
  <c r="U483" i="2"/>
  <c r="V483" i="2"/>
  <c r="S483" i="2"/>
  <c r="Q483" i="2"/>
  <c r="T483" i="2"/>
  <c r="R483" i="2"/>
  <c r="O483" i="2"/>
  <c r="P483" i="2"/>
  <c r="N483" i="2"/>
  <c r="Z479" i="2"/>
  <c r="Y479" i="2"/>
  <c r="X479" i="2"/>
  <c r="W479" i="2"/>
  <c r="U479" i="2"/>
  <c r="V479" i="2"/>
  <c r="T479" i="2"/>
  <c r="S479" i="2"/>
  <c r="Q479" i="2"/>
  <c r="P479" i="2"/>
  <c r="R479" i="2"/>
  <c r="N479" i="2"/>
  <c r="O479" i="2"/>
  <c r="Z475" i="2"/>
  <c r="X475" i="2"/>
  <c r="W475" i="2"/>
  <c r="Y475" i="2"/>
  <c r="U475" i="2"/>
  <c r="V475" i="2"/>
  <c r="S475" i="2"/>
  <c r="T475" i="2"/>
  <c r="Q475" i="2"/>
  <c r="O475" i="2"/>
  <c r="R475" i="2"/>
  <c r="P475" i="2"/>
  <c r="N475" i="2"/>
  <c r="Z471" i="2"/>
  <c r="X471" i="2"/>
  <c r="Y471" i="2"/>
  <c r="W471" i="2"/>
  <c r="U471" i="2"/>
  <c r="V471" i="2"/>
  <c r="S471" i="2"/>
  <c r="T471" i="2"/>
  <c r="Q471" i="2"/>
  <c r="P471" i="2"/>
  <c r="R471" i="2"/>
  <c r="N471" i="2"/>
  <c r="O471" i="2"/>
  <c r="Z467" i="2"/>
  <c r="X467" i="2"/>
  <c r="Y467" i="2"/>
  <c r="W467" i="2"/>
  <c r="U467" i="2"/>
  <c r="V467" i="2"/>
  <c r="S467" i="2"/>
  <c r="T467" i="2"/>
  <c r="Q467" i="2"/>
  <c r="R467" i="2"/>
  <c r="O467" i="2"/>
  <c r="N467" i="2"/>
  <c r="P467" i="2"/>
  <c r="Z463" i="2"/>
  <c r="Y463" i="2"/>
  <c r="X463" i="2"/>
  <c r="W463" i="2"/>
  <c r="U463" i="2"/>
  <c r="V463" i="2"/>
  <c r="T463" i="2"/>
  <c r="S463" i="2"/>
  <c r="Q463" i="2"/>
  <c r="P463" i="2"/>
  <c r="N463" i="2"/>
  <c r="R463" i="2"/>
  <c r="O463" i="2"/>
  <c r="Z459" i="2"/>
  <c r="X459" i="2"/>
  <c r="W459" i="2"/>
  <c r="Y459" i="2"/>
  <c r="U459" i="2"/>
  <c r="V459" i="2"/>
  <c r="S459" i="2"/>
  <c r="T459" i="2"/>
  <c r="Q459" i="2"/>
  <c r="O459" i="2"/>
  <c r="N459" i="2"/>
  <c r="R459" i="2"/>
  <c r="P459" i="2"/>
  <c r="Z455" i="2"/>
  <c r="X455" i="2"/>
  <c r="Y455" i="2"/>
  <c r="W455" i="2"/>
  <c r="U455" i="2"/>
  <c r="V455" i="2"/>
  <c r="S455" i="2"/>
  <c r="T455" i="2"/>
  <c r="Q455" i="2"/>
  <c r="P455" i="2"/>
  <c r="R455" i="2"/>
  <c r="N455" i="2"/>
  <c r="O455" i="2"/>
  <c r="Z451" i="2"/>
  <c r="X451" i="2"/>
  <c r="Y451" i="2"/>
  <c r="W451" i="2"/>
  <c r="U451" i="2"/>
  <c r="V451" i="2"/>
  <c r="S451" i="2"/>
  <c r="T451" i="2"/>
  <c r="Q451" i="2"/>
  <c r="R451" i="2"/>
  <c r="O451" i="2"/>
  <c r="N451" i="2"/>
  <c r="P451" i="2"/>
  <c r="Z447" i="2"/>
  <c r="Y447" i="2"/>
  <c r="X447" i="2"/>
  <c r="W447" i="2"/>
  <c r="U447" i="2"/>
  <c r="V447" i="2"/>
  <c r="T447" i="2"/>
  <c r="S447" i="2"/>
  <c r="Q447" i="2"/>
  <c r="P447" i="2"/>
  <c r="R447" i="2"/>
  <c r="N447" i="2"/>
  <c r="O447" i="2"/>
  <c r="Z443" i="2"/>
  <c r="X443" i="2"/>
  <c r="Y443" i="2"/>
  <c r="W443" i="2"/>
  <c r="U443" i="2"/>
  <c r="V443" i="2"/>
  <c r="S443" i="2"/>
  <c r="T443" i="2"/>
  <c r="Q443" i="2"/>
  <c r="O443" i="2"/>
  <c r="N443" i="2"/>
  <c r="R443" i="2"/>
  <c r="P443" i="2"/>
  <c r="Z439" i="2"/>
  <c r="X439" i="2"/>
  <c r="Y439" i="2"/>
  <c r="W439" i="2"/>
  <c r="U439" i="2"/>
  <c r="V439" i="2"/>
  <c r="S439" i="2"/>
  <c r="T439" i="2"/>
  <c r="Q439" i="2"/>
  <c r="P439" i="2"/>
  <c r="R439" i="2"/>
  <c r="N439" i="2"/>
  <c r="O439" i="2"/>
  <c r="Z435" i="2"/>
  <c r="X435" i="2"/>
  <c r="Y435" i="2"/>
  <c r="W435" i="2"/>
  <c r="U435" i="2"/>
  <c r="V435" i="2"/>
  <c r="S435" i="2"/>
  <c r="Q435" i="2"/>
  <c r="T435" i="2"/>
  <c r="R435" i="2"/>
  <c r="O435" i="2"/>
  <c r="P435" i="2"/>
  <c r="N435" i="2"/>
  <c r="Z431" i="2"/>
  <c r="Y431" i="2"/>
  <c r="X431" i="2"/>
  <c r="W431" i="2"/>
  <c r="U431" i="2"/>
  <c r="V431" i="2"/>
  <c r="T431" i="2"/>
  <c r="S431" i="2"/>
  <c r="Q431" i="2"/>
  <c r="P431" i="2"/>
  <c r="N431" i="2"/>
  <c r="R431" i="2"/>
  <c r="O431" i="2"/>
  <c r="Z427" i="2"/>
  <c r="X427" i="2"/>
  <c r="W427" i="2"/>
  <c r="U427" i="2"/>
  <c r="Y427" i="2"/>
  <c r="V427" i="2"/>
  <c r="S427" i="2"/>
  <c r="T427" i="2"/>
  <c r="Q427" i="2"/>
  <c r="O427" i="2"/>
  <c r="N427" i="2"/>
  <c r="R427" i="2"/>
  <c r="P427" i="2"/>
  <c r="Z423" i="2"/>
  <c r="X423" i="2"/>
  <c r="Y423" i="2"/>
  <c r="W423" i="2"/>
  <c r="U423" i="2"/>
  <c r="V423" i="2"/>
  <c r="S423" i="2"/>
  <c r="T423" i="2"/>
  <c r="Q423" i="2"/>
  <c r="P423" i="2"/>
  <c r="R423" i="2"/>
  <c r="N423" i="2"/>
  <c r="O423" i="2"/>
  <c r="Z419" i="2"/>
  <c r="X419" i="2"/>
  <c r="Y419" i="2"/>
  <c r="W419" i="2"/>
  <c r="U419" i="2"/>
  <c r="V419" i="2"/>
  <c r="S419" i="2"/>
  <c r="Q419" i="2"/>
  <c r="R419" i="2"/>
  <c r="O419" i="2"/>
  <c r="N419" i="2"/>
  <c r="T419" i="2"/>
  <c r="P419" i="2"/>
  <c r="Z415" i="2"/>
  <c r="Y415" i="2"/>
  <c r="X415" i="2"/>
  <c r="W415" i="2"/>
  <c r="U415" i="2"/>
  <c r="V415" i="2"/>
  <c r="T415" i="2"/>
  <c r="S415" i="2"/>
  <c r="Q415" i="2"/>
  <c r="P415" i="2"/>
  <c r="R415" i="2"/>
  <c r="N415" i="2"/>
  <c r="O415" i="2"/>
  <c r="Z411" i="2"/>
  <c r="X411" i="2"/>
  <c r="W411" i="2"/>
  <c r="Y411" i="2"/>
  <c r="U411" i="2"/>
  <c r="V411" i="2"/>
  <c r="S411" i="2"/>
  <c r="T411" i="2"/>
  <c r="Q411" i="2"/>
  <c r="O411" i="2"/>
  <c r="N411" i="2"/>
  <c r="R411" i="2"/>
  <c r="P411" i="2"/>
  <c r="Z407" i="2"/>
  <c r="X407" i="2"/>
  <c r="Y407" i="2"/>
  <c r="W407" i="2"/>
  <c r="U407" i="2"/>
  <c r="V407" i="2"/>
  <c r="S407" i="2"/>
  <c r="T407" i="2"/>
  <c r="Q407" i="2"/>
  <c r="P407" i="2"/>
  <c r="R407" i="2"/>
  <c r="N407" i="2"/>
  <c r="O407" i="2"/>
  <c r="Z403" i="2"/>
  <c r="X403" i="2"/>
  <c r="Y403" i="2"/>
  <c r="W403" i="2"/>
  <c r="U403" i="2"/>
  <c r="V403" i="2"/>
  <c r="S403" i="2"/>
  <c r="T403" i="2"/>
  <c r="Q403" i="2"/>
  <c r="R403" i="2"/>
  <c r="O403" i="2"/>
  <c r="N403" i="2"/>
  <c r="P403" i="2"/>
  <c r="Z399" i="2"/>
  <c r="Y399" i="2"/>
  <c r="X399" i="2"/>
  <c r="W399" i="2"/>
  <c r="U399" i="2"/>
  <c r="V399" i="2"/>
  <c r="T399" i="2"/>
  <c r="S399" i="2"/>
  <c r="Q399" i="2"/>
  <c r="P399" i="2"/>
  <c r="N399" i="2"/>
  <c r="R399" i="2"/>
  <c r="O399" i="2"/>
  <c r="Z395" i="2"/>
  <c r="X395" i="2"/>
  <c r="W395" i="2"/>
  <c r="Y395" i="2"/>
  <c r="U395" i="2"/>
  <c r="V395" i="2"/>
  <c r="S395" i="2"/>
  <c r="T395" i="2"/>
  <c r="Q395" i="2"/>
  <c r="O395" i="2"/>
  <c r="R395" i="2"/>
  <c r="P395" i="2"/>
  <c r="N395" i="2"/>
  <c r="Z391" i="2"/>
  <c r="X391" i="2"/>
  <c r="Y391" i="2"/>
  <c r="W391" i="2"/>
  <c r="U391" i="2"/>
  <c r="V391" i="2"/>
  <c r="S391" i="2"/>
  <c r="T391" i="2"/>
  <c r="Q391" i="2"/>
  <c r="P391" i="2"/>
  <c r="R391" i="2"/>
  <c r="N391" i="2"/>
  <c r="O391" i="2"/>
  <c r="Z387" i="2"/>
  <c r="X387" i="2"/>
  <c r="Y387" i="2"/>
  <c r="W387" i="2"/>
  <c r="U387" i="2"/>
  <c r="V387" i="2"/>
  <c r="S387" i="2"/>
  <c r="T387" i="2"/>
  <c r="Q387" i="2"/>
  <c r="R387" i="2"/>
  <c r="O387" i="2"/>
  <c r="N387" i="2"/>
  <c r="P387" i="2"/>
  <c r="Z383" i="2"/>
  <c r="Y383" i="2"/>
  <c r="X383" i="2"/>
  <c r="W383" i="2"/>
  <c r="U383" i="2"/>
  <c r="V383" i="2"/>
  <c r="T383" i="2"/>
  <c r="S383" i="2"/>
  <c r="Q383" i="2"/>
  <c r="P383" i="2"/>
  <c r="R383" i="2"/>
  <c r="N383" i="2"/>
  <c r="O383" i="2"/>
  <c r="Z379" i="2"/>
  <c r="X379" i="2"/>
  <c r="Y379" i="2"/>
  <c r="W379" i="2"/>
  <c r="U379" i="2"/>
  <c r="V379" i="2"/>
  <c r="S379" i="2"/>
  <c r="T379" i="2"/>
  <c r="Q379" i="2"/>
  <c r="O379" i="2"/>
  <c r="N379" i="2"/>
  <c r="R379" i="2"/>
  <c r="P379" i="2"/>
  <c r="Z375" i="2"/>
  <c r="X375" i="2"/>
  <c r="Y375" i="2"/>
  <c r="W375" i="2"/>
  <c r="U375" i="2"/>
  <c r="V375" i="2"/>
  <c r="S375" i="2"/>
  <c r="T375" i="2"/>
  <c r="Q375" i="2"/>
  <c r="P375" i="2"/>
  <c r="R375" i="2"/>
  <c r="N375" i="2"/>
  <c r="O375" i="2"/>
  <c r="Z371" i="2"/>
  <c r="X371" i="2"/>
  <c r="Y371" i="2"/>
  <c r="W371" i="2"/>
  <c r="U371" i="2"/>
  <c r="V371" i="2"/>
  <c r="S371" i="2"/>
  <c r="Q371" i="2"/>
  <c r="T371" i="2"/>
  <c r="R371" i="2"/>
  <c r="O371" i="2"/>
  <c r="N371" i="2"/>
  <c r="P371" i="2"/>
  <c r="Z367" i="2"/>
  <c r="Y367" i="2"/>
  <c r="X367" i="2"/>
  <c r="W367" i="2"/>
  <c r="U367" i="2"/>
  <c r="V367" i="2"/>
  <c r="T367" i="2"/>
  <c r="S367" i="2"/>
  <c r="Q367" i="2"/>
  <c r="P367" i="2"/>
  <c r="N367" i="2"/>
  <c r="R367" i="2"/>
  <c r="O367" i="2"/>
  <c r="Z363" i="2"/>
  <c r="X363" i="2"/>
  <c r="W363" i="2"/>
  <c r="Y363" i="2"/>
  <c r="U363" i="2"/>
  <c r="V363" i="2"/>
  <c r="S363" i="2"/>
  <c r="T363" i="2"/>
  <c r="Q363" i="2"/>
  <c r="O363" i="2"/>
  <c r="N363" i="2"/>
  <c r="R363" i="2"/>
  <c r="P363" i="2"/>
  <c r="Z359" i="2"/>
  <c r="X359" i="2"/>
  <c r="Y359" i="2"/>
  <c r="W359" i="2"/>
  <c r="U359" i="2"/>
  <c r="V359" i="2"/>
  <c r="S359" i="2"/>
  <c r="T359" i="2"/>
  <c r="Q359" i="2"/>
  <c r="P359" i="2"/>
  <c r="R359" i="2"/>
  <c r="N359" i="2"/>
  <c r="O359" i="2"/>
  <c r="Z355" i="2"/>
  <c r="X355" i="2"/>
  <c r="Y355" i="2"/>
  <c r="W355" i="2"/>
  <c r="U355" i="2"/>
  <c r="V355" i="2"/>
  <c r="S355" i="2"/>
  <c r="Q355" i="2"/>
  <c r="R355" i="2"/>
  <c r="O355" i="2"/>
  <c r="N355" i="2"/>
  <c r="T355" i="2"/>
  <c r="P355" i="2"/>
  <c r="Z351" i="2"/>
  <c r="Y351" i="2"/>
  <c r="X351" i="2"/>
  <c r="W351" i="2"/>
  <c r="U351" i="2"/>
  <c r="V351" i="2"/>
  <c r="T351" i="2"/>
  <c r="S351" i="2"/>
  <c r="Q351" i="2"/>
  <c r="P351" i="2"/>
  <c r="R351" i="2"/>
  <c r="N351" i="2"/>
  <c r="O351" i="2"/>
  <c r="Z347" i="2"/>
  <c r="X347" i="2"/>
  <c r="W347" i="2"/>
  <c r="Y347" i="2"/>
  <c r="U347" i="2"/>
  <c r="V347" i="2"/>
  <c r="S347" i="2"/>
  <c r="T347" i="2"/>
  <c r="Q347" i="2"/>
  <c r="O347" i="2"/>
  <c r="R347" i="2"/>
  <c r="P347" i="2"/>
  <c r="N347" i="2"/>
  <c r="Z343" i="2"/>
  <c r="X343" i="2"/>
  <c r="Y343" i="2"/>
  <c r="W343" i="2"/>
  <c r="U343" i="2"/>
  <c r="V343" i="2"/>
  <c r="S343" i="2"/>
  <c r="T343" i="2"/>
  <c r="R343" i="2"/>
  <c r="Q343" i="2"/>
  <c r="P343" i="2"/>
  <c r="N343" i="2"/>
  <c r="O343" i="2"/>
  <c r="Z339" i="2"/>
  <c r="X339" i="2"/>
  <c r="Y339" i="2"/>
  <c r="W339" i="2"/>
  <c r="U339" i="2"/>
  <c r="V339" i="2"/>
  <c r="S339" i="2"/>
  <c r="T339" i="2"/>
  <c r="R339" i="2"/>
  <c r="Q339" i="2"/>
  <c r="O339" i="2"/>
  <c r="N339" i="2"/>
  <c r="P339" i="2"/>
  <c r="Z335" i="2"/>
  <c r="Y335" i="2"/>
  <c r="X335" i="2"/>
  <c r="W335" i="2"/>
  <c r="U335" i="2"/>
  <c r="V335" i="2"/>
  <c r="T335" i="2"/>
  <c r="S335" i="2"/>
  <c r="Q335" i="2"/>
  <c r="R335" i="2"/>
  <c r="P335" i="2"/>
  <c r="N335" i="2"/>
  <c r="O335" i="2"/>
  <c r="Z331" i="2"/>
  <c r="X331" i="2"/>
  <c r="W331" i="2"/>
  <c r="Y331" i="2"/>
  <c r="U331" i="2"/>
  <c r="V331" i="2"/>
  <c r="S331" i="2"/>
  <c r="T331" i="2"/>
  <c r="R331" i="2"/>
  <c r="Q331" i="2"/>
  <c r="O331" i="2"/>
  <c r="N331" i="2"/>
  <c r="P331" i="2"/>
  <c r="Z327" i="2"/>
  <c r="X327" i="2"/>
  <c r="Y327" i="2"/>
  <c r="W327" i="2"/>
  <c r="U327" i="2"/>
  <c r="V327" i="2"/>
  <c r="S327" i="2"/>
  <c r="T327" i="2"/>
  <c r="Q327" i="2"/>
  <c r="R327" i="2"/>
  <c r="P327" i="2"/>
  <c r="N327" i="2"/>
  <c r="O327" i="2"/>
  <c r="Z323" i="2"/>
  <c r="X323" i="2"/>
  <c r="Y323" i="2"/>
  <c r="W323" i="2"/>
  <c r="U323" i="2"/>
  <c r="V323" i="2"/>
  <c r="S323" i="2"/>
  <c r="R323" i="2"/>
  <c r="T323" i="2"/>
  <c r="Q323" i="2"/>
  <c r="O323" i="2"/>
  <c r="N323" i="2"/>
  <c r="P323" i="2"/>
  <c r="Z319" i="2"/>
  <c r="Y319" i="2"/>
  <c r="X319" i="2"/>
  <c r="W319" i="2"/>
  <c r="U319" i="2"/>
  <c r="V319" i="2"/>
  <c r="T319" i="2"/>
  <c r="S319" i="2"/>
  <c r="Q319" i="2"/>
  <c r="R319" i="2"/>
  <c r="P319" i="2"/>
  <c r="N319" i="2"/>
  <c r="O319" i="2"/>
  <c r="Z315" i="2"/>
  <c r="X315" i="2"/>
  <c r="Y315" i="2"/>
  <c r="W315" i="2"/>
  <c r="U315" i="2"/>
  <c r="V315" i="2"/>
  <c r="S315" i="2"/>
  <c r="T315" i="2"/>
  <c r="R315" i="2"/>
  <c r="Q315" i="2"/>
  <c r="O315" i="2"/>
  <c r="N315" i="2"/>
  <c r="P315" i="2"/>
  <c r="Z311" i="2"/>
  <c r="X311" i="2"/>
  <c r="Y311" i="2"/>
  <c r="W311" i="2"/>
  <c r="U311" i="2"/>
  <c r="V311" i="2"/>
  <c r="S311" i="2"/>
  <c r="T311" i="2"/>
  <c r="Q311" i="2"/>
  <c r="R311" i="2"/>
  <c r="P311" i="2"/>
  <c r="N311" i="2"/>
  <c r="O311" i="2"/>
  <c r="Z307" i="2"/>
  <c r="X307" i="2"/>
  <c r="Y307" i="2"/>
  <c r="W307" i="2"/>
  <c r="U307" i="2"/>
  <c r="V307" i="2"/>
  <c r="S307" i="2"/>
  <c r="R307" i="2"/>
  <c r="Q307" i="2"/>
  <c r="T307" i="2"/>
  <c r="O307" i="2"/>
  <c r="N307" i="2"/>
  <c r="P307" i="2"/>
  <c r="Z303" i="2"/>
  <c r="Y303" i="2"/>
  <c r="X303" i="2"/>
  <c r="W303" i="2"/>
  <c r="U303" i="2"/>
  <c r="V303" i="2"/>
  <c r="T303" i="2"/>
  <c r="S303" i="2"/>
  <c r="Q303" i="2"/>
  <c r="R303" i="2"/>
  <c r="P303" i="2"/>
  <c r="N303" i="2"/>
  <c r="O303" i="2"/>
  <c r="Z299" i="2"/>
  <c r="X299" i="2"/>
  <c r="W299" i="2"/>
  <c r="U299" i="2"/>
  <c r="V299" i="2"/>
  <c r="S299" i="2"/>
  <c r="Y299" i="2"/>
  <c r="T299" i="2"/>
  <c r="R299" i="2"/>
  <c r="Q299" i="2"/>
  <c r="O299" i="2"/>
  <c r="N299" i="2"/>
  <c r="P299" i="2"/>
  <c r="Z295" i="2"/>
  <c r="X295" i="2"/>
  <c r="Y295" i="2"/>
  <c r="W295" i="2"/>
  <c r="U295" i="2"/>
  <c r="V295" i="2"/>
  <c r="S295" i="2"/>
  <c r="T295" i="2"/>
  <c r="Q295" i="2"/>
  <c r="R295" i="2"/>
  <c r="P295" i="2"/>
  <c r="N295" i="2"/>
  <c r="O295" i="2"/>
  <c r="Z291" i="2"/>
  <c r="X291" i="2"/>
  <c r="Y291" i="2"/>
  <c r="W291" i="2"/>
  <c r="U291" i="2"/>
  <c r="V291" i="2"/>
  <c r="S291" i="2"/>
  <c r="R291" i="2"/>
  <c r="Q291" i="2"/>
  <c r="O291" i="2"/>
  <c r="N291" i="2"/>
  <c r="T291" i="2"/>
  <c r="P291" i="2"/>
  <c r="Z287" i="2"/>
  <c r="Y287" i="2"/>
  <c r="X287" i="2"/>
  <c r="W287" i="2"/>
  <c r="U287" i="2"/>
  <c r="V287" i="2"/>
  <c r="T287" i="2"/>
  <c r="S287" i="2"/>
  <c r="Q287" i="2"/>
  <c r="R287" i="2"/>
  <c r="P287" i="2"/>
  <c r="N287" i="2"/>
  <c r="O287" i="2"/>
  <c r="Z283" i="2"/>
  <c r="X283" i="2"/>
  <c r="W283" i="2"/>
  <c r="Y283" i="2"/>
  <c r="U283" i="2"/>
  <c r="V283" i="2"/>
  <c r="S283" i="2"/>
  <c r="T283" i="2"/>
  <c r="R283" i="2"/>
  <c r="Q283" i="2"/>
  <c r="O283" i="2"/>
  <c r="N283" i="2"/>
  <c r="P283" i="2"/>
  <c r="Z279" i="2"/>
  <c r="X279" i="2"/>
  <c r="Y279" i="2"/>
  <c r="W279" i="2"/>
  <c r="U279" i="2"/>
  <c r="V279" i="2"/>
  <c r="S279" i="2"/>
  <c r="T279" i="2"/>
  <c r="Q279" i="2"/>
  <c r="R279" i="2"/>
  <c r="P279" i="2"/>
  <c r="N279" i="2"/>
  <c r="O279" i="2"/>
  <c r="Z275" i="2"/>
  <c r="X275" i="2"/>
  <c r="Y275" i="2"/>
  <c r="W275" i="2"/>
  <c r="U275" i="2"/>
  <c r="V275" i="2"/>
  <c r="S275" i="2"/>
  <c r="T275" i="2"/>
  <c r="R275" i="2"/>
  <c r="Q275" i="2"/>
  <c r="O275" i="2"/>
  <c r="N275" i="2"/>
  <c r="P275" i="2"/>
  <c r="Z271" i="2"/>
  <c r="Y271" i="2"/>
  <c r="X271" i="2"/>
  <c r="W271" i="2"/>
  <c r="U271" i="2"/>
  <c r="V271" i="2"/>
  <c r="T271" i="2"/>
  <c r="S271" i="2"/>
  <c r="Q271" i="2"/>
  <c r="R271" i="2"/>
  <c r="P271" i="2"/>
  <c r="N271" i="2"/>
  <c r="O271" i="2"/>
  <c r="Z267" i="2"/>
  <c r="X267" i="2"/>
  <c r="W267" i="2"/>
  <c r="Y267" i="2"/>
  <c r="U267" i="2"/>
  <c r="V267" i="2"/>
  <c r="S267" i="2"/>
  <c r="T267" i="2"/>
  <c r="R267" i="2"/>
  <c r="Q267" i="2"/>
  <c r="O267" i="2"/>
  <c r="N267" i="2"/>
  <c r="P267" i="2"/>
  <c r="Z263" i="2"/>
  <c r="X263" i="2"/>
  <c r="Y263" i="2"/>
  <c r="W263" i="2"/>
  <c r="U263" i="2"/>
  <c r="V263" i="2"/>
  <c r="S263" i="2"/>
  <c r="T263" i="2"/>
  <c r="Q263" i="2"/>
  <c r="R263" i="2"/>
  <c r="P263" i="2"/>
  <c r="N263" i="2"/>
  <c r="O263" i="2"/>
  <c r="Z259" i="2"/>
  <c r="X259" i="2"/>
  <c r="Y259" i="2"/>
  <c r="W259" i="2"/>
  <c r="U259" i="2"/>
  <c r="V259" i="2"/>
  <c r="S259" i="2"/>
  <c r="R259" i="2"/>
  <c r="T259" i="2"/>
  <c r="Q259" i="2"/>
  <c r="O259" i="2"/>
  <c r="N259" i="2"/>
  <c r="P259" i="2"/>
  <c r="Z255" i="2"/>
  <c r="Y255" i="2"/>
  <c r="X255" i="2"/>
  <c r="W255" i="2"/>
  <c r="U255" i="2"/>
  <c r="V255" i="2"/>
  <c r="T255" i="2"/>
  <c r="S255" i="2"/>
  <c r="Q255" i="2"/>
  <c r="R255" i="2"/>
  <c r="P255" i="2"/>
  <c r="N255" i="2"/>
  <c r="O255" i="2"/>
  <c r="Z251" i="2"/>
  <c r="X251" i="2"/>
  <c r="Y251" i="2"/>
  <c r="W251" i="2"/>
  <c r="U251" i="2"/>
  <c r="V251" i="2"/>
  <c r="S251" i="2"/>
  <c r="T251" i="2"/>
  <c r="R251" i="2"/>
  <c r="Q251" i="2"/>
  <c r="O251" i="2"/>
  <c r="P251" i="2"/>
  <c r="N251" i="2"/>
  <c r="Z247" i="2"/>
  <c r="X247" i="2"/>
  <c r="Y247" i="2"/>
  <c r="W247" i="2"/>
  <c r="U247" i="2"/>
  <c r="V247" i="2"/>
  <c r="S247" i="2"/>
  <c r="T247" i="2"/>
  <c r="Q247" i="2"/>
  <c r="R247" i="2"/>
  <c r="P247" i="2"/>
  <c r="N247" i="2"/>
  <c r="O247" i="2"/>
  <c r="Z243" i="2"/>
  <c r="X243" i="2"/>
  <c r="Y243" i="2"/>
  <c r="W243" i="2"/>
  <c r="U243" i="2"/>
  <c r="V243" i="2"/>
  <c r="S243" i="2"/>
  <c r="R243" i="2"/>
  <c r="Q243" i="2"/>
  <c r="T243" i="2"/>
  <c r="P243" i="2"/>
  <c r="O243" i="2"/>
  <c r="N243" i="2"/>
  <c r="Z239" i="2"/>
  <c r="Y239" i="2"/>
  <c r="X239" i="2"/>
  <c r="W239" i="2"/>
  <c r="U239" i="2"/>
  <c r="V239" i="2"/>
  <c r="T239" i="2"/>
  <c r="S239" i="2"/>
  <c r="Q239" i="2"/>
  <c r="R239" i="2"/>
  <c r="P239" i="2"/>
  <c r="N239" i="2"/>
  <c r="O239" i="2"/>
  <c r="Z235" i="2"/>
  <c r="X235" i="2"/>
  <c r="W235" i="2"/>
  <c r="U235" i="2"/>
  <c r="V235" i="2"/>
  <c r="Y235" i="2"/>
  <c r="S235" i="2"/>
  <c r="T235" i="2"/>
  <c r="R235" i="2"/>
  <c r="Q235" i="2"/>
  <c r="O235" i="2"/>
  <c r="N235" i="2"/>
  <c r="P235" i="2"/>
  <c r="Z231" i="2"/>
  <c r="X231" i="2"/>
  <c r="Y231" i="2"/>
  <c r="W231" i="2"/>
  <c r="U231" i="2"/>
  <c r="V231" i="2"/>
  <c r="S231" i="2"/>
  <c r="T231" i="2"/>
  <c r="Q231" i="2"/>
  <c r="R231" i="2"/>
  <c r="P231" i="2"/>
  <c r="N231" i="2"/>
  <c r="O231" i="2"/>
  <c r="Z227" i="2"/>
  <c r="X227" i="2"/>
  <c r="Y227" i="2"/>
  <c r="W227" i="2"/>
  <c r="U227" i="2"/>
  <c r="V227" i="2"/>
  <c r="S227" i="2"/>
  <c r="R227" i="2"/>
  <c r="Q227" i="2"/>
  <c r="T227" i="2"/>
  <c r="P227" i="2"/>
  <c r="O227" i="2"/>
  <c r="N227" i="2"/>
  <c r="Z223" i="2"/>
  <c r="Y223" i="2"/>
  <c r="X223" i="2"/>
  <c r="W223" i="2"/>
  <c r="U223" i="2"/>
  <c r="V223" i="2"/>
  <c r="T223" i="2"/>
  <c r="S223" i="2"/>
  <c r="Q223" i="2"/>
  <c r="R223" i="2"/>
  <c r="N223" i="2"/>
  <c r="P223" i="2"/>
  <c r="O223" i="2"/>
  <c r="Z219" i="2"/>
  <c r="X219" i="2"/>
  <c r="W219" i="2"/>
  <c r="Y219" i="2"/>
  <c r="U219" i="2"/>
  <c r="V219" i="2"/>
  <c r="S219" i="2"/>
  <c r="T219" i="2"/>
  <c r="R219" i="2"/>
  <c r="Q219" i="2"/>
  <c r="O219" i="2"/>
  <c r="N219" i="2"/>
  <c r="P219" i="2"/>
  <c r="Z215" i="2"/>
  <c r="X215" i="2"/>
  <c r="Y215" i="2"/>
  <c r="W215" i="2"/>
  <c r="U215" i="2"/>
  <c r="V215" i="2"/>
  <c r="S215" i="2"/>
  <c r="T215" i="2"/>
  <c r="Q215" i="2"/>
  <c r="R215" i="2"/>
  <c r="P215" i="2"/>
  <c r="N215" i="2"/>
  <c r="O215" i="2"/>
  <c r="Z211" i="2"/>
  <c r="X211" i="2"/>
  <c r="Y211" i="2"/>
  <c r="W211" i="2"/>
  <c r="U211" i="2"/>
  <c r="V211" i="2"/>
  <c r="S211" i="2"/>
  <c r="T211" i="2"/>
  <c r="R211" i="2"/>
  <c r="Q211" i="2"/>
  <c r="P211" i="2"/>
  <c r="O211" i="2"/>
  <c r="N211" i="2"/>
  <c r="Z207" i="2"/>
  <c r="Y207" i="2"/>
  <c r="X207" i="2"/>
  <c r="W207" i="2"/>
  <c r="U207" i="2"/>
  <c r="V207" i="2"/>
  <c r="T207" i="2"/>
  <c r="S207" i="2"/>
  <c r="Q207" i="2"/>
  <c r="R207" i="2"/>
  <c r="P207" i="2"/>
  <c r="N207" i="2"/>
  <c r="O207" i="2"/>
  <c r="Z203" i="2"/>
  <c r="X203" i="2"/>
  <c r="W203" i="2"/>
  <c r="Y203" i="2"/>
  <c r="U203" i="2"/>
  <c r="V203" i="2"/>
  <c r="S203" i="2"/>
  <c r="T203" i="2"/>
  <c r="R203" i="2"/>
  <c r="Q203" i="2"/>
  <c r="O203" i="2"/>
  <c r="N203" i="2"/>
  <c r="P203" i="2"/>
  <c r="Z199" i="2"/>
  <c r="X199" i="2"/>
  <c r="Y199" i="2"/>
  <c r="W199" i="2"/>
  <c r="U199" i="2"/>
  <c r="S199" i="2"/>
  <c r="V199" i="2"/>
  <c r="T199" i="2"/>
  <c r="Q199" i="2"/>
  <c r="R199" i="2"/>
  <c r="P199" i="2"/>
  <c r="N199" i="2"/>
  <c r="O199" i="2"/>
  <c r="Z195" i="2"/>
  <c r="X195" i="2"/>
  <c r="Y195" i="2"/>
  <c r="W195" i="2"/>
  <c r="U195" i="2"/>
  <c r="V195" i="2"/>
  <c r="S195" i="2"/>
  <c r="R195" i="2"/>
  <c r="T195" i="2"/>
  <c r="Q195" i="2"/>
  <c r="P195" i="2"/>
  <c r="O195" i="2"/>
  <c r="N195" i="2"/>
  <c r="Z191" i="2"/>
  <c r="Y191" i="2"/>
  <c r="X191" i="2"/>
  <c r="W191" i="2"/>
  <c r="U191" i="2"/>
  <c r="V191" i="2"/>
  <c r="T191" i="2"/>
  <c r="S191" i="2"/>
  <c r="Q191" i="2"/>
  <c r="R191" i="2"/>
  <c r="N191" i="2"/>
  <c r="P191" i="2"/>
  <c r="O191" i="2"/>
  <c r="Z187" i="2"/>
  <c r="X187" i="2"/>
  <c r="Y187" i="2"/>
  <c r="W187" i="2"/>
  <c r="U187" i="2"/>
  <c r="V187" i="2"/>
  <c r="S187" i="2"/>
  <c r="T187" i="2"/>
  <c r="R187" i="2"/>
  <c r="Q187" i="2"/>
  <c r="O187" i="2"/>
  <c r="N187" i="2"/>
  <c r="P187" i="2"/>
  <c r="Z183" i="2"/>
  <c r="X183" i="2"/>
  <c r="Y183" i="2"/>
  <c r="W183" i="2"/>
  <c r="U183" i="2"/>
  <c r="S183" i="2"/>
  <c r="T183" i="2"/>
  <c r="Q183" i="2"/>
  <c r="R183" i="2"/>
  <c r="V183" i="2"/>
  <c r="P183" i="2"/>
  <c r="N183" i="2"/>
  <c r="O183" i="2"/>
  <c r="Z179" i="2"/>
  <c r="X179" i="2"/>
  <c r="Y179" i="2"/>
  <c r="W179" i="2"/>
  <c r="U179" i="2"/>
  <c r="V179" i="2"/>
  <c r="S179" i="2"/>
  <c r="R179" i="2"/>
  <c r="Q179" i="2"/>
  <c r="T179" i="2"/>
  <c r="P179" i="2"/>
  <c r="O179" i="2"/>
  <c r="N179" i="2"/>
  <c r="Z175" i="2"/>
  <c r="Y175" i="2"/>
  <c r="X175" i="2"/>
  <c r="W175" i="2"/>
  <c r="U175" i="2"/>
  <c r="T175" i="2"/>
  <c r="S175" i="2"/>
  <c r="V175" i="2"/>
  <c r="Q175" i="2"/>
  <c r="R175" i="2"/>
  <c r="P175" i="2"/>
  <c r="N175" i="2"/>
  <c r="O175" i="2"/>
  <c r="Z171" i="2"/>
  <c r="X171" i="2"/>
  <c r="U171" i="2"/>
  <c r="Y171" i="2"/>
  <c r="W171" i="2"/>
  <c r="V171" i="2"/>
  <c r="S171" i="2"/>
  <c r="T171" i="2"/>
  <c r="R171" i="2"/>
  <c r="Q171" i="2"/>
  <c r="O171" i="2"/>
  <c r="N171" i="2"/>
  <c r="P171" i="2"/>
  <c r="Z167" i="2"/>
  <c r="X167" i="2"/>
  <c r="Y167" i="2"/>
  <c r="W167" i="2"/>
  <c r="U167" i="2"/>
  <c r="S167" i="2"/>
  <c r="V167" i="2"/>
  <c r="T167" i="2"/>
  <c r="Q167" i="2"/>
  <c r="R167" i="2"/>
  <c r="P167" i="2"/>
  <c r="N167" i="2"/>
  <c r="O167" i="2"/>
  <c r="Z163" i="2"/>
  <c r="X163" i="2"/>
  <c r="Y163" i="2"/>
  <c r="W163" i="2"/>
  <c r="U163" i="2"/>
  <c r="V163" i="2"/>
  <c r="S163" i="2"/>
  <c r="R163" i="2"/>
  <c r="Q163" i="2"/>
  <c r="P163" i="2"/>
  <c r="O163" i="2"/>
  <c r="T163" i="2"/>
  <c r="N163" i="2"/>
  <c r="Z159" i="2"/>
  <c r="X159" i="2"/>
  <c r="Y159" i="2"/>
  <c r="W159" i="2"/>
  <c r="U159" i="2"/>
  <c r="V159" i="2"/>
  <c r="T159" i="2"/>
  <c r="S159" i="2"/>
  <c r="Q159" i="2"/>
  <c r="R159" i="2"/>
  <c r="N159" i="2"/>
  <c r="P159" i="2"/>
  <c r="O159" i="2"/>
  <c r="Z155" i="2"/>
  <c r="X155" i="2"/>
  <c r="Y155" i="2"/>
  <c r="W155" i="2"/>
  <c r="U155" i="2"/>
  <c r="V155" i="2"/>
  <c r="S155" i="2"/>
  <c r="T155" i="2"/>
  <c r="R155" i="2"/>
  <c r="Q155" i="2"/>
  <c r="O155" i="2"/>
  <c r="N155" i="2"/>
  <c r="P155" i="2"/>
  <c r="Z151" i="2"/>
  <c r="X151" i="2"/>
  <c r="Y151" i="2"/>
  <c r="W151" i="2"/>
  <c r="U151" i="2"/>
  <c r="S151" i="2"/>
  <c r="T151" i="2"/>
  <c r="Q151" i="2"/>
  <c r="V151" i="2"/>
  <c r="R151" i="2"/>
  <c r="P151" i="2"/>
  <c r="N151" i="2"/>
  <c r="O151" i="2"/>
  <c r="Z147" i="2"/>
  <c r="X147" i="2"/>
  <c r="Y147" i="2"/>
  <c r="U147" i="2"/>
  <c r="V147" i="2"/>
  <c r="W147" i="2"/>
  <c r="S147" i="2"/>
  <c r="T147" i="2"/>
  <c r="R147" i="2"/>
  <c r="Q147" i="2"/>
  <c r="P147" i="2"/>
  <c r="O147" i="2"/>
  <c r="N147" i="2"/>
  <c r="Z143" i="2"/>
  <c r="X143" i="2"/>
  <c r="Y143" i="2"/>
  <c r="W143" i="2"/>
  <c r="U143" i="2"/>
  <c r="T143" i="2"/>
  <c r="S143" i="2"/>
  <c r="V143" i="2"/>
  <c r="Q143" i="2"/>
  <c r="R143" i="2"/>
  <c r="P143" i="2"/>
  <c r="N143" i="2"/>
  <c r="O143" i="2"/>
  <c r="Z139" i="2"/>
  <c r="X139" i="2"/>
  <c r="Y139" i="2"/>
  <c r="W139" i="2"/>
  <c r="U139" i="2"/>
  <c r="V139" i="2"/>
  <c r="S139" i="2"/>
  <c r="T139" i="2"/>
  <c r="R139" i="2"/>
  <c r="Q139" i="2"/>
  <c r="O139" i="2"/>
  <c r="N139" i="2"/>
  <c r="P139" i="2"/>
  <c r="Z135" i="2"/>
  <c r="X135" i="2"/>
  <c r="Y135" i="2"/>
  <c r="W135" i="2"/>
  <c r="U135" i="2"/>
  <c r="S135" i="2"/>
  <c r="V135" i="2"/>
  <c r="T135" i="2"/>
  <c r="Q135" i="2"/>
  <c r="R135" i="2"/>
  <c r="P135" i="2"/>
  <c r="N135" i="2"/>
  <c r="O135" i="2"/>
  <c r="Z131" i="2"/>
  <c r="X131" i="2"/>
  <c r="Y131" i="2"/>
  <c r="U131" i="2"/>
  <c r="W131" i="2"/>
  <c r="V131" i="2"/>
  <c r="S131" i="2"/>
  <c r="R131" i="2"/>
  <c r="T131" i="2"/>
  <c r="Q131" i="2"/>
  <c r="P131" i="2"/>
  <c r="O131" i="2"/>
  <c r="N131" i="2"/>
  <c r="Z127" i="2"/>
  <c r="X127" i="2"/>
  <c r="Y127" i="2"/>
  <c r="W127" i="2"/>
  <c r="U127" i="2"/>
  <c r="V127" i="2"/>
  <c r="T127" i="2"/>
  <c r="S127" i="2"/>
  <c r="Q127" i="2"/>
  <c r="R127" i="2"/>
  <c r="N127" i="2"/>
  <c r="P127" i="2"/>
  <c r="O127" i="2"/>
  <c r="Z123" i="2"/>
  <c r="X123" i="2"/>
  <c r="Y123" i="2"/>
  <c r="W123" i="2"/>
  <c r="U123" i="2"/>
  <c r="V123" i="2"/>
  <c r="S123" i="2"/>
  <c r="T123" i="2"/>
  <c r="R123" i="2"/>
  <c r="Q123" i="2"/>
  <c r="O123" i="2"/>
  <c r="N123" i="2"/>
  <c r="P123" i="2"/>
  <c r="Z119" i="2"/>
  <c r="X119" i="2"/>
  <c r="Y119" i="2"/>
  <c r="W119" i="2"/>
  <c r="U119" i="2"/>
  <c r="S119" i="2"/>
  <c r="T119" i="2"/>
  <c r="V119" i="2"/>
  <c r="Q119" i="2"/>
  <c r="R119" i="2"/>
  <c r="P119" i="2"/>
  <c r="N119" i="2"/>
  <c r="O119" i="2"/>
  <c r="Z115" i="2"/>
  <c r="X115" i="2"/>
  <c r="Y115" i="2"/>
  <c r="W115" i="2"/>
  <c r="U115" i="2"/>
  <c r="V115" i="2"/>
  <c r="S115" i="2"/>
  <c r="R115" i="2"/>
  <c r="Q115" i="2"/>
  <c r="T115" i="2"/>
  <c r="P115" i="2"/>
  <c r="O115" i="2"/>
  <c r="N115" i="2"/>
  <c r="Z111" i="2"/>
  <c r="X111" i="2"/>
  <c r="Y111" i="2"/>
  <c r="W111" i="2"/>
  <c r="U111" i="2"/>
  <c r="S111" i="2"/>
  <c r="T111" i="2"/>
  <c r="V111" i="2"/>
  <c r="Q111" i="2"/>
  <c r="R111" i="2"/>
  <c r="P111" i="2"/>
  <c r="N111" i="2"/>
  <c r="O111" i="2"/>
  <c r="Z107" i="2"/>
  <c r="X107" i="2"/>
  <c r="W107" i="2"/>
  <c r="Y107" i="2"/>
  <c r="U107" i="2"/>
  <c r="V107" i="2"/>
  <c r="S107" i="2"/>
  <c r="R107" i="2"/>
  <c r="T107" i="2"/>
  <c r="Q107" i="2"/>
  <c r="O107" i="2"/>
  <c r="N107" i="2"/>
  <c r="P107" i="2"/>
  <c r="Z103" i="2"/>
  <c r="X103" i="2"/>
  <c r="Y103" i="2"/>
  <c r="W103" i="2"/>
  <c r="U103" i="2"/>
  <c r="S103" i="2"/>
  <c r="V103" i="2"/>
  <c r="T103" i="2"/>
  <c r="Q103" i="2"/>
  <c r="R103" i="2"/>
  <c r="P103" i="2"/>
  <c r="N103" i="2"/>
  <c r="O103" i="2"/>
  <c r="Z99" i="2"/>
  <c r="X99" i="2"/>
  <c r="Y99" i="2"/>
  <c r="U99" i="2"/>
  <c r="V99" i="2"/>
  <c r="S99" i="2"/>
  <c r="W99" i="2"/>
  <c r="T99" i="2"/>
  <c r="R99" i="2"/>
  <c r="Q99" i="2"/>
  <c r="P99" i="2"/>
  <c r="O99" i="2"/>
  <c r="N99" i="2"/>
  <c r="Z95" i="2"/>
  <c r="X95" i="2"/>
  <c r="Y95" i="2"/>
  <c r="W95" i="2"/>
  <c r="U95" i="2"/>
  <c r="V95" i="2"/>
  <c r="S95" i="2"/>
  <c r="T95" i="2"/>
  <c r="Q95" i="2"/>
  <c r="R95" i="2"/>
  <c r="N95" i="2"/>
  <c r="P95" i="2"/>
  <c r="O95" i="2"/>
  <c r="Z91" i="2"/>
  <c r="X91" i="2"/>
  <c r="W91" i="2"/>
  <c r="Y91" i="2"/>
  <c r="U91" i="2"/>
  <c r="V91" i="2"/>
  <c r="S91" i="2"/>
  <c r="R91" i="2"/>
  <c r="Q91" i="2"/>
  <c r="O91" i="2"/>
  <c r="N91" i="2"/>
  <c r="T91" i="2"/>
  <c r="P91" i="2"/>
  <c r="Z87" i="2"/>
  <c r="X87" i="2"/>
  <c r="Y87" i="2"/>
  <c r="W87" i="2"/>
  <c r="U87" i="2"/>
  <c r="S87" i="2"/>
  <c r="T87" i="2"/>
  <c r="V87" i="2"/>
  <c r="Q87" i="2"/>
  <c r="R87" i="2"/>
  <c r="P87" i="2"/>
  <c r="N87" i="2"/>
  <c r="O87" i="2"/>
  <c r="Z83" i="2"/>
  <c r="X83" i="2"/>
  <c r="Y83" i="2"/>
  <c r="U83" i="2"/>
  <c r="V83" i="2"/>
  <c r="W83" i="2"/>
  <c r="S83" i="2"/>
  <c r="R83" i="2"/>
  <c r="Q83" i="2"/>
  <c r="T83" i="2"/>
  <c r="P83" i="2"/>
  <c r="O83" i="2"/>
  <c r="N83" i="2"/>
  <c r="Z79" i="2"/>
  <c r="X79" i="2"/>
  <c r="Y79" i="2"/>
  <c r="W79" i="2"/>
  <c r="U79" i="2"/>
  <c r="S79" i="2"/>
  <c r="T79" i="2"/>
  <c r="V79" i="2"/>
  <c r="Q79" i="2"/>
  <c r="R79" i="2"/>
  <c r="P79" i="2"/>
  <c r="N79" i="2"/>
  <c r="O79" i="2"/>
  <c r="Z75" i="2"/>
  <c r="X75" i="2"/>
  <c r="Y75" i="2"/>
  <c r="W75" i="2"/>
  <c r="U75" i="2"/>
  <c r="V75" i="2"/>
  <c r="S75" i="2"/>
  <c r="R75" i="2"/>
  <c r="T75" i="2"/>
  <c r="Q75" i="2"/>
  <c r="O75" i="2"/>
  <c r="N75" i="2"/>
  <c r="P75" i="2"/>
  <c r="Z71" i="2"/>
  <c r="X71" i="2"/>
  <c r="Y71" i="2"/>
  <c r="W71" i="2"/>
  <c r="U71" i="2"/>
  <c r="S71" i="2"/>
  <c r="V71" i="2"/>
  <c r="T71" i="2"/>
  <c r="Q71" i="2"/>
  <c r="R71" i="2"/>
  <c r="P71" i="2"/>
  <c r="N71" i="2"/>
  <c r="O71" i="2"/>
  <c r="Z67" i="2"/>
  <c r="X67" i="2"/>
  <c r="Y67" i="2"/>
  <c r="U67" i="2"/>
  <c r="W67" i="2"/>
  <c r="V67" i="2"/>
  <c r="S67" i="2"/>
  <c r="T67" i="2"/>
  <c r="R67" i="2"/>
  <c r="Q67" i="2"/>
  <c r="P67" i="2"/>
  <c r="O67" i="2"/>
  <c r="N67" i="2"/>
  <c r="Z63" i="2"/>
  <c r="X63" i="2"/>
  <c r="Y63" i="2"/>
  <c r="W63" i="2"/>
  <c r="U63" i="2"/>
  <c r="V63" i="2"/>
  <c r="S63" i="2"/>
  <c r="T63" i="2"/>
  <c r="Q63" i="2"/>
  <c r="R63" i="2"/>
  <c r="N63" i="2"/>
  <c r="P63" i="2"/>
  <c r="O63" i="2"/>
  <c r="Z59" i="2"/>
  <c r="X59" i="2"/>
  <c r="Y59" i="2"/>
  <c r="W59" i="2"/>
  <c r="U59" i="2"/>
  <c r="V59" i="2"/>
  <c r="S59" i="2"/>
  <c r="R59" i="2"/>
  <c r="Q59" i="2"/>
  <c r="O59" i="2"/>
  <c r="N59" i="2"/>
  <c r="T59" i="2"/>
  <c r="P59" i="2"/>
  <c r="Z55" i="2"/>
  <c r="X55" i="2"/>
  <c r="Y55" i="2"/>
  <c r="W55" i="2"/>
  <c r="U55" i="2"/>
  <c r="S55" i="2"/>
  <c r="T55" i="2"/>
  <c r="Q55" i="2"/>
  <c r="R55" i="2"/>
  <c r="V55" i="2"/>
  <c r="P55" i="2"/>
  <c r="N55" i="2"/>
  <c r="O55" i="2"/>
  <c r="Z51" i="2"/>
  <c r="X51" i="2"/>
  <c r="Y51" i="2"/>
  <c r="W51" i="2"/>
  <c r="U51" i="2"/>
  <c r="V51" i="2"/>
  <c r="S51" i="2"/>
  <c r="R51" i="2"/>
  <c r="Q51" i="2"/>
  <c r="T51" i="2"/>
  <c r="P51" i="2"/>
  <c r="O51" i="2"/>
  <c r="N51" i="2"/>
  <c r="Z47" i="2"/>
  <c r="X47" i="2"/>
  <c r="Y47" i="2"/>
  <c r="W47" i="2"/>
  <c r="U47" i="2"/>
  <c r="S47" i="2"/>
  <c r="T47" i="2"/>
  <c r="V47" i="2"/>
  <c r="Q47" i="2"/>
  <c r="R47" i="2"/>
  <c r="P47" i="2"/>
  <c r="N47" i="2"/>
  <c r="O47" i="2"/>
  <c r="Z43" i="2"/>
  <c r="X43" i="2"/>
  <c r="W43" i="2"/>
  <c r="U43" i="2"/>
  <c r="V43" i="2"/>
  <c r="Y43" i="2"/>
  <c r="S43" i="2"/>
  <c r="R43" i="2"/>
  <c r="T43" i="2"/>
  <c r="Q43" i="2"/>
  <c r="O43" i="2"/>
  <c r="N43" i="2"/>
  <c r="P43" i="2"/>
  <c r="Z39" i="2"/>
  <c r="X39" i="2"/>
  <c r="Y39" i="2"/>
  <c r="W39" i="2"/>
  <c r="U39" i="2"/>
  <c r="S39" i="2"/>
  <c r="V39" i="2"/>
  <c r="T39" i="2"/>
  <c r="Q39" i="2"/>
  <c r="R39" i="2"/>
  <c r="P39" i="2"/>
  <c r="N39" i="2"/>
  <c r="O39" i="2"/>
  <c r="Z35" i="2"/>
  <c r="X35" i="2"/>
  <c r="Y35" i="2"/>
  <c r="U35" i="2"/>
  <c r="V35" i="2"/>
  <c r="S35" i="2"/>
  <c r="W35" i="2"/>
  <c r="T35" i="2"/>
  <c r="R35" i="2"/>
  <c r="Q35" i="2"/>
  <c r="P35" i="2"/>
  <c r="O35" i="2"/>
  <c r="N35" i="2"/>
  <c r="Z31" i="2"/>
  <c r="X31" i="2"/>
  <c r="Y31" i="2"/>
  <c r="W31" i="2"/>
  <c r="U31" i="2"/>
  <c r="V31" i="2"/>
  <c r="S31" i="2"/>
  <c r="T31" i="2"/>
  <c r="Q31" i="2"/>
  <c r="R31" i="2"/>
  <c r="N31" i="2"/>
  <c r="P31" i="2"/>
  <c r="O31" i="2"/>
  <c r="Z27" i="2"/>
  <c r="X27" i="2"/>
  <c r="W27" i="2"/>
  <c r="Y27" i="2"/>
  <c r="U27" i="2"/>
  <c r="V27" i="2"/>
  <c r="S27" i="2"/>
  <c r="R27" i="2"/>
  <c r="Q27" i="2"/>
  <c r="T27" i="2"/>
  <c r="O27" i="2"/>
  <c r="N27" i="2"/>
  <c r="P27" i="2"/>
  <c r="Z23" i="2"/>
  <c r="X23" i="2"/>
  <c r="Y23" i="2"/>
  <c r="W23" i="2"/>
  <c r="U23" i="2"/>
  <c r="S23" i="2"/>
  <c r="T23" i="2"/>
  <c r="Q23" i="2"/>
  <c r="V23" i="2"/>
  <c r="R23" i="2"/>
  <c r="P23" i="2"/>
  <c r="N23" i="2"/>
  <c r="O23" i="2"/>
  <c r="Z19" i="2"/>
  <c r="X19" i="2"/>
  <c r="Y19" i="2"/>
  <c r="U19" i="2"/>
  <c r="V19" i="2"/>
  <c r="W19" i="2"/>
  <c r="S19" i="2"/>
  <c r="R19" i="2"/>
  <c r="Q19" i="2"/>
  <c r="T19" i="2"/>
  <c r="P19" i="2"/>
  <c r="O19" i="2"/>
  <c r="N19" i="2"/>
  <c r="Z15" i="2"/>
  <c r="X15" i="2"/>
  <c r="Y15" i="2"/>
  <c r="W15" i="2"/>
  <c r="U15" i="2"/>
  <c r="S15" i="2"/>
  <c r="T15" i="2"/>
  <c r="V15" i="2"/>
  <c r="Q15" i="2"/>
  <c r="R15" i="2"/>
  <c r="P15" i="2"/>
  <c r="N15" i="2"/>
  <c r="O15" i="2"/>
  <c r="Q11" i="2"/>
  <c r="P11" i="2"/>
  <c r="N11" i="2"/>
  <c r="M13" i="2"/>
  <c r="AD13" i="2" s="1"/>
  <c r="M12" i="2"/>
  <c r="AD12" i="2" s="1"/>
  <c r="M8" i="2"/>
  <c r="AD8" i="2" s="1"/>
  <c r="M11" i="2"/>
  <c r="AD11" i="2" s="1"/>
  <c r="M7" i="2"/>
  <c r="AD7" i="2" s="1"/>
  <c r="M9" i="2"/>
  <c r="AD9" i="2" s="1"/>
  <c r="M10" i="2"/>
  <c r="AD10" i="2" s="1"/>
  <c r="M6" i="2"/>
  <c r="O10" i="2"/>
  <c r="Q9" i="2"/>
  <c r="P9" i="2"/>
  <c r="O9" i="2"/>
  <c r="P8" i="2"/>
  <c r="O8" i="2"/>
  <c r="Q8" i="2"/>
  <c r="Q6" i="2"/>
  <c r="P6" i="2"/>
  <c r="O6" i="2"/>
  <c r="O11" i="2"/>
  <c r="O7" i="2"/>
  <c r="P7" i="2"/>
  <c r="Q7" i="2"/>
  <c r="B9" i="5"/>
  <c r="FW31" i="5"/>
  <c r="FV31" i="5" s="1"/>
  <c r="FU31" i="5" s="1"/>
  <c r="FT31" i="5" s="1"/>
  <c r="FS31" i="5" s="1"/>
  <c r="FR31" i="5" s="1"/>
  <c r="FQ31" i="5" s="1"/>
  <c r="FP31" i="5" s="1"/>
  <c r="FO31" i="5" s="1"/>
  <c r="FN31" i="5" s="1"/>
  <c r="FM31" i="5" s="1"/>
  <c r="FL31" i="5" s="1"/>
  <c r="FK31" i="5" s="1"/>
  <c r="FJ31" i="5" s="1"/>
  <c r="FI31" i="5" s="1"/>
  <c r="FH31" i="5" s="1"/>
  <c r="FG31" i="5" s="1"/>
  <c r="FF31" i="5" s="1"/>
  <c r="FE31" i="5" s="1"/>
  <c r="FD31" i="5" s="1"/>
  <c r="FC31" i="5" s="1"/>
  <c r="FB31" i="5" s="1"/>
  <c r="FA31" i="5" s="1"/>
  <c r="EZ31" i="5" s="1"/>
  <c r="EY31" i="5" s="1"/>
  <c r="EX31" i="5" s="1"/>
  <c r="EW31" i="5" s="1"/>
  <c r="EV31" i="5" s="1"/>
  <c r="EU31" i="5" s="1"/>
  <c r="ET31" i="5" s="1"/>
  <c r="ES31" i="5" s="1"/>
  <c r="ER31" i="5" s="1"/>
  <c r="EQ31" i="5" s="1"/>
  <c r="EP31" i="5" s="1"/>
  <c r="EO31" i="5" s="1"/>
  <c r="EN31" i="5" s="1"/>
  <c r="EM31" i="5" s="1"/>
  <c r="EL31" i="5" s="1"/>
  <c r="EK31" i="5" s="1"/>
  <c r="EJ31" i="5" s="1"/>
  <c r="EI31" i="5" s="1"/>
  <c r="EH31" i="5" s="1"/>
  <c r="EG31" i="5" s="1"/>
  <c r="EF31" i="5" s="1"/>
  <c r="EE31" i="5" s="1"/>
  <c r="ED31" i="5" s="1"/>
  <c r="EC31" i="5" s="1"/>
  <c r="EB31" i="5" s="1"/>
  <c r="EA31" i="5" s="1"/>
  <c r="DZ31" i="5" s="1"/>
  <c r="DY31" i="5" s="1"/>
  <c r="DX31" i="5" s="1"/>
  <c r="DW31" i="5" s="1"/>
  <c r="DV31" i="5" s="1"/>
  <c r="DU31" i="5" s="1"/>
  <c r="DT31" i="5" s="1"/>
  <c r="DS31" i="5" s="1"/>
  <c r="DR31" i="5" s="1"/>
  <c r="DQ31" i="5" s="1"/>
  <c r="DP31" i="5" s="1"/>
  <c r="DO31" i="5" s="1"/>
  <c r="DN31" i="5" s="1"/>
  <c r="DM31" i="5" s="1"/>
  <c r="DL31" i="5" s="1"/>
  <c r="DK31" i="5" s="1"/>
  <c r="DJ31" i="5" s="1"/>
  <c r="DI31" i="5" s="1"/>
  <c r="DH31" i="5" s="1"/>
  <c r="DG31" i="5" s="1"/>
  <c r="DF31" i="5" s="1"/>
  <c r="DE31" i="5" s="1"/>
  <c r="DD31" i="5" s="1"/>
  <c r="DC31" i="5" s="1"/>
  <c r="DB31" i="5" s="1"/>
  <c r="DA31" i="5" s="1"/>
  <c r="CZ31" i="5" s="1"/>
  <c r="CY31" i="5" s="1"/>
  <c r="CX31" i="5" s="1"/>
  <c r="CW31" i="5" s="1"/>
  <c r="CV31" i="5" s="1"/>
  <c r="CU31" i="5" s="1"/>
  <c r="CT31" i="5" s="1"/>
  <c r="CS31" i="5" s="1"/>
  <c r="CR31" i="5" s="1"/>
  <c r="CQ31" i="5" s="1"/>
  <c r="CP31" i="5" s="1"/>
  <c r="CO31" i="5" s="1"/>
  <c r="CN31" i="5" s="1"/>
  <c r="CM31" i="5" s="1"/>
  <c r="CL31" i="5" s="1"/>
  <c r="CK31" i="5" s="1"/>
  <c r="CJ31" i="5" s="1"/>
  <c r="CI31" i="5" s="1"/>
  <c r="CH31" i="5" s="1"/>
  <c r="CG31" i="5" s="1"/>
  <c r="CF31" i="5" s="1"/>
  <c r="CE31" i="5" s="1"/>
  <c r="CD31" i="5" s="1"/>
  <c r="CC31" i="5" s="1"/>
  <c r="CB31" i="5" s="1"/>
  <c r="CA31" i="5" s="1"/>
  <c r="BZ31" i="5" s="1"/>
  <c r="BY31" i="5" s="1"/>
  <c r="BX31" i="5" s="1"/>
  <c r="BW31" i="5" s="1"/>
  <c r="BV31" i="5" s="1"/>
  <c r="BU31" i="5" s="1"/>
  <c r="BT31" i="5" s="1"/>
  <c r="BS31" i="5" s="1"/>
  <c r="BR31" i="5" s="1"/>
  <c r="BQ31" i="5" s="1"/>
  <c r="BP31" i="5" s="1"/>
  <c r="BO31" i="5" s="1"/>
  <c r="BN31" i="5" s="1"/>
  <c r="BM31" i="5" s="1"/>
  <c r="BL31" i="5" s="1"/>
  <c r="BK31" i="5" s="1"/>
  <c r="BJ31" i="5" s="1"/>
  <c r="BI31" i="5" s="1"/>
  <c r="BH31" i="5" s="1"/>
  <c r="BG31" i="5" s="1"/>
  <c r="BF31" i="5" s="1"/>
  <c r="BE31" i="5" s="1"/>
  <c r="BD31" i="5" s="1"/>
  <c r="BC31" i="5" s="1"/>
  <c r="BB31" i="5" s="1"/>
  <c r="BA31" i="5" s="1"/>
  <c r="AZ31" i="5" s="1"/>
  <c r="AY31" i="5" s="1"/>
  <c r="AX31" i="5" s="1"/>
  <c r="AW31" i="5" s="1"/>
  <c r="AV31" i="5" s="1"/>
  <c r="AU31" i="5" s="1"/>
  <c r="AT31" i="5" s="1"/>
  <c r="AS31" i="5" s="1"/>
  <c r="AR31" i="5" s="1"/>
  <c r="AQ31" i="5" s="1"/>
  <c r="AP31" i="5" s="1"/>
  <c r="AO31" i="5" s="1"/>
  <c r="AN31" i="5" s="1"/>
  <c r="AM31" i="5" s="1"/>
  <c r="AL31" i="5" s="1"/>
  <c r="AK31" i="5" s="1"/>
  <c r="AJ31" i="5" s="1"/>
  <c r="AI31" i="5" s="1"/>
  <c r="AH31" i="5" s="1"/>
  <c r="AG31" i="5" s="1"/>
  <c r="AF31" i="5" s="1"/>
  <c r="AE31" i="5" s="1"/>
  <c r="AD31" i="5" s="1"/>
  <c r="AC31" i="5" s="1"/>
  <c r="AB31" i="5" s="1"/>
  <c r="AA31" i="5" s="1"/>
  <c r="Z31" i="5" s="1"/>
  <c r="Y31" i="5" s="1"/>
  <c r="X31" i="5" s="1"/>
  <c r="W31" i="5" s="1"/>
  <c r="V31" i="5" s="1"/>
  <c r="U31" i="5" s="1"/>
  <c r="T31" i="5" s="1"/>
  <c r="S31" i="5" s="1"/>
  <c r="R31" i="5" s="1"/>
  <c r="Q31" i="5" s="1"/>
  <c r="P31" i="5" s="1"/>
  <c r="O31" i="5" s="1"/>
  <c r="N31" i="5" s="1"/>
  <c r="M31" i="5" s="1"/>
  <c r="L31" i="5" s="1"/>
  <c r="K31" i="5" s="1"/>
  <c r="J31" i="5" s="1"/>
  <c r="I31" i="5" s="1"/>
  <c r="H31" i="5" s="1"/>
  <c r="G31" i="5" s="1"/>
  <c r="F31" i="5" s="1"/>
  <c r="E31" i="5" s="1"/>
  <c r="D31" i="5" s="1"/>
  <c r="C31" i="5" s="1"/>
  <c r="B31" i="5" s="1"/>
  <c r="F35" i="10" l="1"/>
  <c r="C36" i="9"/>
  <c r="P9" i="9"/>
  <c r="T9" i="9" s="1"/>
  <c r="G12" i="2" s="1"/>
  <c r="C10" i="3" s="1"/>
  <c r="C10" i="4" s="1"/>
  <c r="L329" i="9"/>
  <c r="M329" i="9" s="1"/>
  <c r="K330" i="9"/>
  <c r="AD6" i="2"/>
  <c r="AC6" i="2"/>
  <c r="AC7" i="2" s="1"/>
  <c r="AC8" i="2" s="1"/>
  <c r="AC9" i="2" s="1"/>
  <c r="AC10" i="2" s="1"/>
  <c r="AC11" i="2" s="1"/>
  <c r="AC12" i="2" s="1"/>
  <c r="AC13" i="2" s="1"/>
  <c r="AC14" i="2" s="1"/>
  <c r="AC15" i="2" s="1"/>
  <c r="AC16" i="2" s="1"/>
  <c r="AC17" i="2" s="1"/>
  <c r="AC18" i="2" s="1"/>
  <c r="AC19" i="2" s="1"/>
  <c r="AC20" i="2" s="1"/>
  <c r="AC21" i="2" s="1"/>
  <c r="AC22" i="2" s="1"/>
  <c r="AC23" i="2" s="1"/>
  <c r="AC24" i="2" s="1"/>
  <c r="AC25" i="2" s="1"/>
  <c r="AC26" i="2" s="1"/>
  <c r="AC27" i="2" s="1"/>
  <c r="AC28" i="2" s="1"/>
  <c r="AC29" i="2" s="1"/>
  <c r="AC30" i="2" s="1"/>
  <c r="AC31" i="2" s="1"/>
  <c r="AC32" i="2" s="1"/>
  <c r="AC33" i="2" s="1"/>
  <c r="AC34" i="2" s="1"/>
  <c r="AC35" i="2" s="1"/>
  <c r="AC36" i="2" s="1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C50" i="2" s="1"/>
  <c r="AC51" i="2" s="1"/>
  <c r="AC52" i="2" s="1"/>
  <c r="AC53" i="2" s="1"/>
  <c r="AC54" i="2" s="1"/>
  <c r="AC55" i="2" s="1"/>
  <c r="AC56" i="2" s="1"/>
  <c r="AC57" i="2" s="1"/>
  <c r="AC58" i="2" s="1"/>
  <c r="AC59" i="2" s="1"/>
  <c r="AC60" i="2" s="1"/>
  <c r="AC61" i="2" s="1"/>
  <c r="AC62" i="2" s="1"/>
  <c r="AC63" i="2" s="1"/>
  <c r="AC64" i="2" s="1"/>
  <c r="AC65" i="2" s="1"/>
  <c r="AC66" i="2" s="1"/>
  <c r="AC67" i="2" s="1"/>
  <c r="AC68" i="2" s="1"/>
  <c r="AC69" i="2" s="1"/>
  <c r="AC70" i="2" s="1"/>
  <c r="AC71" i="2" s="1"/>
  <c r="AC72" i="2" s="1"/>
  <c r="AC73" i="2" s="1"/>
  <c r="AC74" i="2" s="1"/>
  <c r="AC75" i="2" s="1"/>
  <c r="AC76" i="2" s="1"/>
  <c r="AC77" i="2" s="1"/>
  <c r="AC78" i="2" s="1"/>
  <c r="AC79" i="2" s="1"/>
  <c r="AC80" i="2" s="1"/>
  <c r="AC81" i="2" s="1"/>
  <c r="AC82" i="2" s="1"/>
  <c r="AC83" i="2" s="1"/>
  <c r="AC84" i="2" s="1"/>
  <c r="AC85" i="2" s="1"/>
  <c r="AC86" i="2" s="1"/>
  <c r="AC87" i="2" s="1"/>
  <c r="AC88" i="2" s="1"/>
  <c r="AC89" i="2" s="1"/>
  <c r="AC90" i="2" s="1"/>
  <c r="AC91" i="2" s="1"/>
  <c r="AC92" i="2" s="1"/>
  <c r="AC93" i="2" s="1"/>
  <c r="AC94" i="2" s="1"/>
  <c r="AC95" i="2" s="1"/>
  <c r="AC96" i="2" s="1"/>
  <c r="AC97" i="2" s="1"/>
  <c r="AC98" i="2" s="1"/>
  <c r="AC99" i="2" s="1"/>
  <c r="AC100" i="2" s="1"/>
  <c r="AC101" i="2" s="1"/>
  <c r="AC102" i="2" s="1"/>
  <c r="AC103" i="2" s="1"/>
  <c r="AC104" i="2" s="1"/>
  <c r="AC105" i="2" s="1"/>
  <c r="AC106" i="2" s="1"/>
  <c r="AC107" i="2" s="1"/>
  <c r="AC108" i="2" s="1"/>
  <c r="AC109" i="2" s="1"/>
  <c r="AC110" i="2" s="1"/>
  <c r="AC111" i="2" s="1"/>
  <c r="AC112" i="2" s="1"/>
  <c r="AC113" i="2" s="1"/>
  <c r="AC114" i="2" s="1"/>
  <c r="AC115" i="2" s="1"/>
  <c r="AC116" i="2" s="1"/>
  <c r="AC117" i="2" s="1"/>
  <c r="AC118" i="2" s="1"/>
  <c r="AC119" i="2" s="1"/>
  <c r="AC120" i="2" s="1"/>
  <c r="AC121" i="2" s="1"/>
  <c r="AC122" i="2" s="1"/>
  <c r="AC123" i="2" s="1"/>
  <c r="AC124" i="2" s="1"/>
  <c r="AC125" i="2" s="1"/>
  <c r="AC126" i="2" s="1"/>
  <c r="AC127" i="2" s="1"/>
  <c r="AD16" i="2"/>
  <c r="N11" i="9"/>
  <c r="O10" i="9"/>
  <c r="P10" i="9" s="1"/>
  <c r="B21" i="5"/>
  <c r="F36" i="10" l="1"/>
  <c r="C37" i="9"/>
  <c r="R10" i="9"/>
  <c r="E13" i="2" s="1"/>
  <c r="A11" i="3" s="1"/>
  <c r="A11" i="4" s="1"/>
  <c r="S10" i="9"/>
  <c r="F13" i="2" s="1"/>
  <c r="B11" i="3" s="1"/>
  <c r="B11" i="4" s="1"/>
  <c r="T10" i="9"/>
  <c r="G13" i="2" s="1"/>
  <c r="C11" i="3" s="1"/>
  <c r="C11" i="4" s="1"/>
  <c r="R9" i="9"/>
  <c r="E12" i="2" s="1"/>
  <c r="A10" i="3" s="1"/>
  <c r="A10" i="4" s="1"/>
  <c r="S9" i="9"/>
  <c r="F12" i="2" s="1"/>
  <c r="B10" i="3" s="1"/>
  <c r="B10" i="4" s="1"/>
  <c r="L330" i="9"/>
  <c r="M330" i="9" s="1"/>
  <c r="K331" i="9"/>
  <c r="AC128" i="2"/>
  <c r="AC129" i="2" s="1"/>
  <c r="AC130" i="2" s="1"/>
  <c r="AC131" i="2" s="1"/>
  <c r="AC132" i="2" s="1"/>
  <c r="AC133" i="2" s="1"/>
  <c r="AC134" i="2" s="1"/>
  <c r="AC135" i="2" s="1"/>
  <c r="AC136" i="2" s="1"/>
  <c r="AC137" i="2" s="1"/>
  <c r="AC138" i="2" s="1"/>
  <c r="AC139" i="2" s="1"/>
  <c r="AC140" i="2" s="1"/>
  <c r="AC141" i="2" s="1"/>
  <c r="AD127" i="2"/>
  <c r="N12" i="9"/>
  <c r="O11" i="9"/>
  <c r="A31" i="5"/>
  <c r="F37" i="10" l="1"/>
  <c r="C38" i="9"/>
  <c r="P11" i="9"/>
  <c r="T11" i="9" s="1"/>
  <c r="G14" i="2" s="1"/>
  <c r="C12" i="3" s="1"/>
  <c r="C12" i="4" s="1"/>
  <c r="L331" i="9"/>
  <c r="M331" i="9" s="1"/>
  <c r="K332" i="9"/>
  <c r="AC142" i="2"/>
  <c r="AC143" i="2" s="1"/>
  <c r="AC144" i="2" s="1"/>
  <c r="AC145" i="2" s="1"/>
  <c r="AC146" i="2" s="1"/>
  <c r="AC147" i="2" s="1"/>
  <c r="AC148" i="2" s="1"/>
  <c r="AC149" i="2" s="1"/>
  <c r="AC150" i="2" s="1"/>
  <c r="AC151" i="2" s="1"/>
  <c r="AC152" i="2" s="1"/>
  <c r="AC153" i="2" s="1"/>
  <c r="AC154" i="2" s="1"/>
  <c r="AC155" i="2" s="1"/>
  <c r="AD141" i="2"/>
  <c r="N13" i="9"/>
  <c r="O12" i="9"/>
  <c r="P12" i="9" s="1"/>
  <c r="A10" i="2"/>
  <c r="B20" i="5"/>
  <c r="B18" i="5"/>
  <c r="B19" i="5" s="1"/>
  <c r="F38" i="10" l="1"/>
  <c r="C39" i="9"/>
  <c r="T12" i="9"/>
  <c r="G15" i="2" s="1"/>
  <c r="C13" i="3" s="1"/>
  <c r="C13" i="4" s="1"/>
  <c r="S11" i="9"/>
  <c r="F14" i="2" s="1"/>
  <c r="B12" i="3" s="1"/>
  <c r="B12" i="4" s="1"/>
  <c r="R11" i="9"/>
  <c r="E14" i="2" s="1"/>
  <c r="A12" i="3" s="1"/>
  <c r="A12" i="4" s="1"/>
  <c r="R12" i="9"/>
  <c r="E15" i="2" s="1"/>
  <c r="A13" i="3" s="1"/>
  <c r="A13" i="4" s="1"/>
  <c r="S12" i="9"/>
  <c r="F15" i="2" s="1"/>
  <c r="B13" i="3" s="1"/>
  <c r="B13" i="4" s="1"/>
  <c r="L332" i="9"/>
  <c r="M332" i="9" s="1"/>
  <c r="K333" i="9"/>
  <c r="AC156" i="2"/>
  <c r="AC157" i="2" s="1"/>
  <c r="AC158" i="2" s="1"/>
  <c r="AC159" i="2" s="1"/>
  <c r="AC160" i="2" s="1"/>
  <c r="AC161" i="2" s="1"/>
  <c r="AC162" i="2" s="1"/>
  <c r="AC163" i="2" s="1"/>
  <c r="AC164" i="2" s="1"/>
  <c r="AC165" i="2" s="1"/>
  <c r="AC166" i="2" s="1"/>
  <c r="AC167" i="2" s="1"/>
  <c r="AC168" i="2" s="1"/>
  <c r="AC169" i="2" s="1"/>
  <c r="AD155" i="2"/>
  <c r="N14" i="9"/>
  <c r="O13" i="9"/>
  <c r="B8" i="5"/>
  <c r="B7" i="5"/>
  <c r="F39" i="10" l="1"/>
  <c r="C40" i="9"/>
  <c r="P13" i="9"/>
  <c r="T13" i="9" s="1"/>
  <c r="G16" i="2" s="1"/>
  <c r="C14" i="3" s="1"/>
  <c r="C14" i="4" s="1"/>
  <c r="L333" i="9"/>
  <c r="M333" i="9" s="1"/>
  <c r="K334" i="9"/>
  <c r="AC170" i="2"/>
  <c r="AC171" i="2" s="1"/>
  <c r="AC172" i="2" s="1"/>
  <c r="AC173" i="2" s="1"/>
  <c r="AC174" i="2" s="1"/>
  <c r="AC175" i="2" s="1"/>
  <c r="AC176" i="2" s="1"/>
  <c r="AC177" i="2" s="1"/>
  <c r="AC178" i="2" s="1"/>
  <c r="AC179" i="2" s="1"/>
  <c r="AC180" i="2" s="1"/>
  <c r="AC181" i="2" s="1"/>
  <c r="AC182" i="2" s="1"/>
  <c r="AC183" i="2" s="1"/>
  <c r="AD169" i="2"/>
  <c r="N15" i="9"/>
  <c r="O14" i="9"/>
  <c r="P14" i="9" s="1"/>
  <c r="B22" i="5"/>
  <c r="B23" i="5"/>
  <c r="B17" i="5"/>
  <c r="B16" i="5"/>
  <c r="N1289" i="5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s="1"/>
  <c r="N162" i="5" s="1"/>
  <c r="F40" i="10" l="1"/>
  <c r="C41" i="9"/>
  <c r="T14" i="9"/>
  <c r="G17" i="2" s="1"/>
  <c r="S13" i="9"/>
  <c r="F16" i="2" s="1"/>
  <c r="B14" i="3" s="1"/>
  <c r="B14" i="4" s="1"/>
  <c r="R13" i="9"/>
  <c r="E16" i="2" s="1"/>
  <c r="A14" i="3" s="1"/>
  <c r="A14" i="4" s="1"/>
  <c r="R14" i="9"/>
  <c r="E17" i="2" s="1"/>
  <c r="A15" i="3" s="1"/>
  <c r="A15" i="4" s="1"/>
  <c r="S14" i="9"/>
  <c r="F17" i="2" s="1"/>
  <c r="B15" i="3" s="1"/>
  <c r="B15" i="4" s="1"/>
  <c r="L334" i="9"/>
  <c r="M334" i="9" s="1"/>
  <c r="K335" i="9"/>
  <c r="AC184" i="2"/>
  <c r="AC185" i="2" s="1"/>
  <c r="AC186" i="2" s="1"/>
  <c r="AC187" i="2" s="1"/>
  <c r="AC188" i="2" s="1"/>
  <c r="AC189" i="2" s="1"/>
  <c r="AC190" i="2" s="1"/>
  <c r="AC191" i="2" s="1"/>
  <c r="AC192" i="2" s="1"/>
  <c r="AC193" i="2" s="1"/>
  <c r="AC194" i="2" s="1"/>
  <c r="AC195" i="2" s="1"/>
  <c r="AC196" i="2" s="1"/>
  <c r="AC197" i="2" s="1"/>
  <c r="AD183" i="2"/>
  <c r="O15" i="9"/>
  <c r="N16" i="9"/>
  <c r="N161" i="5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N38" i="5" s="1"/>
  <c r="N37" i="5" s="1"/>
  <c r="B26" i="5" s="1"/>
  <c r="F41" i="10" l="1"/>
  <c r="C43" i="9" s="1"/>
  <c r="C42" i="9"/>
  <c r="P15" i="9"/>
  <c r="T15" i="9" s="1"/>
  <c r="G18" i="2" s="1"/>
  <c r="C15" i="3"/>
  <c r="C15" i="4" s="1"/>
  <c r="L335" i="9"/>
  <c r="M335" i="9" s="1"/>
  <c r="K336" i="9"/>
  <c r="AC198" i="2"/>
  <c r="AC199" i="2" s="1"/>
  <c r="AC200" i="2" s="1"/>
  <c r="AC201" i="2" s="1"/>
  <c r="AC202" i="2" s="1"/>
  <c r="AC203" i="2" s="1"/>
  <c r="AC204" i="2" s="1"/>
  <c r="AC205" i="2" s="1"/>
  <c r="AD197" i="2"/>
  <c r="O16" i="9"/>
  <c r="P16" i="9" s="1"/>
  <c r="N17" i="9"/>
  <c r="B25" i="5"/>
  <c r="R15" i="9" l="1"/>
  <c r="E18" i="2" s="1"/>
  <c r="A16" i="3" s="1"/>
  <c r="A16" i="4" s="1"/>
  <c r="S15" i="9"/>
  <c r="F18" i="2" s="1"/>
  <c r="B16" i="3" s="1"/>
  <c r="B16" i="4" s="1"/>
  <c r="R16" i="9"/>
  <c r="E19" i="2" s="1"/>
  <c r="A17" i="3" s="1"/>
  <c r="A17" i="4" s="1"/>
  <c r="S16" i="9"/>
  <c r="F19" i="2" s="1"/>
  <c r="B17" i="3" s="1"/>
  <c r="B17" i="4" s="1"/>
  <c r="T16" i="9"/>
  <c r="AC206" i="2"/>
  <c r="AC207" i="2" s="1"/>
  <c r="AC208" i="2" s="1"/>
  <c r="AC209" i="2" s="1"/>
  <c r="AC210" i="2" s="1"/>
  <c r="AC211" i="2" s="1"/>
  <c r="AC212" i="2" s="1"/>
  <c r="AC213" i="2" s="1"/>
  <c r="AC214" i="2" s="1"/>
  <c r="AC215" i="2" s="1"/>
  <c r="AC216" i="2" s="1"/>
  <c r="AC217" i="2" s="1"/>
  <c r="AC218" i="2" s="1"/>
  <c r="AC219" i="2" s="1"/>
  <c r="AD205" i="2"/>
  <c r="C16" i="3"/>
  <c r="C16" i="4" s="1"/>
  <c r="L336" i="9"/>
  <c r="M336" i="9" s="1"/>
  <c r="K337" i="9"/>
  <c r="AD211" i="2"/>
  <c r="O17" i="9"/>
  <c r="G19" i="2"/>
  <c r="N18" i="9"/>
  <c r="P17" i="9" l="1"/>
  <c r="AC220" i="2"/>
  <c r="AC221" i="2" s="1"/>
  <c r="AC222" i="2" s="1"/>
  <c r="AC223" i="2" s="1"/>
  <c r="AC224" i="2" s="1"/>
  <c r="AC225" i="2" s="1"/>
  <c r="AC226" i="2" s="1"/>
  <c r="AC227" i="2" s="1"/>
  <c r="AC228" i="2" s="1"/>
  <c r="AC229" i="2" s="1"/>
  <c r="AC230" i="2" s="1"/>
  <c r="AC231" i="2" s="1"/>
  <c r="AC232" i="2" s="1"/>
  <c r="AC233" i="2" s="1"/>
  <c r="AD219" i="2"/>
  <c r="C17" i="3"/>
  <c r="C17" i="4" s="1"/>
  <c r="L337" i="9"/>
  <c r="M337" i="9" s="1"/>
  <c r="K338" i="9"/>
  <c r="AD235" i="2"/>
  <c r="O18" i="9"/>
  <c r="P18" i="9" s="1"/>
  <c r="N19" i="9"/>
  <c r="S18" i="9" l="1"/>
  <c r="F21" i="2" s="1"/>
  <c r="B19" i="3" s="1"/>
  <c r="B19" i="4" s="1"/>
  <c r="R18" i="9"/>
  <c r="E21" i="2" s="1"/>
  <c r="A19" i="3" s="1"/>
  <c r="A19" i="4" s="1"/>
  <c r="R17" i="9"/>
  <c r="E20" i="2" s="1"/>
  <c r="A18" i="3" s="1"/>
  <c r="A18" i="4" s="1"/>
  <c r="S17" i="9"/>
  <c r="F20" i="2" s="1"/>
  <c r="B18" i="3" s="1"/>
  <c r="B18" i="4" s="1"/>
  <c r="T18" i="9"/>
  <c r="T17" i="9"/>
  <c r="G20" i="2" s="1"/>
  <c r="C18" i="3" s="1"/>
  <c r="C18" i="4" s="1"/>
  <c r="AC234" i="2"/>
  <c r="AC235" i="2" s="1"/>
  <c r="AC236" i="2" s="1"/>
  <c r="AC237" i="2" s="1"/>
  <c r="AC238" i="2" s="1"/>
  <c r="AC239" i="2" s="1"/>
  <c r="AC240" i="2" s="1"/>
  <c r="AC241" i="2" s="1"/>
  <c r="AC242" i="2" s="1"/>
  <c r="AC243" i="2" s="1"/>
  <c r="AC244" i="2" s="1"/>
  <c r="AC245" i="2" s="1"/>
  <c r="AC246" i="2" s="1"/>
  <c r="AC247" i="2" s="1"/>
  <c r="AD233" i="2"/>
  <c r="L338" i="9"/>
  <c r="M338" i="9" s="1"/>
  <c r="K339" i="9"/>
  <c r="AD249" i="2"/>
  <c r="O19" i="9"/>
  <c r="G21" i="2"/>
  <c r="N20" i="9"/>
  <c r="P19" i="9" l="1"/>
  <c r="T19" i="9" s="1"/>
  <c r="G22" i="2" s="1"/>
  <c r="AC248" i="2"/>
  <c r="AC249" i="2" s="1"/>
  <c r="AC250" i="2" s="1"/>
  <c r="AC251" i="2" s="1"/>
  <c r="AC252" i="2" s="1"/>
  <c r="AC253" i="2" s="1"/>
  <c r="AC254" i="2" s="1"/>
  <c r="AC255" i="2" s="1"/>
  <c r="AC256" i="2" s="1"/>
  <c r="AC257" i="2" s="1"/>
  <c r="AC258" i="2" s="1"/>
  <c r="AC259" i="2" s="1"/>
  <c r="AC260" i="2" s="1"/>
  <c r="AC261" i="2" s="1"/>
  <c r="AD247" i="2"/>
  <c r="C19" i="3"/>
  <c r="C19" i="4" s="1"/>
  <c r="L339" i="9"/>
  <c r="M339" i="9" s="1"/>
  <c r="K340" i="9"/>
  <c r="AD263" i="2"/>
  <c r="O20" i="9"/>
  <c r="P20" i="9" s="1"/>
  <c r="N21" i="9"/>
  <c r="T20" i="9" l="1"/>
  <c r="R19" i="9"/>
  <c r="E22" i="2" s="1"/>
  <c r="A20" i="3" s="1"/>
  <c r="A20" i="4" s="1"/>
  <c r="S19" i="9"/>
  <c r="F22" i="2" s="1"/>
  <c r="B20" i="3" s="1"/>
  <c r="B20" i="4" s="1"/>
  <c r="R20" i="9"/>
  <c r="E23" i="2" s="1"/>
  <c r="A21" i="3" s="1"/>
  <c r="A21" i="4" s="1"/>
  <c r="S20" i="9"/>
  <c r="F23" i="2" s="1"/>
  <c r="B21" i="3" s="1"/>
  <c r="B21" i="4" s="1"/>
  <c r="AC262" i="2"/>
  <c r="AC263" i="2" s="1"/>
  <c r="AC264" i="2" s="1"/>
  <c r="AC265" i="2" s="1"/>
  <c r="AD261" i="2"/>
  <c r="C20" i="3"/>
  <c r="C20" i="4" s="1"/>
  <c r="L340" i="9"/>
  <c r="M340" i="9" s="1"/>
  <c r="K341" i="9"/>
  <c r="AD277" i="2"/>
  <c r="O21" i="9"/>
  <c r="G23" i="2"/>
  <c r="N22" i="9"/>
  <c r="AC266" i="2" l="1"/>
  <c r="AC267" i="2" s="1"/>
  <c r="AC268" i="2" s="1"/>
  <c r="AC269" i="2" s="1"/>
  <c r="AC270" i="2" s="1"/>
  <c r="AC271" i="2" s="1"/>
  <c r="AC272" i="2" s="1"/>
  <c r="AC273" i="2" s="1"/>
  <c r="AC274" i="2" s="1"/>
  <c r="AC275" i="2" s="1"/>
  <c r="AC276" i="2" s="1"/>
  <c r="AC277" i="2" s="1"/>
  <c r="AC278" i="2" s="1"/>
  <c r="AC279" i="2" s="1"/>
  <c r="AD265" i="2"/>
  <c r="P21" i="9"/>
  <c r="AD275" i="2"/>
  <c r="C21" i="3"/>
  <c r="C21" i="4" s="1"/>
  <c r="L341" i="9"/>
  <c r="M341" i="9" s="1"/>
  <c r="K342" i="9"/>
  <c r="AD291" i="2"/>
  <c r="O22" i="9"/>
  <c r="P22" i="9" s="1"/>
  <c r="N23" i="9"/>
  <c r="AC280" i="2" l="1"/>
  <c r="AC281" i="2" s="1"/>
  <c r="AC282" i="2" s="1"/>
  <c r="AC283" i="2" s="1"/>
  <c r="AC284" i="2" s="1"/>
  <c r="AC285" i="2" s="1"/>
  <c r="AC286" i="2" s="1"/>
  <c r="AC287" i="2" s="1"/>
  <c r="AC288" i="2" s="1"/>
  <c r="AC289" i="2" s="1"/>
  <c r="AC290" i="2" s="1"/>
  <c r="AC291" i="2" s="1"/>
  <c r="AC292" i="2" s="1"/>
  <c r="AC293" i="2" s="1"/>
  <c r="AD279" i="2"/>
  <c r="T22" i="9"/>
  <c r="G25" i="2" s="1"/>
  <c r="R21" i="9"/>
  <c r="E24" i="2" s="1"/>
  <c r="A22" i="3" s="1"/>
  <c r="A22" i="4" s="1"/>
  <c r="S21" i="9"/>
  <c r="F24" i="2" s="1"/>
  <c r="B22" i="3" s="1"/>
  <c r="B22" i="4" s="1"/>
  <c r="S22" i="9"/>
  <c r="F25" i="2" s="1"/>
  <c r="B23" i="3" s="1"/>
  <c r="B23" i="4" s="1"/>
  <c r="R22" i="9"/>
  <c r="E25" i="2" s="1"/>
  <c r="A23" i="3" s="1"/>
  <c r="A23" i="4" s="1"/>
  <c r="T21" i="9"/>
  <c r="G24" i="2" s="1"/>
  <c r="C22" i="3" s="1"/>
  <c r="C22" i="4" s="1"/>
  <c r="L342" i="9"/>
  <c r="M342" i="9" s="1"/>
  <c r="K343" i="9"/>
  <c r="AD305" i="2"/>
  <c r="O23" i="9"/>
  <c r="N24" i="9"/>
  <c r="AC294" i="2" l="1"/>
  <c r="AC295" i="2" s="1"/>
  <c r="AC296" i="2" s="1"/>
  <c r="AC297" i="2" s="1"/>
  <c r="AC298" i="2" s="1"/>
  <c r="AC299" i="2" s="1"/>
  <c r="AC300" i="2" s="1"/>
  <c r="AC301" i="2" s="1"/>
  <c r="AC302" i="2" s="1"/>
  <c r="AC303" i="2" s="1"/>
  <c r="AC304" i="2" s="1"/>
  <c r="AC305" i="2" s="1"/>
  <c r="AC306" i="2" s="1"/>
  <c r="AC307" i="2" s="1"/>
  <c r="AD293" i="2"/>
  <c r="P23" i="9"/>
  <c r="S23" i="9" s="1"/>
  <c r="F26" i="2" s="1"/>
  <c r="B24" i="3" s="1"/>
  <c r="B24" i="4" s="1"/>
  <c r="C23" i="3"/>
  <c r="C23" i="4" s="1"/>
  <c r="L343" i="9"/>
  <c r="M343" i="9" s="1"/>
  <c r="K344" i="9"/>
  <c r="AD319" i="2"/>
  <c r="O24" i="9"/>
  <c r="P24" i="9" s="1"/>
  <c r="N25" i="9"/>
  <c r="R23" i="9" l="1"/>
  <c r="E26" i="2" s="1"/>
  <c r="A24" i="3" s="1"/>
  <c r="A24" i="4" s="1"/>
  <c r="T24" i="9"/>
  <c r="G27" i="2" s="1"/>
  <c r="T23" i="9"/>
  <c r="G26" i="2" s="1"/>
  <c r="AC308" i="2"/>
  <c r="AC309" i="2" s="1"/>
  <c r="AC310" i="2" s="1"/>
  <c r="AC311" i="2" s="1"/>
  <c r="AC312" i="2" s="1"/>
  <c r="AC313" i="2" s="1"/>
  <c r="AC314" i="2" s="1"/>
  <c r="AC315" i="2" s="1"/>
  <c r="AC316" i="2" s="1"/>
  <c r="AC317" i="2" s="1"/>
  <c r="AC318" i="2" s="1"/>
  <c r="AC319" i="2" s="1"/>
  <c r="AC320" i="2" s="1"/>
  <c r="AC321" i="2" s="1"/>
  <c r="AD307" i="2"/>
  <c r="S24" i="9"/>
  <c r="F27" i="2" s="1"/>
  <c r="B25" i="3" s="1"/>
  <c r="B25" i="4" s="1"/>
  <c r="R24" i="9"/>
  <c r="E27" i="2" s="1"/>
  <c r="A25" i="3" s="1"/>
  <c r="A25" i="4" s="1"/>
  <c r="C24" i="3"/>
  <c r="C24" i="4" s="1"/>
  <c r="L344" i="9"/>
  <c r="M344" i="9" s="1"/>
  <c r="K345" i="9"/>
  <c r="AD333" i="2"/>
  <c r="O25" i="9"/>
  <c r="N26" i="9"/>
  <c r="AC322" i="2" l="1"/>
  <c r="AC323" i="2" s="1"/>
  <c r="AC324" i="2" s="1"/>
  <c r="AC325" i="2" s="1"/>
  <c r="AC326" i="2" s="1"/>
  <c r="AC327" i="2" s="1"/>
  <c r="AC328" i="2" s="1"/>
  <c r="AC329" i="2" s="1"/>
  <c r="AC330" i="2" s="1"/>
  <c r="AC331" i="2" s="1"/>
  <c r="AC332" i="2" s="1"/>
  <c r="AC333" i="2" s="1"/>
  <c r="AC334" i="2" s="1"/>
  <c r="AC335" i="2" s="1"/>
  <c r="AD321" i="2"/>
  <c r="P25" i="9"/>
  <c r="C25" i="3"/>
  <c r="C25" i="4" s="1"/>
  <c r="L345" i="9"/>
  <c r="M345" i="9" s="1"/>
  <c r="K346" i="9"/>
  <c r="AD347" i="2"/>
  <c r="O26" i="9"/>
  <c r="P26" i="9" s="1"/>
  <c r="N27" i="9"/>
  <c r="AC336" i="2" l="1"/>
  <c r="AC337" i="2" s="1"/>
  <c r="AC338" i="2" s="1"/>
  <c r="AC339" i="2" s="1"/>
  <c r="AC340" i="2" s="1"/>
  <c r="AC341" i="2" s="1"/>
  <c r="AC342" i="2" s="1"/>
  <c r="AC343" i="2" s="1"/>
  <c r="AD335" i="2"/>
  <c r="S26" i="9"/>
  <c r="F29" i="2" s="1"/>
  <c r="B27" i="3" s="1"/>
  <c r="B27" i="4" s="1"/>
  <c r="R26" i="9"/>
  <c r="E29" i="2" s="1"/>
  <c r="A27" i="3" s="1"/>
  <c r="A27" i="4" s="1"/>
  <c r="S25" i="9"/>
  <c r="F28" i="2" s="1"/>
  <c r="B26" i="3" s="1"/>
  <c r="B26" i="4" s="1"/>
  <c r="R25" i="9"/>
  <c r="E28" i="2" s="1"/>
  <c r="A26" i="3" s="1"/>
  <c r="A26" i="4" s="1"/>
  <c r="T26" i="9"/>
  <c r="G29" i="2" s="1"/>
  <c r="T25" i="9"/>
  <c r="G28" i="2" s="1"/>
  <c r="C26" i="3" s="1"/>
  <c r="C26" i="4" s="1"/>
  <c r="L346" i="9"/>
  <c r="M346" i="9" s="1"/>
  <c r="K347" i="9"/>
  <c r="AD361" i="2"/>
  <c r="O27" i="9"/>
  <c r="N28" i="9"/>
  <c r="AC344" i="2" l="1"/>
  <c r="AC345" i="2" s="1"/>
  <c r="AC346" i="2" s="1"/>
  <c r="AC347" i="2" s="1"/>
  <c r="AC348" i="2" s="1"/>
  <c r="AC349" i="2" s="1"/>
  <c r="AC350" i="2" s="1"/>
  <c r="AC351" i="2" s="1"/>
  <c r="AC352" i="2" s="1"/>
  <c r="AC353" i="2" s="1"/>
  <c r="AC354" i="2" s="1"/>
  <c r="AC355" i="2" s="1"/>
  <c r="AC356" i="2" s="1"/>
  <c r="AC357" i="2" s="1"/>
  <c r="AD343" i="2"/>
  <c r="P27" i="9"/>
  <c r="C27" i="3"/>
  <c r="C27" i="4" s="1"/>
  <c r="L347" i="9"/>
  <c r="M347" i="9" s="1"/>
  <c r="K348" i="9"/>
  <c r="AD375" i="2"/>
  <c r="O28" i="9"/>
  <c r="P28" i="9" s="1"/>
  <c r="N29" i="9"/>
  <c r="AC358" i="2" l="1"/>
  <c r="AC359" i="2" s="1"/>
  <c r="AC360" i="2" s="1"/>
  <c r="AC361" i="2" s="1"/>
  <c r="AC362" i="2" s="1"/>
  <c r="AC363" i="2" s="1"/>
  <c r="AC364" i="2" s="1"/>
  <c r="AC365" i="2" s="1"/>
  <c r="AC366" i="2" s="1"/>
  <c r="AC367" i="2" s="1"/>
  <c r="AC368" i="2" s="1"/>
  <c r="AC369" i="2" s="1"/>
  <c r="AC370" i="2" s="1"/>
  <c r="AC371" i="2" s="1"/>
  <c r="AD357" i="2"/>
  <c r="T28" i="9"/>
  <c r="G31" i="2" s="1"/>
  <c r="S27" i="9"/>
  <c r="F30" i="2" s="1"/>
  <c r="B28" i="3" s="1"/>
  <c r="B28" i="4" s="1"/>
  <c r="R27" i="9"/>
  <c r="E30" i="2" s="1"/>
  <c r="A28" i="3" s="1"/>
  <c r="A28" i="4" s="1"/>
  <c r="R28" i="9"/>
  <c r="E31" i="2" s="1"/>
  <c r="A29" i="3" s="1"/>
  <c r="A29" i="4" s="1"/>
  <c r="S28" i="9"/>
  <c r="F31" i="2" s="1"/>
  <c r="B29" i="3" s="1"/>
  <c r="B29" i="4" s="1"/>
  <c r="T27" i="9"/>
  <c r="G30" i="2" s="1"/>
  <c r="C28" i="3" s="1"/>
  <c r="C28" i="4" s="1"/>
  <c r="L348" i="9"/>
  <c r="M348" i="9" s="1"/>
  <c r="K349" i="9"/>
  <c r="AD389" i="2"/>
  <c r="O29" i="9"/>
  <c r="N30" i="9"/>
  <c r="AC372" i="2" l="1"/>
  <c r="AC373" i="2" s="1"/>
  <c r="AC374" i="2" s="1"/>
  <c r="AC375" i="2" s="1"/>
  <c r="AC376" i="2" s="1"/>
  <c r="AC377" i="2" s="1"/>
  <c r="AC378" i="2" s="1"/>
  <c r="AC379" i="2" s="1"/>
  <c r="AC380" i="2" s="1"/>
  <c r="AC381" i="2" s="1"/>
  <c r="AC382" i="2" s="1"/>
  <c r="AC383" i="2" s="1"/>
  <c r="AC384" i="2" s="1"/>
  <c r="AC385" i="2" s="1"/>
  <c r="AD371" i="2"/>
  <c r="AD401" i="2"/>
  <c r="P29" i="9"/>
  <c r="C29" i="3"/>
  <c r="C29" i="4" s="1"/>
  <c r="L349" i="9"/>
  <c r="M349" i="9" s="1"/>
  <c r="K350" i="9"/>
  <c r="AD403" i="2"/>
  <c r="O30" i="9"/>
  <c r="P30" i="9" s="1"/>
  <c r="N31" i="9"/>
  <c r="AC386" i="2" l="1"/>
  <c r="AC387" i="2" s="1"/>
  <c r="AC388" i="2" s="1"/>
  <c r="AC389" i="2" s="1"/>
  <c r="AC390" i="2" s="1"/>
  <c r="AC391" i="2" s="1"/>
  <c r="AC392" i="2" s="1"/>
  <c r="AC393" i="2" s="1"/>
  <c r="AC394" i="2" s="1"/>
  <c r="AC395" i="2" s="1"/>
  <c r="AC396" i="2" s="1"/>
  <c r="AC397" i="2" s="1"/>
  <c r="AC398" i="2" s="1"/>
  <c r="AC399" i="2" s="1"/>
  <c r="AD385" i="2"/>
  <c r="T30" i="9"/>
  <c r="G33" i="2" s="1"/>
  <c r="S29" i="9"/>
  <c r="F32" i="2" s="1"/>
  <c r="B30" i="3" s="1"/>
  <c r="B30" i="4" s="1"/>
  <c r="R29" i="9"/>
  <c r="E32" i="2" s="1"/>
  <c r="A30" i="3" s="1"/>
  <c r="A30" i="4" s="1"/>
  <c r="R30" i="9"/>
  <c r="E33" i="2" s="1"/>
  <c r="A31" i="3" s="1"/>
  <c r="A31" i="4" s="1"/>
  <c r="S30" i="9"/>
  <c r="F33" i="2" s="1"/>
  <c r="B31" i="3" s="1"/>
  <c r="B31" i="4" s="1"/>
  <c r="T29" i="9"/>
  <c r="G32" i="2" s="1"/>
  <c r="C30" i="3" s="1"/>
  <c r="C30" i="4" s="1"/>
  <c r="AD409" i="2"/>
  <c r="L350" i="9"/>
  <c r="M350" i="9" s="1"/>
  <c r="K351" i="9"/>
  <c r="AD417" i="2"/>
  <c r="O31" i="9"/>
  <c r="N32" i="9"/>
  <c r="AC400" i="2" l="1"/>
  <c r="AC401" i="2" s="1"/>
  <c r="AC402" i="2" s="1"/>
  <c r="AC403" i="2" s="1"/>
  <c r="AC404" i="2" s="1"/>
  <c r="AC405" i="2" s="1"/>
  <c r="AC406" i="2" s="1"/>
  <c r="AC407" i="2" s="1"/>
  <c r="AC408" i="2" s="1"/>
  <c r="AC409" i="2" s="1"/>
  <c r="AC410" i="2" s="1"/>
  <c r="AC411" i="2" s="1"/>
  <c r="AC412" i="2" s="1"/>
  <c r="AC413" i="2" s="1"/>
  <c r="AD399" i="2"/>
  <c r="P31" i="9"/>
  <c r="AD411" i="2"/>
  <c r="AD423" i="2"/>
  <c r="C31" i="3"/>
  <c r="C31" i="4" s="1"/>
  <c r="L351" i="9"/>
  <c r="M351" i="9" s="1"/>
  <c r="K352" i="9"/>
  <c r="AD431" i="2"/>
  <c r="O32" i="9"/>
  <c r="P32" i="9" s="1"/>
  <c r="N33" i="9"/>
  <c r="AC414" i="2" l="1"/>
  <c r="AC415" i="2" s="1"/>
  <c r="AC416" i="2" s="1"/>
  <c r="AC417" i="2" s="1"/>
  <c r="AC418" i="2" s="1"/>
  <c r="AC419" i="2" s="1"/>
  <c r="AC420" i="2" s="1"/>
  <c r="AC421" i="2" s="1"/>
  <c r="AC422" i="2" s="1"/>
  <c r="AC423" i="2" s="1"/>
  <c r="AC424" i="2" s="1"/>
  <c r="AC425" i="2" s="1"/>
  <c r="AC426" i="2" s="1"/>
  <c r="AC427" i="2" s="1"/>
  <c r="AD413" i="2"/>
  <c r="AD415" i="2"/>
  <c r="T32" i="9"/>
  <c r="S31" i="9"/>
  <c r="F34" i="2" s="1"/>
  <c r="B32" i="3" s="1"/>
  <c r="B32" i="4" s="1"/>
  <c r="R31" i="9"/>
  <c r="E34" i="2" s="1"/>
  <c r="A32" i="3" s="1"/>
  <c r="A32" i="4" s="1"/>
  <c r="S32" i="9"/>
  <c r="F35" i="2" s="1"/>
  <c r="B33" i="3" s="1"/>
  <c r="B33" i="4" s="1"/>
  <c r="R32" i="9"/>
  <c r="E35" i="2" s="1"/>
  <c r="A33" i="3" s="1"/>
  <c r="A33" i="4" s="1"/>
  <c r="T31" i="9"/>
  <c r="G34" i="2" s="1"/>
  <c r="C32" i="3" s="1"/>
  <c r="C32" i="4" s="1"/>
  <c r="AD425" i="2"/>
  <c r="AD437" i="2"/>
  <c r="K353" i="9"/>
  <c r="L352" i="9"/>
  <c r="M352" i="9" s="1"/>
  <c r="AD445" i="2"/>
  <c r="O33" i="9"/>
  <c r="G35" i="2"/>
  <c r="N34" i="9"/>
  <c r="AC428" i="2" l="1"/>
  <c r="AC429" i="2" s="1"/>
  <c r="AC430" i="2" s="1"/>
  <c r="AC431" i="2" s="1"/>
  <c r="AC432" i="2" s="1"/>
  <c r="AC433" i="2" s="1"/>
  <c r="AC434" i="2" s="1"/>
  <c r="AC435" i="2" s="1"/>
  <c r="AC436" i="2" s="1"/>
  <c r="AC437" i="2" s="1"/>
  <c r="AC438" i="2" s="1"/>
  <c r="AC439" i="2" s="1"/>
  <c r="AC440" i="2" s="1"/>
  <c r="AC441" i="2" s="1"/>
  <c r="AD427" i="2"/>
  <c r="AD429" i="2"/>
  <c r="P33" i="9"/>
  <c r="AD439" i="2"/>
  <c r="AD451" i="2"/>
  <c r="C33" i="3"/>
  <c r="C33" i="4" s="1"/>
  <c r="L353" i="9"/>
  <c r="M353" i="9" s="1"/>
  <c r="K354" i="9"/>
  <c r="AD459" i="2"/>
  <c r="O34" i="9"/>
  <c r="P34" i="9" s="1"/>
  <c r="N35" i="9"/>
  <c r="AC442" i="2" l="1"/>
  <c r="AC443" i="2" s="1"/>
  <c r="AC444" i="2" s="1"/>
  <c r="AC445" i="2" s="1"/>
  <c r="AC446" i="2" s="1"/>
  <c r="AC447" i="2" s="1"/>
  <c r="AC448" i="2" s="1"/>
  <c r="AC449" i="2" s="1"/>
  <c r="AC450" i="2" s="1"/>
  <c r="AC451" i="2" s="1"/>
  <c r="AC452" i="2" s="1"/>
  <c r="AC453" i="2" s="1"/>
  <c r="AC454" i="2" s="1"/>
  <c r="AC455" i="2" s="1"/>
  <c r="AD441" i="2"/>
  <c r="AD443" i="2"/>
  <c r="T34" i="9"/>
  <c r="G37" i="2" s="1"/>
  <c r="R34" i="9"/>
  <c r="E37" i="2" s="1"/>
  <c r="A35" i="3" s="1"/>
  <c r="A35" i="4" s="1"/>
  <c r="S34" i="9"/>
  <c r="F37" i="2" s="1"/>
  <c r="B35" i="3" s="1"/>
  <c r="B35" i="4" s="1"/>
  <c r="S33" i="9"/>
  <c r="F36" i="2" s="1"/>
  <c r="B34" i="3" s="1"/>
  <c r="B34" i="4" s="1"/>
  <c r="R33" i="9"/>
  <c r="E36" i="2" s="1"/>
  <c r="A34" i="3" s="1"/>
  <c r="A34" i="4" s="1"/>
  <c r="T33" i="9"/>
  <c r="G36" i="2" s="1"/>
  <c r="C34" i="3" s="1"/>
  <c r="C34" i="4" s="1"/>
  <c r="AD453" i="2"/>
  <c r="AD465" i="2"/>
  <c r="K355" i="9"/>
  <c r="L354" i="9"/>
  <c r="M354" i="9" s="1"/>
  <c r="AD473" i="2"/>
  <c r="O35" i="9"/>
  <c r="N36" i="9"/>
  <c r="AC456" i="2" l="1"/>
  <c r="AC457" i="2" s="1"/>
  <c r="AD455" i="2"/>
  <c r="AC458" i="2"/>
  <c r="AC459" i="2" s="1"/>
  <c r="AC460" i="2" s="1"/>
  <c r="AC461" i="2" s="1"/>
  <c r="AC462" i="2" s="1"/>
  <c r="AC463" i="2" s="1"/>
  <c r="AC464" i="2" s="1"/>
  <c r="AC465" i="2" s="1"/>
  <c r="AC466" i="2" s="1"/>
  <c r="AC467" i="2" s="1"/>
  <c r="AC468" i="2" s="1"/>
  <c r="AC469" i="2" s="1"/>
  <c r="AD457" i="2"/>
  <c r="P35" i="9"/>
  <c r="AD467" i="2"/>
  <c r="AD479" i="2"/>
  <c r="C35" i="3"/>
  <c r="C35" i="4" s="1"/>
  <c r="L355" i="9"/>
  <c r="M355" i="9" s="1"/>
  <c r="K356" i="9"/>
  <c r="AD487" i="2"/>
  <c r="O36" i="9"/>
  <c r="P36" i="9" s="1"/>
  <c r="N37" i="9"/>
  <c r="AC470" i="2" l="1"/>
  <c r="AC471" i="2" s="1"/>
  <c r="AC472" i="2" s="1"/>
  <c r="AC473" i="2" s="1"/>
  <c r="AC474" i="2" s="1"/>
  <c r="AC475" i="2" s="1"/>
  <c r="AC476" i="2" s="1"/>
  <c r="AC477" i="2" s="1"/>
  <c r="AC478" i="2" s="1"/>
  <c r="AC479" i="2" s="1"/>
  <c r="AC480" i="2" s="1"/>
  <c r="AC481" i="2" s="1"/>
  <c r="AC482" i="2" s="1"/>
  <c r="AC483" i="2" s="1"/>
  <c r="AD469" i="2"/>
  <c r="AD471" i="2"/>
  <c r="T36" i="9"/>
  <c r="S35" i="9"/>
  <c r="F38" i="2" s="1"/>
  <c r="B36" i="3" s="1"/>
  <c r="B36" i="4" s="1"/>
  <c r="R35" i="9"/>
  <c r="E38" i="2" s="1"/>
  <c r="A36" i="3" s="1"/>
  <c r="A36" i="4" s="1"/>
  <c r="R36" i="9"/>
  <c r="E39" i="2" s="1"/>
  <c r="A37" i="3" s="1"/>
  <c r="A37" i="4" s="1"/>
  <c r="S36" i="9"/>
  <c r="F39" i="2" s="1"/>
  <c r="B37" i="3" s="1"/>
  <c r="B37" i="4" s="1"/>
  <c r="T35" i="9"/>
  <c r="G38" i="2" s="1"/>
  <c r="C36" i="3" s="1"/>
  <c r="C36" i="4" s="1"/>
  <c r="AD481" i="2"/>
  <c r="AD493" i="2"/>
  <c r="K357" i="9"/>
  <c r="L356" i="9"/>
  <c r="M356" i="9" s="1"/>
  <c r="AD501" i="2"/>
  <c r="O37" i="9"/>
  <c r="G39" i="2"/>
  <c r="N38" i="9"/>
  <c r="AC484" i="2" l="1"/>
  <c r="AC485" i="2" s="1"/>
  <c r="AC486" i="2" s="1"/>
  <c r="AC487" i="2" s="1"/>
  <c r="AC488" i="2" s="1"/>
  <c r="AC489" i="2" s="1"/>
  <c r="AC490" i="2" s="1"/>
  <c r="AC491" i="2" s="1"/>
  <c r="AC492" i="2" s="1"/>
  <c r="AC493" i="2" s="1"/>
  <c r="AC494" i="2" s="1"/>
  <c r="AC495" i="2" s="1"/>
  <c r="AC496" i="2" s="1"/>
  <c r="AC497" i="2" s="1"/>
  <c r="AD483" i="2"/>
  <c r="AD485" i="2"/>
  <c r="P37" i="9"/>
  <c r="AD495" i="2"/>
  <c r="AD507" i="2"/>
  <c r="C37" i="3"/>
  <c r="C37" i="4" s="1"/>
  <c r="L357" i="9"/>
  <c r="M357" i="9" s="1"/>
  <c r="K358" i="9"/>
  <c r="AD515" i="2"/>
  <c r="O38" i="9"/>
  <c r="P38" i="9" s="1"/>
  <c r="N39" i="9"/>
  <c r="AC498" i="2" l="1"/>
  <c r="AC499" i="2" s="1"/>
  <c r="AC500" i="2" s="1"/>
  <c r="AC501" i="2" s="1"/>
  <c r="AC502" i="2" s="1"/>
  <c r="AC503" i="2" s="1"/>
  <c r="AC504" i="2" s="1"/>
  <c r="AC505" i="2" s="1"/>
  <c r="AC506" i="2" s="1"/>
  <c r="AC507" i="2" s="1"/>
  <c r="AC508" i="2" s="1"/>
  <c r="AC509" i="2" s="1"/>
  <c r="AC510" i="2" s="1"/>
  <c r="AC511" i="2" s="1"/>
  <c r="AD497" i="2"/>
  <c r="AD499" i="2"/>
  <c r="T38" i="9"/>
  <c r="R37" i="9"/>
  <c r="E40" i="2" s="1"/>
  <c r="A38" i="3" s="1"/>
  <c r="A38" i="4" s="1"/>
  <c r="S37" i="9"/>
  <c r="F40" i="2" s="1"/>
  <c r="B38" i="3" s="1"/>
  <c r="B38" i="4" s="1"/>
  <c r="R38" i="9"/>
  <c r="E41" i="2" s="1"/>
  <c r="A39" i="3" s="1"/>
  <c r="A39" i="4" s="1"/>
  <c r="S38" i="9"/>
  <c r="F41" i="2" s="1"/>
  <c r="B39" i="3" s="1"/>
  <c r="B39" i="4" s="1"/>
  <c r="T37" i="9"/>
  <c r="G40" i="2" s="1"/>
  <c r="C38" i="3" s="1"/>
  <c r="C38" i="4" s="1"/>
  <c r="AD509" i="2"/>
  <c r="AD521" i="2"/>
  <c r="L358" i="9"/>
  <c r="M358" i="9" s="1"/>
  <c r="K359" i="9"/>
  <c r="AD529" i="2"/>
  <c r="O39" i="9"/>
  <c r="G41" i="2"/>
  <c r="N40" i="9"/>
  <c r="AC512" i="2" l="1"/>
  <c r="AC513" i="2" s="1"/>
  <c r="AC514" i="2" s="1"/>
  <c r="AC515" i="2" s="1"/>
  <c r="AC516" i="2" s="1"/>
  <c r="AC517" i="2" s="1"/>
  <c r="AC518" i="2" s="1"/>
  <c r="AC519" i="2" s="1"/>
  <c r="AC520" i="2" s="1"/>
  <c r="AC521" i="2" s="1"/>
  <c r="AC522" i="2" s="1"/>
  <c r="AC523" i="2" s="1"/>
  <c r="AC524" i="2" s="1"/>
  <c r="AC525" i="2" s="1"/>
  <c r="AD511" i="2"/>
  <c r="AD513" i="2"/>
  <c r="P39" i="9"/>
  <c r="AD523" i="2"/>
  <c r="AD535" i="2"/>
  <c r="C39" i="3"/>
  <c r="C39" i="4" s="1"/>
  <c r="L359" i="9"/>
  <c r="M359" i="9" s="1"/>
  <c r="K360" i="9"/>
  <c r="AD543" i="2"/>
  <c r="O40" i="9"/>
  <c r="P40" i="9" s="1"/>
  <c r="N41" i="9"/>
  <c r="AC526" i="2" l="1"/>
  <c r="AC527" i="2" s="1"/>
  <c r="AC528" i="2" s="1"/>
  <c r="AC529" i="2" s="1"/>
  <c r="AC530" i="2" s="1"/>
  <c r="AC531" i="2" s="1"/>
  <c r="AC532" i="2" s="1"/>
  <c r="AC533" i="2" s="1"/>
  <c r="AC534" i="2" s="1"/>
  <c r="AC535" i="2" s="1"/>
  <c r="AC536" i="2" s="1"/>
  <c r="AC537" i="2" s="1"/>
  <c r="AC538" i="2" s="1"/>
  <c r="AC539" i="2" s="1"/>
  <c r="AD525" i="2"/>
  <c r="AD527" i="2"/>
  <c r="T40" i="9"/>
  <c r="R39" i="9"/>
  <c r="E42" i="2" s="1"/>
  <c r="A40" i="3" s="1"/>
  <c r="A40" i="4" s="1"/>
  <c r="S39" i="9"/>
  <c r="F42" i="2" s="1"/>
  <c r="B40" i="3" s="1"/>
  <c r="B40" i="4" s="1"/>
  <c r="R40" i="9"/>
  <c r="E43" i="2" s="1"/>
  <c r="A41" i="3" s="1"/>
  <c r="A41" i="4" s="1"/>
  <c r="S40" i="9"/>
  <c r="F43" i="2" s="1"/>
  <c r="B41" i="3" s="1"/>
  <c r="B41" i="4" s="1"/>
  <c r="T39" i="9"/>
  <c r="G42" i="2" s="1"/>
  <c r="C40" i="3" s="1"/>
  <c r="C40" i="4" s="1"/>
  <c r="AD537" i="2"/>
  <c r="AD549" i="2"/>
  <c r="L360" i="9"/>
  <c r="M360" i="9" s="1"/>
  <c r="K361" i="9"/>
  <c r="AD557" i="2"/>
  <c r="O41" i="9"/>
  <c r="G43" i="2"/>
  <c r="N42" i="9"/>
  <c r="AC540" i="2" l="1"/>
  <c r="AC541" i="2" s="1"/>
  <c r="AC542" i="2" s="1"/>
  <c r="AC543" i="2" s="1"/>
  <c r="AC544" i="2" s="1"/>
  <c r="AC545" i="2" s="1"/>
  <c r="AC546" i="2" s="1"/>
  <c r="AC547" i="2" s="1"/>
  <c r="AC548" i="2" s="1"/>
  <c r="AC549" i="2" s="1"/>
  <c r="AC550" i="2" s="1"/>
  <c r="AC551" i="2" s="1"/>
  <c r="AC552" i="2" s="1"/>
  <c r="AC553" i="2" s="1"/>
  <c r="AD539" i="2"/>
  <c r="P41" i="9"/>
  <c r="AD551" i="2"/>
  <c r="AD563" i="2"/>
  <c r="C41" i="3"/>
  <c r="C41" i="4" s="1"/>
  <c r="L361" i="9"/>
  <c r="M361" i="9" s="1"/>
  <c r="K362" i="9"/>
  <c r="AD571" i="2"/>
  <c r="O42" i="9"/>
  <c r="P42" i="9" s="1"/>
  <c r="N43" i="9"/>
  <c r="AC554" i="2" l="1"/>
  <c r="AC555" i="2" s="1"/>
  <c r="AC556" i="2" s="1"/>
  <c r="AC557" i="2" s="1"/>
  <c r="AC558" i="2" s="1"/>
  <c r="AC559" i="2" s="1"/>
  <c r="AC560" i="2" s="1"/>
  <c r="AC561" i="2" s="1"/>
  <c r="AC562" i="2" s="1"/>
  <c r="AC563" i="2" s="1"/>
  <c r="AC564" i="2" s="1"/>
  <c r="AC565" i="2" s="1"/>
  <c r="AC566" i="2" s="1"/>
  <c r="AC567" i="2" s="1"/>
  <c r="AD553" i="2"/>
  <c r="T42" i="9"/>
  <c r="G45" i="2" s="1"/>
  <c r="R42" i="9"/>
  <c r="E45" i="2" s="1"/>
  <c r="A43" i="3" s="1"/>
  <c r="A43" i="4" s="1"/>
  <c r="S42" i="9"/>
  <c r="F45" i="2" s="1"/>
  <c r="B43" i="3" s="1"/>
  <c r="B43" i="4" s="1"/>
  <c r="R41" i="9"/>
  <c r="E44" i="2" s="1"/>
  <c r="A42" i="3" s="1"/>
  <c r="A42" i="4" s="1"/>
  <c r="S41" i="9"/>
  <c r="F44" i="2" s="1"/>
  <c r="B42" i="3" s="1"/>
  <c r="B42" i="4" s="1"/>
  <c r="T41" i="9"/>
  <c r="G44" i="2" s="1"/>
  <c r="C42" i="3" s="1"/>
  <c r="C42" i="4" s="1"/>
  <c r="AD565" i="2"/>
  <c r="L362" i="9"/>
  <c r="M362" i="9" s="1"/>
  <c r="K363" i="9"/>
  <c r="AD585" i="2"/>
  <c r="O43" i="9"/>
  <c r="N44" i="9"/>
  <c r="AC568" i="2" l="1"/>
  <c r="AC569" i="2" s="1"/>
  <c r="AC570" i="2" s="1"/>
  <c r="AC571" i="2" s="1"/>
  <c r="AC572" i="2" s="1"/>
  <c r="AC573" i="2" s="1"/>
  <c r="AC574" i="2" s="1"/>
  <c r="AC575" i="2" s="1"/>
  <c r="AC576" i="2" s="1"/>
  <c r="AC577" i="2" s="1"/>
  <c r="AC578" i="2" s="1"/>
  <c r="AC579" i="2" s="1"/>
  <c r="AC580" i="2" s="1"/>
  <c r="AC581" i="2" s="1"/>
  <c r="AD567" i="2"/>
  <c r="P43" i="9"/>
  <c r="AD577" i="2"/>
  <c r="AD579" i="2"/>
  <c r="C43" i="3"/>
  <c r="C43" i="4" s="1"/>
  <c r="L363" i="9"/>
  <c r="M363" i="9" s="1"/>
  <c r="K364" i="9"/>
  <c r="AD599" i="2"/>
  <c r="O44" i="9"/>
  <c r="P44" i="9" s="1"/>
  <c r="N45" i="9"/>
  <c r="AC582" i="2" l="1"/>
  <c r="AC583" i="2" s="1"/>
  <c r="AC584" i="2" s="1"/>
  <c r="AC585" i="2" s="1"/>
  <c r="AC586" i="2" s="1"/>
  <c r="AC587" i="2" s="1"/>
  <c r="AC588" i="2" s="1"/>
  <c r="AC589" i="2" s="1"/>
  <c r="AC590" i="2" s="1"/>
  <c r="AC591" i="2" s="1"/>
  <c r="AC592" i="2" s="1"/>
  <c r="AC593" i="2" s="1"/>
  <c r="AC594" i="2" s="1"/>
  <c r="AC595" i="2" s="1"/>
  <c r="AD581" i="2"/>
  <c r="T44" i="9"/>
  <c r="G47" i="2" s="1"/>
  <c r="S44" i="9"/>
  <c r="F47" i="2" s="1"/>
  <c r="B45" i="3" s="1"/>
  <c r="B45" i="4" s="1"/>
  <c r="R44" i="9"/>
  <c r="E47" i="2" s="1"/>
  <c r="A45" i="3" s="1"/>
  <c r="A45" i="4" s="1"/>
  <c r="R43" i="9"/>
  <c r="E46" i="2" s="1"/>
  <c r="A44" i="3" s="1"/>
  <c r="A44" i="4" s="1"/>
  <c r="S43" i="9"/>
  <c r="F46" i="2" s="1"/>
  <c r="B44" i="3" s="1"/>
  <c r="B44" i="4" s="1"/>
  <c r="T43" i="9"/>
  <c r="G46" i="2" s="1"/>
  <c r="C44" i="3" s="1"/>
  <c r="C44" i="4" s="1"/>
  <c r="AD591" i="2"/>
  <c r="AD593" i="2"/>
  <c r="L364" i="9"/>
  <c r="M364" i="9" s="1"/>
  <c r="K365" i="9"/>
  <c r="AD613" i="2"/>
  <c r="O45" i="9"/>
  <c r="N46" i="9"/>
  <c r="AC596" i="2" l="1"/>
  <c r="AC597" i="2" s="1"/>
  <c r="AC598" i="2" s="1"/>
  <c r="AC599" i="2" s="1"/>
  <c r="AC600" i="2" s="1"/>
  <c r="AC601" i="2" s="1"/>
  <c r="AC602" i="2" s="1"/>
  <c r="AC603" i="2" s="1"/>
  <c r="AC604" i="2" s="1"/>
  <c r="AC605" i="2" s="1"/>
  <c r="AC606" i="2" s="1"/>
  <c r="AC607" i="2" s="1"/>
  <c r="AC608" i="2" s="1"/>
  <c r="AC609" i="2" s="1"/>
  <c r="AD595" i="2"/>
  <c r="P45" i="9"/>
  <c r="AD605" i="2"/>
  <c r="AD607" i="2"/>
  <c r="C45" i="3"/>
  <c r="C45" i="4" s="1"/>
  <c r="L365" i="9"/>
  <c r="M365" i="9" s="1"/>
  <c r="K366" i="9"/>
  <c r="AD627" i="2"/>
  <c r="O46" i="9"/>
  <c r="P46" i="9" s="1"/>
  <c r="N47" i="9"/>
  <c r="AC610" i="2" l="1"/>
  <c r="AC611" i="2" s="1"/>
  <c r="AC612" i="2" s="1"/>
  <c r="AC613" i="2" s="1"/>
  <c r="AC614" i="2" s="1"/>
  <c r="AC615" i="2" s="1"/>
  <c r="AC616" i="2" s="1"/>
  <c r="AC617" i="2" s="1"/>
  <c r="AC618" i="2" s="1"/>
  <c r="AC619" i="2" s="1"/>
  <c r="AC620" i="2" s="1"/>
  <c r="AC621" i="2" s="1"/>
  <c r="AC622" i="2" s="1"/>
  <c r="AC623" i="2" s="1"/>
  <c r="AD609" i="2"/>
  <c r="T46" i="9"/>
  <c r="S45" i="9"/>
  <c r="F48" i="2" s="1"/>
  <c r="B46" i="3" s="1"/>
  <c r="B46" i="4" s="1"/>
  <c r="R45" i="9"/>
  <c r="E48" i="2" s="1"/>
  <c r="A46" i="3" s="1"/>
  <c r="A46" i="4" s="1"/>
  <c r="S46" i="9"/>
  <c r="F49" i="2" s="1"/>
  <c r="B47" i="3" s="1"/>
  <c r="B47" i="4" s="1"/>
  <c r="R46" i="9"/>
  <c r="E49" i="2" s="1"/>
  <c r="A47" i="3" s="1"/>
  <c r="A47" i="4" s="1"/>
  <c r="T45" i="9"/>
  <c r="G48" i="2" s="1"/>
  <c r="C46" i="3" s="1"/>
  <c r="C46" i="4" s="1"/>
  <c r="AD619" i="2"/>
  <c r="AD621" i="2"/>
  <c r="L366" i="9"/>
  <c r="M366" i="9" s="1"/>
  <c r="K367" i="9"/>
  <c r="AD641" i="2"/>
  <c r="O47" i="9"/>
  <c r="G49" i="2"/>
  <c r="N48" i="9"/>
  <c r="AC624" i="2" l="1"/>
  <c r="AC625" i="2" s="1"/>
  <c r="AC626" i="2" s="1"/>
  <c r="AC627" i="2" s="1"/>
  <c r="AC628" i="2" s="1"/>
  <c r="AC629" i="2" s="1"/>
  <c r="AC630" i="2" s="1"/>
  <c r="AC631" i="2" s="1"/>
  <c r="AC632" i="2" s="1"/>
  <c r="AC633" i="2" s="1"/>
  <c r="AC634" i="2" s="1"/>
  <c r="AC635" i="2" s="1"/>
  <c r="AC636" i="2" s="1"/>
  <c r="AC637" i="2" s="1"/>
  <c r="AD623" i="2"/>
  <c r="AD631" i="2"/>
  <c r="P47" i="9"/>
  <c r="AD633" i="2"/>
  <c r="AD635" i="2"/>
  <c r="AD647" i="2"/>
  <c r="C47" i="3"/>
  <c r="C47" i="4" s="1"/>
  <c r="L367" i="9"/>
  <c r="M367" i="9" s="1"/>
  <c r="K368" i="9"/>
  <c r="AD655" i="2"/>
  <c r="O48" i="9"/>
  <c r="P48" i="9" s="1"/>
  <c r="N49" i="9"/>
  <c r="AC638" i="2" l="1"/>
  <c r="AC639" i="2" s="1"/>
  <c r="AC640" i="2" s="1"/>
  <c r="AC641" i="2" s="1"/>
  <c r="AC642" i="2" s="1"/>
  <c r="AC643" i="2" s="1"/>
  <c r="AC644" i="2" s="1"/>
  <c r="AC645" i="2" s="1"/>
  <c r="AC646" i="2" s="1"/>
  <c r="AC647" i="2" s="1"/>
  <c r="AC648" i="2" s="1"/>
  <c r="AC649" i="2" s="1"/>
  <c r="AC650" i="2" s="1"/>
  <c r="AC651" i="2" s="1"/>
  <c r="AD637" i="2"/>
  <c r="T48" i="9"/>
  <c r="G51" i="2" s="1"/>
  <c r="AD645" i="2"/>
  <c r="R47" i="9"/>
  <c r="E50" i="2" s="1"/>
  <c r="A48" i="3" s="1"/>
  <c r="A48" i="4" s="1"/>
  <c r="S47" i="9"/>
  <c r="F50" i="2" s="1"/>
  <c r="B48" i="3" s="1"/>
  <c r="B48" i="4" s="1"/>
  <c r="R48" i="9"/>
  <c r="E51" i="2" s="1"/>
  <c r="A49" i="3" s="1"/>
  <c r="A49" i="4" s="1"/>
  <c r="S48" i="9"/>
  <c r="F51" i="2" s="1"/>
  <c r="B49" i="3" s="1"/>
  <c r="B49" i="4" s="1"/>
  <c r="T47" i="9"/>
  <c r="G50" i="2" s="1"/>
  <c r="C48" i="3" s="1"/>
  <c r="C48" i="4" s="1"/>
  <c r="AD649" i="2"/>
  <c r="AD661" i="2"/>
  <c r="L368" i="9"/>
  <c r="M368" i="9" s="1"/>
  <c r="K369" i="9"/>
  <c r="AD669" i="2"/>
  <c r="O49" i="9"/>
  <c r="N50" i="9"/>
  <c r="AC652" i="2" l="1"/>
  <c r="AC653" i="2" s="1"/>
  <c r="AC654" i="2" s="1"/>
  <c r="AC655" i="2" s="1"/>
  <c r="AC656" i="2" s="1"/>
  <c r="AC657" i="2" s="1"/>
  <c r="AC658" i="2" s="1"/>
  <c r="AC659" i="2" s="1"/>
  <c r="AC660" i="2" s="1"/>
  <c r="AC661" i="2" s="1"/>
  <c r="AC662" i="2" s="1"/>
  <c r="AC663" i="2" s="1"/>
  <c r="AC664" i="2" s="1"/>
  <c r="AC665" i="2" s="1"/>
  <c r="AD651" i="2"/>
  <c r="AD659" i="2"/>
  <c r="P49" i="9"/>
  <c r="AD663" i="2"/>
  <c r="AD675" i="2"/>
  <c r="C49" i="3"/>
  <c r="C49" i="4" s="1"/>
  <c r="L369" i="9"/>
  <c r="M369" i="9" s="1"/>
  <c r="K370" i="9"/>
  <c r="AD683" i="2"/>
  <c r="O50" i="9"/>
  <c r="P50" i="9" s="1"/>
  <c r="N51" i="9"/>
  <c r="AC666" i="2" l="1"/>
  <c r="AC667" i="2" s="1"/>
  <c r="AC668" i="2" s="1"/>
  <c r="AC669" i="2" s="1"/>
  <c r="AC670" i="2" s="1"/>
  <c r="AC671" i="2" s="1"/>
  <c r="AC672" i="2" s="1"/>
  <c r="AC673" i="2" s="1"/>
  <c r="AC674" i="2" s="1"/>
  <c r="AC675" i="2" s="1"/>
  <c r="AC676" i="2" s="1"/>
  <c r="AC677" i="2" s="1"/>
  <c r="AC678" i="2" s="1"/>
  <c r="AC679" i="2" s="1"/>
  <c r="AD665" i="2"/>
  <c r="T50" i="9"/>
  <c r="AD673" i="2"/>
  <c r="R49" i="9"/>
  <c r="E52" i="2" s="1"/>
  <c r="A50" i="3" s="1"/>
  <c r="A50" i="4" s="1"/>
  <c r="S49" i="9"/>
  <c r="F52" i="2" s="1"/>
  <c r="B50" i="3" s="1"/>
  <c r="B50" i="4" s="1"/>
  <c r="R50" i="9"/>
  <c r="E53" i="2" s="1"/>
  <c r="A51" i="3" s="1"/>
  <c r="A51" i="4" s="1"/>
  <c r="S50" i="9"/>
  <c r="F53" i="2" s="1"/>
  <c r="B51" i="3" s="1"/>
  <c r="B51" i="4" s="1"/>
  <c r="T49" i="9"/>
  <c r="G52" i="2" s="1"/>
  <c r="C50" i="3" s="1"/>
  <c r="C50" i="4" s="1"/>
  <c r="AD677" i="2"/>
  <c r="AD689" i="2"/>
  <c r="L370" i="9"/>
  <c r="M370" i="9" s="1"/>
  <c r="K371" i="9"/>
  <c r="AD697" i="2"/>
  <c r="O51" i="9"/>
  <c r="G53" i="2"/>
  <c r="N52" i="9"/>
  <c r="AC680" i="2" l="1"/>
  <c r="AC681" i="2" s="1"/>
  <c r="AC682" i="2" s="1"/>
  <c r="AC683" i="2" s="1"/>
  <c r="AC684" i="2" s="1"/>
  <c r="AC685" i="2" s="1"/>
  <c r="AC686" i="2" s="1"/>
  <c r="AC687" i="2" s="1"/>
  <c r="AC688" i="2" s="1"/>
  <c r="AC689" i="2" s="1"/>
  <c r="AC690" i="2" s="1"/>
  <c r="AC691" i="2" s="1"/>
  <c r="AC692" i="2" s="1"/>
  <c r="AC693" i="2" s="1"/>
  <c r="AD679" i="2"/>
  <c r="AD687" i="2"/>
  <c r="P51" i="9"/>
  <c r="T51" i="9" s="1"/>
  <c r="G54" i="2" s="1"/>
  <c r="AD691" i="2"/>
  <c r="AD703" i="2"/>
  <c r="C51" i="3"/>
  <c r="C51" i="4" s="1"/>
  <c r="L371" i="9"/>
  <c r="M371" i="9" s="1"/>
  <c r="K372" i="9"/>
  <c r="AD711" i="2"/>
  <c r="O52" i="9"/>
  <c r="P52" i="9" s="1"/>
  <c r="N53" i="9"/>
  <c r="AC694" i="2" l="1"/>
  <c r="AC695" i="2" s="1"/>
  <c r="AC696" i="2" s="1"/>
  <c r="AC697" i="2" s="1"/>
  <c r="AC698" i="2" s="1"/>
  <c r="AC699" i="2" s="1"/>
  <c r="AC700" i="2" s="1"/>
  <c r="AC701" i="2" s="1"/>
  <c r="AC702" i="2" s="1"/>
  <c r="AC703" i="2" s="1"/>
  <c r="AC704" i="2" s="1"/>
  <c r="AC705" i="2" s="1"/>
  <c r="AC706" i="2" s="1"/>
  <c r="AC707" i="2" s="1"/>
  <c r="AD693" i="2"/>
  <c r="T52" i="9"/>
  <c r="AD701" i="2"/>
  <c r="R52" i="9"/>
  <c r="E55" i="2" s="1"/>
  <c r="A53" i="3" s="1"/>
  <c r="A53" i="4" s="1"/>
  <c r="S52" i="9"/>
  <c r="F55" i="2" s="1"/>
  <c r="B53" i="3" s="1"/>
  <c r="B53" i="4" s="1"/>
  <c r="S51" i="9"/>
  <c r="F54" i="2" s="1"/>
  <c r="B52" i="3" s="1"/>
  <c r="B52" i="4" s="1"/>
  <c r="R51" i="9"/>
  <c r="E54" i="2" s="1"/>
  <c r="A52" i="3" s="1"/>
  <c r="A52" i="4" s="1"/>
  <c r="AD705" i="2"/>
  <c r="AD717" i="2"/>
  <c r="C52" i="3"/>
  <c r="C52" i="4" s="1"/>
  <c r="L372" i="9"/>
  <c r="M372" i="9" s="1"/>
  <c r="K373" i="9"/>
  <c r="AD725" i="2"/>
  <c r="O53" i="9"/>
  <c r="G55" i="2"/>
  <c r="N54" i="9"/>
  <c r="AC708" i="2" l="1"/>
  <c r="AC709" i="2" s="1"/>
  <c r="AC710" i="2" s="1"/>
  <c r="AC711" i="2" s="1"/>
  <c r="AC712" i="2" s="1"/>
  <c r="AC713" i="2" s="1"/>
  <c r="AC714" i="2" s="1"/>
  <c r="AC715" i="2" s="1"/>
  <c r="AC716" i="2" s="1"/>
  <c r="AC717" i="2" s="1"/>
  <c r="AC718" i="2" s="1"/>
  <c r="AC719" i="2" s="1"/>
  <c r="AC720" i="2" s="1"/>
  <c r="AC721" i="2" s="1"/>
  <c r="AD707" i="2"/>
  <c r="AD715" i="2"/>
  <c r="P53" i="9"/>
  <c r="AD719" i="2"/>
  <c r="AD731" i="2"/>
  <c r="C53" i="3"/>
  <c r="C53" i="4" s="1"/>
  <c r="L373" i="9"/>
  <c r="M373" i="9" s="1"/>
  <c r="K374" i="9"/>
  <c r="AD739" i="2"/>
  <c r="O54" i="9"/>
  <c r="P54" i="9" s="1"/>
  <c r="N55" i="9"/>
  <c r="AC722" i="2" l="1"/>
  <c r="AC723" i="2" s="1"/>
  <c r="AC724" i="2" s="1"/>
  <c r="AC725" i="2" s="1"/>
  <c r="AC726" i="2" s="1"/>
  <c r="AC727" i="2" s="1"/>
  <c r="AC728" i="2" s="1"/>
  <c r="AC729" i="2" s="1"/>
  <c r="AC730" i="2" s="1"/>
  <c r="AC731" i="2" s="1"/>
  <c r="AC732" i="2" s="1"/>
  <c r="AC733" i="2" s="1"/>
  <c r="AC734" i="2" s="1"/>
  <c r="AC735" i="2" s="1"/>
  <c r="AD721" i="2"/>
  <c r="T54" i="9"/>
  <c r="AD729" i="2"/>
  <c r="S53" i="9"/>
  <c r="F56" i="2" s="1"/>
  <c r="B54" i="3" s="1"/>
  <c r="B54" i="4" s="1"/>
  <c r="R53" i="9"/>
  <c r="E56" i="2" s="1"/>
  <c r="A54" i="3" s="1"/>
  <c r="A54" i="4" s="1"/>
  <c r="R54" i="9"/>
  <c r="E57" i="2" s="1"/>
  <c r="A55" i="3" s="1"/>
  <c r="A55" i="4" s="1"/>
  <c r="S54" i="9"/>
  <c r="F57" i="2" s="1"/>
  <c r="B55" i="3" s="1"/>
  <c r="B55" i="4" s="1"/>
  <c r="T53" i="9"/>
  <c r="G56" i="2" s="1"/>
  <c r="C54" i="3" s="1"/>
  <c r="C54" i="4" s="1"/>
  <c r="AD733" i="2"/>
  <c r="AD745" i="2"/>
  <c r="L374" i="9"/>
  <c r="M374" i="9" s="1"/>
  <c r="K375" i="9"/>
  <c r="AD753" i="2"/>
  <c r="O55" i="9"/>
  <c r="G57" i="2"/>
  <c r="N56" i="9"/>
  <c r="AC736" i="2" l="1"/>
  <c r="AC737" i="2" s="1"/>
  <c r="AC738" i="2" s="1"/>
  <c r="AC739" i="2" s="1"/>
  <c r="AC740" i="2" s="1"/>
  <c r="AC741" i="2" s="1"/>
  <c r="AC742" i="2" s="1"/>
  <c r="AC743" i="2" s="1"/>
  <c r="AC744" i="2" s="1"/>
  <c r="AC745" i="2" s="1"/>
  <c r="AC746" i="2" s="1"/>
  <c r="AC747" i="2" s="1"/>
  <c r="AC748" i="2" s="1"/>
  <c r="AC749" i="2" s="1"/>
  <c r="AD735" i="2"/>
  <c r="P55" i="9"/>
  <c r="AD747" i="2"/>
  <c r="AD759" i="2"/>
  <c r="C55" i="3"/>
  <c r="C55" i="4" s="1"/>
  <c r="L375" i="9"/>
  <c r="M375" i="9" s="1"/>
  <c r="K376" i="9"/>
  <c r="AD767" i="2"/>
  <c r="O56" i="9"/>
  <c r="P56" i="9" s="1"/>
  <c r="N57" i="9"/>
  <c r="AC750" i="2" l="1"/>
  <c r="AC751" i="2" s="1"/>
  <c r="AC752" i="2" s="1"/>
  <c r="AC753" i="2" s="1"/>
  <c r="AC754" i="2" s="1"/>
  <c r="AC755" i="2" s="1"/>
  <c r="AC756" i="2" s="1"/>
  <c r="AC757" i="2" s="1"/>
  <c r="AC758" i="2" s="1"/>
  <c r="AC759" i="2" s="1"/>
  <c r="AC760" i="2" s="1"/>
  <c r="AC761" i="2" s="1"/>
  <c r="AC762" i="2" s="1"/>
  <c r="AC763" i="2" s="1"/>
  <c r="AD749" i="2"/>
  <c r="T56" i="9"/>
  <c r="G59" i="2" s="1"/>
  <c r="S55" i="9"/>
  <c r="F58" i="2" s="1"/>
  <c r="B56" i="3" s="1"/>
  <c r="B56" i="4" s="1"/>
  <c r="R55" i="9"/>
  <c r="E58" i="2" s="1"/>
  <c r="A56" i="3" s="1"/>
  <c r="A56" i="4" s="1"/>
  <c r="S56" i="9"/>
  <c r="F59" i="2" s="1"/>
  <c r="B57" i="3" s="1"/>
  <c r="B57" i="4" s="1"/>
  <c r="R56" i="9"/>
  <c r="E59" i="2" s="1"/>
  <c r="A57" i="3" s="1"/>
  <c r="A57" i="4" s="1"/>
  <c r="T55" i="9"/>
  <c r="G58" i="2" s="1"/>
  <c r="C56" i="3" s="1"/>
  <c r="C56" i="4" s="1"/>
  <c r="AD761" i="2"/>
  <c r="AD773" i="2"/>
  <c r="L376" i="9"/>
  <c r="M376" i="9" s="1"/>
  <c r="K377" i="9"/>
  <c r="AD781" i="2"/>
  <c r="O57" i="9"/>
  <c r="N58" i="9"/>
  <c r="AC764" i="2" l="1"/>
  <c r="AC765" i="2" s="1"/>
  <c r="AC766" i="2" s="1"/>
  <c r="AC767" i="2" s="1"/>
  <c r="AC768" i="2" s="1"/>
  <c r="AC769" i="2" s="1"/>
  <c r="AC770" i="2" s="1"/>
  <c r="AC771" i="2" s="1"/>
  <c r="AC772" i="2" s="1"/>
  <c r="AC773" i="2" s="1"/>
  <c r="AC774" i="2" s="1"/>
  <c r="AC775" i="2" s="1"/>
  <c r="AC776" i="2" s="1"/>
  <c r="AC777" i="2" s="1"/>
  <c r="AD763" i="2"/>
  <c r="P57" i="9"/>
  <c r="AD775" i="2"/>
  <c r="AD787" i="2"/>
  <c r="C57" i="3"/>
  <c r="C57" i="4" s="1"/>
  <c r="L377" i="9"/>
  <c r="M377" i="9" s="1"/>
  <c r="K378" i="9"/>
  <c r="AD795" i="2"/>
  <c r="O58" i="9"/>
  <c r="P58" i="9" s="1"/>
  <c r="N59" i="9"/>
  <c r="AC778" i="2" l="1"/>
  <c r="AC779" i="2" s="1"/>
  <c r="AC780" i="2" s="1"/>
  <c r="AC781" i="2" s="1"/>
  <c r="AC782" i="2" s="1"/>
  <c r="AC783" i="2" s="1"/>
  <c r="AC784" i="2" s="1"/>
  <c r="AC785" i="2" s="1"/>
  <c r="AC786" i="2" s="1"/>
  <c r="AC787" i="2" s="1"/>
  <c r="AC788" i="2" s="1"/>
  <c r="AC789" i="2" s="1"/>
  <c r="AC790" i="2" s="1"/>
  <c r="AC791" i="2" s="1"/>
  <c r="AD777" i="2"/>
  <c r="T58" i="9"/>
  <c r="G61" i="2" s="1"/>
  <c r="S58" i="9"/>
  <c r="F61" i="2" s="1"/>
  <c r="B59" i="3" s="1"/>
  <c r="B59" i="4" s="1"/>
  <c r="R58" i="9"/>
  <c r="E61" i="2" s="1"/>
  <c r="A59" i="3" s="1"/>
  <c r="A59" i="4" s="1"/>
  <c r="S57" i="9"/>
  <c r="F60" i="2" s="1"/>
  <c r="B58" i="3" s="1"/>
  <c r="B58" i="4" s="1"/>
  <c r="R57" i="9"/>
  <c r="E60" i="2" s="1"/>
  <c r="A58" i="3" s="1"/>
  <c r="A58" i="4" s="1"/>
  <c r="T57" i="9"/>
  <c r="G60" i="2" s="1"/>
  <c r="C58" i="3" s="1"/>
  <c r="C58" i="4" s="1"/>
  <c r="AD789" i="2"/>
  <c r="AD801" i="2"/>
  <c r="L378" i="9"/>
  <c r="M378" i="9" s="1"/>
  <c r="K379" i="9"/>
  <c r="AD809" i="2"/>
  <c r="O59" i="9"/>
  <c r="N60" i="9"/>
  <c r="AC792" i="2" l="1"/>
  <c r="AC793" i="2" s="1"/>
  <c r="AC794" i="2" s="1"/>
  <c r="AC795" i="2" s="1"/>
  <c r="AC796" i="2" s="1"/>
  <c r="AC797" i="2" s="1"/>
  <c r="AC798" i="2" s="1"/>
  <c r="AC799" i="2" s="1"/>
  <c r="AC800" i="2" s="1"/>
  <c r="AC801" i="2" s="1"/>
  <c r="AC802" i="2" s="1"/>
  <c r="AC803" i="2" s="1"/>
  <c r="AC804" i="2" s="1"/>
  <c r="AC805" i="2" s="1"/>
  <c r="AC806" i="2" s="1"/>
  <c r="AC807" i="2" s="1"/>
  <c r="AC808" i="2" s="1"/>
  <c r="AC809" i="2" s="1"/>
  <c r="AC810" i="2" s="1"/>
  <c r="AC811" i="2" s="1"/>
  <c r="AC812" i="2" s="1"/>
  <c r="AC813" i="2" s="1"/>
  <c r="AC814" i="2" s="1"/>
  <c r="AC815" i="2" s="1"/>
  <c r="AC816" i="2" s="1"/>
  <c r="AC817" i="2" s="1"/>
  <c r="AD791" i="2"/>
  <c r="P59" i="9"/>
  <c r="AD803" i="2"/>
  <c r="AD815" i="2"/>
  <c r="C59" i="3"/>
  <c r="C59" i="4" s="1"/>
  <c r="L379" i="9"/>
  <c r="M379" i="9" s="1"/>
  <c r="K380" i="9"/>
  <c r="AD823" i="2"/>
  <c r="O60" i="9"/>
  <c r="P60" i="9" s="1"/>
  <c r="N61" i="9"/>
  <c r="T60" i="9" l="1"/>
  <c r="S60" i="9"/>
  <c r="F63" i="2" s="1"/>
  <c r="B61" i="3" s="1"/>
  <c r="B61" i="4" s="1"/>
  <c r="R60" i="9"/>
  <c r="E63" i="2" s="1"/>
  <c r="A61" i="3" s="1"/>
  <c r="A61" i="4" s="1"/>
  <c r="R59" i="9"/>
  <c r="E62" i="2" s="1"/>
  <c r="A60" i="3" s="1"/>
  <c r="A60" i="4" s="1"/>
  <c r="S59" i="9"/>
  <c r="F62" i="2" s="1"/>
  <c r="B60" i="3" s="1"/>
  <c r="B60" i="4" s="1"/>
  <c r="T59" i="9"/>
  <c r="G62" i="2" s="1"/>
  <c r="C60" i="3" s="1"/>
  <c r="C60" i="4" s="1"/>
  <c r="AC818" i="2"/>
  <c r="AC819" i="2" s="1"/>
  <c r="AC820" i="2" s="1"/>
  <c r="AC821" i="2" s="1"/>
  <c r="AC822" i="2" s="1"/>
  <c r="AC823" i="2" s="1"/>
  <c r="AC824" i="2" s="1"/>
  <c r="AC825" i="2" s="1"/>
  <c r="AC826" i="2" s="1"/>
  <c r="AC827" i="2" s="1"/>
  <c r="AC828" i="2" s="1"/>
  <c r="AC829" i="2" s="1"/>
  <c r="AC830" i="2" s="1"/>
  <c r="AC831" i="2" s="1"/>
  <c r="AD817" i="2"/>
  <c r="AD829" i="2"/>
  <c r="L380" i="9"/>
  <c r="M380" i="9" s="1"/>
  <c r="K381" i="9"/>
  <c r="AD837" i="2"/>
  <c r="O61" i="9"/>
  <c r="G63" i="2"/>
  <c r="N62" i="9"/>
  <c r="P61" i="9" l="1"/>
  <c r="AC832" i="2"/>
  <c r="AC833" i="2" s="1"/>
  <c r="AC834" i="2" s="1"/>
  <c r="AC835" i="2" s="1"/>
  <c r="AC836" i="2" s="1"/>
  <c r="AC837" i="2" s="1"/>
  <c r="AC838" i="2" s="1"/>
  <c r="AC839" i="2" s="1"/>
  <c r="AC840" i="2" s="1"/>
  <c r="AC841" i="2" s="1"/>
  <c r="AC842" i="2" s="1"/>
  <c r="AC843" i="2" s="1"/>
  <c r="AC844" i="2" s="1"/>
  <c r="AC845" i="2" s="1"/>
  <c r="AD831" i="2"/>
  <c r="AD843" i="2"/>
  <c r="C61" i="3"/>
  <c r="C61" i="4" s="1"/>
  <c r="L381" i="9"/>
  <c r="M381" i="9" s="1"/>
  <c r="K382" i="9"/>
  <c r="AD851" i="2"/>
  <c r="O62" i="9"/>
  <c r="P62" i="9" s="1"/>
  <c r="N63" i="9"/>
  <c r="T62" i="9" l="1"/>
  <c r="R62" i="9"/>
  <c r="E65" i="2" s="1"/>
  <c r="A63" i="3" s="1"/>
  <c r="A63" i="4" s="1"/>
  <c r="S62" i="9"/>
  <c r="F65" i="2" s="1"/>
  <c r="B63" i="3" s="1"/>
  <c r="B63" i="4" s="1"/>
  <c r="R61" i="9"/>
  <c r="E64" i="2" s="1"/>
  <c r="A62" i="3" s="1"/>
  <c r="A62" i="4" s="1"/>
  <c r="S61" i="9"/>
  <c r="F64" i="2" s="1"/>
  <c r="B62" i="3" s="1"/>
  <c r="B62" i="4" s="1"/>
  <c r="T61" i="9"/>
  <c r="G64" i="2" s="1"/>
  <c r="C62" i="3" s="1"/>
  <c r="C62" i="4" s="1"/>
  <c r="AC846" i="2"/>
  <c r="AC847" i="2" s="1"/>
  <c r="AC848" i="2" s="1"/>
  <c r="AC849" i="2" s="1"/>
  <c r="AC850" i="2" s="1"/>
  <c r="AC851" i="2" s="1"/>
  <c r="AC852" i="2" s="1"/>
  <c r="AC853" i="2" s="1"/>
  <c r="AC854" i="2" s="1"/>
  <c r="AC855" i="2" s="1"/>
  <c r="AC856" i="2" s="1"/>
  <c r="AC857" i="2" s="1"/>
  <c r="AC858" i="2" s="1"/>
  <c r="AC859" i="2" s="1"/>
  <c r="AD845" i="2"/>
  <c r="AD857" i="2"/>
  <c r="L382" i="9"/>
  <c r="M382" i="9" s="1"/>
  <c r="K383" i="9"/>
  <c r="AD865" i="2"/>
  <c r="O63" i="9"/>
  <c r="G65" i="2"/>
  <c r="N64" i="9"/>
  <c r="P63" i="9" l="1"/>
  <c r="S63" i="9" s="1"/>
  <c r="F66" i="2" s="1"/>
  <c r="B64" i="3" s="1"/>
  <c r="B64" i="4" s="1"/>
  <c r="AC860" i="2"/>
  <c r="AC861" i="2" s="1"/>
  <c r="AC862" i="2" s="1"/>
  <c r="AC863" i="2" s="1"/>
  <c r="AC864" i="2" s="1"/>
  <c r="AC865" i="2" s="1"/>
  <c r="AC866" i="2" s="1"/>
  <c r="AC867" i="2" s="1"/>
  <c r="AC868" i="2" s="1"/>
  <c r="AC869" i="2" s="1"/>
  <c r="AC870" i="2" s="1"/>
  <c r="AC871" i="2" s="1"/>
  <c r="AC872" i="2" s="1"/>
  <c r="AC873" i="2" s="1"/>
  <c r="AD859" i="2"/>
  <c r="AD871" i="2"/>
  <c r="C63" i="3"/>
  <c r="C63" i="4" s="1"/>
  <c r="L383" i="9"/>
  <c r="M383" i="9" s="1"/>
  <c r="K384" i="9"/>
  <c r="AD879" i="2"/>
  <c r="O64" i="9"/>
  <c r="P64" i="9" s="1"/>
  <c r="N65" i="9"/>
  <c r="T64" i="9" l="1"/>
  <c r="R64" i="9"/>
  <c r="E67" i="2" s="1"/>
  <c r="A65" i="3" s="1"/>
  <c r="A65" i="4" s="1"/>
  <c r="S64" i="9"/>
  <c r="F67" i="2" s="1"/>
  <c r="B65" i="3" s="1"/>
  <c r="B65" i="4" s="1"/>
  <c r="T63" i="9"/>
  <c r="G66" i="2" s="1"/>
  <c r="C64" i="3" s="1"/>
  <c r="C64" i="4" s="1"/>
  <c r="R63" i="9"/>
  <c r="E66" i="2" s="1"/>
  <c r="A64" i="3" s="1"/>
  <c r="A64" i="4" s="1"/>
  <c r="AC874" i="2"/>
  <c r="AC875" i="2" s="1"/>
  <c r="AC876" i="2" s="1"/>
  <c r="AC877" i="2" s="1"/>
  <c r="AC878" i="2" s="1"/>
  <c r="AC879" i="2" s="1"/>
  <c r="AC880" i="2" s="1"/>
  <c r="AC881" i="2" s="1"/>
  <c r="AC882" i="2" s="1"/>
  <c r="AC883" i="2" s="1"/>
  <c r="AC884" i="2" s="1"/>
  <c r="AC885" i="2" s="1"/>
  <c r="AC886" i="2" s="1"/>
  <c r="AC887" i="2" s="1"/>
  <c r="AD873" i="2"/>
  <c r="AD885" i="2"/>
  <c r="L384" i="9"/>
  <c r="M384" i="9" s="1"/>
  <c r="K385" i="9"/>
  <c r="AD893" i="2"/>
  <c r="O65" i="9"/>
  <c r="G67" i="2"/>
  <c r="N66" i="9"/>
  <c r="P65" i="9" l="1"/>
  <c r="T65" i="9" s="1"/>
  <c r="G68" i="2" s="1"/>
  <c r="AC888" i="2"/>
  <c r="AC889" i="2" s="1"/>
  <c r="AC890" i="2" s="1"/>
  <c r="AC891" i="2" s="1"/>
  <c r="AC892" i="2" s="1"/>
  <c r="AC893" i="2" s="1"/>
  <c r="AC894" i="2" s="1"/>
  <c r="AC895" i="2" s="1"/>
  <c r="AC896" i="2" s="1"/>
  <c r="AC897" i="2" s="1"/>
  <c r="AC898" i="2" s="1"/>
  <c r="AC899" i="2" s="1"/>
  <c r="AC900" i="2" s="1"/>
  <c r="AC901" i="2" s="1"/>
  <c r="AD887" i="2"/>
  <c r="AD899" i="2"/>
  <c r="C65" i="3"/>
  <c r="C65" i="4" s="1"/>
  <c r="L385" i="9"/>
  <c r="M385" i="9" s="1"/>
  <c r="K386" i="9"/>
  <c r="AD907" i="2"/>
  <c r="O66" i="9"/>
  <c r="P66" i="9" s="1"/>
  <c r="N67" i="9"/>
  <c r="S66" i="9" l="1"/>
  <c r="F69" i="2" s="1"/>
  <c r="B67" i="3" s="1"/>
  <c r="B67" i="4" s="1"/>
  <c r="R66" i="9"/>
  <c r="E69" i="2" s="1"/>
  <c r="A67" i="3" s="1"/>
  <c r="A67" i="4" s="1"/>
  <c r="T66" i="9"/>
  <c r="G69" i="2" s="1"/>
  <c r="R65" i="9"/>
  <c r="E68" i="2" s="1"/>
  <c r="A66" i="3" s="1"/>
  <c r="A66" i="4" s="1"/>
  <c r="S65" i="9"/>
  <c r="F68" i="2" s="1"/>
  <c r="B66" i="3" s="1"/>
  <c r="B66" i="4" s="1"/>
  <c r="AC902" i="2"/>
  <c r="AC903" i="2" s="1"/>
  <c r="AC904" i="2" s="1"/>
  <c r="AC905" i="2" s="1"/>
  <c r="AC906" i="2" s="1"/>
  <c r="AC907" i="2" s="1"/>
  <c r="AC908" i="2" s="1"/>
  <c r="AC909" i="2" s="1"/>
  <c r="AC910" i="2" s="1"/>
  <c r="AC911" i="2" s="1"/>
  <c r="AC912" i="2" s="1"/>
  <c r="AC913" i="2" s="1"/>
  <c r="AC914" i="2" s="1"/>
  <c r="AC915" i="2" s="1"/>
  <c r="AD901" i="2"/>
  <c r="AD913" i="2"/>
  <c r="C66" i="3"/>
  <c r="C66" i="4" s="1"/>
  <c r="L386" i="9"/>
  <c r="M386" i="9" s="1"/>
  <c r="K387" i="9"/>
  <c r="AD921" i="2"/>
  <c r="O67" i="9"/>
  <c r="N68" i="9"/>
  <c r="P67" i="9" l="1"/>
  <c r="AC916" i="2"/>
  <c r="AC917" i="2" s="1"/>
  <c r="AC918" i="2" s="1"/>
  <c r="AC919" i="2" s="1"/>
  <c r="AC920" i="2" s="1"/>
  <c r="AC921" i="2" s="1"/>
  <c r="AC922" i="2" s="1"/>
  <c r="AC923" i="2" s="1"/>
  <c r="AC924" i="2" s="1"/>
  <c r="AC925" i="2" s="1"/>
  <c r="AD915" i="2"/>
  <c r="AD927" i="2"/>
  <c r="C67" i="3"/>
  <c r="C67" i="4" s="1"/>
  <c r="L387" i="9"/>
  <c r="M387" i="9" s="1"/>
  <c r="K388" i="9"/>
  <c r="AD935" i="2"/>
  <c r="O68" i="9"/>
  <c r="P68" i="9" s="1"/>
  <c r="N69" i="9"/>
  <c r="T68" i="9" l="1"/>
  <c r="AC926" i="2"/>
  <c r="AC927" i="2" s="1"/>
  <c r="AC928" i="2" s="1"/>
  <c r="AC929" i="2" s="1"/>
  <c r="AC930" i="2" s="1"/>
  <c r="AC931" i="2" s="1"/>
  <c r="AC932" i="2" s="1"/>
  <c r="AC933" i="2" s="1"/>
  <c r="AC934" i="2" s="1"/>
  <c r="AC935" i="2" s="1"/>
  <c r="AC936" i="2" s="1"/>
  <c r="AC937" i="2" s="1"/>
  <c r="AC938" i="2" s="1"/>
  <c r="AC939" i="2" s="1"/>
  <c r="AD925" i="2"/>
  <c r="S67" i="9"/>
  <c r="F70" i="2" s="1"/>
  <c r="B68" i="3" s="1"/>
  <c r="B68" i="4" s="1"/>
  <c r="R67" i="9"/>
  <c r="E70" i="2" s="1"/>
  <c r="A68" i="3" s="1"/>
  <c r="A68" i="4" s="1"/>
  <c r="S68" i="9"/>
  <c r="F71" i="2" s="1"/>
  <c r="B69" i="3" s="1"/>
  <c r="B69" i="4" s="1"/>
  <c r="R68" i="9"/>
  <c r="E71" i="2" s="1"/>
  <c r="A69" i="3" s="1"/>
  <c r="A69" i="4" s="1"/>
  <c r="T67" i="9"/>
  <c r="G70" i="2" s="1"/>
  <c r="C68" i="3" s="1"/>
  <c r="C68" i="4" s="1"/>
  <c r="AD929" i="2"/>
  <c r="AD941" i="2"/>
  <c r="L388" i="9"/>
  <c r="M388" i="9" s="1"/>
  <c r="K389" i="9"/>
  <c r="AD949" i="2"/>
  <c r="O69" i="9"/>
  <c r="G71" i="2"/>
  <c r="N70" i="9"/>
  <c r="AC940" i="2" l="1"/>
  <c r="AC941" i="2" s="1"/>
  <c r="AC942" i="2" s="1"/>
  <c r="AC943" i="2" s="1"/>
  <c r="AC944" i="2" s="1"/>
  <c r="AC945" i="2" s="1"/>
  <c r="AC946" i="2" s="1"/>
  <c r="AC947" i="2" s="1"/>
  <c r="AC948" i="2" s="1"/>
  <c r="AC949" i="2" s="1"/>
  <c r="AC950" i="2" s="1"/>
  <c r="AC951" i="2" s="1"/>
  <c r="AC952" i="2" s="1"/>
  <c r="AC953" i="2" s="1"/>
  <c r="AD939" i="2"/>
  <c r="P69" i="9"/>
  <c r="AD943" i="2"/>
  <c r="AD955" i="2"/>
  <c r="C69" i="3"/>
  <c r="C69" i="4" s="1"/>
  <c r="L389" i="9"/>
  <c r="M389" i="9" s="1"/>
  <c r="K390" i="9"/>
  <c r="AD963" i="2"/>
  <c r="O70" i="9"/>
  <c r="P70" i="9" s="1"/>
  <c r="N71" i="9"/>
  <c r="T70" i="9" l="1"/>
  <c r="G73" i="2" s="1"/>
  <c r="AC954" i="2"/>
  <c r="AC955" i="2" s="1"/>
  <c r="AC956" i="2" s="1"/>
  <c r="AC957" i="2" s="1"/>
  <c r="AC958" i="2" s="1"/>
  <c r="AC959" i="2" s="1"/>
  <c r="AC960" i="2" s="1"/>
  <c r="AC961" i="2" s="1"/>
  <c r="AC962" i="2" s="1"/>
  <c r="AC963" i="2" s="1"/>
  <c r="AC964" i="2" s="1"/>
  <c r="AC965" i="2" s="1"/>
  <c r="AC966" i="2" s="1"/>
  <c r="AC967" i="2" s="1"/>
  <c r="AD953" i="2"/>
  <c r="R69" i="9"/>
  <c r="E72" i="2" s="1"/>
  <c r="A70" i="3" s="1"/>
  <c r="A70" i="4" s="1"/>
  <c r="S69" i="9"/>
  <c r="F72" i="2" s="1"/>
  <c r="B70" i="3" s="1"/>
  <c r="B70" i="4" s="1"/>
  <c r="S70" i="9"/>
  <c r="F73" i="2" s="1"/>
  <c r="B71" i="3" s="1"/>
  <c r="B71" i="4" s="1"/>
  <c r="R70" i="9"/>
  <c r="E73" i="2" s="1"/>
  <c r="A71" i="3" s="1"/>
  <c r="A71" i="4" s="1"/>
  <c r="T69" i="9"/>
  <c r="G72" i="2" s="1"/>
  <c r="C70" i="3" s="1"/>
  <c r="C70" i="4" s="1"/>
  <c r="AD957" i="2"/>
  <c r="AD969" i="2"/>
  <c r="L390" i="9"/>
  <c r="M390" i="9" s="1"/>
  <c r="K391" i="9"/>
  <c r="AD977" i="2"/>
  <c r="O71" i="9"/>
  <c r="N72" i="9"/>
  <c r="AC968" i="2" l="1"/>
  <c r="AC969" i="2" s="1"/>
  <c r="AC970" i="2" s="1"/>
  <c r="AC971" i="2" s="1"/>
  <c r="AC972" i="2" s="1"/>
  <c r="AC973" i="2" s="1"/>
  <c r="AC974" i="2" s="1"/>
  <c r="AC975" i="2" s="1"/>
  <c r="AC976" i="2" s="1"/>
  <c r="AC977" i="2" s="1"/>
  <c r="AC978" i="2" s="1"/>
  <c r="AC979" i="2" s="1"/>
  <c r="AC980" i="2" s="1"/>
  <c r="AC981" i="2" s="1"/>
  <c r="AD967" i="2"/>
  <c r="P71" i="9"/>
  <c r="AD971" i="2"/>
  <c r="AD983" i="2"/>
  <c r="C71" i="3"/>
  <c r="C71" i="4" s="1"/>
  <c r="L391" i="9"/>
  <c r="M391" i="9" s="1"/>
  <c r="K392" i="9"/>
  <c r="AD991" i="2"/>
  <c r="O72" i="9"/>
  <c r="P72" i="9" s="1"/>
  <c r="N73" i="9"/>
  <c r="T72" i="9" l="1"/>
  <c r="G75" i="2" s="1"/>
  <c r="AC982" i="2"/>
  <c r="AC983" i="2" s="1"/>
  <c r="AC984" i="2" s="1"/>
  <c r="AC985" i="2" s="1"/>
  <c r="AC986" i="2" s="1"/>
  <c r="AC987" i="2" s="1"/>
  <c r="AC988" i="2" s="1"/>
  <c r="AC989" i="2" s="1"/>
  <c r="AC990" i="2" s="1"/>
  <c r="AC991" i="2" s="1"/>
  <c r="AC992" i="2" s="1"/>
  <c r="AC993" i="2" s="1"/>
  <c r="AC994" i="2" s="1"/>
  <c r="AC995" i="2" s="1"/>
  <c r="AC996" i="2" s="1"/>
  <c r="AC997" i="2" s="1"/>
  <c r="AC998" i="2" s="1"/>
  <c r="AC999" i="2" s="1"/>
  <c r="AD981" i="2"/>
  <c r="S71" i="9"/>
  <c r="F74" i="2" s="1"/>
  <c r="B72" i="3" s="1"/>
  <c r="B72" i="4" s="1"/>
  <c r="R71" i="9"/>
  <c r="E74" i="2" s="1"/>
  <c r="A72" i="3" s="1"/>
  <c r="A72" i="4" s="1"/>
  <c r="R72" i="9"/>
  <c r="E75" i="2" s="1"/>
  <c r="A73" i="3" s="1"/>
  <c r="A73" i="4" s="1"/>
  <c r="S72" i="9"/>
  <c r="F75" i="2" s="1"/>
  <c r="B73" i="3" s="1"/>
  <c r="B73" i="4" s="1"/>
  <c r="T71" i="9"/>
  <c r="G74" i="2" s="1"/>
  <c r="C72" i="3" s="1"/>
  <c r="C72" i="4" s="1"/>
  <c r="AD985" i="2"/>
  <c r="AD997" i="2"/>
  <c r="L392" i="9"/>
  <c r="M392" i="9" s="1"/>
  <c r="K393" i="9"/>
  <c r="O73" i="9"/>
  <c r="N74" i="9"/>
  <c r="P73" i="9" l="1"/>
  <c r="AC1000" i="2"/>
  <c r="AC1001" i="2" s="1"/>
  <c r="AC1002" i="2" s="1"/>
  <c r="AC1003" i="2" s="1"/>
  <c r="AD999" i="2"/>
  <c r="C73" i="3"/>
  <c r="C73" i="4" s="1"/>
  <c r="L393" i="9"/>
  <c r="M393" i="9" s="1"/>
  <c r="K394" i="9"/>
  <c r="O74" i="9"/>
  <c r="P74" i="9" s="1"/>
  <c r="N75" i="9"/>
  <c r="D7" i="8" l="1"/>
  <c r="E7" i="8" s="1"/>
  <c r="D10" i="8"/>
  <c r="E10" i="8" s="1"/>
  <c r="D8" i="8"/>
  <c r="E8" i="8" s="1"/>
  <c r="D6" i="8"/>
  <c r="E6" i="8" s="1"/>
  <c r="D9" i="8"/>
  <c r="E9" i="8" s="1"/>
  <c r="D11" i="8"/>
  <c r="E11" i="8" s="1"/>
  <c r="T74" i="9"/>
  <c r="G77" i="2" s="1"/>
  <c r="D12" i="8"/>
  <c r="E12" i="8" s="1"/>
  <c r="D16" i="8"/>
  <c r="E16" i="8" s="1"/>
  <c r="D20" i="8"/>
  <c r="E20" i="8" s="1"/>
  <c r="D13" i="8"/>
  <c r="E13" i="8" s="1"/>
  <c r="D19" i="8"/>
  <c r="E19" i="8" s="1"/>
  <c r="D21" i="8"/>
  <c r="E21" i="8" s="1"/>
  <c r="D14" i="8"/>
  <c r="E14" i="8" s="1"/>
  <c r="D17" i="8"/>
  <c r="E17" i="8" s="1"/>
  <c r="D15" i="8"/>
  <c r="E15" i="8" s="1"/>
  <c r="D18" i="8"/>
  <c r="E18" i="8" s="1"/>
  <c r="S74" i="9"/>
  <c r="F77" i="2" s="1"/>
  <c r="B75" i="3" s="1"/>
  <c r="B75" i="4" s="1"/>
  <c r="R74" i="9"/>
  <c r="E77" i="2" s="1"/>
  <c r="A75" i="3" s="1"/>
  <c r="A75" i="4" s="1"/>
  <c r="S73" i="9"/>
  <c r="F76" i="2" s="1"/>
  <c r="B74" i="3" s="1"/>
  <c r="B74" i="4" s="1"/>
  <c r="R73" i="9"/>
  <c r="E76" i="2" s="1"/>
  <c r="A74" i="3" s="1"/>
  <c r="A74" i="4" s="1"/>
  <c r="T73" i="9"/>
  <c r="G76" i="2" s="1"/>
  <c r="C74" i="3" s="1"/>
  <c r="C74" i="4" s="1"/>
  <c r="D22" i="8"/>
  <c r="E22" i="8" s="1"/>
  <c r="D23" i="8"/>
  <c r="E23" i="8" s="1"/>
  <c r="D25" i="8"/>
  <c r="E25" i="8" s="1"/>
  <c r="D27" i="8"/>
  <c r="E27" i="8" s="1"/>
  <c r="D36" i="8"/>
  <c r="E36" i="8" s="1"/>
  <c r="D26" i="8"/>
  <c r="E26" i="8" s="1"/>
  <c r="D34" i="8"/>
  <c r="E34" i="8" s="1"/>
  <c r="D35" i="8"/>
  <c r="E35" i="8" s="1"/>
  <c r="D31" i="8"/>
  <c r="E31" i="8" s="1"/>
  <c r="D33" i="8"/>
  <c r="E33" i="8" s="1"/>
  <c r="D29" i="8"/>
  <c r="E29" i="8" s="1"/>
  <c r="D32" i="8"/>
  <c r="E32" i="8" s="1"/>
  <c r="D30" i="8"/>
  <c r="E30" i="8" s="1"/>
  <c r="D28" i="8"/>
  <c r="E28" i="8" s="1"/>
  <c r="D24" i="8"/>
  <c r="E24" i="8" s="1"/>
  <c r="L394" i="9"/>
  <c r="M394" i="9" s="1"/>
  <c r="K395" i="9"/>
  <c r="O75" i="9"/>
  <c r="N76" i="9"/>
  <c r="L6" i="8" l="1"/>
  <c r="I6" i="8"/>
  <c r="N6" i="8"/>
  <c r="H6" i="8"/>
  <c r="F6" i="8"/>
  <c r="S6" i="8"/>
  <c r="P6" i="8"/>
  <c r="R6" i="8"/>
  <c r="Q6" i="8"/>
  <c r="J6" i="8"/>
  <c r="M6" i="8"/>
  <c r="K6" i="8"/>
  <c r="G6" i="8"/>
  <c r="O6" i="8"/>
  <c r="P8" i="8"/>
  <c r="M8" i="8"/>
  <c r="F8" i="8"/>
  <c r="G8" i="8"/>
  <c r="H8" i="8"/>
  <c r="R8" i="8"/>
  <c r="K8" i="8"/>
  <c r="O8" i="8"/>
  <c r="J8" i="8"/>
  <c r="Q8" i="8"/>
  <c r="L8" i="8"/>
  <c r="N8" i="8"/>
  <c r="I8" i="8"/>
  <c r="S8" i="8"/>
  <c r="J11" i="8"/>
  <c r="Q11" i="8"/>
  <c r="K11" i="8"/>
  <c r="S11" i="8"/>
  <c r="R11" i="8"/>
  <c r="N11" i="8"/>
  <c r="P11" i="8"/>
  <c r="G11" i="8"/>
  <c r="M11" i="8"/>
  <c r="O11" i="8"/>
  <c r="H11" i="8"/>
  <c r="F11" i="8"/>
  <c r="L11" i="8"/>
  <c r="I11" i="8"/>
  <c r="F10" i="8"/>
  <c r="J10" i="8"/>
  <c r="O10" i="8"/>
  <c r="K10" i="8"/>
  <c r="P10" i="8"/>
  <c r="S10" i="8"/>
  <c r="N10" i="8"/>
  <c r="I10" i="8"/>
  <c r="Q10" i="8"/>
  <c r="M10" i="8"/>
  <c r="L10" i="8"/>
  <c r="G10" i="8"/>
  <c r="H10" i="8"/>
  <c r="R10" i="8"/>
  <c r="N9" i="8"/>
  <c r="Q9" i="8"/>
  <c r="S9" i="8"/>
  <c r="O9" i="8"/>
  <c r="G9" i="8"/>
  <c r="R9" i="8"/>
  <c r="J9" i="8"/>
  <c r="F9" i="8"/>
  <c r="P9" i="8"/>
  <c r="I9" i="8"/>
  <c r="M9" i="8"/>
  <c r="H9" i="8"/>
  <c r="L9" i="8"/>
  <c r="K9" i="8"/>
  <c r="M7" i="8"/>
  <c r="R7" i="8"/>
  <c r="G7" i="8"/>
  <c r="Q7" i="8"/>
  <c r="P7" i="8"/>
  <c r="S7" i="8"/>
  <c r="O7" i="8"/>
  <c r="N7" i="8"/>
  <c r="I7" i="8"/>
  <c r="F7" i="8"/>
  <c r="L7" i="8"/>
  <c r="J7" i="8"/>
  <c r="K7" i="8"/>
  <c r="H7" i="8"/>
  <c r="M17" i="8"/>
  <c r="S17" i="8"/>
  <c r="L17" i="8"/>
  <c r="I17" i="8"/>
  <c r="R17" i="8"/>
  <c r="N17" i="8"/>
  <c r="K17" i="8"/>
  <c r="J17" i="8"/>
  <c r="F17" i="8"/>
  <c r="P17" i="8"/>
  <c r="H17" i="8"/>
  <c r="G17" i="8"/>
  <c r="O17" i="8"/>
  <c r="Q17" i="8"/>
  <c r="M13" i="8"/>
  <c r="K13" i="8"/>
  <c r="G13" i="8"/>
  <c r="H13" i="8"/>
  <c r="P13" i="8"/>
  <c r="I13" i="8"/>
  <c r="S13" i="8"/>
  <c r="N13" i="8"/>
  <c r="F13" i="8"/>
  <c r="Q13" i="8"/>
  <c r="L13" i="8"/>
  <c r="O13" i="8"/>
  <c r="J13" i="8"/>
  <c r="R13" i="8"/>
  <c r="S14" i="8"/>
  <c r="J14" i="8"/>
  <c r="L14" i="8"/>
  <c r="K14" i="8"/>
  <c r="P14" i="8"/>
  <c r="Q14" i="8"/>
  <c r="I14" i="8"/>
  <c r="H14" i="8"/>
  <c r="G14" i="8"/>
  <c r="N14" i="8"/>
  <c r="O14" i="8"/>
  <c r="R14" i="8"/>
  <c r="M14" i="8"/>
  <c r="F14" i="8"/>
  <c r="N20" i="8"/>
  <c r="R20" i="8"/>
  <c r="K20" i="8"/>
  <c r="I20" i="8"/>
  <c r="F20" i="8"/>
  <c r="L20" i="8"/>
  <c r="O20" i="8"/>
  <c r="M20" i="8"/>
  <c r="G20" i="8"/>
  <c r="J20" i="8"/>
  <c r="P20" i="8"/>
  <c r="S20" i="8"/>
  <c r="Q20" i="8"/>
  <c r="H20" i="8"/>
  <c r="G18" i="8"/>
  <c r="L18" i="8"/>
  <c r="O18" i="8"/>
  <c r="P18" i="8"/>
  <c r="F18" i="8"/>
  <c r="H18" i="8"/>
  <c r="Q18" i="8"/>
  <c r="I18" i="8"/>
  <c r="S18" i="8"/>
  <c r="K18" i="8"/>
  <c r="R18" i="8"/>
  <c r="N18" i="8"/>
  <c r="M18" i="8"/>
  <c r="J18" i="8"/>
  <c r="R21" i="8"/>
  <c r="L21" i="8"/>
  <c r="I21" i="8"/>
  <c r="N21" i="8"/>
  <c r="S21" i="8"/>
  <c r="P21" i="8"/>
  <c r="M21" i="8"/>
  <c r="K21" i="8"/>
  <c r="H21" i="8"/>
  <c r="G21" i="8"/>
  <c r="J21" i="8"/>
  <c r="Q21" i="8"/>
  <c r="O21" i="8"/>
  <c r="F21" i="8"/>
  <c r="M16" i="8"/>
  <c r="O16" i="8"/>
  <c r="N16" i="8"/>
  <c r="L16" i="8"/>
  <c r="P16" i="8"/>
  <c r="Q16" i="8"/>
  <c r="S16" i="8"/>
  <c r="J16" i="8"/>
  <c r="I16" i="8"/>
  <c r="G16" i="8"/>
  <c r="H16" i="8"/>
  <c r="R16" i="8"/>
  <c r="F16" i="8"/>
  <c r="K16" i="8"/>
  <c r="M15" i="8"/>
  <c r="O15" i="8"/>
  <c r="F15" i="8"/>
  <c r="Q15" i="8"/>
  <c r="H15" i="8"/>
  <c r="J15" i="8"/>
  <c r="K15" i="8"/>
  <c r="L15" i="8"/>
  <c r="R15" i="8"/>
  <c r="I15" i="8"/>
  <c r="S15" i="8"/>
  <c r="P15" i="8"/>
  <c r="G15" i="8"/>
  <c r="N15" i="8"/>
  <c r="M19" i="8"/>
  <c r="Q19" i="8"/>
  <c r="G19" i="8"/>
  <c r="O19" i="8"/>
  <c r="P19" i="8"/>
  <c r="J19" i="8"/>
  <c r="F19" i="8"/>
  <c r="I19" i="8"/>
  <c r="S19" i="8"/>
  <c r="H19" i="8"/>
  <c r="N19" i="8"/>
  <c r="L19" i="8"/>
  <c r="R19" i="8"/>
  <c r="K19" i="8"/>
  <c r="P12" i="8"/>
  <c r="I12" i="8"/>
  <c r="M12" i="8"/>
  <c r="G12" i="8"/>
  <c r="Q12" i="8"/>
  <c r="O12" i="8"/>
  <c r="F12" i="8"/>
  <c r="N12" i="8"/>
  <c r="J12" i="8"/>
  <c r="S12" i="8"/>
  <c r="R12" i="8"/>
  <c r="L12" i="8"/>
  <c r="H12" i="8"/>
  <c r="K12" i="8"/>
  <c r="P75" i="9"/>
  <c r="T75" i="9" s="1"/>
  <c r="G78" i="2" s="1"/>
  <c r="L23" i="8"/>
  <c r="I23" i="8"/>
  <c r="R23" i="8"/>
  <c r="G23" i="8"/>
  <c r="K23" i="8"/>
  <c r="P23" i="8"/>
  <c r="M23" i="8"/>
  <c r="O23" i="8"/>
  <c r="H23" i="8"/>
  <c r="J23" i="8"/>
  <c r="F23" i="8"/>
  <c r="Q23" i="8"/>
  <c r="S23" i="8"/>
  <c r="N23" i="8"/>
  <c r="J22" i="8"/>
  <c r="G22" i="8"/>
  <c r="H22" i="8"/>
  <c r="I22" i="8"/>
  <c r="F22" i="8"/>
  <c r="Q22" i="8"/>
  <c r="N22" i="8"/>
  <c r="K22" i="8"/>
  <c r="P22" i="8"/>
  <c r="L22" i="8"/>
  <c r="R22" i="8"/>
  <c r="O22" i="8"/>
  <c r="M22" i="8"/>
  <c r="S22" i="8"/>
  <c r="J28" i="8"/>
  <c r="P28" i="8"/>
  <c r="S28" i="8"/>
  <c r="Q28" i="8"/>
  <c r="N28" i="8"/>
  <c r="G28" i="8"/>
  <c r="L28" i="8"/>
  <c r="R28" i="8"/>
  <c r="K28" i="8"/>
  <c r="I28" i="8"/>
  <c r="F28" i="8"/>
  <c r="H28" i="8"/>
  <c r="O28" i="8"/>
  <c r="M28" i="8"/>
  <c r="F33" i="8"/>
  <c r="Q33" i="8"/>
  <c r="S33" i="8"/>
  <c r="H33" i="8"/>
  <c r="N33" i="8"/>
  <c r="J33" i="8"/>
  <c r="O33" i="8"/>
  <c r="L33" i="8"/>
  <c r="I33" i="8"/>
  <c r="R33" i="8"/>
  <c r="K33" i="8"/>
  <c r="P33" i="8"/>
  <c r="M33" i="8"/>
  <c r="G33" i="8"/>
  <c r="J26" i="8"/>
  <c r="P26" i="8"/>
  <c r="S26" i="8"/>
  <c r="Q26" i="8"/>
  <c r="N26" i="8"/>
  <c r="G26" i="8"/>
  <c r="L26" i="8"/>
  <c r="R26" i="8"/>
  <c r="K26" i="8"/>
  <c r="I26" i="8"/>
  <c r="F26" i="8"/>
  <c r="H26" i="8"/>
  <c r="O26" i="8"/>
  <c r="M26" i="8"/>
  <c r="R30" i="8"/>
  <c r="O30" i="8"/>
  <c r="M30" i="8"/>
  <c r="F30" i="8"/>
  <c r="L30" i="8"/>
  <c r="S30" i="8"/>
  <c r="Q30" i="8"/>
  <c r="J30" i="8"/>
  <c r="G30" i="8"/>
  <c r="H30" i="8"/>
  <c r="I30" i="8"/>
  <c r="N30" i="8"/>
  <c r="K30" i="8"/>
  <c r="P30" i="8"/>
  <c r="F31" i="8"/>
  <c r="Q31" i="8"/>
  <c r="S31" i="8"/>
  <c r="H31" i="8"/>
  <c r="N31" i="8"/>
  <c r="J31" i="8"/>
  <c r="K31" i="8"/>
  <c r="L31" i="8"/>
  <c r="I31" i="8"/>
  <c r="R31" i="8"/>
  <c r="G31" i="8"/>
  <c r="P31" i="8"/>
  <c r="M31" i="8"/>
  <c r="O31" i="8"/>
  <c r="R36" i="8"/>
  <c r="S36" i="8"/>
  <c r="I36" i="8"/>
  <c r="F36" i="8"/>
  <c r="G36" i="8"/>
  <c r="Q36" i="8"/>
  <c r="M36" i="8"/>
  <c r="J36" i="8"/>
  <c r="K36" i="8"/>
  <c r="L36" i="8"/>
  <c r="P36" i="8"/>
  <c r="N36" i="8"/>
  <c r="O36" i="8"/>
  <c r="H36" i="8"/>
  <c r="J32" i="8"/>
  <c r="G32" i="8"/>
  <c r="L32" i="8"/>
  <c r="M32" i="8"/>
  <c r="N32" i="8"/>
  <c r="K32" i="8"/>
  <c r="P32" i="8"/>
  <c r="R32" i="8"/>
  <c r="O32" i="8"/>
  <c r="Q32" i="8"/>
  <c r="F32" i="8"/>
  <c r="H32" i="8"/>
  <c r="S32" i="8"/>
  <c r="I32" i="8"/>
  <c r="L35" i="8"/>
  <c r="Q35" i="8"/>
  <c r="R35" i="8"/>
  <c r="N35" i="8"/>
  <c r="P35" i="8"/>
  <c r="G35" i="8"/>
  <c r="S35" i="8"/>
  <c r="I35" i="8"/>
  <c r="O35" i="8"/>
  <c r="F35" i="8"/>
  <c r="H35" i="8"/>
  <c r="M35" i="8"/>
  <c r="J35" i="8"/>
  <c r="K35" i="8"/>
  <c r="L27" i="8"/>
  <c r="I27" i="8"/>
  <c r="R27" i="8"/>
  <c r="S27" i="8"/>
  <c r="P27" i="8"/>
  <c r="M27" i="8"/>
  <c r="G27" i="8"/>
  <c r="F27" i="8"/>
  <c r="Q27" i="8"/>
  <c r="K27" i="8"/>
  <c r="H27" i="8"/>
  <c r="N27" i="8"/>
  <c r="J27" i="8"/>
  <c r="O27" i="8"/>
  <c r="R24" i="8"/>
  <c r="O24" i="8"/>
  <c r="Q24" i="8"/>
  <c r="F24" i="8"/>
  <c r="L24" i="8"/>
  <c r="S24" i="8"/>
  <c r="I24" i="8"/>
  <c r="J24" i="8"/>
  <c r="G24" i="8"/>
  <c r="H24" i="8"/>
  <c r="M24" i="8"/>
  <c r="N24" i="8"/>
  <c r="K24" i="8"/>
  <c r="P24" i="8"/>
  <c r="L29" i="8"/>
  <c r="M29" i="8"/>
  <c r="N29" i="8"/>
  <c r="S29" i="8"/>
  <c r="P29" i="8"/>
  <c r="Q29" i="8"/>
  <c r="K29" i="8"/>
  <c r="R29" i="8"/>
  <c r="F29" i="8"/>
  <c r="O29" i="8"/>
  <c r="H29" i="8"/>
  <c r="I29" i="8"/>
  <c r="J29" i="8"/>
  <c r="G29" i="8"/>
  <c r="R34" i="8"/>
  <c r="O34" i="8"/>
  <c r="I34" i="8"/>
  <c r="F34" i="8"/>
  <c r="H34" i="8"/>
  <c r="S34" i="8"/>
  <c r="Q34" i="8"/>
  <c r="J34" i="8"/>
  <c r="G34" i="8"/>
  <c r="M34" i="8"/>
  <c r="L34" i="8"/>
  <c r="N34" i="8"/>
  <c r="K34" i="8"/>
  <c r="P34" i="8"/>
  <c r="F25" i="8"/>
  <c r="Q25" i="8"/>
  <c r="G25" i="8"/>
  <c r="H25" i="8"/>
  <c r="N25" i="8"/>
  <c r="J25" i="8"/>
  <c r="O25" i="8"/>
  <c r="L25" i="8"/>
  <c r="I25" i="8"/>
  <c r="R25" i="8"/>
  <c r="K25" i="8"/>
  <c r="P25" i="8"/>
  <c r="M25" i="8"/>
  <c r="S25" i="8"/>
  <c r="C75" i="3"/>
  <c r="C75" i="4" s="1"/>
  <c r="L395" i="9"/>
  <c r="M395" i="9" s="1"/>
  <c r="K396" i="9"/>
  <c r="O76" i="9"/>
  <c r="P76" i="9" s="1"/>
  <c r="N77" i="9"/>
  <c r="L6" i="10" l="1"/>
  <c r="L10" i="10"/>
  <c r="L7" i="10"/>
  <c r="L8" i="10"/>
  <c r="L9" i="10"/>
  <c r="L26" i="10"/>
  <c r="N26" i="10" s="1"/>
  <c r="L19" i="10"/>
  <c r="L24" i="10"/>
  <c r="L18" i="10"/>
  <c r="L23" i="10"/>
  <c r="L13" i="10"/>
  <c r="L14" i="10"/>
  <c r="L15" i="10"/>
  <c r="L16" i="10"/>
  <c r="L17" i="10"/>
  <c r="S76" i="9"/>
  <c r="F79" i="2" s="1"/>
  <c r="B77" i="3" s="1"/>
  <c r="B77" i="4" s="1"/>
  <c r="R76" i="9"/>
  <c r="E79" i="2" s="1"/>
  <c r="A77" i="3" s="1"/>
  <c r="A77" i="4" s="1"/>
  <c r="S75" i="9"/>
  <c r="F78" i="2" s="1"/>
  <c r="B76" i="3" s="1"/>
  <c r="B76" i="4" s="1"/>
  <c r="R75" i="9"/>
  <c r="E78" i="2" s="1"/>
  <c r="A76" i="3" s="1"/>
  <c r="A76" i="4" s="1"/>
  <c r="T76" i="9"/>
  <c r="G79" i="2" s="1"/>
  <c r="L25" i="10"/>
  <c r="M25" i="10" s="1"/>
  <c r="L30" i="10"/>
  <c r="L36" i="10"/>
  <c r="L37" i="10"/>
  <c r="L39" i="10"/>
  <c r="L34" i="10"/>
  <c r="L31" i="10"/>
  <c r="L35" i="10"/>
  <c r="L40" i="10"/>
  <c r="L29" i="10"/>
  <c r="L32" i="10"/>
  <c r="L41" i="10"/>
  <c r="L38" i="10"/>
  <c r="L33" i="10"/>
  <c r="L11" i="10"/>
  <c r="L5" i="10"/>
  <c r="L12" i="10"/>
  <c r="X26" i="10"/>
  <c r="P26" i="10"/>
  <c r="Y26" i="10"/>
  <c r="L28" i="10"/>
  <c r="L21" i="10"/>
  <c r="L22" i="10"/>
  <c r="L27" i="10"/>
  <c r="L20" i="10"/>
  <c r="C76" i="3"/>
  <c r="C76" i="4" s="1"/>
  <c r="L396" i="9"/>
  <c r="M396" i="9" s="1"/>
  <c r="K397" i="9"/>
  <c r="O77" i="9"/>
  <c r="N78" i="9"/>
  <c r="U26" i="10" l="1"/>
  <c r="N8" i="10"/>
  <c r="Q8" i="10"/>
  <c r="Y8" i="10"/>
  <c r="Z8" i="10"/>
  <c r="X8" i="10"/>
  <c r="U8" i="10"/>
  <c r="O8" i="10"/>
  <c r="V8" i="10"/>
  <c r="S8" i="10"/>
  <c r="P8" i="10"/>
  <c r="M8" i="10"/>
  <c r="R8" i="10"/>
  <c r="W8" i="10"/>
  <c r="T8" i="10"/>
  <c r="S7" i="10"/>
  <c r="P7" i="10"/>
  <c r="X7" i="10"/>
  <c r="Q7" i="10"/>
  <c r="O7" i="10"/>
  <c r="Y7" i="10"/>
  <c r="R7" i="10"/>
  <c r="Z7" i="10"/>
  <c r="T7" i="10"/>
  <c r="M7" i="10"/>
  <c r="W7" i="10"/>
  <c r="U7" i="10"/>
  <c r="N7" i="10"/>
  <c r="V7" i="10"/>
  <c r="T10" i="10"/>
  <c r="S10" i="10"/>
  <c r="R10" i="10"/>
  <c r="Z10" i="10"/>
  <c r="P10" i="10"/>
  <c r="N10" i="10"/>
  <c r="O10" i="10"/>
  <c r="M10" i="10"/>
  <c r="U10" i="10"/>
  <c r="V10" i="10"/>
  <c r="X10" i="10"/>
  <c r="Y10" i="10"/>
  <c r="W10" i="10"/>
  <c r="Q10" i="10"/>
  <c r="V9" i="10"/>
  <c r="Z9" i="10"/>
  <c r="S9" i="10"/>
  <c r="Y9" i="10"/>
  <c r="P9" i="10"/>
  <c r="T9" i="10"/>
  <c r="N9" i="10"/>
  <c r="U9" i="10"/>
  <c r="M9" i="10"/>
  <c r="O9" i="10"/>
  <c r="W9" i="10"/>
  <c r="Q9" i="10"/>
  <c r="R9" i="10"/>
  <c r="X9" i="10"/>
  <c r="M6" i="10"/>
  <c r="Q6" i="10"/>
  <c r="Y6" i="10"/>
  <c r="X6" i="10"/>
  <c r="W6" i="10"/>
  <c r="Z6" i="10"/>
  <c r="S6" i="10"/>
  <c r="T6" i="10"/>
  <c r="R6" i="10"/>
  <c r="U6" i="10"/>
  <c r="N6" i="10"/>
  <c r="P6" i="10"/>
  <c r="V6" i="10"/>
  <c r="O6" i="10"/>
  <c r="V26" i="10"/>
  <c r="Q26" i="10"/>
  <c r="S26" i="10"/>
  <c r="T26" i="10"/>
  <c r="M26" i="10"/>
  <c r="R26" i="10"/>
  <c r="W26" i="10"/>
  <c r="Z26" i="10"/>
  <c r="O26" i="10"/>
  <c r="S15" i="10"/>
  <c r="M15" i="10"/>
  <c r="Y15" i="10"/>
  <c r="N15" i="10"/>
  <c r="O15" i="10"/>
  <c r="T15" i="10"/>
  <c r="Z15" i="10"/>
  <c r="X15" i="10"/>
  <c r="V15" i="10"/>
  <c r="U15" i="10"/>
  <c r="W15" i="10"/>
  <c r="R15" i="10"/>
  <c r="Q15" i="10"/>
  <c r="P15" i="10"/>
  <c r="T18" i="10"/>
  <c r="Q18" i="10"/>
  <c r="O18" i="10"/>
  <c r="N18" i="10"/>
  <c r="P18" i="10"/>
  <c r="W18" i="10"/>
  <c r="R18" i="10"/>
  <c r="M18" i="10"/>
  <c r="Z18" i="10"/>
  <c r="Y18" i="10"/>
  <c r="X18" i="10"/>
  <c r="V18" i="10"/>
  <c r="U18" i="10"/>
  <c r="S18" i="10"/>
  <c r="M14" i="10"/>
  <c r="V14" i="10"/>
  <c r="N14" i="10"/>
  <c r="X14" i="10"/>
  <c r="Z14" i="10"/>
  <c r="Q14" i="10"/>
  <c r="W14" i="10"/>
  <c r="T14" i="10"/>
  <c r="U14" i="10"/>
  <c r="Y14" i="10"/>
  <c r="R14" i="10"/>
  <c r="P14" i="10"/>
  <c r="O14" i="10"/>
  <c r="S14" i="10"/>
  <c r="V24" i="10"/>
  <c r="S24" i="10"/>
  <c r="Y24" i="10"/>
  <c r="M24" i="10"/>
  <c r="R24" i="10"/>
  <c r="T24" i="10"/>
  <c r="O24" i="10"/>
  <c r="N24" i="10"/>
  <c r="W24" i="10"/>
  <c r="U24" i="10"/>
  <c r="Z24" i="10"/>
  <c r="X24" i="10"/>
  <c r="Q24" i="10"/>
  <c r="P24" i="10"/>
  <c r="X17" i="10"/>
  <c r="W17" i="10"/>
  <c r="P17" i="10"/>
  <c r="Y17" i="10"/>
  <c r="S17" i="10"/>
  <c r="R17" i="10"/>
  <c r="M17" i="10"/>
  <c r="U17" i="10"/>
  <c r="N17" i="10"/>
  <c r="T17" i="10"/>
  <c r="Z17" i="10"/>
  <c r="Q17" i="10"/>
  <c r="O17" i="10"/>
  <c r="V17" i="10"/>
  <c r="W13" i="10"/>
  <c r="P13" i="10"/>
  <c r="O13" i="10"/>
  <c r="Y13" i="10"/>
  <c r="R13" i="10"/>
  <c r="S13" i="10"/>
  <c r="X13" i="10"/>
  <c r="U13" i="10"/>
  <c r="N13" i="10"/>
  <c r="Z13" i="10"/>
  <c r="M13" i="10"/>
  <c r="Q13" i="10"/>
  <c r="V13" i="10"/>
  <c r="T13" i="10"/>
  <c r="Y19" i="10"/>
  <c r="X19" i="10"/>
  <c r="Q19" i="10"/>
  <c r="W19" i="10"/>
  <c r="T19" i="10"/>
  <c r="R19" i="10"/>
  <c r="P19" i="10"/>
  <c r="S19" i="10"/>
  <c r="N19" i="10"/>
  <c r="U19" i="10"/>
  <c r="M19" i="10"/>
  <c r="O19" i="10"/>
  <c r="Z19" i="10"/>
  <c r="V19" i="10"/>
  <c r="V16" i="10"/>
  <c r="P16" i="10"/>
  <c r="O16" i="10"/>
  <c r="S16" i="10"/>
  <c r="R16" i="10"/>
  <c r="Q16" i="10"/>
  <c r="M16" i="10"/>
  <c r="N16" i="10"/>
  <c r="Y16" i="10"/>
  <c r="W16" i="10"/>
  <c r="Z16" i="10"/>
  <c r="U16" i="10"/>
  <c r="T16" i="10"/>
  <c r="X16" i="10"/>
  <c r="Z23" i="10"/>
  <c r="Y23" i="10"/>
  <c r="X23" i="10"/>
  <c r="W23" i="10"/>
  <c r="U23" i="10"/>
  <c r="T23" i="10"/>
  <c r="R23" i="10"/>
  <c r="S23" i="10"/>
  <c r="P23" i="10"/>
  <c r="N23" i="10"/>
  <c r="M23" i="10"/>
  <c r="O23" i="10"/>
  <c r="V23" i="10"/>
  <c r="Q23" i="10"/>
  <c r="P77" i="9"/>
  <c r="T77" i="9" s="1"/>
  <c r="G80" i="2" s="1"/>
  <c r="R38" i="10"/>
  <c r="U38" i="10"/>
  <c r="X38" i="10"/>
  <c r="V38" i="10"/>
  <c r="O38" i="10"/>
  <c r="N38" i="10"/>
  <c r="Q38" i="10"/>
  <c r="T38" i="10"/>
  <c r="Z38" i="10"/>
  <c r="S38" i="10"/>
  <c r="M38" i="10"/>
  <c r="P38" i="10"/>
  <c r="Y38" i="10"/>
  <c r="W38" i="10"/>
  <c r="Z39" i="10"/>
  <c r="X39" i="10"/>
  <c r="M39" i="10"/>
  <c r="S39" i="10"/>
  <c r="Q39" i="10"/>
  <c r="V39" i="10"/>
  <c r="Y39" i="10"/>
  <c r="T39" i="10"/>
  <c r="O39" i="10"/>
  <c r="R39" i="10"/>
  <c r="U39" i="10"/>
  <c r="P39" i="10"/>
  <c r="N39" i="10"/>
  <c r="W39" i="10"/>
  <c r="Z41" i="10"/>
  <c r="Y41" i="10"/>
  <c r="X41" i="10"/>
  <c r="S41" i="10"/>
  <c r="M41" i="10"/>
  <c r="W41" i="10"/>
  <c r="V41" i="10"/>
  <c r="U41" i="10"/>
  <c r="T41" i="10"/>
  <c r="O41" i="10"/>
  <c r="R41" i="10"/>
  <c r="Q41" i="10"/>
  <c r="P41" i="10"/>
  <c r="N41" i="10"/>
  <c r="Z35" i="10"/>
  <c r="S35" i="10"/>
  <c r="M35" i="10"/>
  <c r="P35" i="10"/>
  <c r="Q35" i="10"/>
  <c r="V35" i="10"/>
  <c r="Y35" i="10"/>
  <c r="W35" i="10"/>
  <c r="O35" i="10"/>
  <c r="R35" i="10"/>
  <c r="U35" i="10"/>
  <c r="X35" i="10"/>
  <c r="N35" i="10"/>
  <c r="T35" i="10"/>
  <c r="Z37" i="10"/>
  <c r="S37" i="10"/>
  <c r="M37" i="10"/>
  <c r="P37" i="10"/>
  <c r="N37" i="10"/>
  <c r="V37" i="10"/>
  <c r="Y37" i="10"/>
  <c r="O37" i="10"/>
  <c r="W37" i="10"/>
  <c r="T37" i="10"/>
  <c r="R37" i="10"/>
  <c r="U37" i="10"/>
  <c r="X37" i="10"/>
  <c r="Q37" i="10"/>
  <c r="Y25" i="10"/>
  <c r="P25" i="10"/>
  <c r="W25" i="10"/>
  <c r="U25" i="10"/>
  <c r="R25" i="10"/>
  <c r="X25" i="10"/>
  <c r="Q25" i="10"/>
  <c r="Z25" i="10"/>
  <c r="S25" i="10"/>
  <c r="V25" i="10"/>
  <c r="O25" i="10"/>
  <c r="N25" i="10"/>
  <c r="T25" i="10"/>
  <c r="R32" i="10"/>
  <c r="U32" i="10"/>
  <c r="X32" i="10"/>
  <c r="S32" i="10"/>
  <c r="W32" i="10"/>
  <c r="N32" i="10"/>
  <c r="Q32" i="10"/>
  <c r="T32" i="10"/>
  <c r="V32" i="10"/>
  <c r="Z32" i="10"/>
  <c r="O32" i="10"/>
  <c r="M32" i="10"/>
  <c r="P32" i="10"/>
  <c r="Y32" i="10"/>
  <c r="Z31" i="10"/>
  <c r="O31" i="10"/>
  <c r="M31" i="10"/>
  <c r="P31" i="10"/>
  <c r="T31" i="10"/>
  <c r="V31" i="10"/>
  <c r="Y31" i="10"/>
  <c r="S31" i="10"/>
  <c r="W31" i="10"/>
  <c r="Q31" i="10"/>
  <c r="R31" i="10"/>
  <c r="U31" i="10"/>
  <c r="X31" i="10"/>
  <c r="N31" i="10"/>
  <c r="R36" i="10"/>
  <c r="Y36" i="10"/>
  <c r="X36" i="10"/>
  <c r="V36" i="10"/>
  <c r="O36" i="10"/>
  <c r="N36" i="10"/>
  <c r="U36" i="10"/>
  <c r="P36" i="10"/>
  <c r="Z36" i="10"/>
  <c r="T36" i="10"/>
  <c r="Q36" i="10"/>
  <c r="W36" i="10"/>
  <c r="S36" i="10"/>
  <c r="M36" i="10"/>
  <c r="R40" i="10"/>
  <c r="W40" i="10"/>
  <c r="M40" i="10"/>
  <c r="X40" i="10"/>
  <c r="S40" i="10"/>
  <c r="N40" i="10"/>
  <c r="O40" i="10"/>
  <c r="T40" i="10"/>
  <c r="Z40" i="10"/>
  <c r="Y40" i="10"/>
  <c r="U40" i="10"/>
  <c r="P40" i="10"/>
  <c r="V40" i="10"/>
  <c r="Q40" i="10"/>
  <c r="Z33" i="10"/>
  <c r="O33" i="10"/>
  <c r="M33" i="10"/>
  <c r="P33" i="10"/>
  <c r="N33" i="10"/>
  <c r="T33" i="10"/>
  <c r="V33" i="10"/>
  <c r="Y33" i="10"/>
  <c r="S33" i="10"/>
  <c r="W33" i="10"/>
  <c r="R33" i="10"/>
  <c r="U33" i="10"/>
  <c r="X33" i="10"/>
  <c r="Q33" i="10"/>
  <c r="Z29" i="10"/>
  <c r="S29" i="10"/>
  <c r="M29" i="10"/>
  <c r="P29" i="10"/>
  <c r="N29" i="10"/>
  <c r="V29" i="10"/>
  <c r="Y29" i="10"/>
  <c r="O29" i="10"/>
  <c r="W29" i="10"/>
  <c r="Q29" i="10"/>
  <c r="R29" i="10"/>
  <c r="U29" i="10"/>
  <c r="X29" i="10"/>
  <c r="T29" i="10"/>
  <c r="R34" i="10"/>
  <c r="Q34" i="10"/>
  <c r="P34" i="10"/>
  <c r="V34" i="10"/>
  <c r="T34" i="10"/>
  <c r="N34" i="10"/>
  <c r="M34" i="10"/>
  <c r="W34" i="10"/>
  <c r="Z34" i="10"/>
  <c r="Y34" i="10"/>
  <c r="X34" i="10"/>
  <c r="S34" i="10"/>
  <c r="U34" i="10"/>
  <c r="O34" i="10"/>
  <c r="R30" i="10"/>
  <c r="W30" i="10"/>
  <c r="Q30" i="10"/>
  <c r="P30" i="10"/>
  <c r="N30" i="10"/>
  <c r="O30" i="10"/>
  <c r="M30" i="10"/>
  <c r="U30" i="10"/>
  <c r="Z30" i="10"/>
  <c r="X30" i="10"/>
  <c r="Y30" i="10"/>
  <c r="T30" i="10"/>
  <c r="V30" i="10"/>
  <c r="S30" i="10"/>
  <c r="R12" i="10"/>
  <c r="O12" i="10"/>
  <c r="W12" i="10"/>
  <c r="Z12" i="10"/>
  <c r="Y12" i="10"/>
  <c r="S12" i="10"/>
  <c r="M12" i="10"/>
  <c r="U12" i="10"/>
  <c r="X12" i="10"/>
  <c r="V12" i="10"/>
  <c r="T12" i="10"/>
  <c r="P12" i="10"/>
  <c r="N12" i="10"/>
  <c r="Q12" i="10"/>
  <c r="Y5" i="10"/>
  <c r="T5" i="10"/>
  <c r="N5" i="10"/>
  <c r="V5" i="10"/>
  <c r="U5" i="10"/>
  <c r="O5" i="10"/>
  <c r="M5" i="10"/>
  <c r="Q5" i="10"/>
  <c r="X5" i="10"/>
  <c r="R5" i="10"/>
  <c r="Z5" i="10"/>
  <c r="S5" i="10"/>
  <c r="P5" i="10"/>
  <c r="W5" i="10"/>
  <c r="W11" i="10"/>
  <c r="Q11" i="10"/>
  <c r="P11" i="10"/>
  <c r="T11" i="10"/>
  <c r="N11" i="10"/>
  <c r="O11" i="10"/>
  <c r="Z11" i="10"/>
  <c r="R11" i="10"/>
  <c r="X11" i="10"/>
  <c r="V11" i="10"/>
  <c r="U11" i="10"/>
  <c r="Y11" i="10"/>
  <c r="S11" i="10"/>
  <c r="M11" i="10"/>
  <c r="X22" i="10"/>
  <c r="T22" i="10"/>
  <c r="P22" i="10"/>
  <c r="M22" i="10"/>
  <c r="W22" i="10"/>
  <c r="R22" i="10"/>
  <c r="Y22" i="10"/>
  <c r="N22" i="10"/>
  <c r="V22" i="10"/>
  <c r="Q22" i="10"/>
  <c r="S22" i="10"/>
  <c r="Z22" i="10"/>
  <c r="U22" i="10"/>
  <c r="O22" i="10"/>
  <c r="Y21" i="10"/>
  <c r="U21" i="10"/>
  <c r="Q21" i="10"/>
  <c r="Z21" i="10"/>
  <c r="T21" i="10"/>
  <c r="O21" i="10"/>
  <c r="X21" i="10"/>
  <c r="S21" i="10"/>
  <c r="N21" i="10"/>
  <c r="M21" i="10"/>
  <c r="V21" i="10"/>
  <c r="W21" i="10"/>
  <c r="R21" i="10"/>
  <c r="P21" i="10"/>
  <c r="W27" i="10"/>
  <c r="S27" i="10"/>
  <c r="O27" i="10"/>
  <c r="Z27" i="10"/>
  <c r="V27" i="10"/>
  <c r="R27" i="10"/>
  <c r="N27" i="10"/>
  <c r="U27" i="10"/>
  <c r="X27" i="10"/>
  <c r="T27" i="10"/>
  <c r="M27" i="10"/>
  <c r="P27" i="10"/>
  <c r="Y27" i="10"/>
  <c r="Q27" i="10"/>
  <c r="Z20" i="10"/>
  <c r="V20" i="10"/>
  <c r="R20" i="10"/>
  <c r="N20" i="10"/>
  <c r="W20" i="10"/>
  <c r="Q20" i="10"/>
  <c r="M20" i="10"/>
  <c r="X20" i="10"/>
  <c r="U20" i="10"/>
  <c r="P20" i="10"/>
  <c r="S20" i="10"/>
  <c r="Y20" i="10"/>
  <c r="T20" i="10"/>
  <c r="O20" i="10"/>
  <c r="Z28" i="10"/>
  <c r="V28" i="10"/>
  <c r="R28" i="10"/>
  <c r="N28" i="10"/>
  <c r="Y28" i="10"/>
  <c r="U28" i="10"/>
  <c r="Q28" i="10"/>
  <c r="X28" i="10"/>
  <c r="P28" i="10"/>
  <c r="W28" i="10"/>
  <c r="O28" i="10"/>
  <c r="T28" i="10"/>
  <c r="M28" i="10"/>
  <c r="S28" i="10"/>
  <c r="C77" i="3"/>
  <c r="C77" i="4" s="1"/>
  <c r="L397" i="9"/>
  <c r="M397" i="9" s="1"/>
  <c r="K398" i="9"/>
  <c r="O78" i="9"/>
  <c r="P78" i="9" s="1"/>
  <c r="N79" i="9"/>
  <c r="R78" i="9" l="1"/>
  <c r="E81" i="2" s="1"/>
  <c r="A79" i="3" s="1"/>
  <c r="A79" i="4" s="1"/>
  <c r="S78" i="9"/>
  <c r="F81" i="2" s="1"/>
  <c r="B79" i="3" s="1"/>
  <c r="B79" i="4" s="1"/>
  <c r="T78" i="9"/>
  <c r="G81" i="2" s="1"/>
  <c r="S77" i="9"/>
  <c r="F80" i="2" s="1"/>
  <c r="B78" i="3" s="1"/>
  <c r="B78" i="4" s="1"/>
  <c r="R77" i="9"/>
  <c r="E80" i="2" s="1"/>
  <c r="A78" i="3" s="1"/>
  <c r="A78" i="4" s="1"/>
  <c r="C78" i="3"/>
  <c r="C78" i="4" s="1"/>
  <c r="L398" i="9"/>
  <c r="M398" i="9" s="1"/>
  <c r="K399" i="9"/>
  <c r="O79" i="9"/>
  <c r="N80" i="9"/>
  <c r="P79" i="9" l="1"/>
  <c r="T79" i="9" s="1"/>
  <c r="G82" i="2" s="1"/>
  <c r="C79" i="3"/>
  <c r="C79" i="4" s="1"/>
  <c r="L399" i="9"/>
  <c r="M399" i="9" s="1"/>
  <c r="K400" i="9"/>
  <c r="O80" i="9"/>
  <c r="P80" i="9" s="1"/>
  <c r="N81" i="9"/>
  <c r="T80" i="9" l="1"/>
  <c r="S80" i="9"/>
  <c r="F83" i="2" s="1"/>
  <c r="B81" i="3" s="1"/>
  <c r="B81" i="4" s="1"/>
  <c r="R80" i="9"/>
  <c r="E83" i="2" s="1"/>
  <c r="A81" i="3" s="1"/>
  <c r="A81" i="4" s="1"/>
  <c r="S79" i="9"/>
  <c r="F82" i="2" s="1"/>
  <c r="B80" i="3" s="1"/>
  <c r="B80" i="4" s="1"/>
  <c r="R79" i="9"/>
  <c r="E82" i="2" s="1"/>
  <c r="A80" i="3" s="1"/>
  <c r="A80" i="4" s="1"/>
  <c r="C80" i="3"/>
  <c r="C80" i="4" s="1"/>
  <c r="L400" i="9"/>
  <c r="M400" i="9" s="1"/>
  <c r="K401" i="9"/>
  <c r="O81" i="9"/>
  <c r="G83" i="2"/>
  <c r="N82" i="9"/>
  <c r="P81" i="9" l="1"/>
  <c r="T81" i="9" s="1"/>
  <c r="G84" i="2" s="1"/>
  <c r="C81" i="3"/>
  <c r="C81" i="4" s="1"/>
  <c r="L401" i="9"/>
  <c r="M401" i="9" s="1"/>
  <c r="K402" i="9"/>
  <c r="O82" i="9"/>
  <c r="P82" i="9" s="1"/>
  <c r="N83" i="9"/>
  <c r="T82" i="9" l="1"/>
  <c r="S82" i="9"/>
  <c r="F85" i="2" s="1"/>
  <c r="B83" i="3" s="1"/>
  <c r="B83" i="4" s="1"/>
  <c r="R82" i="9"/>
  <c r="E85" i="2" s="1"/>
  <c r="A83" i="3" s="1"/>
  <c r="A83" i="4" s="1"/>
  <c r="S81" i="9"/>
  <c r="F84" i="2" s="1"/>
  <c r="B82" i="3" s="1"/>
  <c r="B82" i="4" s="1"/>
  <c r="R81" i="9"/>
  <c r="E84" i="2" s="1"/>
  <c r="A82" i="3" s="1"/>
  <c r="A82" i="4" s="1"/>
  <c r="C82" i="3"/>
  <c r="C82" i="4" s="1"/>
  <c r="L402" i="9"/>
  <c r="M402" i="9" s="1"/>
  <c r="K403" i="9"/>
  <c r="O83" i="9"/>
  <c r="G85" i="2"/>
  <c r="N84" i="9"/>
  <c r="P83" i="9" l="1"/>
  <c r="C83" i="3"/>
  <c r="C83" i="4" s="1"/>
  <c r="L403" i="9"/>
  <c r="M403" i="9" s="1"/>
  <c r="K404" i="9"/>
  <c r="O84" i="9"/>
  <c r="P84" i="9" s="1"/>
  <c r="N85" i="9"/>
  <c r="T84" i="9" l="1"/>
  <c r="S83" i="9"/>
  <c r="F86" i="2" s="1"/>
  <c r="B84" i="3" s="1"/>
  <c r="B84" i="4" s="1"/>
  <c r="R83" i="9"/>
  <c r="E86" i="2" s="1"/>
  <c r="A84" i="3" s="1"/>
  <c r="A84" i="4" s="1"/>
  <c r="R84" i="9"/>
  <c r="E87" i="2" s="1"/>
  <c r="A85" i="3" s="1"/>
  <c r="A85" i="4" s="1"/>
  <c r="S84" i="9"/>
  <c r="F87" i="2" s="1"/>
  <c r="B85" i="3" s="1"/>
  <c r="B85" i="4" s="1"/>
  <c r="T83" i="9"/>
  <c r="G86" i="2" s="1"/>
  <c r="C84" i="3" s="1"/>
  <c r="C84" i="4" s="1"/>
  <c r="L404" i="9"/>
  <c r="M404" i="9" s="1"/>
  <c r="K405" i="9"/>
  <c r="O85" i="9"/>
  <c r="G87" i="2"/>
  <c r="N86" i="9"/>
  <c r="P85" i="9" l="1"/>
  <c r="T85" i="9"/>
  <c r="C85" i="3"/>
  <c r="C85" i="4" s="1"/>
  <c r="L405" i="9"/>
  <c r="M405" i="9" s="1"/>
  <c r="K406" i="9"/>
  <c r="O86" i="9"/>
  <c r="P86" i="9" s="1"/>
  <c r="G88" i="2"/>
  <c r="N87" i="9"/>
  <c r="T86" i="9" l="1"/>
  <c r="R85" i="9"/>
  <c r="E88" i="2" s="1"/>
  <c r="A86" i="3" s="1"/>
  <c r="A86" i="4" s="1"/>
  <c r="S85" i="9"/>
  <c r="F88" i="2" s="1"/>
  <c r="B86" i="3" s="1"/>
  <c r="B86" i="4" s="1"/>
  <c r="S86" i="9"/>
  <c r="F89" i="2" s="1"/>
  <c r="B87" i="3" s="1"/>
  <c r="B87" i="4" s="1"/>
  <c r="R86" i="9"/>
  <c r="E89" i="2" s="1"/>
  <c r="A87" i="3" s="1"/>
  <c r="A87" i="4" s="1"/>
  <c r="C86" i="3"/>
  <c r="C86" i="4" s="1"/>
  <c r="L406" i="9"/>
  <c r="M406" i="9" s="1"/>
  <c r="K407" i="9"/>
  <c r="O87" i="9"/>
  <c r="G89" i="2"/>
  <c r="N88" i="9"/>
  <c r="P87" i="9" l="1"/>
  <c r="S87" i="9" s="1"/>
  <c r="F90" i="2" s="1"/>
  <c r="B88" i="3" s="1"/>
  <c r="B88" i="4" s="1"/>
  <c r="R87" i="9"/>
  <c r="E90" i="2" s="1"/>
  <c r="A88" i="3" s="1"/>
  <c r="A88" i="4" s="1"/>
  <c r="C87" i="3"/>
  <c r="C87" i="4" s="1"/>
  <c r="L407" i="9"/>
  <c r="M407" i="9" s="1"/>
  <c r="K408" i="9"/>
  <c r="O88" i="9"/>
  <c r="P88" i="9" s="1"/>
  <c r="N89" i="9"/>
  <c r="T88" i="9" l="1"/>
  <c r="T87" i="9"/>
  <c r="G90" i="2" s="1"/>
  <c r="C88" i="3" s="1"/>
  <c r="C88" i="4" s="1"/>
  <c r="R88" i="9"/>
  <c r="E91" i="2" s="1"/>
  <c r="A89" i="3" s="1"/>
  <c r="A89" i="4" s="1"/>
  <c r="S88" i="9"/>
  <c r="F91" i="2" s="1"/>
  <c r="B89" i="3" s="1"/>
  <c r="B89" i="4" s="1"/>
  <c r="L408" i="9"/>
  <c r="M408" i="9" s="1"/>
  <c r="K409" i="9"/>
  <c r="O89" i="9"/>
  <c r="G91" i="2"/>
  <c r="N90" i="9"/>
  <c r="P89" i="9" l="1"/>
  <c r="C89" i="3"/>
  <c r="C89" i="4" s="1"/>
  <c r="L409" i="9"/>
  <c r="M409" i="9" s="1"/>
  <c r="K410" i="9"/>
  <c r="O90" i="9"/>
  <c r="P90" i="9" s="1"/>
  <c r="N91" i="9"/>
  <c r="T90" i="9" l="1"/>
  <c r="R89" i="9"/>
  <c r="E92" i="2" s="1"/>
  <c r="A90" i="3" s="1"/>
  <c r="A90" i="4" s="1"/>
  <c r="S89" i="9"/>
  <c r="F92" i="2" s="1"/>
  <c r="B90" i="3" s="1"/>
  <c r="B90" i="4" s="1"/>
  <c r="R90" i="9"/>
  <c r="E93" i="2" s="1"/>
  <c r="A91" i="3" s="1"/>
  <c r="A91" i="4" s="1"/>
  <c r="S90" i="9"/>
  <c r="F93" i="2" s="1"/>
  <c r="B91" i="3" s="1"/>
  <c r="B91" i="4" s="1"/>
  <c r="T89" i="9"/>
  <c r="G92" i="2" s="1"/>
  <c r="C90" i="3" s="1"/>
  <c r="C90" i="4" s="1"/>
  <c r="L410" i="9"/>
  <c r="M410" i="9" s="1"/>
  <c r="K411" i="9"/>
  <c r="O91" i="9"/>
  <c r="G93" i="2"/>
  <c r="N92" i="9"/>
  <c r="P91" i="9" l="1"/>
  <c r="C91" i="3"/>
  <c r="C91" i="4" s="1"/>
  <c r="L411" i="9"/>
  <c r="M411" i="9" s="1"/>
  <c r="K412" i="9"/>
  <c r="O92" i="9"/>
  <c r="P92" i="9" s="1"/>
  <c r="N93" i="9"/>
  <c r="T92" i="9" l="1"/>
  <c r="S91" i="9"/>
  <c r="F94" i="2" s="1"/>
  <c r="B92" i="3" s="1"/>
  <c r="B92" i="4" s="1"/>
  <c r="R91" i="9"/>
  <c r="E94" i="2" s="1"/>
  <c r="A92" i="3" s="1"/>
  <c r="A92" i="4" s="1"/>
  <c r="S92" i="9"/>
  <c r="F95" i="2" s="1"/>
  <c r="B93" i="3" s="1"/>
  <c r="B93" i="4" s="1"/>
  <c r="R92" i="9"/>
  <c r="E95" i="2" s="1"/>
  <c r="A93" i="3" s="1"/>
  <c r="A93" i="4" s="1"/>
  <c r="T91" i="9"/>
  <c r="G94" i="2" s="1"/>
  <c r="C92" i="3" s="1"/>
  <c r="C92" i="4" s="1"/>
  <c r="L412" i="9"/>
  <c r="M412" i="9" s="1"/>
  <c r="K413" i="9"/>
  <c r="O93" i="9"/>
  <c r="G95" i="2"/>
  <c r="N94" i="9"/>
  <c r="P93" i="9" l="1"/>
  <c r="T93" i="9" s="1"/>
  <c r="G96" i="2" s="1"/>
  <c r="C93" i="3"/>
  <c r="C93" i="4" s="1"/>
  <c r="L413" i="9"/>
  <c r="M413" i="9" s="1"/>
  <c r="K414" i="9"/>
  <c r="O94" i="9"/>
  <c r="P94" i="9" s="1"/>
  <c r="N95" i="9"/>
  <c r="T94" i="9" l="1"/>
  <c r="S94" i="9"/>
  <c r="F97" i="2" s="1"/>
  <c r="B95" i="3" s="1"/>
  <c r="B95" i="4" s="1"/>
  <c r="R94" i="9"/>
  <c r="E97" i="2" s="1"/>
  <c r="A95" i="3" s="1"/>
  <c r="A95" i="4" s="1"/>
  <c r="R93" i="9"/>
  <c r="E96" i="2" s="1"/>
  <c r="A94" i="3" s="1"/>
  <c r="A94" i="4" s="1"/>
  <c r="S93" i="9"/>
  <c r="F96" i="2" s="1"/>
  <c r="B94" i="3" s="1"/>
  <c r="B94" i="4" s="1"/>
  <c r="C94" i="3"/>
  <c r="C94" i="4" s="1"/>
  <c r="L414" i="9"/>
  <c r="M414" i="9" s="1"/>
  <c r="K415" i="9"/>
  <c r="O95" i="9"/>
  <c r="G97" i="2"/>
  <c r="N96" i="9"/>
  <c r="P95" i="9" l="1"/>
  <c r="C95" i="3"/>
  <c r="C95" i="4" s="1"/>
  <c r="L415" i="9"/>
  <c r="M415" i="9" s="1"/>
  <c r="K416" i="9"/>
  <c r="O96" i="9"/>
  <c r="P96" i="9" s="1"/>
  <c r="N97" i="9"/>
  <c r="T96" i="9" l="1"/>
  <c r="R95" i="9"/>
  <c r="E98" i="2" s="1"/>
  <c r="A96" i="3" s="1"/>
  <c r="A96" i="4" s="1"/>
  <c r="S95" i="9"/>
  <c r="F98" i="2" s="1"/>
  <c r="B96" i="3" s="1"/>
  <c r="B96" i="4" s="1"/>
  <c r="S96" i="9"/>
  <c r="F99" i="2" s="1"/>
  <c r="B97" i="3" s="1"/>
  <c r="B97" i="4" s="1"/>
  <c r="R96" i="9"/>
  <c r="E99" i="2" s="1"/>
  <c r="A97" i="3" s="1"/>
  <c r="A97" i="4" s="1"/>
  <c r="T95" i="9"/>
  <c r="G98" i="2" s="1"/>
  <c r="C96" i="3" s="1"/>
  <c r="C96" i="4" s="1"/>
  <c r="L416" i="9"/>
  <c r="M416" i="9" s="1"/>
  <c r="K417" i="9"/>
  <c r="O97" i="9"/>
  <c r="G99" i="2"/>
  <c r="N98" i="9"/>
  <c r="P97" i="9" l="1"/>
  <c r="C97" i="3"/>
  <c r="C97" i="4" s="1"/>
  <c r="L417" i="9"/>
  <c r="M417" i="9" s="1"/>
  <c r="K418" i="9"/>
  <c r="O98" i="9"/>
  <c r="P98" i="9" s="1"/>
  <c r="N99" i="9"/>
  <c r="T98" i="9" l="1"/>
  <c r="S97" i="9"/>
  <c r="F100" i="2" s="1"/>
  <c r="B98" i="3" s="1"/>
  <c r="B98" i="4" s="1"/>
  <c r="R97" i="9"/>
  <c r="E100" i="2" s="1"/>
  <c r="A98" i="3" s="1"/>
  <c r="A98" i="4" s="1"/>
  <c r="S98" i="9"/>
  <c r="F101" i="2" s="1"/>
  <c r="B99" i="3" s="1"/>
  <c r="B99" i="4" s="1"/>
  <c r="R98" i="9"/>
  <c r="E101" i="2" s="1"/>
  <c r="A99" i="3" s="1"/>
  <c r="A99" i="4" s="1"/>
  <c r="T97" i="9"/>
  <c r="G100" i="2" s="1"/>
  <c r="C98" i="3"/>
  <c r="C98" i="4" s="1"/>
  <c r="L418" i="9"/>
  <c r="M418" i="9" s="1"/>
  <c r="K419" i="9"/>
  <c r="O99" i="9"/>
  <c r="G101" i="2"/>
  <c r="N100" i="9"/>
  <c r="P99" i="9" l="1"/>
  <c r="T99" i="9" s="1"/>
  <c r="G102" i="2" s="1"/>
  <c r="C99" i="3"/>
  <c r="C99" i="4" s="1"/>
  <c r="L419" i="9"/>
  <c r="M419" i="9" s="1"/>
  <c r="K420" i="9"/>
  <c r="O100" i="9"/>
  <c r="P100" i="9" s="1"/>
  <c r="N101" i="9"/>
  <c r="T100" i="9" l="1"/>
  <c r="R100" i="9"/>
  <c r="E103" i="2" s="1"/>
  <c r="A101" i="3" s="1"/>
  <c r="A101" i="4" s="1"/>
  <c r="S100" i="9"/>
  <c r="F103" i="2" s="1"/>
  <c r="B101" i="3" s="1"/>
  <c r="B101" i="4" s="1"/>
  <c r="S99" i="9"/>
  <c r="F102" i="2" s="1"/>
  <c r="B100" i="3" s="1"/>
  <c r="B100" i="4" s="1"/>
  <c r="R99" i="9"/>
  <c r="E102" i="2" s="1"/>
  <c r="A100" i="3" s="1"/>
  <c r="A100" i="4" s="1"/>
  <c r="C100" i="3"/>
  <c r="C100" i="4" s="1"/>
  <c r="L420" i="9"/>
  <c r="M420" i="9" s="1"/>
  <c r="K421" i="9"/>
  <c r="O101" i="9"/>
  <c r="G103" i="2"/>
  <c r="N102" i="9"/>
  <c r="P101" i="9" l="1"/>
  <c r="C101" i="3"/>
  <c r="C101" i="4" s="1"/>
  <c r="K422" i="9"/>
  <c r="L421" i="9"/>
  <c r="M421" i="9" s="1"/>
  <c r="O102" i="9"/>
  <c r="P102" i="9" s="1"/>
  <c r="N103" i="9"/>
  <c r="T102" i="9" l="1"/>
  <c r="R102" i="9"/>
  <c r="E105" i="2" s="1"/>
  <c r="A103" i="3" s="1"/>
  <c r="A103" i="4" s="1"/>
  <c r="S102" i="9"/>
  <c r="F105" i="2" s="1"/>
  <c r="B103" i="3" s="1"/>
  <c r="B103" i="4" s="1"/>
  <c r="S101" i="9"/>
  <c r="F104" i="2" s="1"/>
  <c r="B102" i="3" s="1"/>
  <c r="B102" i="4" s="1"/>
  <c r="R101" i="9"/>
  <c r="E104" i="2" s="1"/>
  <c r="A102" i="3" s="1"/>
  <c r="A102" i="4" s="1"/>
  <c r="T101" i="9"/>
  <c r="G104" i="2" s="1"/>
  <c r="C102" i="3" s="1"/>
  <c r="C102" i="4" s="1"/>
  <c r="K423" i="9"/>
  <c r="L422" i="9"/>
  <c r="M422" i="9" s="1"/>
  <c r="O103" i="9"/>
  <c r="G105" i="2"/>
  <c r="N104" i="9"/>
  <c r="P103" i="9" l="1"/>
  <c r="T103" i="9" s="1"/>
  <c r="G106" i="2" s="1"/>
  <c r="C103" i="3"/>
  <c r="C103" i="4" s="1"/>
  <c r="K424" i="9"/>
  <c r="L423" i="9"/>
  <c r="M423" i="9" s="1"/>
  <c r="O104" i="9"/>
  <c r="P104" i="9" s="1"/>
  <c r="N105" i="9"/>
  <c r="T104" i="9" l="1"/>
  <c r="S103" i="9"/>
  <c r="F106" i="2" s="1"/>
  <c r="B104" i="3" s="1"/>
  <c r="B104" i="4" s="1"/>
  <c r="R103" i="9"/>
  <c r="E106" i="2" s="1"/>
  <c r="A104" i="3" s="1"/>
  <c r="A104" i="4" s="1"/>
  <c r="S104" i="9"/>
  <c r="F107" i="2" s="1"/>
  <c r="B105" i="3" s="1"/>
  <c r="B105" i="4" s="1"/>
  <c r="R104" i="9"/>
  <c r="E107" i="2" s="1"/>
  <c r="A105" i="3" s="1"/>
  <c r="A105" i="4" s="1"/>
  <c r="C104" i="3"/>
  <c r="C104" i="4" s="1"/>
  <c r="K425" i="9"/>
  <c r="L424" i="9"/>
  <c r="M424" i="9" s="1"/>
  <c r="O105" i="9"/>
  <c r="G107" i="2"/>
  <c r="N106" i="9"/>
  <c r="P105" i="9" l="1"/>
  <c r="C105" i="3"/>
  <c r="C105" i="4" s="1"/>
  <c r="K426" i="9"/>
  <c r="L425" i="9"/>
  <c r="M425" i="9" s="1"/>
  <c r="O106" i="9"/>
  <c r="P106" i="9" s="1"/>
  <c r="N107" i="9"/>
  <c r="T106" i="9" l="1"/>
  <c r="R105" i="9"/>
  <c r="E108" i="2" s="1"/>
  <c r="A106" i="3" s="1"/>
  <c r="A106" i="4" s="1"/>
  <c r="S105" i="9"/>
  <c r="F108" i="2" s="1"/>
  <c r="B106" i="3" s="1"/>
  <c r="B106" i="4" s="1"/>
  <c r="R106" i="9"/>
  <c r="E109" i="2" s="1"/>
  <c r="A107" i="3" s="1"/>
  <c r="A107" i="4" s="1"/>
  <c r="S106" i="9"/>
  <c r="F109" i="2" s="1"/>
  <c r="B107" i="3" s="1"/>
  <c r="B107" i="4" s="1"/>
  <c r="T105" i="9"/>
  <c r="G108" i="2" s="1"/>
  <c r="C106" i="3" s="1"/>
  <c r="C106" i="4" s="1"/>
  <c r="K427" i="9"/>
  <c r="L426" i="9"/>
  <c r="M426" i="9" s="1"/>
  <c r="O107" i="9"/>
  <c r="G109" i="2"/>
  <c r="N108" i="9"/>
  <c r="P107" i="9" l="1"/>
  <c r="C107" i="3"/>
  <c r="C107" i="4" s="1"/>
  <c r="K428" i="9"/>
  <c r="L427" i="9"/>
  <c r="M427" i="9" s="1"/>
  <c r="O108" i="9"/>
  <c r="P108" i="9" s="1"/>
  <c r="N109" i="9"/>
  <c r="R107" i="9" l="1"/>
  <c r="E110" i="2" s="1"/>
  <c r="A108" i="3" s="1"/>
  <c r="A108" i="4" s="1"/>
  <c r="S107" i="9"/>
  <c r="F110" i="2" s="1"/>
  <c r="B108" i="3" s="1"/>
  <c r="B108" i="4" s="1"/>
  <c r="T108" i="9"/>
  <c r="G111" i="2" s="1"/>
  <c r="S108" i="9"/>
  <c r="F111" i="2" s="1"/>
  <c r="B109" i="3" s="1"/>
  <c r="B109" i="4" s="1"/>
  <c r="R108" i="9"/>
  <c r="E111" i="2" s="1"/>
  <c r="A109" i="3" s="1"/>
  <c r="A109" i="4" s="1"/>
  <c r="T107" i="9"/>
  <c r="G110" i="2" s="1"/>
  <c r="C108" i="3" s="1"/>
  <c r="C108" i="4" s="1"/>
  <c r="K429" i="9"/>
  <c r="L428" i="9"/>
  <c r="M428" i="9" s="1"/>
  <c r="O109" i="9"/>
  <c r="N110" i="9"/>
  <c r="P109" i="9" l="1"/>
  <c r="T109" i="9" s="1"/>
  <c r="G112" i="2" s="1"/>
  <c r="C109" i="3"/>
  <c r="C109" i="4" s="1"/>
  <c r="K430" i="9"/>
  <c r="L429" i="9"/>
  <c r="M429" i="9" s="1"/>
  <c r="O110" i="9"/>
  <c r="P110" i="9" s="1"/>
  <c r="N111" i="9"/>
  <c r="T110" i="9" l="1"/>
  <c r="G113" i="2" s="1"/>
  <c r="S109" i="9"/>
  <c r="F112" i="2" s="1"/>
  <c r="B110" i="3" s="1"/>
  <c r="B110" i="4" s="1"/>
  <c r="R109" i="9"/>
  <c r="E112" i="2" s="1"/>
  <c r="A110" i="3" s="1"/>
  <c r="A110" i="4" s="1"/>
  <c r="R110" i="9"/>
  <c r="E113" i="2" s="1"/>
  <c r="A111" i="3" s="1"/>
  <c r="A111" i="4" s="1"/>
  <c r="S110" i="9"/>
  <c r="F113" i="2" s="1"/>
  <c r="B111" i="3" s="1"/>
  <c r="B111" i="4" s="1"/>
  <c r="C110" i="3"/>
  <c r="C110" i="4" s="1"/>
  <c r="K431" i="9"/>
  <c r="L430" i="9"/>
  <c r="M430" i="9" s="1"/>
  <c r="O111" i="9"/>
  <c r="N112" i="9"/>
  <c r="P111" i="9" l="1"/>
  <c r="S111" i="9" s="1"/>
  <c r="F114" i="2" s="1"/>
  <c r="B112" i="3" s="1"/>
  <c r="B112" i="4" s="1"/>
  <c r="C111" i="3"/>
  <c r="C111" i="4" s="1"/>
  <c r="K432" i="9"/>
  <c r="L431" i="9"/>
  <c r="M431" i="9" s="1"/>
  <c r="O112" i="9"/>
  <c r="P112" i="9" s="1"/>
  <c r="N113" i="9"/>
  <c r="T111" i="9" l="1"/>
  <c r="G114" i="2" s="1"/>
  <c r="R111" i="9"/>
  <c r="E114" i="2" s="1"/>
  <c r="A112" i="3" s="1"/>
  <c r="A112" i="4" s="1"/>
  <c r="T112" i="9"/>
  <c r="G115" i="2" s="1"/>
  <c r="R112" i="9"/>
  <c r="E115" i="2" s="1"/>
  <c r="A113" i="3" s="1"/>
  <c r="A113" i="4" s="1"/>
  <c r="S112" i="9"/>
  <c r="F115" i="2" s="1"/>
  <c r="B113" i="3" s="1"/>
  <c r="B113" i="4" s="1"/>
  <c r="C112" i="3"/>
  <c r="C112" i="4" s="1"/>
  <c r="K433" i="9"/>
  <c r="L432" i="9"/>
  <c r="M432" i="9" s="1"/>
  <c r="O113" i="9"/>
  <c r="N114" i="9"/>
  <c r="P113" i="9" l="1"/>
  <c r="C113" i="3"/>
  <c r="C113" i="4" s="1"/>
  <c r="K434" i="9"/>
  <c r="L433" i="9"/>
  <c r="M433" i="9" s="1"/>
  <c r="O114" i="9"/>
  <c r="P114" i="9" s="1"/>
  <c r="N115" i="9"/>
  <c r="T114" i="9" l="1"/>
  <c r="R113" i="9"/>
  <c r="E116" i="2" s="1"/>
  <c r="A114" i="3" s="1"/>
  <c r="A114" i="4" s="1"/>
  <c r="S113" i="9"/>
  <c r="F116" i="2" s="1"/>
  <c r="B114" i="3" s="1"/>
  <c r="B114" i="4" s="1"/>
  <c r="R114" i="9"/>
  <c r="E117" i="2" s="1"/>
  <c r="A115" i="3" s="1"/>
  <c r="A115" i="4" s="1"/>
  <c r="S114" i="9"/>
  <c r="F117" i="2" s="1"/>
  <c r="B115" i="3" s="1"/>
  <c r="B115" i="4" s="1"/>
  <c r="T113" i="9"/>
  <c r="G116" i="2" s="1"/>
  <c r="C114" i="3" s="1"/>
  <c r="C114" i="4" s="1"/>
  <c r="K435" i="9"/>
  <c r="L434" i="9"/>
  <c r="M434" i="9" s="1"/>
  <c r="O115" i="9"/>
  <c r="G117" i="2"/>
  <c r="N116" i="9"/>
  <c r="P115" i="9" l="1"/>
  <c r="C115" i="3"/>
  <c r="C115" i="4" s="1"/>
  <c r="K436" i="9"/>
  <c r="L435" i="9"/>
  <c r="M435" i="9" s="1"/>
  <c r="O116" i="9"/>
  <c r="P116" i="9" s="1"/>
  <c r="N117" i="9"/>
  <c r="T116" i="9" l="1"/>
  <c r="S115" i="9"/>
  <c r="F118" i="2" s="1"/>
  <c r="B116" i="3" s="1"/>
  <c r="B116" i="4" s="1"/>
  <c r="R115" i="9"/>
  <c r="E118" i="2" s="1"/>
  <c r="A116" i="3" s="1"/>
  <c r="A116" i="4" s="1"/>
  <c r="R116" i="9"/>
  <c r="E119" i="2" s="1"/>
  <c r="A117" i="3" s="1"/>
  <c r="A117" i="4" s="1"/>
  <c r="S116" i="9"/>
  <c r="F119" i="2" s="1"/>
  <c r="B117" i="3" s="1"/>
  <c r="B117" i="4" s="1"/>
  <c r="T115" i="9"/>
  <c r="G118" i="2" s="1"/>
  <c r="C116" i="3" s="1"/>
  <c r="C116" i="4" s="1"/>
  <c r="K437" i="9"/>
  <c r="L436" i="9"/>
  <c r="M436" i="9" s="1"/>
  <c r="O117" i="9"/>
  <c r="G119" i="2"/>
  <c r="N118" i="9"/>
  <c r="P117" i="9" l="1"/>
  <c r="T117" i="9" s="1"/>
  <c r="G120" i="2" s="1"/>
  <c r="C117" i="3"/>
  <c r="C117" i="4" s="1"/>
  <c r="K438" i="9"/>
  <c r="L437" i="9"/>
  <c r="M437" i="9" s="1"/>
  <c r="O118" i="9"/>
  <c r="P118" i="9" s="1"/>
  <c r="N119" i="9"/>
  <c r="T118" i="9" l="1"/>
  <c r="R117" i="9"/>
  <c r="E120" i="2" s="1"/>
  <c r="A118" i="3" s="1"/>
  <c r="A118" i="4" s="1"/>
  <c r="S117" i="9"/>
  <c r="F120" i="2" s="1"/>
  <c r="B118" i="3" s="1"/>
  <c r="B118" i="4" s="1"/>
  <c r="S118" i="9"/>
  <c r="F121" i="2" s="1"/>
  <c r="B119" i="3" s="1"/>
  <c r="B119" i="4" s="1"/>
  <c r="R118" i="9"/>
  <c r="E121" i="2" s="1"/>
  <c r="A119" i="3" s="1"/>
  <c r="A119" i="4" s="1"/>
  <c r="C118" i="3"/>
  <c r="C118" i="4" s="1"/>
  <c r="K439" i="9"/>
  <c r="L438" i="9"/>
  <c r="M438" i="9" s="1"/>
  <c r="O119" i="9"/>
  <c r="G121" i="2"/>
  <c r="N120" i="9"/>
  <c r="P119" i="9" l="1"/>
  <c r="C119" i="3"/>
  <c r="C119" i="4" s="1"/>
  <c r="K440" i="9"/>
  <c r="L439" i="9"/>
  <c r="M439" i="9" s="1"/>
  <c r="O120" i="9"/>
  <c r="P120" i="9" s="1"/>
  <c r="N121" i="9"/>
  <c r="T120" i="9" s="1"/>
  <c r="R120" i="9" l="1"/>
  <c r="E123" i="2" s="1"/>
  <c r="A121" i="3" s="1"/>
  <c r="A121" i="4" s="1"/>
  <c r="S120" i="9"/>
  <c r="F123" i="2" s="1"/>
  <c r="B121" i="3" s="1"/>
  <c r="B121" i="4" s="1"/>
  <c r="S119" i="9"/>
  <c r="F122" i="2" s="1"/>
  <c r="B120" i="3" s="1"/>
  <c r="B120" i="4" s="1"/>
  <c r="R119" i="9"/>
  <c r="E122" i="2" s="1"/>
  <c r="A120" i="3" s="1"/>
  <c r="A120" i="4" s="1"/>
  <c r="T119" i="9"/>
  <c r="G122" i="2" s="1"/>
  <c r="C120" i="3" s="1"/>
  <c r="C120" i="4" s="1"/>
  <c r="K441" i="9"/>
  <c r="L440" i="9"/>
  <c r="M440" i="9" s="1"/>
  <c r="O121" i="9"/>
  <c r="G123" i="2"/>
  <c r="N122" i="9"/>
  <c r="P121" i="9" l="1"/>
  <c r="C121" i="3"/>
  <c r="C121" i="4" s="1"/>
  <c r="K442" i="9"/>
  <c r="L441" i="9"/>
  <c r="M441" i="9" s="1"/>
  <c r="O122" i="9"/>
  <c r="P122" i="9" s="1"/>
  <c r="N123" i="9"/>
  <c r="T122" i="9" l="1"/>
  <c r="R121" i="9"/>
  <c r="E124" i="2" s="1"/>
  <c r="A122" i="3" s="1"/>
  <c r="A122" i="4" s="1"/>
  <c r="S121" i="9"/>
  <c r="F124" i="2" s="1"/>
  <c r="B122" i="3" s="1"/>
  <c r="B122" i="4" s="1"/>
  <c r="R122" i="9"/>
  <c r="E125" i="2" s="1"/>
  <c r="A123" i="3" s="1"/>
  <c r="A123" i="4" s="1"/>
  <c r="S122" i="9"/>
  <c r="F125" i="2" s="1"/>
  <c r="B123" i="3" s="1"/>
  <c r="B123" i="4" s="1"/>
  <c r="T121" i="9"/>
  <c r="G124" i="2" s="1"/>
  <c r="C122" i="3" s="1"/>
  <c r="C122" i="4" s="1"/>
  <c r="K443" i="9"/>
  <c r="L442" i="9"/>
  <c r="M442" i="9" s="1"/>
  <c r="O123" i="9"/>
  <c r="G125" i="2"/>
  <c r="N124" i="9"/>
  <c r="P123" i="9" l="1"/>
  <c r="C123" i="3"/>
  <c r="C123" i="4" s="1"/>
  <c r="K444" i="9"/>
  <c r="L443" i="9"/>
  <c r="M443" i="9" s="1"/>
  <c r="O124" i="9"/>
  <c r="P124" i="9" s="1"/>
  <c r="N125" i="9"/>
  <c r="T124" i="9" l="1"/>
  <c r="G127" i="2" s="1"/>
  <c r="S124" i="9"/>
  <c r="F127" i="2" s="1"/>
  <c r="B125" i="3" s="1"/>
  <c r="B125" i="4" s="1"/>
  <c r="R124" i="9"/>
  <c r="E127" i="2" s="1"/>
  <c r="A125" i="3" s="1"/>
  <c r="A125" i="4" s="1"/>
  <c r="R123" i="9"/>
  <c r="E126" i="2" s="1"/>
  <c r="A124" i="3" s="1"/>
  <c r="A124" i="4" s="1"/>
  <c r="S123" i="9"/>
  <c r="F126" i="2" s="1"/>
  <c r="B124" i="3" s="1"/>
  <c r="B124" i="4" s="1"/>
  <c r="T123" i="9"/>
  <c r="G126" i="2" s="1"/>
  <c r="C124" i="3" s="1"/>
  <c r="C124" i="4" s="1"/>
  <c r="K445" i="9"/>
  <c r="L444" i="9"/>
  <c r="M444" i="9" s="1"/>
  <c r="O125" i="9"/>
  <c r="N126" i="9"/>
  <c r="P125" i="9" l="1"/>
  <c r="C125" i="3"/>
  <c r="C125" i="4" s="1"/>
  <c r="K446" i="9"/>
  <c r="L445" i="9"/>
  <c r="M445" i="9" s="1"/>
  <c r="O126" i="9"/>
  <c r="P126" i="9" s="1"/>
  <c r="N127" i="9"/>
  <c r="T126" i="9" s="1"/>
  <c r="R125" i="9" l="1"/>
  <c r="E128" i="2" s="1"/>
  <c r="A126" i="3" s="1"/>
  <c r="A126" i="4" s="1"/>
  <c r="S125" i="9"/>
  <c r="F128" i="2" s="1"/>
  <c r="B126" i="3" s="1"/>
  <c r="B126" i="4" s="1"/>
  <c r="S126" i="9"/>
  <c r="F129" i="2" s="1"/>
  <c r="B127" i="3" s="1"/>
  <c r="B127" i="4" s="1"/>
  <c r="R126" i="9"/>
  <c r="E129" i="2" s="1"/>
  <c r="A127" i="3" s="1"/>
  <c r="A127" i="4" s="1"/>
  <c r="T125" i="9"/>
  <c r="G128" i="2" s="1"/>
  <c r="C126" i="3" s="1"/>
  <c r="C126" i="4" s="1"/>
  <c r="K447" i="9"/>
  <c r="L446" i="9"/>
  <c r="M446" i="9" s="1"/>
  <c r="O127" i="9"/>
  <c r="G129" i="2"/>
  <c r="N128" i="9"/>
  <c r="P127" i="9" l="1"/>
  <c r="S127" i="9" s="1"/>
  <c r="F130" i="2" s="1"/>
  <c r="B128" i="3" s="1"/>
  <c r="B128" i="4" s="1"/>
  <c r="C127" i="3"/>
  <c r="C127" i="4" s="1"/>
  <c r="K448" i="9"/>
  <c r="L447" i="9"/>
  <c r="M447" i="9" s="1"/>
  <c r="O128" i="9"/>
  <c r="P128" i="9" s="1"/>
  <c r="N129" i="9"/>
  <c r="R127" i="9" l="1"/>
  <c r="E130" i="2" s="1"/>
  <c r="A128" i="3" s="1"/>
  <c r="A128" i="4" s="1"/>
  <c r="T128" i="9"/>
  <c r="G131" i="2" s="1"/>
  <c r="R128" i="9"/>
  <c r="E131" i="2" s="1"/>
  <c r="A129" i="3" s="1"/>
  <c r="A129" i="4" s="1"/>
  <c r="S128" i="9"/>
  <c r="F131" i="2" s="1"/>
  <c r="B129" i="3" s="1"/>
  <c r="B129" i="4" s="1"/>
  <c r="T127" i="9"/>
  <c r="G130" i="2" s="1"/>
  <c r="C128" i="3" s="1"/>
  <c r="C128" i="4" s="1"/>
  <c r="K449" i="9"/>
  <c r="L448" i="9"/>
  <c r="M448" i="9" s="1"/>
  <c r="O129" i="9"/>
  <c r="N130" i="9"/>
  <c r="P129" i="9" l="1"/>
  <c r="S129" i="9" s="1"/>
  <c r="F132" i="2" s="1"/>
  <c r="B130" i="3" s="1"/>
  <c r="B130" i="4" s="1"/>
  <c r="C129" i="3"/>
  <c r="C129" i="4" s="1"/>
  <c r="K450" i="9"/>
  <c r="L449" i="9"/>
  <c r="M449" i="9" s="1"/>
  <c r="O130" i="9"/>
  <c r="P130" i="9" s="1"/>
  <c r="N131" i="9"/>
  <c r="T130" i="9" l="1"/>
  <c r="R130" i="9"/>
  <c r="E133" i="2" s="1"/>
  <c r="A131" i="3" s="1"/>
  <c r="A131" i="4" s="1"/>
  <c r="S130" i="9"/>
  <c r="F133" i="2" s="1"/>
  <c r="B131" i="3" s="1"/>
  <c r="B131" i="4" s="1"/>
  <c r="T129" i="9"/>
  <c r="G132" i="2" s="1"/>
  <c r="C130" i="3" s="1"/>
  <c r="C130" i="4" s="1"/>
  <c r="R129" i="9"/>
  <c r="E132" i="2" s="1"/>
  <c r="A130" i="3" s="1"/>
  <c r="A130" i="4" s="1"/>
  <c r="K451" i="9"/>
  <c r="L450" i="9"/>
  <c r="M450" i="9" s="1"/>
  <c r="O131" i="9"/>
  <c r="G133" i="2"/>
  <c r="N132" i="9"/>
  <c r="P131" i="9" l="1"/>
  <c r="C131" i="3"/>
  <c r="C131" i="4" s="1"/>
  <c r="K452" i="9"/>
  <c r="L451" i="9"/>
  <c r="M451" i="9" s="1"/>
  <c r="O132" i="9"/>
  <c r="P132" i="9" s="1"/>
  <c r="N133" i="9"/>
  <c r="T132" i="9" l="1"/>
  <c r="S132" i="9"/>
  <c r="F135" i="2" s="1"/>
  <c r="B133" i="3" s="1"/>
  <c r="B133" i="4" s="1"/>
  <c r="R132" i="9"/>
  <c r="E135" i="2" s="1"/>
  <c r="A133" i="3" s="1"/>
  <c r="A133" i="4" s="1"/>
  <c r="S131" i="9"/>
  <c r="F134" i="2" s="1"/>
  <c r="B132" i="3" s="1"/>
  <c r="B132" i="4" s="1"/>
  <c r="R131" i="9"/>
  <c r="E134" i="2" s="1"/>
  <c r="A132" i="3" s="1"/>
  <c r="A132" i="4" s="1"/>
  <c r="T131" i="9"/>
  <c r="G134" i="2" s="1"/>
  <c r="C132" i="3" s="1"/>
  <c r="C132" i="4" s="1"/>
  <c r="K453" i="9"/>
  <c r="L452" i="9"/>
  <c r="M452" i="9" s="1"/>
  <c r="O133" i="9"/>
  <c r="G135" i="2"/>
  <c r="N134" i="9"/>
  <c r="P133" i="9" l="1"/>
  <c r="C133" i="3"/>
  <c r="C133" i="4" s="1"/>
  <c r="K454" i="9"/>
  <c r="L453" i="9"/>
  <c r="M453" i="9" s="1"/>
  <c r="O134" i="9"/>
  <c r="P134" i="9" s="1"/>
  <c r="N135" i="9"/>
  <c r="T134" i="9" l="1"/>
  <c r="R133" i="9"/>
  <c r="E136" i="2" s="1"/>
  <c r="A134" i="3" s="1"/>
  <c r="A134" i="4" s="1"/>
  <c r="S133" i="9"/>
  <c r="F136" i="2" s="1"/>
  <c r="B134" i="3" s="1"/>
  <c r="B134" i="4" s="1"/>
  <c r="S134" i="9"/>
  <c r="F137" i="2" s="1"/>
  <c r="B135" i="3" s="1"/>
  <c r="B135" i="4" s="1"/>
  <c r="R134" i="9"/>
  <c r="E137" i="2" s="1"/>
  <c r="A135" i="3" s="1"/>
  <c r="A135" i="4" s="1"/>
  <c r="T133" i="9"/>
  <c r="G136" i="2" s="1"/>
  <c r="C134" i="3" s="1"/>
  <c r="C134" i="4" s="1"/>
  <c r="K455" i="9"/>
  <c r="L454" i="9"/>
  <c r="M454" i="9" s="1"/>
  <c r="O135" i="9"/>
  <c r="G137" i="2"/>
  <c r="N136" i="9"/>
  <c r="P135" i="9" l="1"/>
  <c r="C135" i="3"/>
  <c r="C135" i="4" s="1"/>
  <c r="K456" i="9"/>
  <c r="L455" i="9"/>
  <c r="M455" i="9" s="1"/>
  <c r="O136" i="9"/>
  <c r="P136" i="9" s="1"/>
  <c r="N137" i="9"/>
  <c r="T136" i="9" s="1"/>
  <c r="R135" i="9" l="1"/>
  <c r="E138" i="2" s="1"/>
  <c r="A136" i="3" s="1"/>
  <c r="A136" i="4" s="1"/>
  <c r="S135" i="9"/>
  <c r="F138" i="2" s="1"/>
  <c r="B136" i="3" s="1"/>
  <c r="B136" i="4" s="1"/>
  <c r="R136" i="9"/>
  <c r="E139" i="2" s="1"/>
  <c r="A137" i="3" s="1"/>
  <c r="A137" i="4" s="1"/>
  <c r="S136" i="9"/>
  <c r="F139" i="2" s="1"/>
  <c r="B137" i="3" s="1"/>
  <c r="B137" i="4" s="1"/>
  <c r="T135" i="9"/>
  <c r="G138" i="2" s="1"/>
  <c r="C136" i="3" s="1"/>
  <c r="C136" i="4" s="1"/>
  <c r="K457" i="9"/>
  <c r="L456" i="9"/>
  <c r="M456" i="9" s="1"/>
  <c r="O137" i="9"/>
  <c r="G139" i="2"/>
  <c r="N138" i="9"/>
  <c r="P137" i="9" l="1"/>
  <c r="C137" i="3"/>
  <c r="C137" i="4" s="1"/>
  <c r="K458" i="9"/>
  <c r="L457" i="9"/>
  <c r="M457" i="9" s="1"/>
  <c r="O138" i="9"/>
  <c r="P138" i="9" s="1"/>
  <c r="N139" i="9"/>
  <c r="T138" i="9" l="1"/>
  <c r="S137" i="9"/>
  <c r="F140" i="2" s="1"/>
  <c r="B138" i="3" s="1"/>
  <c r="B138" i="4" s="1"/>
  <c r="R137" i="9"/>
  <c r="E140" i="2" s="1"/>
  <c r="A138" i="3" s="1"/>
  <c r="A138" i="4" s="1"/>
  <c r="S138" i="9"/>
  <c r="F141" i="2" s="1"/>
  <c r="B139" i="3" s="1"/>
  <c r="B139" i="4" s="1"/>
  <c r="R138" i="9"/>
  <c r="E141" i="2" s="1"/>
  <c r="A139" i="3" s="1"/>
  <c r="A139" i="4" s="1"/>
  <c r="T137" i="9"/>
  <c r="G140" i="2" s="1"/>
  <c r="C138" i="3" s="1"/>
  <c r="C138" i="4" s="1"/>
  <c r="K459" i="9"/>
  <c r="L458" i="9"/>
  <c r="M458" i="9" s="1"/>
  <c r="O139" i="9"/>
  <c r="G141" i="2"/>
  <c r="N140" i="9"/>
  <c r="P139" i="9" l="1"/>
  <c r="C139" i="3"/>
  <c r="C139" i="4" s="1"/>
  <c r="K460" i="9"/>
  <c r="L459" i="9"/>
  <c r="M459" i="9" s="1"/>
  <c r="O140" i="9"/>
  <c r="P140" i="9" s="1"/>
  <c r="N141" i="9"/>
  <c r="T140" i="9" s="1"/>
  <c r="S139" i="9" l="1"/>
  <c r="F142" i="2" s="1"/>
  <c r="B140" i="3" s="1"/>
  <c r="B140" i="4" s="1"/>
  <c r="R139" i="9"/>
  <c r="E142" i="2" s="1"/>
  <c r="A140" i="3" s="1"/>
  <c r="A140" i="4" s="1"/>
  <c r="R140" i="9"/>
  <c r="E143" i="2" s="1"/>
  <c r="A141" i="3" s="1"/>
  <c r="A141" i="4" s="1"/>
  <c r="S140" i="9"/>
  <c r="F143" i="2" s="1"/>
  <c r="B141" i="3" s="1"/>
  <c r="B141" i="4" s="1"/>
  <c r="T139" i="9"/>
  <c r="G142" i="2" s="1"/>
  <c r="C140" i="3" s="1"/>
  <c r="C140" i="4" s="1"/>
  <c r="K461" i="9"/>
  <c r="L460" i="9"/>
  <c r="M460" i="9" s="1"/>
  <c r="O141" i="9"/>
  <c r="G143" i="2"/>
  <c r="N142" i="9"/>
  <c r="P141" i="9" l="1"/>
  <c r="T141" i="9" s="1"/>
  <c r="G144" i="2" s="1"/>
  <c r="C141" i="3"/>
  <c r="C141" i="4" s="1"/>
  <c r="K462" i="9"/>
  <c r="L461" i="9"/>
  <c r="M461" i="9" s="1"/>
  <c r="O142" i="9"/>
  <c r="P142" i="9" s="1"/>
  <c r="N143" i="9"/>
  <c r="T142" i="9" l="1"/>
  <c r="R141" i="9"/>
  <c r="E144" i="2" s="1"/>
  <c r="A142" i="3" s="1"/>
  <c r="A142" i="4" s="1"/>
  <c r="S141" i="9"/>
  <c r="F144" i="2" s="1"/>
  <c r="B142" i="3" s="1"/>
  <c r="B142" i="4" s="1"/>
  <c r="S142" i="9"/>
  <c r="F145" i="2" s="1"/>
  <c r="B143" i="3" s="1"/>
  <c r="B143" i="4" s="1"/>
  <c r="R142" i="9"/>
  <c r="E145" i="2" s="1"/>
  <c r="A143" i="3" s="1"/>
  <c r="A143" i="4" s="1"/>
  <c r="C142" i="3"/>
  <c r="C142" i="4" s="1"/>
  <c r="K463" i="9"/>
  <c r="L462" i="9"/>
  <c r="M462" i="9" s="1"/>
  <c r="O143" i="9"/>
  <c r="G145" i="2"/>
  <c r="N144" i="9"/>
  <c r="P143" i="9" l="1"/>
  <c r="T143" i="9" s="1"/>
  <c r="G146" i="2" s="1"/>
  <c r="C143" i="3"/>
  <c r="C143" i="4" s="1"/>
  <c r="K464" i="9"/>
  <c r="L463" i="9"/>
  <c r="M463" i="9" s="1"/>
  <c r="O144" i="9"/>
  <c r="P144" i="9" s="1"/>
  <c r="N145" i="9"/>
  <c r="T144" i="9" l="1"/>
  <c r="S144" i="9"/>
  <c r="F147" i="2" s="1"/>
  <c r="B145" i="3" s="1"/>
  <c r="B145" i="4" s="1"/>
  <c r="R144" i="9"/>
  <c r="E147" i="2" s="1"/>
  <c r="A145" i="3" s="1"/>
  <c r="A145" i="4" s="1"/>
  <c r="S143" i="9"/>
  <c r="F146" i="2" s="1"/>
  <c r="B144" i="3" s="1"/>
  <c r="B144" i="4" s="1"/>
  <c r="R143" i="9"/>
  <c r="E146" i="2" s="1"/>
  <c r="A144" i="3" s="1"/>
  <c r="A144" i="4" s="1"/>
  <c r="C144" i="3"/>
  <c r="C144" i="4" s="1"/>
  <c r="K465" i="9"/>
  <c r="L464" i="9"/>
  <c r="M464" i="9" s="1"/>
  <c r="O145" i="9"/>
  <c r="G147" i="2"/>
  <c r="N146" i="9"/>
  <c r="P145" i="9" l="1"/>
  <c r="C145" i="3"/>
  <c r="C145" i="4" s="1"/>
  <c r="K466" i="9"/>
  <c r="L465" i="9"/>
  <c r="M465" i="9" s="1"/>
  <c r="O146" i="9"/>
  <c r="P146" i="9" s="1"/>
  <c r="N147" i="9"/>
  <c r="T146" i="9" l="1"/>
  <c r="S146" i="9"/>
  <c r="F149" i="2" s="1"/>
  <c r="B147" i="3" s="1"/>
  <c r="B147" i="4" s="1"/>
  <c r="R146" i="9"/>
  <c r="E149" i="2" s="1"/>
  <c r="A147" i="3" s="1"/>
  <c r="A147" i="4" s="1"/>
  <c r="R145" i="9"/>
  <c r="E148" i="2" s="1"/>
  <c r="A146" i="3" s="1"/>
  <c r="A146" i="4" s="1"/>
  <c r="S145" i="9"/>
  <c r="F148" i="2" s="1"/>
  <c r="B146" i="3" s="1"/>
  <c r="B146" i="4" s="1"/>
  <c r="T145" i="9"/>
  <c r="G148" i="2" s="1"/>
  <c r="C146" i="3" s="1"/>
  <c r="C146" i="4" s="1"/>
  <c r="K467" i="9"/>
  <c r="L466" i="9"/>
  <c r="M466" i="9" s="1"/>
  <c r="O147" i="9"/>
  <c r="G149" i="2"/>
  <c r="N148" i="9"/>
  <c r="P147" i="9" l="1"/>
  <c r="T147" i="9" s="1"/>
  <c r="G150" i="2" s="1"/>
  <c r="C147" i="3"/>
  <c r="C147" i="4" s="1"/>
  <c r="K468" i="9"/>
  <c r="L467" i="9"/>
  <c r="M467" i="9" s="1"/>
  <c r="O148" i="9"/>
  <c r="P148" i="9" s="1"/>
  <c r="N149" i="9"/>
  <c r="T148" i="9" l="1"/>
  <c r="S147" i="9"/>
  <c r="F150" i="2" s="1"/>
  <c r="B148" i="3" s="1"/>
  <c r="B148" i="4" s="1"/>
  <c r="R147" i="9"/>
  <c r="E150" i="2" s="1"/>
  <c r="A148" i="3" s="1"/>
  <c r="A148" i="4" s="1"/>
  <c r="S148" i="9"/>
  <c r="F151" i="2" s="1"/>
  <c r="B149" i="3" s="1"/>
  <c r="B149" i="4" s="1"/>
  <c r="R148" i="9"/>
  <c r="E151" i="2" s="1"/>
  <c r="A149" i="3" s="1"/>
  <c r="A149" i="4" s="1"/>
  <c r="C148" i="3"/>
  <c r="C148" i="4" s="1"/>
  <c r="K469" i="9"/>
  <c r="L468" i="9"/>
  <c r="M468" i="9" s="1"/>
  <c r="O149" i="9"/>
  <c r="G151" i="2"/>
  <c r="N150" i="9"/>
  <c r="P149" i="9" l="1"/>
  <c r="T149" i="9" s="1"/>
  <c r="G152" i="2" s="1"/>
  <c r="C149" i="3"/>
  <c r="C149" i="4" s="1"/>
  <c r="K470" i="9"/>
  <c r="L469" i="9"/>
  <c r="M469" i="9" s="1"/>
  <c r="O150" i="9"/>
  <c r="P150" i="9" s="1"/>
  <c r="N151" i="9"/>
  <c r="T150" i="9" l="1"/>
  <c r="R150" i="9"/>
  <c r="E153" i="2" s="1"/>
  <c r="A151" i="3" s="1"/>
  <c r="A151" i="4" s="1"/>
  <c r="S150" i="9"/>
  <c r="F153" i="2" s="1"/>
  <c r="B151" i="3" s="1"/>
  <c r="B151" i="4" s="1"/>
  <c r="S149" i="9"/>
  <c r="F152" i="2" s="1"/>
  <c r="B150" i="3" s="1"/>
  <c r="B150" i="4" s="1"/>
  <c r="R149" i="9"/>
  <c r="E152" i="2" s="1"/>
  <c r="A150" i="3" s="1"/>
  <c r="A150" i="4" s="1"/>
  <c r="C150" i="3"/>
  <c r="C150" i="4" s="1"/>
  <c r="K471" i="9"/>
  <c r="L470" i="9"/>
  <c r="M470" i="9" s="1"/>
  <c r="O151" i="9"/>
  <c r="G153" i="2"/>
  <c r="N152" i="9"/>
  <c r="P151" i="9" l="1"/>
  <c r="T151" i="9" s="1"/>
  <c r="G154" i="2" s="1"/>
  <c r="C151" i="3"/>
  <c r="C151" i="4" s="1"/>
  <c r="K472" i="9"/>
  <c r="L471" i="9"/>
  <c r="M471" i="9" s="1"/>
  <c r="O152" i="9"/>
  <c r="P152" i="9" s="1"/>
  <c r="N153" i="9"/>
  <c r="T152" i="9" l="1"/>
  <c r="S152" i="9"/>
  <c r="F155" i="2" s="1"/>
  <c r="B153" i="3" s="1"/>
  <c r="B153" i="4" s="1"/>
  <c r="R152" i="9"/>
  <c r="E155" i="2" s="1"/>
  <c r="A153" i="3" s="1"/>
  <c r="A153" i="4" s="1"/>
  <c r="R151" i="9"/>
  <c r="E154" i="2" s="1"/>
  <c r="A152" i="3" s="1"/>
  <c r="A152" i="4" s="1"/>
  <c r="S151" i="9"/>
  <c r="F154" i="2" s="1"/>
  <c r="B152" i="3" s="1"/>
  <c r="B152" i="4" s="1"/>
  <c r="C152" i="3"/>
  <c r="C152" i="4" s="1"/>
  <c r="L472" i="9"/>
  <c r="M472" i="9" s="1"/>
  <c r="K473" i="9"/>
  <c r="O153" i="9"/>
  <c r="G155" i="2"/>
  <c r="N154" i="9"/>
  <c r="P153" i="9" l="1"/>
  <c r="C153" i="3"/>
  <c r="C153" i="4" s="1"/>
  <c r="K474" i="9"/>
  <c r="L473" i="9"/>
  <c r="M473" i="9" s="1"/>
  <c r="O154" i="9"/>
  <c r="P154" i="9" s="1"/>
  <c r="N155" i="9"/>
  <c r="T154" i="9" l="1"/>
  <c r="S154" i="9"/>
  <c r="F157" i="2" s="1"/>
  <c r="B155" i="3" s="1"/>
  <c r="B155" i="4" s="1"/>
  <c r="R154" i="9"/>
  <c r="E157" i="2" s="1"/>
  <c r="A155" i="3" s="1"/>
  <c r="A155" i="4" s="1"/>
  <c r="S153" i="9"/>
  <c r="F156" i="2" s="1"/>
  <c r="B154" i="3" s="1"/>
  <c r="B154" i="4" s="1"/>
  <c r="R153" i="9"/>
  <c r="E156" i="2" s="1"/>
  <c r="A154" i="3" s="1"/>
  <c r="A154" i="4" s="1"/>
  <c r="T153" i="9"/>
  <c r="G156" i="2" s="1"/>
  <c r="C154" i="3" s="1"/>
  <c r="C154" i="4" s="1"/>
  <c r="K475" i="9"/>
  <c r="L474" i="9"/>
  <c r="M474" i="9" s="1"/>
  <c r="O155" i="9"/>
  <c r="G157" i="2"/>
  <c r="N156" i="9"/>
  <c r="P155" i="9" l="1"/>
  <c r="C155" i="3"/>
  <c r="C155" i="4" s="1"/>
  <c r="K476" i="9"/>
  <c r="L475" i="9"/>
  <c r="M475" i="9" s="1"/>
  <c r="O156" i="9"/>
  <c r="P156" i="9" s="1"/>
  <c r="N157" i="9"/>
  <c r="T156" i="9" l="1"/>
  <c r="S155" i="9"/>
  <c r="F158" i="2" s="1"/>
  <c r="B156" i="3" s="1"/>
  <c r="B156" i="4" s="1"/>
  <c r="R155" i="9"/>
  <c r="E158" i="2" s="1"/>
  <c r="A156" i="3" s="1"/>
  <c r="A156" i="4" s="1"/>
  <c r="R156" i="9"/>
  <c r="E159" i="2" s="1"/>
  <c r="A157" i="3" s="1"/>
  <c r="A157" i="4" s="1"/>
  <c r="S156" i="9"/>
  <c r="F159" i="2" s="1"/>
  <c r="B157" i="3" s="1"/>
  <c r="B157" i="4" s="1"/>
  <c r="T155" i="9"/>
  <c r="G158" i="2" s="1"/>
  <c r="C156" i="3" s="1"/>
  <c r="C156" i="4" s="1"/>
  <c r="K477" i="9"/>
  <c r="L476" i="9"/>
  <c r="M476" i="9" s="1"/>
  <c r="O157" i="9"/>
  <c r="G159" i="2"/>
  <c r="N158" i="9"/>
  <c r="P157" i="9" l="1"/>
  <c r="S157" i="9" s="1"/>
  <c r="F160" i="2" s="1"/>
  <c r="B158" i="3" s="1"/>
  <c r="B158" i="4" s="1"/>
  <c r="C157" i="3"/>
  <c r="C157" i="4" s="1"/>
  <c r="K478" i="9"/>
  <c r="L477" i="9"/>
  <c r="M477" i="9" s="1"/>
  <c r="O158" i="9"/>
  <c r="P158" i="9" s="1"/>
  <c r="N159" i="9"/>
  <c r="T158" i="9" l="1"/>
  <c r="G161" i="2" s="1"/>
  <c r="T157" i="9"/>
  <c r="G160" i="2" s="1"/>
  <c r="R158" i="9"/>
  <c r="E161" i="2" s="1"/>
  <c r="A159" i="3" s="1"/>
  <c r="A159" i="4" s="1"/>
  <c r="S158" i="9"/>
  <c r="F161" i="2" s="1"/>
  <c r="B159" i="3" s="1"/>
  <c r="B159" i="4" s="1"/>
  <c r="R157" i="9"/>
  <c r="E160" i="2" s="1"/>
  <c r="A158" i="3" s="1"/>
  <c r="A158" i="4" s="1"/>
  <c r="C158" i="3"/>
  <c r="C158" i="4" s="1"/>
  <c r="K479" i="9"/>
  <c r="L478" i="9"/>
  <c r="M478" i="9" s="1"/>
  <c r="O159" i="9"/>
  <c r="N160" i="9"/>
  <c r="P159" i="9" l="1"/>
  <c r="C159" i="3"/>
  <c r="C159" i="4" s="1"/>
  <c r="K480" i="9"/>
  <c r="L479" i="9"/>
  <c r="M479" i="9" s="1"/>
  <c r="O160" i="9"/>
  <c r="P160" i="9" s="1"/>
  <c r="N161" i="9"/>
  <c r="T160" i="9" l="1"/>
  <c r="S160" i="9"/>
  <c r="F163" i="2" s="1"/>
  <c r="B161" i="3" s="1"/>
  <c r="B161" i="4" s="1"/>
  <c r="R160" i="9"/>
  <c r="E163" i="2" s="1"/>
  <c r="A161" i="3" s="1"/>
  <c r="A161" i="4" s="1"/>
  <c r="R159" i="9"/>
  <c r="E162" i="2" s="1"/>
  <c r="A160" i="3" s="1"/>
  <c r="A160" i="4" s="1"/>
  <c r="S159" i="9"/>
  <c r="F162" i="2" s="1"/>
  <c r="B160" i="3" s="1"/>
  <c r="B160" i="4" s="1"/>
  <c r="T159" i="9"/>
  <c r="G162" i="2" s="1"/>
  <c r="C160" i="3" s="1"/>
  <c r="C160" i="4" s="1"/>
  <c r="K481" i="9"/>
  <c r="L480" i="9"/>
  <c r="M480" i="9" s="1"/>
  <c r="O161" i="9"/>
  <c r="G163" i="2"/>
  <c r="N162" i="9"/>
  <c r="P161" i="9" l="1"/>
  <c r="T161" i="9" s="1"/>
  <c r="G164" i="2" s="1"/>
  <c r="C161" i="3"/>
  <c r="C161" i="4" s="1"/>
  <c r="K482" i="9"/>
  <c r="L481" i="9"/>
  <c r="M481" i="9" s="1"/>
  <c r="O162" i="9"/>
  <c r="P162" i="9" s="1"/>
  <c r="N163" i="9"/>
  <c r="T162" i="9" l="1"/>
  <c r="S161" i="9"/>
  <c r="F164" i="2" s="1"/>
  <c r="B162" i="3" s="1"/>
  <c r="B162" i="4" s="1"/>
  <c r="R161" i="9"/>
  <c r="E164" i="2" s="1"/>
  <c r="A162" i="3" s="1"/>
  <c r="A162" i="4" s="1"/>
  <c r="R162" i="9"/>
  <c r="E165" i="2" s="1"/>
  <c r="A163" i="3" s="1"/>
  <c r="A163" i="4" s="1"/>
  <c r="S162" i="9"/>
  <c r="F165" i="2" s="1"/>
  <c r="B163" i="3" s="1"/>
  <c r="B163" i="4" s="1"/>
  <c r="C162" i="3"/>
  <c r="C162" i="4" s="1"/>
  <c r="K483" i="9"/>
  <c r="L482" i="9"/>
  <c r="M482" i="9" s="1"/>
  <c r="O163" i="9"/>
  <c r="G165" i="2"/>
  <c r="N164" i="9"/>
  <c r="P163" i="9" l="1"/>
  <c r="C163" i="3"/>
  <c r="C163" i="4" s="1"/>
  <c r="K484" i="9"/>
  <c r="L483" i="9"/>
  <c r="M483" i="9" s="1"/>
  <c r="O164" i="9"/>
  <c r="P164" i="9" s="1"/>
  <c r="N165" i="9"/>
  <c r="S164" i="9" l="1"/>
  <c r="F167" i="2" s="1"/>
  <c r="B165" i="3" s="1"/>
  <c r="B165" i="4" s="1"/>
  <c r="R164" i="9"/>
  <c r="E167" i="2" s="1"/>
  <c r="A165" i="3" s="1"/>
  <c r="A165" i="4" s="1"/>
  <c r="S163" i="9"/>
  <c r="F166" i="2" s="1"/>
  <c r="B164" i="3" s="1"/>
  <c r="B164" i="4" s="1"/>
  <c r="R163" i="9"/>
  <c r="E166" i="2" s="1"/>
  <c r="A164" i="3" s="1"/>
  <c r="A164" i="4" s="1"/>
  <c r="T163" i="9"/>
  <c r="G166" i="2" s="1"/>
  <c r="C164" i="3" s="1"/>
  <c r="C164" i="4" s="1"/>
  <c r="T164" i="9"/>
  <c r="G167" i="2" s="1"/>
  <c r="K485" i="9"/>
  <c r="L484" i="9"/>
  <c r="M484" i="9" s="1"/>
  <c r="O165" i="9"/>
  <c r="N166" i="9"/>
  <c r="P165" i="9" l="1"/>
  <c r="C165" i="3"/>
  <c r="C165" i="4" s="1"/>
  <c r="K486" i="9"/>
  <c r="L485" i="9"/>
  <c r="M485" i="9" s="1"/>
  <c r="O166" i="9"/>
  <c r="P166" i="9" s="1"/>
  <c r="N167" i="9"/>
  <c r="S166" i="9" l="1"/>
  <c r="F169" i="2" s="1"/>
  <c r="B167" i="3" s="1"/>
  <c r="B167" i="4" s="1"/>
  <c r="R166" i="9"/>
  <c r="E169" i="2" s="1"/>
  <c r="A167" i="3" s="1"/>
  <c r="A167" i="4" s="1"/>
  <c r="R165" i="9"/>
  <c r="E168" i="2" s="1"/>
  <c r="A166" i="3" s="1"/>
  <c r="A166" i="4" s="1"/>
  <c r="S165" i="9"/>
  <c r="F168" i="2" s="1"/>
  <c r="B166" i="3" s="1"/>
  <c r="B166" i="4" s="1"/>
  <c r="T166" i="9"/>
  <c r="T165" i="9"/>
  <c r="G168" i="2" s="1"/>
  <c r="C166" i="3" s="1"/>
  <c r="C166" i="4" s="1"/>
  <c r="K487" i="9"/>
  <c r="L486" i="9"/>
  <c r="M486" i="9" s="1"/>
  <c r="O167" i="9"/>
  <c r="G169" i="2"/>
  <c r="N168" i="9"/>
  <c r="P167" i="9" l="1"/>
  <c r="T167" i="9" s="1"/>
  <c r="G170" i="2" s="1"/>
  <c r="C167" i="3"/>
  <c r="C167" i="4" s="1"/>
  <c r="K488" i="9"/>
  <c r="L487" i="9"/>
  <c r="M487" i="9" s="1"/>
  <c r="O168" i="9"/>
  <c r="P168" i="9" s="1"/>
  <c r="N169" i="9"/>
  <c r="T168" i="9" l="1"/>
  <c r="R168" i="9"/>
  <c r="E171" i="2" s="1"/>
  <c r="A169" i="3" s="1"/>
  <c r="A169" i="4" s="1"/>
  <c r="S168" i="9"/>
  <c r="F171" i="2" s="1"/>
  <c r="B169" i="3" s="1"/>
  <c r="B169" i="4" s="1"/>
  <c r="S167" i="9"/>
  <c r="F170" i="2" s="1"/>
  <c r="B168" i="3" s="1"/>
  <c r="B168" i="4" s="1"/>
  <c r="R167" i="9"/>
  <c r="E170" i="2" s="1"/>
  <c r="A168" i="3" s="1"/>
  <c r="A168" i="4" s="1"/>
  <c r="C168" i="3"/>
  <c r="C168" i="4" s="1"/>
  <c r="K489" i="9"/>
  <c r="L488" i="9"/>
  <c r="M488" i="9" s="1"/>
  <c r="O169" i="9"/>
  <c r="G171" i="2"/>
  <c r="N170" i="9"/>
  <c r="P169" i="9" l="1"/>
  <c r="T169" i="9" s="1"/>
  <c r="G172" i="2" s="1"/>
  <c r="C169" i="3"/>
  <c r="C169" i="4" s="1"/>
  <c r="K490" i="9"/>
  <c r="L489" i="9"/>
  <c r="M489" i="9" s="1"/>
  <c r="O170" i="9"/>
  <c r="P170" i="9" s="1"/>
  <c r="N171" i="9"/>
  <c r="T170" i="9" l="1"/>
  <c r="G173" i="2" s="1"/>
  <c r="S170" i="9"/>
  <c r="F173" i="2" s="1"/>
  <c r="B171" i="3" s="1"/>
  <c r="B171" i="4" s="1"/>
  <c r="R170" i="9"/>
  <c r="E173" i="2" s="1"/>
  <c r="A171" i="3" s="1"/>
  <c r="A171" i="4" s="1"/>
  <c r="S169" i="9"/>
  <c r="F172" i="2" s="1"/>
  <c r="B170" i="3" s="1"/>
  <c r="B170" i="4" s="1"/>
  <c r="R169" i="9"/>
  <c r="E172" i="2" s="1"/>
  <c r="A170" i="3" s="1"/>
  <c r="A170" i="4" s="1"/>
  <c r="C170" i="3"/>
  <c r="C170" i="4" s="1"/>
  <c r="K491" i="9"/>
  <c r="L490" i="9"/>
  <c r="M490" i="9" s="1"/>
  <c r="O171" i="9"/>
  <c r="N172" i="9"/>
  <c r="P171" i="9" l="1"/>
  <c r="T171" i="9" s="1"/>
  <c r="G174" i="2" s="1"/>
  <c r="C171" i="3"/>
  <c r="C171" i="4" s="1"/>
  <c r="K492" i="9"/>
  <c r="L491" i="9"/>
  <c r="M491" i="9" s="1"/>
  <c r="O172" i="9"/>
  <c r="P172" i="9" s="1"/>
  <c r="N173" i="9"/>
  <c r="R172" i="9" l="1"/>
  <c r="E175" i="2" s="1"/>
  <c r="A173" i="3" s="1"/>
  <c r="A173" i="4" s="1"/>
  <c r="S172" i="9"/>
  <c r="F175" i="2" s="1"/>
  <c r="B173" i="3" s="1"/>
  <c r="B173" i="4" s="1"/>
  <c r="T172" i="9"/>
  <c r="G175" i="2" s="1"/>
  <c r="S171" i="9"/>
  <c r="F174" i="2" s="1"/>
  <c r="B172" i="3" s="1"/>
  <c r="B172" i="4" s="1"/>
  <c r="R171" i="9"/>
  <c r="E174" i="2" s="1"/>
  <c r="A172" i="3" s="1"/>
  <c r="A172" i="4" s="1"/>
  <c r="C172" i="3"/>
  <c r="C172" i="4" s="1"/>
  <c r="K493" i="9"/>
  <c r="L492" i="9"/>
  <c r="M492" i="9" s="1"/>
  <c r="O173" i="9"/>
  <c r="N174" i="9"/>
  <c r="P173" i="9" l="1"/>
  <c r="T173" i="9" s="1"/>
  <c r="G176" i="2" s="1"/>
  <c r="C173" i="3"/>
  <c r="C173" i="4" s="1"/>
  <c r="K494" i="9"/>
  <c r="L493" i="9"/>
  <c r="M493" i="9" s="1"/>
  <c r="O174" i="9"/>
  <c r="P174" i="9" s="1"/>
  <c r="N175" i="9"/>
  <c r="T174" i="9" l="1"/>
  <c r="S173" i="9"/>
  <c r="F176" i="2" s="1"/>
  <c r="B174" i="3" s="1"/>
  <c r="B174" i="4" s="1"/>
  <c r="R173" i="9"/>
  <c r="E176" i="2" s="1"/>
  <c r="A174" i="3" s="1"/>
  <c r="A174" i="4" s="1"/>
  <c r="R174" i="9"/>
  <c r="E177" i="2" s="1"/>
  <c r="A175" i="3" s="1"/>
  <c r="A175" i="4" s="1"/>
  <c r="S174" i="9"/>
  <c r="F177" i="2" s="1"/>
  <c r="B175" i="3" s="1"/>
  <c r="B175" i="4" s="1"/>
  <c r="C174" i="3"/>
  <c r="C174" i="4" s="1"/>
  <c r="K495" i="9"/>
  <c r="L494" i="9"/>
  <c r="M494" i="9" s="1"/>
  <c r="O175" i="9"/>
  <c r="G177" i="2"/>
  <c r="N176" i="9"/>
  <c r="P175" i="9" l="1"/>
  <c r="C175" i="3"/>
  <c r="C175" i="4" s="1"/>
  <c r="K496" i="9"/>
  <c r="L495" i="9"/>
  <c r="M495" i="9" s="1"/>
  <c r="O176" i="9"/>
  <c r="P176" i="9" s="1"/>
  <c r="N177" i="9"/>
  <c r="T176" i="9" s="1"/>
  <c r="S176" i="9" l="1"/>
  <c r="F179" i="2" s="1"/>
  <c r="B177" i="3" s="1"/>
  <c r="B177" i="4" s="1"/>
  <c r="R176" i="9"/>
  <c r="E179" i="2" s="1"/>
  <c r="A177" i="3" s="1"/>
  <c r="A177" i="4" s="1"/>
  <c r="R175" i="9"/>
  <c r="E178" i="2" s="1"/>
  <c r="A176" i="3" s="1"/>
  <c r="A176" i="4" s="1"/>
  <c r="S175" i="9"/>
  <c r="F178" i="2" s="1"/>
  <c r="B176" i="3" s="1"/>
  <c r="B176" i="4" s="1"/>
  <c r="T175" i="9"/>
  <c r="G178" i="2" s="1"/>
  <c r="C176" i="3" s="1"/>
  <c r="C176" i="4" s="1"/>
  <c r="K497" i="9"/>
  <c r="L496" i="9"/>
  <c r="M496" i="9" s="1"/>
  <c r="O177" i="9"/>
  <c r="G179" i="2"/>
  <c r="N178" i="9"/>
  <c r="P177" i="9" l="1"/>
  <c r="T177" i="9" s="1"/>
  <c r="G180" i="2" s="1"/>
  <c r="C177" i="3"/>
  <c r="C177" i="4" s="1"/>
  <c r="K498" i="9"/>
  <c r="L497" i="9"/>
  <c r="M497" i="9" s="1"/>
  <c r="O178" i="9"/>
  <c r="P178" i="9" s="1"/>
  <c r="N179" i="9"/>
  <c r="S178" i="9" l="1"/>
  <c r="F181" i="2" s="1"/>
  <c r="B179" i="3" s="1"/>
  <c r="B179" i="4" s="1"/>
  <c r="R178" i="9"/>
  <c r="E181" i="2" s="1"/>
  <c r="A179" i="3" s="1"/>
  <c r="A179" i="4" s="1"/>
  <c r="T178" i="9"/>
  <c r="G181" i="2" s="1"/>
  <c r="R177" i="9"/>
  <c r="E180" i="2" s="1"/>
  <c r="A178" i="3" s="1"/>
  <c r="A178" i="4" s="1"/>
  <c r="S177" i="9"/>
  <c r="F180" i="2" s="1"/>
  <c r="B178" i="3" s="1"/>
  <c r="B178" i="4" s="1"/>
  <c r="C178" i="3"/>
  <c r="C178" i="4" s="1"/>
  <c r="K499" i="9"/>
  <c r="L498" i="9"/>
  <c r="M498" i="9" s="1"/>
  <c r="O179" i="9"/>
  <c r="N180" i="9"/>
  <c r="P179" i="9" l="1"/>
  <c r="T179" i="9" s="1"/>
  <c r="G182" i="2" s="1"/>
  <c r="C179" i="3"/>
  <c r="C179" i="4" s="1"/>
  <c r="K500" i="9"/>
  <c r="L499" i="9"/>
  <c r="M499" i="9" s="1"/>
  <c r="O180" i="9"/>
  <c r="P180" i="9" s="1"/>
  <c r="N181" i="9"/>
  <c r="T180" i="9" l="1"/>
  <c r="R180" i="9"/>
  <c r="E183" i="2" s="1"/>
  <c r="A181" i="3" s="1"/>
  <c r="A181" i="4" s="1"/>
  <c r="S180" i="9"/>
  <c r="F183" i="2" s="1"/>
  <c r="B181" i="3" s="1"/>
  <c r="B181" i="4" s="1"/>
  <c r="S179" i="9"/>
  <c r="F182" i="2" s="1"/>
  <c r="B180" i="3" s="1"/>
  <c r="B180" i="4" s="1"/>
  <c r="R179" i="9"/>
  <c r="E182" i="2" s="1"/>
  <c r="A180" i="3" s="1"/>
  <c r="A180" i="4" s="1"/>
  <c r="C180" i="3"/>
  <c r="C180" i="4" s="1"/>
  <c r="K501" i="9"/>
  <c r="L500" i="9"/>
  <c r="M500" i="9" s="1"/>
  <c r="O181" i="9"/>
  <c r="G183" i="2"/>
  <c r="N182" i="9"/>
  <c r="P181" i="9" l="1"/>
  <c r="T181" i="9" s="1"/>
  <c r="G184" i="2" s="1"/>
  <c r="C181" i="3"/>
  <c r="C181" i="4" s="1"/>
  <c r="K502" i="9"/>
  <c r="L501" i="9"/>
  <c r="M501" i="9" s="1"/>
  <c r="O182" i="9"/>
  <c r="P182" i="9" s="1"/>
  <c r="N183" i="9"/>
  <c r="T182" i="9" l="1"/>
  <c r="R182" i="9"/>
  <c r="E185" i="2" s="1"/>
  <c r="A183" i="3" s="1"/>
  <c r="A183" i="4" s="1"/>
  <c r="S182" i="9"/>
  <c r="F185" i="2" s="1"/>
  <c r="B183" i="3" s="1"/>
  <c r="B183" i="4" s="1"/>
  <c r="S181" i="9"/>
  <c r="F184" i="2" s="1"/>
  <c r="B182" i="3" s="1"/>
  <c r="B182" i="4" s="1"/>
  <c r="R181" i="9"/>
  <c r="E184" i="2" s="1"/>
  <c r="A182" i="3" s="1"/>
  <c r="A182" i="4" s="1"/>
  <c r="C182" i="3"/>
  <c r="C182" i="4" s="1"/>
  <c r="K503" i="9"/>
  <c r="L502" i="9"/>
  <c r="M502" i="9" s="1"/>
  <c r="O183" i="9"/>
  <c r="G185" i="2"/>
  <c r="N184" i="9"/>
  <c r="P183" i="9" l="1"/>
  <c r="C183" i="3"/>
  <c r="C183" i="4" s="1"/>
  <c r="K504" i="9"/>
  <c r="L503" i="9"/>
  <c r="M503" i="9" s="1"/>
  <c r="O184" i="9"/>
  <c r="P184" i="9" s="1"/>
  <c r="N185" i="9"/>
  <c r="T184" i="9" l="1"/>
  <c r="R184" i="9"/>
  <c r="E187" i="2" s="1"/>
  <c r="A185" i="3" s="1"/>
  <c r="A185" i="4" s="1"/>
  <c r="S184" i="9"/>
  <c r="F187" i="2" s="1"/>
  <c r="B185" i="3" s="1"/>
  <c r="B185" i="4" s="1"/>
  <c r="S183" i="9"/>
  <c r="F186" i="2" s="1"/>
  <c r="B184" i="3" s="1"/>
  <c r="B184" i="4" s="1"/>
  <c r="R183" i="9"/>
  <c r="E186" i="2" s="1"/>
  <c r="A184" i="3" s="1"/>
  <c r="A184" i="4" s="1"/>
  <c r="T183" i="9"/>
  <c r="G186" i="2" s="1"/>
  <c r="C184" i="3" s="1"/>
  <c r="C184" i="4" s="1"/>
  <c r="K505" i="9"/>
  <c r="L504" i="9"/>
  <c r="M504" i="9" s="1"/>
  <c r="O185" i="9"/>
  <c r="G187" i="2"/>
  <c r="N186" i="9"/>
  <c r="P185" i="9" l="1"/>
  <c r="C185" i="3"/>
  <c r="C185" i="4" s="1"/>
  <c r="K506" i="9"/>
  <c r="L505" i="9"/>
  <c r="M505" i="9" s="1"/>
  <c r="O186" i="9"/>
  <c r="P186" i="9" s="1"/>
  <c r="N187" i="9"/>
  <c r="T186" i="9" l="1"/>
  <c r="R185" i="9"/>
  <c r="E188" i="2" s="1"/>
  <c r="A186" i="3" s="1"/>
  <c r="A186" i="4" s="1"/>
  <c r="S185" i="9"/>
  <c r="F188" i="2" s="1"/>
  <c r="B186" i="3" s="1"/>
  <c r="B186" i="4" s="1"/>
  <c r="R186" i="9"/>
  <c r="E189" i="2" s="1"/>
  <c r="A187" i="3" s="1"/>
  <c r="A187" i="4" s="1"/>
  <c r="S186" i="9"/>
  <c r="F189" i="2" s="1"/>
  <c r="B187" i="3" s="1"/>
  <c r="B187" i="4" s="1"/>
  <c r="T185" i="9"/>
  <c r="G188" i="2" s="1"/>
  <c r="C186" i="3" s="1"/>
  <c r="C186" i="4" s="1"/>
  <c r="K507" i="9"/>
  <c r="L506" i="9"/>
  <c r="M506" i="9" s="1"/>
  <c r="O187" i="9"/>
  <c r="G189" i="2"/>
  <c r="N188" i="9"/>
  <c r="P187" i="9" l="1"/>
  <c r="T187" i="9" s="1"/>
  <c r="G190" i="2" s="1"/>
  <c r="C187" i="3"/>
  <c r="C187" i="4" s="1"/>
  <c r="K508" i="9"/>
  <c r="L507" i="9"/>
  <c r="M507" i="9" s="1"/>
  <c r="O188" i="9"/>
  <c r="P188" i="9" s="1"/>
  <c r="N189" i="9"/>
  <c r="T188" i="9" l="1"/>
  <c r="S188" i="9"/>
  <c r="F191" i="2" s="1"/>
  <c r="B189" i="3" s="1"/>
  <c r="B189" i="4" s="1"/>
  <c r="R188" i="9"/>
  <c r="E191" i="2" s="1"/>
  <c r="A189" i="3" s="1"/>
  <c r="A189" i="4" s="1"/>
  <c r="R187" i="9"/>
  <c r="E190" i="2" s="1"/>
  <c r="A188" i="3" s="1"/>
  <c r="A188" i="4" s="1"/>
  <c r="S187" i="9"/>
  <c r="F190" i="2" s="1"/>
  <c r="B188" i="3" s="1"/>
  <c r="B188" i="4" s="1"/>
  <c r="C188" i="3"/>
  <c r="C188" i="4" s="1"/>
  <c r="K509" i="9"/>
  <c r="L508" i="9"/>
  <c r="M508" i="9" s="1"/>
  <c r="O189" i="9"/>
  <c r="G191" i="2"/>
  <c r="N190" i="9"/>
  <c r="P189" i="9" l="1"/>
  <c r="C189" i="3"/>
  <c r="C189" i="4" s="1"/>
  <c r="K510" i="9"/>
  <c r="L509" i="9"/>
  <c r="M509" i="9" s="1"/>
  <c r="O190" i="9"/>
  <c r="P190" i="9" s="1"/>
  <c r="N191" i="9"/>
  <c r="T190" i="9" l="1"/>
  <c r="R190" i="9"/>
  <c r="E193" i="2" s="1"/>
  <c r="A191" i="3" s="1"/>
  <c r="A191" i="4" s="1"/>
  <c r="S190" i="9"/>
  <c r="F193" i="2" s="1"/>
  <c r="B191" i="3" s="1"/>
  <c r="B191" i="4" s="1"/>
  <c r="S189" i="9"/>
  <c r="F192" i="2" s="1"/>
  <c r="B190" i="3" s="1"/>
  <c r="B190" i="4" s="1"/>
  <c r="R189" i="9"/>
  <c r="E192" i="2" s="1"/>
  <c r="A190" i="3" s="1"/>
  <c r="A190" i="4" s="1"/>
  <c r="T189" i="9"/>
  <c r="G192" i="2" s="1"/>
  <c r="C190" i="3" s="1"/>
  <c r="C190" i="4" s="1"/>
  <c r="K511" i="9"/>
  <c r="L510" i="9"/>
  <c r="M510" i="9" s="1"/>
  <c r="O191" i="9"/>
  <c r="G193" i="2"/>
  <c r="N192" i="9"/>
  <c r="P191" i="9" l="1"/>
  <c r="C191" i="3"/>
  <c r="C191" i="4" s="1"/>
  <c r="K512" i="9"/>
  <c r="L511" i="9"/>
  <c r="M511" i="9" s="1"/>
  <c r="O192" i="9"/>
  <c r="P192" i="9" s="1"/>
  <c r="N193" i="9"/>
  <c r="T192" i="9" l="1"/>
  <c r="S191" i="9"/>
  <c r="F194" i="2" s="1"/>
  <c r="B192" i="3" s="1"/>
  <c r="B192" i="4" s="1"/>
  <c r="R191" i="9"/>
  <c r="E194" i="2" s="1"/>
  <c r="A192" i="3" s="1"/>
  <c r="A192" i="4" s="1"/>
  <c r="R192" i="9"/>
  <c r="E195" i="2" s="1"/>
  <c r="A193" i="3" s="1"/>
  <c r="A193" i="4" s="1"/>
  <c r="S192" i="9"/>
  <c r="F195" i="2" s="1"/>
  <c r="B193" i="3" s="1"/>
  <c r="B193" i="4" s="1"/>
  <c r="T191" i="9"/>
  <c r="G194" i="2" s="1"/>
  <c r="C192" i="3" s="1"/>
  <c r="C192" i="4" s="1"/>
  <c r="K513" i="9"/>
  <c r="L512" i="9"/>
  <c r="M512" i="9" s="1"/>
  <c r="O193" i="9"/>
  <c r="G195" i="2"/>
  <c r="N194" i="9"/>
  <c r="P193" i="9" l="1"/>
  <c r="S193" i="9" s="1"/>
  <c r="F196" i="2" s="1"/>
  <c r="B194" i="3" s="1"/>
  <c r="B194" i="4" s="1"/>
  <c r="C193" i="3"/>
  <c r="C193" i="4" s="1"/>
  <c r="K514" i="9"/>
  <c r="L513" i="9"/>
  <c r="M513" i="9" s="1"/>
  <c r="O194" i="9"/>
  <c r="P194" i="9" s="1"/>
  <c r="N195" i="9"/>
  <c r="R193" i="9" l="1"/>
  <c r="E196" i="2" s="1"/>
  <c r="A194" i="3" s="1"/>
  <c r="A194" i="4" s="1"/>
  <c r="T194" i="9"/>
  <c r="G197" i="2" s="1"/>
  <c r="S194" i="9"/>
  <c r="F197" i="2" s="1"/>
  <c r="B195" i="3" s="1"/>
  <c r="B195" i="4" s="1"/>
  <c r="R194" i="9"/>
  <c r="E197" i="2" s="1"/>
  <c r="A195" i="3" s="1"/>
  <c r="A195" i="4" s="1"/>
  <c r="T193" i="9"/>
  <c r="G196" i="2" s="1"/>
  <c r="C194" i="3" s="1"/>
  <c r="C194" i="4" s="1"/>
  <c r="K515" i="9"/>
  <c r="L514" i="9"/>
  <c r="M514" i="9" s="1"/>
  <c r="O195" i="9"/>
  <c r="N196" i="9"/>
  <c r="P195" i="9" l="1"/>
  <c r="S195" i="9" s="1"/>
  <c r="F198" i="2" s="1"/>
  <c r="B196" i="3" s="1"/>
  <c r="B196" i="4" s="1"/>
  <c r="C195" i="3"/>
  <c r="C195" i="4" s="1"/>
  <c r="K516" i="9"/>
  <c r="L515" i="9"/>
  <c r="M515" i="9" s="1"/>
  <c r="O196" i="9"/>
  <c r="P196" i="9" s="1"/>
  <c r="N197" i="9"/>
  <c r="T195" i="9" l="1"/>
  <c r="G198" i="2" s="1"/>
  <c r="R196" i="9"/>
  <c r="E199" i="2" s="1"/>
  <c r="A197" i="3" s="1"/>
  <c r="A197" i="4" s="1"/>
  <c r="S196" i="9"/>
  <c r="F199" i="2" s="1"/>
  <c r="B197" i="3" s="1"/>
  <c r="B197" i="4" s="1"/>
  <c r="T196" i="9"/>
  <c r="G199" i="2" s="1"/>
  <c r="R195" i="9"/>
  <c r="E198" i="2" s="1"/>
  <c r="A196" i="3" s="1"/>
  <c r="A196" i="4" s="1"/>
  <c r="C196" i="3"/>
  <c r="C196" i="4" s="1"/>
  <c r="K517" i="9"/>
  <c r="L516" i="9"/>
  <c r="M516" i="9" s="1"/>
  <c r="O197" i="9"/>
  <c r="N198" i="9"/>
  <c r="P197" i="9" l="1"/>
  <c r="C197" i="3"/>
  <c r="C197" i="4" s="1"/>
  <c r="K518" i="9"/>
  <c r="L517" i="9"/>
  <c r="M517" i="9" s="1"/>
  <c r="O198" i="9"/>
  <c r="P198" i="9" s="1"/>
  <c r="N199" i="9"/>
  <c r="T198" i="9" s="1"/>
  <c r="S198" i="9" l="1"/>
  <c r="F201" i="2" s="1"/>
  <c r="B199" i="3" s="1"/>
  <c r="B199" i="4" s="1"/>
  <c r="R198" i="9"/>
  <c r="E201" i="2" s="1"/>
  <c r="A199" i="3" s="1"/>
  <c r="A199" i="4" s="1"/>
  <c r="R197" i="9"/>
  <c r="E200" i="2" s="1"/>
  <c r="A198" i="3" s="1"/>
  <c r="A198" i="4" s="1"/>
  <c r="S197" i="9"/>
  <c r="F200" i="2" s="1"/>
  <c r="B198" i="3" s="1"/>
  <c r="B198" i="4" s="1"/>
  <c r="T197" i="9"/>
  <c r="G200" i="2" s="1"/>
  <c r="C198" i="3" s="1"/>
  <c r="C198" i="4" s="1"/>
  <c r="K519" i="9"/>
  <c r="L518" i="9"/>
  <c r="M518" i="9" s="1"/>
  <c r="O199" i="9"/>
  <c r="G201" i="2"/>
  <c r="N200" i="9"/>
  <c r="P199" i="9" l="1"/>
  <c r="S199" i="9" s="1"/>
  <c r="F202" i="2" s="1"/>
  <c r="B200" i="3" s="1"/>
  <c r="B200" i="4" s="1"/>
  <c r="C199" i="3"/>
  <c r="C199" i="4" s="1"/>
  <c r="K520" i="9"/>
  <c r="L519" i="9"/>
  <c r="M519" i="9" s="1"/>
  <c r="O200" i="9"/>
  <c r="P200" i="9" s="1"/>
  <c r="N201" i="9"/>
  <c r="R199" i="9" l="1"/>
  <c r="E202" i="2" s="1"/>
  <c r="A200" i="3" s="1"/>
  <c r="A200" i="4" s="1"/>
  <c r="T199" i="9"/>
  <c r="G202" i="2" s="1"/>
  <c r="C200" i="3" s="1"/>
  <c r="C200" i="4" s="1"/>
  <c r="R200" i="9"/>
  <c r="E203" i="2" s="1"/>
  <c r="A201" i="3" s="1"/>
  <c r="A201" i="4" s="1"/>
  <c r="S200" i="9"/>
  <c r="F203" i="2" s="1"/>
  <c r="B201" i="3" s="1"/>
  <c r="B201" i="4" s="1"/>
  <c r="T200" i="9"/>
  <c r="G203" i="2" s="1"/>
  <c r="K521" i="9"/>
  <c r="L520" i="9"/>
  <c r="M520" i="9" s="1"/>
  <c r="O201" i="9"/>
  <c r="N202" i="9"/>
  <c r="P201" i="9" l="1"/>
  <c r="C201" i="3"/>
  <c r="C201" i="4" s="1"/>
  <c r="K522" i="9"/>
  <c r="L521" i="9"/>
  <c r="M521" i="9" s="1"/>
  <c r="O202" i="9"/>
  <c r="P202" i="9" s="1"/>
  <c r="N203" i="9"/>
  <c r="T202" i="9" s="1"/>
  <c r="S202" i="9" l="1"/>
  <c r="F205" i="2" s="1"/>
  <c r="B203" i="3" s="1"/>
  <c r="B203" i="4" s="1"/>
  <c r="R202" i="9"/>
  <c r="E205" i="2" s="1"/>
  <c r="A203" i="3" s="1"/>
  <c r="A203" i="4" s="1"/>
  <c r="S201" i="9"/>
  <c r="F204" i="2" s="1"/>
  <c r="B202" i="3" s="1"/>
  <c r="B202" i="4" s="1"/>
  <c r="R201" i="9"/>
  <c r="E204" i="2" s="1"/>
  <c r="A202" i="3" s="1"/>
  <c r="A202" i="4" s="1"/>
  <c r="T201" i="9"/>
  <c r="G204" i="2" s="1"/>
  <c r="C202" i="3" s="1"/>
  <c r="C202" i="4" s="1"/>
  <c r="K523" i="9"/>
  <c r="L522" i="9"/>
  <c r="M522" i="9" s="1"/>
  <c r="O203" i="9"/>
  <c r="G205" i="2"/>
  <c r="N204" i="9"/>
  <c r="P203" i="9" l="1"/>
  <c r="C203" i="3"/>
  <c r="C203" i="4" s="1"/>
  <c r="K524" i="9"/>
  <c r="L523" i="9"/>
  <c r="M523" i="9" s="1"/>
  <c r="O204" i="9"/>
  <c r="P204" i="9" s="1"/>
  <c r="N205" i="9"/>
  <c r="T204" i="9" s="1"/>
  <c r="S203" i="9" l="1"/>
  <c r="F206" i="2" s="1"/>
  <c r="B204" i="3" s="1"/>
  <c r="B204" i="4" s="1"/>
  <c r="R203" i="9"/>
  <c r="E206" i="2" s="1"/>
  <c r="A204" i="3" s="1"/>
  <c r="A204" i="4" s="1"/>
  <c r="R204" i="9"/>
  <c r="E207" i="2" s="1"/>
  <c r="A205" i="3" s="1"/>
  <c r="A205" i="4" s="1"/>
  <c r="S204" i="9"/>
  <c r="F207" i="2" s="1"/>
  <c r="B205" i="3" s="1"/>
  <c r="B205" i="4" s="1"/>
  <c r="T203" i="9"/>
  <c r="G206" i="2" s="1"/>
  <c r="C204" i="3" s="1"/>
  <c r="C204" i="4" s="1"/>
  <c r="K525" i="9"/>
  <c r="L524" i="9"/>
  <c r="M524" i="9" s="1"/>
  <c r="O205" i="9"/>
  <c r="G207" i="2"/>
  <c r="N206" i="9"/>
  <c r="P205" i="9" l="1"/>
  <c r="S205" i="9" s="1"/>
  <c r="F208" i="2" s="1"/>
  <c r="B206" i="3" s="1"/>
  <c r="B206" i="4" s="1"/>
  <c r="C205" i="3"/>
  <c r="C205" i="4" s="1"/>
  <c r="K526" i="9"/>
  <c r="L525" i="9"/>
  <c r="M525" i="9" s="1"/>
  <c r="O206" i="9"/>
  <c r="P206" i="9" s="1"/>
  <c r="N207" i="9"/>
  <c r="R205" i="9" l="1"/>
  <c r="E208" i="2" s="1"/>
  <c r="A206" i="3" s="1"/>
  <c r="A206" i="4" s="1"/>
  <c r="T206" i="9"/>
  <c r="G209" i="2" s="1"/>
  <c r="R206" i="9"/>
  <c r="E209" i="2" s="1"/>
  <c r="A207" i="3" s="1"/>
  <c r="A207" i="4" s="1"/>
  <c r="S206" i="9"/>
  <c r="F209" i="2" s="1"/>
  <c r="B207" i="3" s="1"/>
  <c r="B207" i="4" s="1"/>
  <c r="T205" i="9"/>
  <c r="G208" i="2" s="1"/>
  <c r="C206" i="3" s="1"/>
  <c r="C206" i="4" s="1"/>
  <c r="K527" i="9"/>
  <c r="L526" i="9"/>
  <c r="M526" i="9" s="1"/>
  <c r="O207" i="9"/>
  <c r="N208" i="9"/>
  <c r="P207" i="9" l="1"/>
  <c r="T207" i="9" s="1"/>
  <c r="G210" i="2" s="1"/>
  <c r="C208" i="3" s="1"/>
  <c r="C208" i="4" s="1"/>
  <c r="C207" i="3"/>
  <c r="C207" i="4" s="1"/>
  <c r="K528" i="9"/>
  <c r="L527" i="9"/>
  <c r="M527" i="9" s="1"/>
  <c r="O208" i="9"/>
  <c r="P208" i="9" s="1"/>
  <c r="N209" i="9"/>
  <c r="T208" i="9" l="1"/>
  <c r="S207" i="9"/>
  <c r="F210" i="2" s="1"/>
  <c r="B208" i="3" s="1"/>
  <c r="B208" i="4" s="1"/>
  <c r="R207" i="9"/>
  <c r="E210" i="2" s="1"/>
  <c r="A208" i="3" s="1"/>
  <c r="A208" i="4" s="1"/>
  <c r="R208" i="9"/>
  <c r="E211" i="2" s="1"/>
  <c r="A209" i="3" s="1"/>
  <c r="A209" i="4" s="1"/>
  <c r="S208" i="9"/>
  <c r="F211" i="2" s="1"/>
  <c r="B209" i="3" s="1"/>
  <c r="B209" i="4" s="1"/>
  <c r="K529" i="9"/>
  <c r="L528" i="9"/>
  <c r="M528" i="9" s="1"/>
  <c r="O209" i="9"/>
  <c r="G211" i="2"/>
  <c r="N210" i="9"/>
  <c r="P209" i="9" l="1"/>
  <c r="T209" i="9" s="1"/>
  <c r="G212" i="2" s="1"/>
  <c r="C209" i="3"/>
  <c r="C209" i="4" s="1"/>
  <c r="K530" i="9"/>
  <c r="L529" i="9"/>
  <c r="M529" i="9" s="1"/>
  <c r="O210" i="9"/>
  <c r="P210" i="9" s="1"/>
  <c r="N211" i="9"/>
  <c r="T210" i="9" l="1"/>
  <c r="S210" i="9"/>
  <c r="F213" i="2" s="1"/>
  <c r="B211" i="3" s="1"/>
  <c r="B211" i="4" s="1"/>
  <c r="R210" i="9"/>
  <c r="E213" i="2" s="1"/>
  <c r="A211" i="3" s="1"/>
  <c r="A211" i="4" s="1"/>
  <c r="R209" i="9"/>
  <c r="E212" i="2" s="1"/>
  <c r="A210" i="3" s="1"/>
  <c r="A210" i="4" s="1"/>
  <c r="S209" i="9"/>
  <c r="F212" i="2" s="1"/>
  <c r="B210" i="3" s="1"/>
  <c r="B210" i="4" s="1"/>
  <c r="C210" i="3"/>
  <c r="C210" i="4" s="1"/>
  <c r="K531" i="9"/>
  <c r="L530" i="9"/>
  <c r="M530" i="9" s="1"/>
  <c r="O211" i="9"/>
  <c r="G213" i="2"/>
  <c r="N212" i="9"/>
  <c r="P211" i="9" l="1"/>
  <c r="C211" i="3"/>
  <c r="C211" i="4" s="1"/>
  <c r="K532" i="9"/>
  <c r="L531" i="9"/>
  <c r="M531" i="9" s="1"/>
  <c r="O212" i="9"/>
  <c r="P212" i="9" s="1"/>
  <c r="N213" i="9"/>
  <c r="T212" i="9" s="1"/>
  <c r="S211" i="9" l="1"/>
  <c r="F214" i="2" s="1"/>
  <c r="B212" i="3" s="1"/>
  <c r="B212" i="4" s="1"/>
  <c r="R211" i="9"/>
  <c r="E214" i="2" s="1"/>
  <c r="A212" i="3" s="1"/>
  <c r="A212" i="4" s="1"/>
  <c r="S212" i="9"/>
  <c r="F215" i="2" s="1"/>
  <c r="B213" i="3" s="1"/>
  <c r="B213" i="4" s="1"/>
  <c r="R212" i="9"/>
  <c r="E215" i="2" s="1"/>
  <c r="A213" i="3" s="1"/>
  <c r="A213" i="4" s="1"/>
  <c r="T211" i="9"/>
  <c r="G214" i="2" s="1"/>
  <c r="C212" i="3" s="1"/>
  <c r="C212" i="4" s="1"/>
  <c r="K533" i="9"/>
  <c r="L532" i="9"/>
  <c r="M532" i="9" s="1"/>
  <c r="O213" i="9"/>
  <c r="G215" i="2"/>
  <c r="N214" i="9"/>
  <c r="P213" i="9" l="1"/>
  <c r="T213" i="9" s="1"/>
  <c r="G216" i="2" s="1"/>
  <c r="C213" i="3"/>
  <c r="C213" i="4" s="1"/>
  <c r="K534" i="9"/>
  <c r="L533" i="9"/>
  <c r="M533" i="9" s="1"/>
  <c r="O214" i="9"/>
  <c r="P214" i="9" s="1"/>
  <c r="N215" i="9"/>
  <c r="T214" i="9" l="1"/>
  <c r="R214" i="9"/>
  <c r="E217" i="2" s="1"/>
  <c r="A215" i="3" s="1"/>
  <c r="A215" i="4" s="1"/>
  <c r="S214" i="9"/>
  <c r="F217" i="2" s="1"/>
  <c r="B215" i="3" s="1"/>
  <c r="B215" i="4" s="1"/>
  <c r="S213" i="9"/>
  <c r="F216" i="2" s="1"/>
  <c r="B214" i="3" s="1"/>
  <c r="B214" i="4" s="1"/>
  <c r="R213" i="9"/>
  <c r="E216" i="2" s="1"/>
  <c r="A214" i="3" s="1"/>
  <c r="A214" i="4" s="1"/>
  <c r="C214" i="3"/>
  <c r="C214" i="4" s="1"/>
  <c r="K535" i="9"/>
  <c r="L534" i="9"/>
  <c r="M534" i="9" s="1"/>
  <c r="O215" i="9"/>
  <c r="G217" i="2"/>
  <c r="N216" i="9"/>
  <c r="P215" i="9" l="1"/>
  <c r="C215" i="3"/>
  <c r="C215" i="4" s="1"/>
  <c r="L535" i="9"/>
  <c r="M535" i="9" s="1"/>
  <c r="K536" i="9"/>
  <c r="O216" i="9"/>
  <c r="P216" i="9" s="1"/>
  <c r="N217" i="9"/>
  <c r="T216" i="9" l="1"/>
  <c r="S216" i="9"/>
  <c r="F219" i="2" s="1"/>
  <c r="B217" i="3" s="1"/>
  <c r="B217" i="4" s="1"/>
  <c r="R216" i="9"/>
  <c r="E219" i="2" s="1"/>
  <c r="A217" i="3" s="1"/>
  <c r="A217" i="4" s="1"/>
  <c r="S215" i="9"/>
  <c r="F218" i="2" s="1"/>
  <c r="B216" i="3" s="1"/>
  <c r="B216" i="4" s="1"/>
  <c r="R215" i="9"/>
  <c r="E218" i="2" s="1"/>
  <c r="A216" i="3" s="1"/>
  <c r="A216" i="4" s="1"/>
  <c r="T215" i="9"/>
  <c r="G218" i="2" s="1"/>
  <c r="C216" i="3" s="1"/>
  <c r="C216" i="4" s="1"/>
  <c r="K537" i="9"/>
  <c r="L536" i="9"/>
  <c r="M536" i="9" s="1"/>
  <c r="O217" i="9"/>
  <c r="G219" i="2"/>
  <c r="N218" i="9"/>
  <c r="P217" i="9" l="1"/>
  <c r="C217" i="3"/>
  <c r="C217" i="4" s="1"/>
  <c r="K538" i="9"/>
  <c r="L537" i="9"/>
  <c r="M537" i="9" s="1"/>
  <c r="O218" i="9"/>
  <c r="P218" i="9" s="1"/>
  <c r="N219" i="9"/>
  <c r="T218" i="9" l="1"/>
  <c r="G221" i="2" s="1"/>
  <c r="R218" i="9"/>
  <c r="E221" i="2" s="1"/>
  <c r="A219" i="3" s="1"/>
  <c r="A219" i="4" s="1"/>
  <c r="S218" i="9"/>
  <c r="F221" i="2" s="1"/>
  <c r="B219" i="3" s="1"/>
  <c r="B219" i="4" s="1"/>
  <c r="S217" i="9"/>
  <c r="F220" i="2" s="1"/>
  <c r="B218" i="3" s="1"/>
  <c r="B218" i="4" s="1"/>
  <c r="R217" i="9"/>
  <c r="E220" i="2" s="1"/>
  <c r="A218" i="3" s="1"/>
  <c r="A218" i="4" s="1"/>
  <c r="T217" i="9"/>
  <c r="G220" i="2" s="1"/>
  <c r="C218" i="3" s="1"/>
  <c r="C218" i="4" s="1"/>
  <c r="K539" i="9"/>
  <c r="L538" i="9"/>
  <c r="M538" i="9" s="1"/>
  <c r="O219" i="9"/>
  <c r="N220" i="9"/>
  <c r="P219" i="9" l="1"/>
  <c r="T219" i="9" s="1"/>
  <c r="G222" i="2" s="1"/>
  <c r="C219" i="3"/>
  <c r="C219" i="4" s="1"/>
  <c r="K540" i="9"/>
  <c r="L539" i="9"/>
  <c r="M539" i="9" s="1"/>
  <c r="O220" i="9"/>
  <c r="P220" i="9" s="1"/>
  <c r="N221" i="9"/>
  <c r="T220" i="9" l="1"/>
  <c r="R219" i="9"/>
  <c r="E222" i="2" s="1"/>
  <c r="A220" i="3" s="1"/>
  <c r="A220" i="4" s="1"/>
  <c r="S219" i="9"/>
  <c r="F222" i="2" s="1"/>
  <c r="B220" i="3" s="1"/>
  <c r="B220" i="4" s="1"/>
  <c r="S220" i="9"/>
  <c r="F223" i="2" s="1"/>
  <c r="B221" i="3" s="1"/>
  <c r="B221" i="4" s="1"/>
  <c r="R220" i="9"/>
  <c r="E223" i="2" s="1"/>
  <c r="A221" i="3" s="1"/>
  <c r="A221" i="4" s="1"/>
  <c r="C220" i="3"/>
  <c r="C220" i="4" s="1"/>
  <c r="K541" i="9"/>
  <c r="L540" i="9"/>
  <c r="M540" i="9" s="1"/>
  <c r="O221" i="9"/>
  <c r="G223" i="2"/>
  <c r="N222" i="9"/>
  <c r="P221" i="9" l="1"/>
  <c r="C221" i="3"/>
  <c r="C221" i="4" s="1"/>
  <c r="K542" i="9"/>
  <c r="L541" i="9"/>
  <c r="M541" i="9" s="1"/>
  <c r="O222" i="9"/>
  <c r="P222" i="9" s="1"/>
  <c r="N223" i="9"/>
  <c r="T222" i="9" l="1"/>
  <c r="G225" i="2" s="1"/>
  <c r="R222" i="9"/>
  <c r="E225" i="2" s="1"/>
  <c r="A223" i="3" s="1"/>
  <c r="A223" i="4" s="1"/>
  <c r="S222" i="9"/>
  <c r="F225" i="2" s="1"/>
  <c r="B223" i="3" s="1"/>
  <c r="B223" i="4" s="1"/>
  <c r="R221" i="9"/>
  <c r="E224" i="2" s="1"/>
  <c r="A222" i="3" s="1"/>
  <c r="A222" i="4" s="1"/>
  <c r="S221" i="9"/>
  <c r="F224" i="2" s="1"/>
  <c r="B222" i="3" s="1"/>
  <c r="B222" i="4" s="1"/>
  <c r="T221" i="9"/>
  <c r="G224" i="2" s="1"/>
  <c r="C222" i="3" s="1"/>
  <c r="C222" i="4" s="1"/>
  <c r="K543" i="9"/>
  <c r="L542" i="9"/>
  <c r="M542" i="9" s="1"/>
  <c r="O223" i="9"/>
  <c r="N224" i="9"/>
  <c r="P223" i="9" l="1"/>
  <c r="T223" i="9" s="1"/>
  <c r="G226" i="2" s="1"/>
  <c r="C223" i="3"/>
  <c r="C223" i="4" s="1"/>
  <c r="K544" i="9"/>
  <c r="L543" i="9"/>
  <c r="M543" i="9" s="1"/>
  <c r="O224" i="9"/>
  <c r="P224" i="9" s="1"/>
  <c r="N225" i="9"/>
  <c r="T224" i="9" l="1"/>
  <c r="S223" i="9"/>
  <c r="F226" i="2" s="1"/>
  <c r="B224" i="3" s="1"/>
  <c r="B224" i="4" s="1"/>
  <c r="R223" i="9"/>
  <c r="E226" i="2" s="1"/>
  <c r="A224" i="3" s="1"/>
  <c r="A224" i="4" s="1"/>
  <c r="S224" i="9"/>
  <c r="F227" i="2" s="1"/>
  <c r="B225" i="3" s="1"/>
  <c r="B225" i="4" s="1"/>
  <c r="R224" i="9"/>
  <c r="E227" i="2" s="1"/>
  <c r="A225" i="3" s="1"/>
  <c r="A225" i="4" s="1"/>
  <c r="C224" i="3"/>
  <c r="C224" i="4" s="1"/>
  <c r="K545" i="9"/>
  <c r="L544" i="9"/>
  <c r="M544" i="9" s="1"/>
  <c r="O225" i="9"/>
  <c r="G227" i="2"/>
  <c r="N226" i="9"/>
  <c r="P225" i="9" l="1"/>
  <c r="C225" i="3"/>
  <c r="C225" i="4" s="1"/>
  <c r="K546" i="9"/>
  <c r="L545" i="9"/>
  <c r="M545" i="9" s="1"/>
  <c r="O226" i="9"/>
  <c r="P226" i="9" s="1"/>
  <c r="N227" i="9"/>
  <c r="T226" i="9" l="1"/>
  <c r="S225" i="9"/>
  <c r="F228" i="2" s="1"/>
  <c r="B226" i="3" s="1"/>
  <c r="B226" i="4" s="1"/>
  <c r="R225" i="9"/>
  <c r="E228" i="2" s="1"/>
  <c r="A226" i="3" s="1"/>
  <c r="A226" i="4" s="1"/>
  <c r="S226" i="9"/>
  <c r="F229" i="2" s="1"/>
  <c r="B227" i="3" s="1"/>
  <c r="B227" i="4" s="1"/>
  <c r="R226" i="9"/>
  <c r="E229" i="2" s="1"/>
  <c r="A227" i="3" s="1"/>
  <c r="A227" i="4" s="1"/>
  <c r="T225" i="9"/>
  <c r="G228" i="2" s="1"/>
  <c r="C226" i="3" s="1"/>
  <c r="C226" i="4" s="1"/>
  <c r="K547" i="9"/>
  <c r="L546" i="9"/>
  <c r="M546" i="9" s="1"/>
  <c r="O227" i="9"/>
  <c r="G229" i="2"/>
  <c r="N228" i="9"/>
  <c r="P227" i="9" l="1"/>
  <c r="C227" i="3"/>
  <c r="C227" i="4" s="1"/>
  <c r="K548" i="9"/>
  <c r="L547" i="9"/>
  <c r="M547" i="9" s="1"/>
  <c r="O228" i="9"/>
  <c r="P228" i="9" s="1"/>
  <c r="N229" i="9"/>
  <c r="T228" i="9" l="1"/>
  <c r="S227" i="9"/>
  <c r="F230" i="2" s="1"/>
  <c r="B228" i="3" s="1"/>
  <c r="B228" i="4" s="1"/>
  <c r="R227" i="9"/>
  <c r="E230" i="2" s="1"/>
  <c r="A228" i="3" s="1"/>
  <c r="A228" i="4" s="1"/>
  <c r="R228" i="9"/>
  <c r="E231" i="2" s="1"/>
  <c r="A229" i="3" s="1"/>
  <c r="A229" i="4" s="1"/>
  <c r="S228" i="9"/>
  <c r="F231" i="2" s="1"/>
  <c r="B229" i="3" s="1"/>
  <c r="B229" i="4" s="1"/>
  <c r="T227" i="9"/>
  <c r="G230" i="2" s="1"/>
  <c r="C228" i="3" s="1"/>
  <c r="C228" i="4" s="1"/>
  <c r="K549" i="9"/>
  <c r="L548" i="9"/>
  <c r="M548" i="9" s="1"/>
  <c r="O229" i="9"/>
  <c r="G231" i="2"/>
  <c r="N230" i="9"/>
  <c r="P229" i="9" l="1"/>
  <c r="C229" i="3"/>
  <c r="C229" i="4" s="1"/>
  <c r="K550" i="9"/>
  <c r="L549" i="9"/>
  <c r="M549" i="9" s="1"/>
  <c r="O230" i="9"/>
  <c r="P230" i="9" s="1"/>
  <c r="N231" i="9"/>
  <c r="S229" i="9" l="1"/>
  <c r="F232" i="2" s="1"/>
  <c r="B230" i="3" s="1"/>
  <c r="B230" i="4" s="1"/>
  <c r="R229" i="9"/>
  <c r="E232" i="2" s="1"/>
  <c r="A230" i="3" s="1"/>
  <c r="A230" i="4" s="1"/>
  <c r="T230" i="9"/>
  <c r="G233" i="2" s="1"/>
  <c r="R230" i="9"/>
  <c r="E233" i="2" s="1"/>
  <c r="A231" i="3" s="1"/>
  <c r="A231" i="4" s="1"/>
  <c r="S230" i="9"/>
  <c r="F233" i="2" s="1"/>
  <c r="B231" i="3" s="1"/>
  <c r="B231" i="4" s="1"/>
  <c r="T229" i="9"/>
  <c r="G232" i="2" s="1"/>
  <c r="C230" i="3" s="1"/>
  <c r="C230" i="4" s="1"/>
  <c r="K551" i="9"/>
  <c r="L550" i="9"/>
  <c r="M550" i="9" s="1"/>
  <c r="O231" i="9"/>
  <c r="N232" i="9"/>
  <c r="P231" i="9" l="1"/>
  <c r="C231" i="3"/>
  <c r="C231" i="4" s="1"/>
  <c r="K552" i="9"/>
  <c r="L551" i="9"/>
  <c r="M551" i="9" s="1"/>
  <c r="O232" i="9"/>
  <c r="P232" i="9" s="1"/>
  <c r="N233" i="9"/>
  <c r="T232" i="9" s="1"/>
  <c r="R231" i="9" l="1"/>
  <c r="E234" i="2" s="1"/>
  <c r="A232" i="3" s="1"/>
  <c r="A232" i="4" s="1"/>
  <c r="S231" i="9"/>
  <c r="F234" i="2" s="1"/>
  <c r="B232" i="3" s="1"/>
  <c r="B232" i="4" s="1"/>
  <c r="S232" i="9"/>
  <c r="F235" i="2" s="1"/>
  <c r="B233" i="3" s="1"/>
  <c r="B233" i="4" s="1"/>
  <c r="R232" i="9"/>
  <c r="E235" i="2" s="1"/>
  <c r="A233" i="3" s="1"/>
  <c r="A233" i="4" s="1"/>
  <c r="T231" i="9"/>
  <c r="G234" i="2" s="1"/>
  <c r="C232" i="3" s="1"/>
  <c r="C232" i="4" s="1"/>
  <c r="K553" i="9"/>
  <c r="L552" i="9"/>
  <c r="M552" i="9" s="1"/>
  <c r="O233" i="9"/>
  <c r="G235" i="2"/>
  <c r="N234" i="9"/>
  <c r="P233" i="9" l="1"/>
  <c r="S233" i="9" s="1"/>
  <c r="F236" i="2" s="1"/>
  <c r="B234" i="3" s="1"/>
  <c r="B234" i="4" s="1"/>
  <c r="R233" i="9"/>
  <c r="E236" i="2" s="1"/>
  <c r="A234" i="3" s="1"/>
  <c r="A234" i="4" s="1"/>
  <c r="C233" i="3"/>
  <c r="C233" i="4" s="1"/>
  <c r="K554" i="9"/>
  <c r="L553" i="9"/>
  <c r="M553" i="9" s="1"/>
  <c r="O234" i="9"/>
  <c r="P234" i="9" s="1"/>
  <c r="N235" i="9"/>
  <c r="T234" i="9" l="1"/>
  <c r="G237" i="2" s="1"/>
  <c r="R234" i="9"/>
  <c r="E237" i="2" s="1"/>
  <c r="A235" i="3" s="1"/>
  <c r="A235" i="4" s="1"/>
  <c r="S234" i="9"/>
  <c r="F237" i="2" s="1"/>
  <c r="B235" i="3" s="1"/>
  <c r="B235" i="4" s="1"/>
  <c r="T233" i="9"/>
  <c r="G236" i="2" s="1"/>
  <c r="C234" i="3" s="1"/>
  <c r="C234" i="4" s="1"/>
  <c r="K555" i="9"/>
  <c r="L554" i="9"/>
  <c r="M554" i="9" s="1"/>
  <c r="O235" i="9"/>
  <c r="N236" i="9"/>
  <c r="P235" i="9" l="1"/>
  <c r="T235" i="9" s="1"/>
  <c r="G238" i="2" s="1"/>
  <c r="C235" i="3"/>
  <c r="C235" i="4" s="1"/>
  <c r="K556" i="9"/>
  <c r="L555" i="9"/>
  <c r="M555" i="9" s="1"/>
  <c r="O236" i="9"/>
  <c r="P236" i="9" s="1"/>
  <c r="N237" i="9"/>
  <c r="T236" i="9" l="1"/>
  <c r="S236" i="9"/>
  <c r="F239" i="2" s="1"/>
  <c r="B237" i="3" s="1"/>
  <c r="B237" i="4" s="1"/>
  <c r="R236" i="9"/>
  <c r="E239" i="2" s="1"/>
  <c r="A237" i="3" s="1"/>
  <c r="A237" i="4" s="1"/>
  <c r="R235" i="9"/>
  <c r="E238" i="2" s="1"/>
  <c r="A236" i="3" s="1"/>
  <c r="A236" i="4" s="1"/>
  <c r="S235" i="9"/>
  <c r="F238" i="2" s="1"/>
  <c r="B236" i="3" s="1"/>
  <c r="B236" i="4" s="1"/>
  <c r="C236" i="3"/>
  <c r="C236" i="4" s="1"/>
  <c r="K557" i="9"/>
  <c r="L556" i="9"/>
  <c r="M556" i="9" s="1"/>
  <c r="O237" i="9"/>
  <c r="G239" i="2"/>
  <c r="N238" i="9"/>
  <c r="P237" i="9" l="1"/>
  <c r="T237" i="9" s="1"/>
  <c r="G240" i="2" s="1"/>
  <c r="C237" i="3"/>
  <c r="C237" i="4" s="1"/>
  <c r="K558" i="9"/>
  <c r="L557" i="9"/>
  <c r="M557" i="9" s="1"/>
  <c r="O238" i="9"/>
  <c r="P238" i="9" s="1"/>
  <c r="N239" i="9"/>
  <c r="T238" i="9" l="1"/>
  <c r="G241" i="2" s="1"/>
  <c r="S238" i="9"/>
  <c r="F241" i="2" s="1"/>
  <c r="B239" i="3" s="1"/>
  <c r="B239" i="4" s="1"/>
  <c r="R238" i="9"/>
  <c r="E241" i="2" s="1"/>
  <c r="A239" i="3" s="1"/>
  <c r="A239" i="4" s="1"/>
  <c r="S237" i="9"/>
  <c r="F240" i="2" s="1"/>
  <c r="B238" i="3" s="1"/>
  <c r="B238" i="4" s="1"/>
  <c r="R237" i="9"/>
  <c r="E240" i="2" s="1"/>
  <c r="A238" i="3" s="1"/>
  <c r="A238" i="4" s="1"/>
  <c r="C238" i="3"/>
  <c r="C238" i="4" s="1"/>
  <c r="K559" i="9"/>
  <c r="L558" i="9"/>
  <c r="M558" i="9" s="1"/>
  <c r="O239" i="9"/>
  <c r="N240" i="9"/>
  <c r="P239" i="9" l="1"/>
  <c r="C239" i="3"/>
  <c r="C239" i="4" s="1"/>
  <c r="K560" i="9"/>
  <c r="L559" i="9"/>
  <c r="M559" i="9" s="1"/>
  <c r="O240" i="9"/>
  <c r="P240" i="9" s="1"/>
  <c r="N241" i="9"/>
  <c r="T240" i="9" l="1"/>
  <c r="R240" i="9"/>
  <c r="E243" i="2" s="1"/>
  <c r="A241" i="3" s="1"/>
  <c r="A241" i="4" s="1"/>
  <c r="S240" i="9"/>
  <c r="F243" i="2" s="1"/>
  <c r="B241" i="3" s="1"/>
  <c r="B241" i="4" s="1"/>
  <c r="R239" i="9"/>
  <c r="E242" i="2" s="1"/>
  <c r="A240" i="3" s="1"/>
  <c r="A240" i="4" s="1"/>
  <c r="S239" i="9"/>
  <c r="F242" i="2" s="1"/>
  <c r="B240" i="3" s="1"/>
  <c r="B240" i="4" s="1"/>
  <c r="T239" i="9"/>
  <c r="G242" i="2" s="1"/>
  <c r="C240" i="3" s="1"/>
  <c r="C240" i="4" s="1"/>
  <c r="K561" i="9"/>
  <c r="L560" i="9"/>
  <c r="M560" i="9" s="1"/>
  <c r="O241" i="9"/>
  <c r="G243" i="2"/>
  <c r="N242" i="9"/>
  <c r="P241" i="9" l="1"/>
  <c r="C241" i="3"/>
  <c r="C241" i="4" s="1"/>
  <c r="K562" i="9"/>
  <c r="L561" i="9"/>
  <c r="M561" i="9" s="1"/>
  <c r="O242" i="9"/>
  <c r="P242" i="9" s="1"/>
  <c r="N243" i="9"/>
  <c r="S241" i="9" l="1"/>
  <c r="F244" i="2" s="1"/>
  <c r="B242" i="3" s="1"/>
  <c r="B242" i="4" s="1"/>
  <c r="R241" i="9"/>
  <c r="E244" i="2" s="1"/>
  <c r="A242" i="3" s="1"/>
  <c r="A242" i="4" s="1"/>
  <c r="T241" i="9"/>
  <c r="G244" i="2" s="1"/>
  <c r="C242" i="3" s="1"/>
  <c r="C242" i="4" s="1"/>
  <c r="T242" i="9"/>
  <c r="G245" i="2" s="1"/>
  <c r="S242" i="9"/>
  <c r="F245" i="2" s="1"/>
  <c r="B243" i="3" s="1"/>
  <c r="B243" i="4" s="1"/>
  <c r="R242" i="9"/>
  <c r="E245" i="2" s="1"/>
  <c r="A243" i="3" s="1"/>
  <c r="A243" i="4" s="1"/>
  <c r="K563" i="9"/>
  <c r="L562" i="9"/>
  <c r="M562" i="9" s="1"/>
  <c r="O243" i="9"/>
  <c r="N244" i="9"/>
  <c r="P243" i="9" l="1"/>
  <c r="T243" i="9" s="1"/>
  <c r="G246" i="2" s="1"/>
  <c r="C243" i="3"/>
  <c r="C243" i="4" s="1"/>
  <c r="K564" i="9"/>
  <c r="L563" i="9"/>
  <c r="M563" i="9" s="1"/>
  <c r="O244" i="9"/>
  <c r="P244" i="9" s="1"/>
  <c r="N245" i="9"/>
  <c r="R244" i="9" l="1"/>
  <c r="E247" i="2" s="1"/>
  <c r="A245" i="3" s="1"/>
  <c r="A245" i="4" s="1"/>
  <c r="S244" i="9"/>
  <c r="F247" i="2" s="1"/>
  <c r="B245" i="3" s="1"/>
  <c r="B245" i="4" s="1"/>
  <c r="T244" i="9"/>
  <c r="G247" i="2" s="1"/>
  <c r="R243" i="9"/>
  <c r="E246" i="2" s="1"/>
  <c r="A244" i="3" s="1"/>
  <c r="A244" i="4" s="1"/>
  <c r="S243" i="9"/>
  <c r="F246" i="2" s="1"/>
  <c r="B244" i="3" s="1"/>
  <c r="B244" i="4" s="1"/>
  <c r="C244" i="3"/>
  <c r="C244" i="4" s="1"/>
  <c r="K565" i="9"/>
  <c r="L564" i="9"/>
  <c r="M564" i="9" s="1"/>
  <c r="O245" i="9"/>
  <c r="N246" i="9"/>
  <c r="P245" i="9" l="1"/>
  <c r="C245" i="3"/>
  <c r="C245" i="4" s="1"/>
  <c r="K566" i="9"/>
  <c r="L565" i="9"/>
  <c r="M565" i="9" s="1"/>
  <c r="O246" i="9"/>
  <c r="P246" i="9" s="1"/>
  <c r="N247" i="9"/>
  <c r="T246" i="9" s="1"/>
  <c r="R246" i="9" l="1"/>
  <c r="E249" i="2" s="1"/>
  <c r="A247" i="3" s="1"/>
  <c r="A247" i="4" s="1"/>
  <c r="S246" i="9"/>
  <c r="F249" i="2" s="1"/>
  <c r="B247" i="3" s="1"/>
  <c r="B247" i="4" s="1"/>
  <c r="S245" i="9"/>
  <c r="F248" i="2" s="1"/>
  <c r="B246" i="3" s="1"/>
  <c r="B246" i="4" s="1"/>
  <c r="R245" i="9"/>
  <c r="E248" i="2" s="1"/>
  <c r="A246" i="3" s="1"/>
  <c r="A246" i="4" s="1"/>
  <c r="T245" i="9"/>
  <c r="G248" i="2" s="1"/>
  <c r="C246" i="3" s="1"/>
  <c r="C246" i="4" s="1"/>
  <c r="K567" i="9"/>
  <c r="L566" i="9"/>
  <c r="M566" i="9" s="1"/>
  <c r="O247" i="9"/>
  <c r="G249" i="2"/>
  <c r="N248" i="9"/>
  <c r="P247" i="9" l="1"/>
  <c r="T247" i="9" s="1"/>
  <c r="G250" i="2" s="1"/>
  <c r="C247" i="3"/>
  <c r="C247" i="4" s="1"/>
  <c r="K568" i="9"/>
  <c r="L567" i="9"/>
  <c r="M567" i="9" s="1"/>
  <c r="O248" i="9"/>
  <c r="P248" i="9" s="1"/>
  <c r="N249" i="9"/>
  <c r="T248" i="9" l="1"/>
  <c r="G251" i="2" s="1"/>
  <c r="S247" i="9"/>
  <c r="F250" i="2" s="1"/>
  <c r="B248" i="3" s="1"/>
  <c r="B248" i="4" s="1"/>
  <c r="R247" i="9"/>
  <c r="E250" i="2" s="1"/>
  <c r="A248" i="3" s="1"/>
  <c r="A248" i="4" s="1"/>
  <c r="S248" i="9"/>
  <c r="F251" i="2" s="1"/>
  <c r="B249" i="3" s="1"/>
  <c r="B249" i="4" s="1"/>
  <c r="R248" i="9"/>
  <c r="E251" i="2" s="1"/>
  <c r="A249" i="3" s="1"/>
  <c r="A249" i="4" s="1"/>
  <c r="C248" i="3"/>
  <c r="C248" i="4" s="1"/>
  <c r="K569" i="9"/>
  <c r="L568" i="9"/>
  <c r="M568" i="9" s="1"/>
  <c r="O249" i="9"/>
  <c r="N250" i="9"/>
  <c r="P249" i="9" l="1"/>
  <c r="S249" i="9" s="1"/>
  <c r="F252" i="2" s="1"/>
  <c r="B250" i="3" s="1"/>
  <c r="B250" i="4" s="1"/>
  <c r="C249" i="3"/>
  <c r="C249" i="4" s="1"/>
  <c r="K570" i="9"/>
  <c r="L569" i="9"/>
  <c r="M569" i="9" s="1"/>
  <c r="O250" i="9"/>
  <c r="P250" i="9" s="1"/>
  <c r="N251" i="9"/>
  <c r="R249" i="9" l="1"/>
  <c r="E252" i="2" s="1"/>
  <c r="A250" i="3" s="1"/>
  <c r="A250" i="4" s="1"/>
  <c r="T249" i="9"/>
  <c r="G252" i="2" s="1"/>
  <c r="C250" i="3" s="1"/>
  <c r="C250" i="4" s="1"/>
  <c r="T250" i="9"/>
  <c r="G253" i="2" s="1"/>
  <c r="R250" i="9"/>
  <c r="E253" i="2" s="1"/>
  <c r="A251" i="3" s="1"/>
  <c r="A251" i="4" s="1"/>
  <c r="S250" i="9"/>
  <c r="F253" i="2" s="1"/>
  <c r="B251" i="3" s="1"/>
  <c r="B251" i="4" s="1"/>
  <c r="K571" i="9"/>
  <c r="L570" i="9"/>
  <c r="M570" i="9" s="1"/>
  <c r="O251" i="9"/>
  <c r="N252" i="9"/>
  <c r="P251" i="9" l="1"/>
  <c r="T251" i="9" s="1"/>
  <c r="G254" i="2" s="1"/>
  <c r="C251" i="3"/>
  <c r="C251" i="4" s="1"/>
  <c r="K572" i="9"/>
  <c r="L571" i="9"/>
  <c r="M571" i="9" s="1"/>
  <c r="O252" i="9"/>
  <c r="P252" i="9" s="1"/>
  <c r="N253" i="9"/>
  <c r="R252" i="9" l="1"/>
  <c r="E255" i="2" s="1"/>
  <c r="A253" i="3" s="1"/>
  <c r="A253" i="4" s="1"/>
  <c r="S252" i="9"/>
  <c r="F255" i="2" s="1"/>
  <c r="B253" i="3" s="1"/>
  <c r="B253" i="4" s="1"/>
  <c r="R251" i="9"/>
  <c r="E254" i="2" s="1"/>
  <c r="A252" i="3" s="1"/>
  <c r="A252" i="4" s="1"/>
  <c r="S251" i="9"/>
  <c r="F254" i="2" s="1"/>
  <c r="B252" i="3" s="1"/>
  <c r="B252" i="4" s="1"/>
  <c r="T252" i="9"/>
  <c r="G255" i="2" s="1"/>
  <c r="C252" i="3"/>
  <c r="C252" i="4" s="1"/>
  <c r="K573" i="9"/>
  <c r="L572" i="9"/>
  <c r="M572" i="9" s="1"/>
  <c r="O253" i="9"/>
  <c r="N254" i="9"/>
  <c r="P253" i="9" l="1"/>
  <c r="S253" i="9" s="1"/>
  <c r="F256" i="2" s="1"/>
  <c r="B254" i="3" s="1"/>
  <c r="B254" i="4" s="1"/>
  <c r="C253" i="3"/>
  <c r="C253" i="4" s="1"/>
  <c r="K574" i="9"/>
  <c r="L573" i="9"/>
  <c r="M573" i="9" s="1"/>
  <c r="O254" i="9"/>
  <c r="P254" i="9" s="1"/>
  <c r="N255" i="9"/>
  <c r="R253" i="9" l="1"/>
  <c r="E256" i="2" s="1"/>
  <c r="A254" i="3" s="1"/>
  <c r="A254" i="4" s="1"/>
  <c r="T254" i="9"/>
  <c r="G257" i="2" s="1"/>
  <c r="R254" i="9"/>
  <c r="E257" i="2" s="1"/>
  <c r="A255" i="3" s="1"/>
  <c r="A255" i="4" s="1"/>
  <c r="S254" i="9"/>
  <c r="F257" i="2" s="1"/>
  <c r="B255" i="3" s="1"/>
  <c r="B255" i="4" s="1"/>
  <c r="T253" i="9"/>
  <c r="G256" i="2" s="1"/>
  <c r="C254" i="3" s="1"/>
  <c r="C254" i="4" s="1"/>
  <c r="K575" i="9"/>
  <c r="L574" i="9"/>
  <c r="M574" i="9" s="1"/>
  <c r="O255" i="9"/>
  <c r="N256" i="9"/>
  <c r="P255" i="9" l="1"/>
  <c r="T255" i="9" s="1"/>
  <c r="G258" i="2" s="1"/>
  <c r="C255" i="3"/>
  <c r="C255" i="4" s="1"/>
  <c r="K576" i="9"/>
  <c r="L575" i="9"/>
  <c r="M575" i="9" s="1"/>
  <c r="O256" i="9"/>
  <c r="P256" i="9" s="1"/>
  <c r="N257" i="9"/>
  <c r="T256" i="9" l="1"/>
  <c r="G259" i="2" s="1"/>
  <c r="R255" i="9"/>
  <c r="E258" i="2" s="1"/>
  <c r="A256" i="3" s="1"/>
  <c r="A256" i="4" s="1"/>
  <c r="S255" i="9"/>
  <c r="F258" i="2" s="1"/>
  <c r="B256" i="3" s="1"/>
  <c r="B256" i="4" s="1"/>
  <c r="R256" i="9"/>
  <c r="E259" i="2" s="1"/>
  <c r="A257" i="3" s="1"/>
  <c r="A257" i="4" s="1"/>
  <c r="S256" i="9"/>
  <c r="F259" i="2" s="1"/>
  <c r="B257" i="3" s="1"/>
  <c r="B257" i="4" s="1"/>
  <c r="C256" i="3"/>
  <c r="C256" i="4" s="1"/>
  <c r="K577" i="9"/>
  <c r="L576" i="9"/>
  <c r="M576" i="9" s="1"/>
  <c r="O257" i="9"/>
  <c r="N258" i="9"/>
  <c r="P257" i="9" l="1"/>
  <c r="T257" i="9" s="1"/>
  <c r="G260" i="2" s="1"/>
  <c r="C257" i="3"/>
  <c r="C257" i="4" s="1"/>
  <c r="K578" i="9"/>
  <c r="L577" i="9"/>
  <c r="M577" i="9" s="1"/>
  <c r="O258" i="9"/>
  <c r="P258" i="9" s="1"/>
  <c r="N259" i="9"/>
  <c r="T258" i="9" l="1"/>
  <c r="R258" i="9"/>
  <c r="E261" i="2" s="1"/>
  <c r="A259" i="3" s="1"/>
  <c r="A259" i="4" s="1"/>
  <c r="S258" i="9"/>
  <c r="F261" i="2" s="1"/>
  <c r="B259" i="3" s="1"/>
  <c r="B259" i="4" s="1"/>
  <c r="R257" i="9"/>
  <c r="E260" i="2" s="1"/>
  <c r="A258" i="3" s="1"/>
  <c r="A258" i="4" s="1"/>
  <c r="S257" i="9"/>
  <c r="F260" i="2" s="1"/>
  <c r="B258" i="3" s="1"/>
  <c r="B258" i="4" s="1"/>
  <c r="C258" i="3"/>
  <c r="C258" i="4" s="1"/>
  <c r="K579" i="9"/>
  <c r="L578" i="9"/>
  <c r="M578" i="9" s="1"/>
  <c r="O259" i="9"/>
  <c r="G261" i="2"/>
  <c r="N260" i="9"/>
  <c r="P259" i="9" l="1"/>
  <c r="S259" i="9" s="1"/>
  <c r="F262" i="2" s="1"/>
  <c r="B260" i="3" s="1"/>
  <c r="B260" i="4" s="1"/>
  <c r="C259" i="3"/>
  <c r="C259" i="4" s="1"/>
  <c r="K580" i="9"/>
  <c r="L579" i="9"/>
  <c r="M579" i="9" s="1"/>
  <c r="O260" i="9"/>
  <c r="P260" i="9" s="1"/>
  <c r="N261" i="9"/>
  <c r="R259" i="9" l="1"/>
  <c r="E262" i="2" s="1"/>
  <c r="A260" i="3" s="1"/>
  <c r="A260" i="4" s="1"/>
  <c r="T260" i="9"/>
  <c r="G263" i="2" s="1"/>
  <c r="S260" i="9"/>
  <c r="F263" i="2" s="1"/>
  <c r="B261" i="3" s="1"/>
  <c r="B261" i="4" s="1"/>
  <c r="R260" i="9"/>
  <c r="E263" i="2" s="1"/>
  <c r="A261" i="3" s="1"/>
  <c r="A261" i="4" s="1"/>
  <c r="T259" i="9"/>
  <c r="G262" i="2" s="1"/>
  <c r="C260" i="3" s="1"/>
  <c r="C260" i="4" s="1"/>
  <c r="K581" i="9"/>
  <c r="L580" i="9"/>
  <c r="M580" i="9" s="1"/>
  <c r="O261" i="9"/>
  <c r="N262" i="9"/>
  <c r="P261" i="9" l="1"/>
  <c r="C261" i="3"/>
  <c r="C261" i="4" s="1"/>
  <c r="K582" i="9"/>
  <c r="L581" i="9"/>
  <c r="M581" i="9" s="1"/>
  <c r="O262" i="9"/>
  <c r="P262" i="9" s="1"/>
  <c r="N263" i="9"/>
  <c r="T262" i="9" l="1"/>
  <c r="R261" i="9"/>
  <c r="E264" i="2" s="1"/>
  <c r="A262" i="3" s="1"/>
  <c r="A262" i="4" s="1"/>
  <c r="S261" i="9"/>
  <c r="F264" i="2" s="1"/>
  <c r="B262" i="3" s="1"/>
  <c r="B262" i="4" s="1"/>
  <c r="R262" i="9"/>
  <c r="E265" i="2" s="1"/>
  <c r="A263" i="3" s="1"/>
  <c r="A263" i="4" s="1"/>
  <c r="S262" i="9"/>
  <c r="F265" i="2" s="1"/>
  <c r="B263" i="3" s="1"/>
  <c r="B263" i="4" s="1"/>
  <c r="T261" i="9"/>
  <c r="G264" i="2" s="1"/>
  <c r="C262" i="3" s="1"/>
  <c r="C262" i="4" s="1"/>
  <c r="K583" i="9"/>
  <c r="L582" i="9"/>
  <c r="M582" i="9" s="1"/>
  <c r="O263" i="9"/>
  <c r="G265" i="2"/>
  <c r="N264" i="9"/>
  <c r="P263" i="9" l="1"/>
  <c r="C263" i="3"/>
  <c r="C263" i="4" s="1"/>
  <c r="K584" i="9"/>
  <c r="L583" i="9"/>
  <c r="M583" i="9" s="1"/>
  <c r="O264" i="9"/>
  <c r="P264" i="9" s="1"/>
  <c r="N265" i="9"/>
  <c r="T264" i="9" l="1"/>
  <c r="S264" i="9"/>
  <c r="F267" i="2" s="1"/>
  <c r="B265" i="3" s="1"/>
  <c r="B265" i="4" s="1"/>
  <c r="R264" i="9"/>
  <c r="E267" i="2" s="1"/>
  <c r="A265" i="3" s="1"/>
  <c r="A265" i="4" s="1"/>
  <c r="R263" i="9"/>
  <c r="E266" i="2" s="1"/>
  <c r="A264" i="3" s="1"/>
  <c r="A264" i="4" s="1"/>
  <c r="S263" i="9"/>
  <c r="F266" i="2" s="1"/>
  <c r="B264" i="3" s="1"/>
  <c r="B264" i="4" s="1"/>
  <c r="T263" i="9"/>
  <c r="G266" i="2" s="1"/>
  <c r="C264" i="3" s="1"/>
  <c r="C264" i="4" s="1"/>
  <c r="K585" i="9"/>
  <c r="L584" i="9"/>
  <c r="M584" i="9" s="1"/>
  <c r="O265" i="9"/>
  <c r="G267" i="2"/>
  <c r="N266" i="9"/>
  <c r="P265" i="9" l="1"/>
  <c r="C265" i="3"/>
  <c r="C265" i="4" s="1"/>
  <c r="K586" i="9"/>
  <c r="L585" i="9"/>
  <c r="M585" i="9" s="1"/>
  <c r="O266" i="9"/>
  <c r="P266" i="9" s="1"/>
  <c r="N267" i="9"/>
  <c r="T266" i="9" l="1"/>
  <c r="G269" i="2" s="1"/>
  <c r="S265" i="9"/>
  <c r="F268" i="2" s="1"/>
  <c r="B266" i="3" s="1"/>
  <c r="B266" i="4" s="1"/>
  <c r="R265" i="9"/>
  <c r="E268" i="2" s="1"/>
  <c r="A266" i="3" s="1"/>
  <c r="A266" i="4" s="1"/>
  <c r="R266" i="9"/>
  <c r="E269" i="2" s="1"/>
  <c r="A267" i="3" s="1"/>
  <c r="A267" i="4" s="1"/>
  <c r="S266" i="9"/>
  <c r="F269" i="2" s="1"/>
  <c r="B267" i="3" s="1"/>
  <c r="B267" i="4" s="1"/>
  <c r="T265" i="9"/>
  <c r="G268" i="2" s="1"/>
  <c r="C266" i="3" s="1"/>
  <c r="C266" i="4" s="1"/>
  <c r="K587" i="9"/>
  <c r="L586" i="9"/>
  <c r="M586" i="9" s="1"/>
  <c r="O267" i="9"/>
  <c r="N268" i="9"/>
  <c r="P267" i="9" l="1"/>
  <c r="C267" i="3"/>
  <c r="C267" i="4" s="1"/>
  <c r="K588" i="9"/>
  <c r="L587" i="9"/>
  <c r="M587" i="9" s="1"/>
  <c r="O268" i="9"/>
  <c r="P268" i="9" s="1"/>
  <c r="N269" i="9"/>
  <c r="T268" i="9" l="1"/>
  <c r="S267" i="9"/>
  <c r="F270" i="2" s="1"/>
  <c r="B268" i="3" s="1"/>
  <c r="B268" i="4" s="1"/>
  <c r="R267" i="9"/>
  <c r="E270" i="2" s="1"/>
  <c r="A268" i="3" s="1"/>
  <c r="A268" i="4" s="1"/>
  <c r="S268" i="9"/>
  <c r="F271" i="2" s="1"/>
  <c r="B269" i="3" s="1"/>
  <c r="B269" i="4" s="1"/>
  <c r="R268" i="9"/>
  <c r="E271" i="2" s="1"/>
  <c r="A269" i="3" s="1"/>
  <c r="A269" i="4" s="1"/>
  <c r="T267" i="9"/>
  <c r="G270" i="2" s="1"/>
  <c r="C268" i="3" s="1"/>
  <c r="C268" i="4" s="1"/>
  <c r="K589" i="9"/>
  <c r="L588" i="9"/>
  <c r="M588" i="9" s="1"/>
  <c r="O269" i="9"/>
  <c r="G271" i="2"/>
  <c r="N270" i="9"/>
  <c r="P269" i="9" l="1"/>
  <c r="T269" i="9" s="1"/>
  <c r="G272" i="2" s="1"/>
  <c r="C269" i="3"/>
  <c r="C269" i="4" s="1"/>
  <c r="K590" i="9"/>
  <c r="L589" i="9"/>
  <c r="M589" i="9" s="1"/>
  <c r="O270" i="9"/>
  <c r="P270" i="9" s="1"/>
  <c r="N271" i="9"/>
  <c r="R270" i="9" l="1"/>
  <c r="E273" i="2" s="1"/>
  <c r="A271" i="3" s="1"/>
  <c r="A271" i="4" s="1"/>
  <c r="S270" i="9"/>
  <c r="F273" i="2" s="1"/>
  <c r="B271" i="3" s="1"/>
  <c r="B271" i="4" s="1"/>
  <c r="T270" i="9"/>
  <c r="G273" i="2" s="1"/>
  <c r="R269" i="9"/>
  <c r="E272" i="2" s="1"/>
  <c r="A270" i="3" s="1"/>
  <c r="A270" i="4" s="1"/>
  <c r="S269" i="9"/>
  <c r="F272" i="2" s="1"/>
  <c r="B270" i="3" s="1"/>
  <c r="B270" i="4" s="1"/>
  <c r="C270" i="3"/>
  <c r="C270" i="4" s="1"/>
  <c r="K591" i="9"/>
  <c r="L590" i="9"/>
  <c r="M590" i="9" s="1"/>
  <c r="O271" i="9"/>
  <c r="N272" i="9"/>
  <c r="P271" i="9" l="1"/>
  <c r="C271" i="3"/>
  <c r="C271" i="4" s="1"/>
  <c r="K592" i="9"/>
  <c r="L591" i="9"/>
  <c r="M591" i="9" s="1"/>
  <c r="O272" i="9"/>
  <c r="P272" i="9" s="1"/>
  <c r="N273" i="9"/>
  <c r="R271" i="9" l="1"/>
  <c r="E274" i="2" s="1"/>
  <c r="A272" i="3" s="1"/>
  <c r="A272" i="4" s="1"/>
  <c r="S271" i="9"/>
  <c r="F274" i="2" s="1"/>
  <c r="B272" i="3" s="1"/>
  <c r="B272" i="4" s="1"/>
  <c r="T272" i="9"/>
  <c r="G275" i="2" s="1"/>
  <c r="R272" i="9"/>
  <c r="E275" i="2" s="1"/>
  <c r="A273" i="3" s="1"/>
  <c r="A273" i="4" s="1"/>
  <c r="S272" i="9"/>
  <c r="F275" i="2" s="1"/>
  <c r="B273" i="3" s="1"/>
  <c r="B273" i="4" s="1"/>
  <c r="T271" i="9"/>
  <c r="G274" i="2" s="1"/>
  <c r="C272" i="3" s="1"/>
  <c r="C272" i="4" s="1"/>
  <c r="K593" i="9"/>
  <c r="L592" i="9"/>
  <c r="M592" i="9" s="1"/>
  <c r="O273" i="9"/>
  <c r="N274" i="9"/>
  <c r="P273" i="9" l="1"/>
  <c r="T273" i="9" s="1"/>
  <c r="G276" i="2" s="1"/>
  <c r="C273" i="3"/>
  <c r="C273" i="4" s="1"/>
  <c r="K594" i="9"/>
  <c r="L593" i="9"/>
  <c r="M593" i="9" s="1"/>
  <c r="O274" i="9"/>
  <c r="P274" i="9" s="1"/>
  <c r="N275" i="9"/>
  <c r="T274" i="9" l="1"/>
  <c r="S274" i="9"/>
  <c r="F277" i="2" s="1"/>
  <c r="B275" i="3" s="1"/>
  <c r="B275" i="4" s="1"/>
  <c r="R274" i="9"/>
  <c r="E277" i="2" s="1"/>
  <c r="A275" i="3" s="1"/>
  <c r="A275" i="4" s="1"/>
  <c r="S273" i="9"/>
  <c r="F276" i="2" s="1"/>
  <c r="B274" i="3" s="1"/>
  <c r="B274" i="4" s="1"/>
  <c r="R273" i="9"/>
  <c r="E276" i="2" s="1"/>
  <c r="A274" i="3" s="1"/>
  <c r="A274" i="4" s="1"/>
  <c r="C274" i="3"/>
  <c r="C274" i="4" s="1"/>
  <c r="K595" i="9"/>
  <c r="L594" i="9"/>
  <c r="M594" i="9" s="1"/>
  <c r="O275" i="9"/>
  <c r="G277" i="2"/>
  <c r="N276" i="9"/>
  <c r="P275" i="9" l="1"/>
  <c r="T275" i="9" s="1"/>
  <c r="G278" i="2" s="1"/>
  <c r="C275" i="3"/>
  <c r="C275" i="4" s="1"/>
  <c r="K596" i="9"/>
  <c r="L595" i="9"/>
  <c r="M595" i="9" s="1"/>
  <c r="O276" i="9"/>
  <c r="P276" i="9" s="1"/>
  <c r="N277" i="9"/>
  <c r="T276" i="9" l="1"/>
  <c r="R276" i="9"/>
  <c r="E279" i="2" s="1"/>
  <c r="A277" i="3" s="1"/>
  <c r="A277" i="4" s="1"/>
  <c r="S276" i="9"/>
  <c r="F279" i="2" s="1"/>
  <c r="B277" i="3" s="1"/>
  <c r="B277" i="4" s="1"/>
  <c r="R275" i="9"/>
  <c r="E278" i="2" s="1"/>
  <c r="A276" i="3" s="1"/>
  <c r="A276" i="4" s="1"/>
  <c r="S275" i="9"/>
  <c r="F278" i="2" s="1"/>
  <c r="B276" i="3" s="1"/>
  <c r="B276" i="4" s="1"/>
  <c r="C276" i="3"/>
  <c r="C276" i="4" s="1"/>
  <c r="K597" i="9"/>
  <c r="L596" i="9"/>
  <c r="M596" i="9" s="1"/>
  <c r="O277" i="9"/>
  <c r="G279" i="2"/>
  <c r="N278" i="9"/>
  <c r="P277" i="9" l="1"/>
  <c r="T277" i="9" s="1"/>
  <c r="G280" i="2" s="1"/>
  <c r="C277" i="3"/>
  <c r="C277" i="4" s="1"/>
  <c r="K598" i="9"/>
  <c r="L597" i="9"/>
  <c r="M597" i="9" s="1"/>
  <c r="O278" i="9"/>
  <c r="P278" i="9" s="1"/>
  <c r="N279" i="9"/>
  <c r="N280" i="9" l="1"/>
  <c r="T278" i="9"/>
  <c r="G281" i="2" s="1"/>
  <c r="S277" i="9"/>
  <c r="F280" i="2" s="1"/>
  <c r="B278" i="3" s="1"/>
  <c r="B278" i="4" s="1"/>
  <c r="R277" i="9"/>
  <c r="E280" i="2" s="1"/>
  <c r="A278" i="3" s="1"/>
  <c r="A278" i="4" s="1"/>
  <c r="S278" i="9"/>
  <c r="F281" i="2" s="1"/>
  <c r="B279" i="3" s="1"/>
  <c r="B279" i="4" s="1"/>
  <c r="R278" i="9"/>
  <c r="E281" i="2" s="1"/>
  <c r="A279" i="3" s="1"/>
  <c r="A279" i="4" s="1"/>
  <c r="C278" i="3"/>
  <c r="C278" i="4" s="1"/>
  <c r="N281" i="9"/>
  <c r="K599" i="9"/>
  <c r="L598" i="9"/>
  <c r="M598" i="9" s="1"/>
  <c r="O279" i="9"/>
  <c r="O280" i="9" l="1"/>
  <c r="P280" i="9" s="1"/>
  <c r="P279" i="9"/>
  <c r="C279" i="3"/>
  <c r="C279" i="4" s="1"/>
  <c r="N282" i="9"/>
  <c r="K600" i="9"/>
  <c r="L599" i="9"/>
  <c r="M599" i="9" s="1"/>
  <c r="O281" i="9" l="1"/>
  <c r="S279" i="9"/>
  <c r="F282" i="2" s="1"/>
  <c r="B280" i="3" s="1"/>
  <c r="B280" i="4" s="1"/>
  <c r="R279" i="9"/>
  <c r="E282" i="2" s="1"/>
  <c r="A280" i="3" s="1"/>
  <c r="A280" i="4" s="1"/>
  <c r="R280" i="9"/>
  <c r="E283" i="2" s="1"/>
  <c r="A281" i="3" s="1"/>
  <c r="A281" i="4" s="1"/>
  <c r="S280" i="9"/>
  <c r="F283" i="2" s="1"/>
  <c r="B281" i="3" s="1"/>
  <c r="B281" i="4" s="1"/>
  <c r="P281" i="9"/>
  <c r="T281" i="9" s="1"/>
  <c r="G284" i="2" s="1"/>
  <c r="T280" i="9"/>
  <c r="G283" i="2" s="1"/>
  <c r="C281" i="3" s="1"/>
  <c r="C281" i="4" s="1"/>
  <c r="T279" i="9"/>
  <c r="G282" i="2" s="1"/>
  <c r="C280" i="3" s="1"/>
  <c r="C280" i="4" s="1"/>
  <c r="O282" i="9"/>
  <c r="P282" i="9" s="1"/>
  <c r="N283" i="9"/>
  <c r="K601" i="9"/>
  <c r="L600" i="9"/>
  <c r="M600" i="9" s="1"/>
  <c r="T282" i="9" l="1"/>
  <c r="G285" i="2" s="1"/>
  <c r="S281" i="9"/>
  <c r="F284" i="2" s="1"/>
  <c r="B282" i="3" s="1"/>
  <c r="B282" i="4" s="1"/>
  <c r="R281" i="9"/>
  <c r="E284" i="2" s="1"/>
  <c r="A282" i="3" s="1"/>
  <c r="A282" i="4" s="1"/>
  <c r="S282" i="9"/>
  <c r="F285" i="2" s="1"/>
  <c r="B283" i="3" s="1"/>
  <c r="B283" i="4" s="1"/>
  <c r="R282" i="9"/>
  <c r="E285" i="2" s="1"/>
  <c r="A283" i="3" s="1"/>
  <c r="A283" i="4" s="1"/>
  <c r="C282" i="3"/>
  <c r="C282" i="4" s="1"/>
  <c r="O283" i="9"/>
  <c r="N284" i="9"/>
  <c r="K602" i="9"/>
  <c r="L601" i="9"/>
  <c r="M601" i="9" s="1"/>
  <c r="P283" i="9" l="1"/>
  <c r="C283" i="3"/>
  <c r="C283" i="4" s="1"/>
  <c r="O284" i="9"/>
  <c r="P284" i="9" s="1"/>
  <c r="N285" i="9"/>
  <c r="K603" i="9"/>
  <c r="L602" i="9"/>
  <c r="M602" i="9" s="1"/>
  <c r="T284" i="9" l="1"/>
  <c r="S283" i="9"/>
  <c r="F286" i="2" s="1"/>
  <c r="B284" i="3" s="1"/>
  <c r="B284" i="4" s="1"/>
  <c r="R283" i="9"/>
  <c r="E286" i="2" s="1"/>
  <c r="A284" i="3" s="1"/>
  <c r="A284" i="4" s="1"/>
  <c r="S284" i="9"/>
  <c r="F287" i="2" s="1"/>
  <c r="B285" i="3" s="1"/>
  <c r="B285" i="4" s="1"/>
  <c r="R284" i="9"/>
  <c r="E287" i="2" s="1"/>
  <c r="A285" i="3" s="1"/>
  <c r="A285" i="4" s="1"/>
  <c r="T283" i="9"/>
  <c r="G286" i="2" s="1"/>
  <c r="C284" i="3" s="1"/>
  <c r="C284" i="4" s="1"/>
  <c r="N286" i="9"/>
  <c r="O285" i="9"/>
  <c r="G287" i="2"/>
  <c r="K604" i="9"/>
  <c r="L603" i="9"/>
  <c r="M603" i="9" s="1"/>
  <c r="P285" i="9" l="1"/>
  <c r="T285" i="9" s="1"/>
  <c r="G288" i="2" s="1"/>
  <c r="C285" i="3"/>
  <c r="C285" i="4" s="1"/>
  <c r="N287" i="9"/>
  <c r="O286" i="9"/>
  <c r="P286" i="9" s="1"/>
  <c r="K605" i="9"/>
  <c r="L604" i="9"/>
  <c r="M604" i="9" s="1"/>
  <c r="R285" i="9" l="1"/>
  <c r="E288" i="2" s="1"/>
  <c r="A286" i="3" s="1"/>
  <c r="A286" i="4" s="1"/>
  <c r="S285" i="9"/>
  <c r="F288" i="2" s="1"/>
  <c r="B286" i="3" s="1"/>
  <c r="B286" i="4" s="1"/>
  <c r="R286" i="9"/>
  <c r="E289" i="2" s="1"/>
  <c r="A287" i="3" s="1"/>
  <c r="A287" i="4" s="1"/>
  <c r="S286" i="9"/>
  <c r="F289" i="2" s="1"/>
  <c r="B287" i="3" s="1"/>
  <c r="B287" i="4" s="1"/>
  <c r="T286" i="9"/>
  <c r="G289" i="2" s="1"/>
  <c r="C286" i="3"/>
  <c r="C286" i="4" s="1"/>
  <c r="N288" i="9"/>
  <c r="O287" i="9"/>
  <c r="K606" i="9"/>
  <c r="L605" i="9"/>
  <c r="M605" i="9" s="1"/>
  <c r="P287" i="9" l="1"/>
  <c r="C287" i="3"/>
  <c r="C287" i="4" s="1"/>
  <c r="O288" i="9"/>
  <c r="P288" i="9" s="1"/>
  <c r="N289" i="9"/>
  <c r="K607" i="9"/>
  <c r="L606" i="9"/>
  <c r="M606" i="9" s="1"/>
  <c r="T288" i="9" l="1"/>
  <c r="S287" i="9"/>
  <c r="F290" i="2" s="1"/>
  <c r="B288" i="3" s="1"/>
  <c r="B288" i="4" s="1"/>
  <c r="R287" i="9"/>
  <c r="E290" i="2" s="1"/>
  <c r="A288" i="3" s="1"/>
  <c r="A288" i="4" s="1"/>
  <c r="S288" i="9"/>
  <c r="F291" i="2" s="1"/>
  <c r="B289" i="3" s="1"/>
  <c r="B289" i="4" s="1"/>
  <c r="R288" i="9"/>
  <c r="E291" i="2" s="1"/>
  <c r="A289" i="3" s="1"/>
  <c r="A289" i="4" s="1"/>
  <c r="T287" i="9"/>
  <c r="G290" i="2" s="1"/>
  <c r="C288" i="3" s="1"/>
  <c r="C288" i="4" s="1"/>
  <c r="N290" i="9"/>
  <c r="O289" i="9"/>
  <c r="G291" i="2"/>
  <c r="K608" i="9"/>
  <c r="L607" i="9"/>
  <c r="M607" i="9" s="1"/>
  <c r="P289" i="9" l="1"/>
  <c r="T289" i="9" s="1"/>
  <c r="G292" i="2" s="1"/>
  <c r="C289" i="3"/>
  <c r="C289" i="4" s="1"/>
  <c r="N291" i="9"/>
  <c r="O290" i="9"/>
  <c r="P290" i="9" s="1"/>
  <c r="K609" i="9"/>
  <c r="L608" i="9"/>
  <c r="M608" i="9" s="1"/>
  <c r="S290" i="9" l="1"/>
  <c r="F293" i="2" s="1"/>
  <c r="B291" i="3" s="1"/>
  <c r="B291" i="4" s="1"/>
  <c r="R290" i="9"/>
  <c r="E293" i="2" s="1"/>
  <c r="A291" i="3" s="1"/>
  <c r="A291" i="4" s="1"/>
  <c r="R289" i="9"/>
  <c r="E292" i="2" s="1"/>
  <c r="A290" i="3" s="1"/>
  <c r="A290" i="4" s="1"/>
  <c r="S289" i="9"/>
  <c r="F292" i="2" s="1"/>
  <c r="B290" i="3" s="1"/>
  <c r="B290" i="4" s="1"/>
  <c r="T290" i="9"/>
  <c r="G293" i="2" s="1"/>
  <c r="C290" i="3"/>
  <c r="C290" i="4" s="1"/>
  <c r="O291" i="9"/>
  <c r="N292" i="9"/>
  <c r="K610" i="9"/>
  <c r="L609" i="9"/>
  <c r="M609" i="9" s="1"/>
  <c r="P291" i="9" l="1"/>
  <c r="C291" i="3"/>
  <c r="C291" i="4" s="1"/>
  <c r="O292" i="9"/>
  <c r="P292" i="9" s="1"/>
  <c r="N293" i="9"/>
  <c r="K611" i="9"/>
  <c r="L610" i="9"/>
  <c r="M610" i="9" s="1"/>
  <c r="T292" i="9" l="1"/>
  <c r="G295" i="2" s="1"/>
  <c r="R292" i="9"/>
  <c r="E295" i="2" s="1"/>
  <c r="A293" i="3" s="1"/>
  <c r="A293" i="4" s="1"/>
  <c r="S292" i="9"/>
  <c r="F295" i="2" s="1"/>
  <c r="B293" i="3" s="1"/>
  <c r="B293" i="4" s="1"/>
  <c r="S291" i="9"/>
  <c r="F294" i="2" s="1"/>
  <c r="B292" i="3" s="1"/>
  <c r="B292" i="4" s="1"/>
  <c r="R291" i="9"/>
  <c r="E294" i="2" s="1"/>
  <c r="A292" i="3" s="1"/>
  <c r="A292" i="4" s="1"/>
  <c r="T291" i="9"/>
  <c r="G294" i="2" s="1"/>
  <c r="C292" i="3" s="1"/>
  <c r="C292" i="4" s="1"/>
  <c r="O293" i="9"/>
  <c r="N294" i="9"/>
  <c r="K612" i="9"/>
  <c r="L611" i="9"/>
  <c r="M611" i="9" s="1"/>
  <c r="P293" i="9" l="1"/>
  <c r="T293" i="9" s="1"/>
  <c r="G296" i="2" s="1"/>
  <c r="C293" i="3"/>
  <c r="C293" i="4" s="1"/>
  <c r="O294" i="9"/>
  <c r="P294" i="9" s="1"/>
  <c r="N295" i="9"/>
  <c r="K613" i="9"/>
  <c r="L612" i="9"/>
  <c r="M612" i="9" s="1"/>
  <c r="T294" i="9" l="1"/>
  <c r="R293" i="9"/>
  <c r="E296" i="2" s="1"/>
  <c r="A294" i="3" s="1"/>
  <c r="A294" i="4" s="1"/>
  <c r="S293" i="9"/>
  <c r="F296" i="2" s="1"/>
  <c r="B294" i="3" s="1"/>
  <c r="B294" i="4" s="1"/>
  <c r="S294" i="9"/>
  <c r="F297" i="2" s="1"/>
  <c r="B295" i="3" s="1"/>
  <c r="B295" i="4" s="1"/>
  <c r="R294" i="9"/>
  <c r="E297" i="2" s="1"/>
  <c r="A295" i="3" s="1"/>
  <c r="A295" i="4" s="1"/>
  <c r="C294" i="3"/>
  <c r="C294" i="4" s="1"/>
  <c r="O295" i="9"/>
  <c r="N296" i="9"/>
  <c r="G297" i="2"/>
  <c r="K614" i="9"/>
  <c r="L613" i="9"/>
  <c r="M613" i="9" s="1"/>
  <c r="P295" i="9" l="1"/>
  <c r="C295" i="3"/>
  <c r="C295" i="4" s="1"/>
  <c r="N297" i="9"/>
  <c r="O296" i="9"/>
  <c r="P296" i="9" s="1"/>
  <c r="K615" i="9"/>
  <c r="L614" i="9"/>
  <c r="M614" i="9" s="1"/>
  <c r="S295" i="9" l="1"/>
  <c r="F298" i="2" s="1"/>
  <c r="B296" i="3" s="1"/>
  <c r="B296" i="4" s="1"/>
  <c r="R295" i="9"/>
  <c r="E298" i="2" s="1"/>
  <c r="A296" i="3" s="1"/>
  <c r="A296" i="4" s="1"/>
  <c r="S296" i="9"/>
  <c r="F299" i="2" s="1"/>
  <c r="B297" i="3" s="1"/>
  <c r="B297" i="4" s="1"/>
  <c r="R296" i="9"/>
  <c r="E299" i="2" s="1"/>
  <c r="A297" i="3" s="1"/>
  <c r="A297" i="4" s="1"/>
  <c r="T295" i="9"/>
  <c r="G298" i="2" s="1"/>
  <c r="C296" i="3" s="1"/>
  <c r="C296" i="4" s="1"/>
  <c r="T296" i="9"/>
  <c r="G299" i="2" s="1"/>
  <c r="N298" i="9"/>
  <c r="O297" i="9"/>
  <c r="K616" i="9"/>
  <c r="L615" i="9"/>
  <c r="M615" i="9" s="1"/>
  <c r="P297" i="9" l="1"/>
  <c r="C297" i="3"/>
  <c r="C297" i="4" s="1"/>
  <c r="N299" i="9"/>
  <c r="O298" i="9"/>
  <c r="P298" i="9" s="1"/>
  <c r="K617" i="9"/>
  <c r="L616" i="9"/>
  <c r="M616" i="9" s="1"/>
  <c r="R298" i="9" l="1"/>
  <c r="E301" i="2" s="1"/>
  <c r="A299" i="3" s="1"/>
  <c r="A299" i="4" s="1"/>
  <c r="S298" i="9"/>
  <c r="F301" i="2" s="1"/>
  <c r="B299" i="3" s="1"/>
  <c r="B299" i="4" s="1"/>
  <c r="T298" i="9"/>
  <c r="G301" i="2" s="1"/>
  <c r="S297" i="9"/>
  <c r="F300" i="2" s="1"/>
  <c r="B298" i="3" s="1"/>
  <c r="B298" i="4" s="1"/>
  <c r="R297" i="9"/>
  <c r="E300" i="2" s="1"/>
  <c r="A298" i="3" s="1"/>
  <c r="A298" i="4" s="1"/>
  <c r="T297" i="9"/>
  <c r="G300" i="2" s="1"/>
  <c r="C298" i="3" s="1"/>
  <c r="C298" i="4" s="1"/>
  <c r="O299" i="9"/>
  <c r="N300" i="9"/>
  <c r="K618" i="9"/>
  <c r="L617" i="9"/>
  <c r="M617" i="9" s="1"/>
  <c r="P299" i="9" l="1"/>
  <c r="T299" i="9" s="1"/>
  <c r="G302" i="2" s="1"/>
  <c r="C299" i="3"/>
  <c r="C299" i="4" s="1"/>
  <c r="O300" i="9"/>
  <c r="P300" i="9" s="1"/>
  <c r="N301" i="9"/>
  <c r="K619" i="9"/>
  <c r="L618" i="9"/>
  <c r="M618" i="9" s="1"/>
  <c r="T300" i="9" l="1"/>
  <c r="S300" i="9"/>
  <c r="F303" i="2" s="1"/>
  <c r="B301" i="3" s="1"/>
  <c r="B301" i="4" s="1"/>
  <c r="R300" i="9"/>
  <c r="E303" i="2" s="1"/>
  <c r="A301" i="3" s="1"/>
  <c r="A301" i="4" s="1"/>
  <c r="R299" i="9"/>
  <c r="E302" i="2" s="1"/>
  <c r="A300" i="3" s="1"/>
  <c r="A300" i="4" s="1"/>
  <c r="S299" i="9"/>
  <c r="F302" i="2" s="1"/>
  <c r="B300" i="3" s="1"/>
  <c r="B300" i="4" s="1"/>
  <c r="C300" i="3"/>
  <c r="C300" i="4" s="1"/>
  <c r="O301" i="9"/>
  <c r="G303" i="2"/>
  <c r="N302" i="9"/>
  <c r="K620" i="9"/>
  <c r="L619" i="9"/>
  <c r="M619" i="9" s="1"/>
  <c r="P301" i="9" l="1"/>
  <c r="C301" i="3"/>
  <c r="C301" i="4" s="1"/>
  <c r="O302" i="9"/>
  <c r="P302" i="9" s="1"/>
  <c r="N303" i="9"/>
  <c r="K621" i="9"/>
  <c r="L620" i="9"/>
  <c r="M620" i="9" s="1"/>
  <c r="R302" i="9" l="1"/>
  <c r="E305" i="2" s="1"/>
  <c r="A303" i="3" s="1"/>
  <c r="A303" i="4" s="1"/>
  <c r="S302" i="9"/>
  <c r="F305" i="2" s="1"/>
  <c r="B303" i="3" s="1"/>
  <c r="B303" i="4" s="1"/>
  <c r="T302" i="9"/>
  <c r="G305" i="2" s="1"/>
  <c r="R301" i="9"/>
  <c r="E304" i="2" s="1"/>
  <c r="A302" i="3" s="1"/>
  <c r="A302" i="4" s="1"/>
  <c r="S301" i="9"/>
  <c r="F304" i="2" s="1"/>
  <c r="B302" i="3" s="1"/>
  <c r="B302" i="4" s="1"/>
  <c r="T301" i="9"/>
  <c r="G304" i="2" s="1"/>
  <c r="C302" i="3" s="1"/>
  <c r="C302" i="4" s="1"/>
  <c r="N304" i="9"/>
  <c r="O303" i="9"/>
  <c r="K622" i="9"/>
  <c r="L621" i="9"/>
  <c r="M621" i="9" s="1"/>
  <c r="P303" i="9" l="1"/>
  <c r="T303" i="9" s="1"/>
  <c r="G306" i="2" s="1"/>
  <c r="C303" i="3"/>
  <c r="C303" i="4" s="1"/>
  <c r="O304" i="9"/>
  <c r="P304" i="9" s="1"/>
  <c r="N305" i="9"/>
  <c r="K623" i="9"/>
  <c r="L622" i="9"/>
  <c r="M622" i="9" s="1"/>
  <c r="T304" i="9" l="1"/>
  <c r="G307" i="2" s="1"/>
  <c r="R304" i="9"/>
  <c r="E307" i="2" s="1"/>
  <c r="A305" i="3" s="1"/>
  <c r="A305" i="4" s="1"/>
  <c r="S304" i="9"/>
  <c r="F307" i="2" s="1"/>
  <c r="B305" i="3" s="1"/>
  <c r="B305" i="4" s="1"/>
  <c r="R303" i="9"/>
  <c r="E306" i="2" s="1"/>
  <c r="A304" i="3" s="1"/>
  <c r="A304" i="4" s="1"/>
  <c r="S303" i="9"/>
  <c r="F306" i="2" s="1"/>
  <c r="B304" i="3" s="1"/>
  <c r="B304" i="4" s="1"/>
  <c r="C304" i="3"/>
  <c r="C304" i="4" s="1"/>
  <c r="O305" i="9"/>
  <c r="N306" i="9"/>
  <c r="K624" i="9"/>
  <c r="L623" i="9"/>
  <c r="M623" i="9" s="1"/>
  <c r="P305" i="9" l="1"/>
  <c r="C305" i="3"/>
  <c r="C305" i="4" s="1"/>
  <c r="N307" i="9"/>
  <c r="O306" i="9"/>
  <c r="P306" i="9" s="1"/>
  <c r="K625" i="9"/>
  <c r="L624" i="9"/>
  <c r="M624" i="9" s="1"/>
  <c r="S306" i="9" l="1"/>
  <c r="F309" i="2" s="1"/>
  <c r="B307" i="3" s="1"/>
  <c r="B307" i="4" s="1"/>
  <c r="R306" i="9"/>
  <c r="E309" i="2" s="1"/>
  <c r="A307" i="3" s="1"/>
  <c r="A307" i="4" s="1"/>
  <c r="R305" i="9"/>
  <c r="E308" i="2" s="1"/>
  <c r="A306" i="3" s="1"/>
  <c r="A306" i="4" s="1"/>
  <c r="S305" i="9"/>
  <c r="F308" i="2" s="1"/>
  <c r="B306" i="3" s="1"/>
  <c r="B306" i="4" s="1"/>
  <c r="T306" i="9"/>
  <c r="G309" i="2" s="1"/>
  <c r="T305" i="9"/>
  <c r="G308" i="2" s="1"/>
  <c r="C306" i="3" s="1"/>
  <c r="C306" i="4" s="1"/>
  <c r="O307" i="9"/>
  <c r="N308" i="9"/>
  <c r="K626" i="9"/>
  <c r="L625" i="9"/>
  <c r="M625" i="9" s="1"/>
  <c r="P307" i="9" l="1"/>
  <c r="T307" i="9" s="1"/>
  <c r="G310" i="2" s="1"/>
  <c r="C307" i="3"/>
  <c r="C307" i="4" s="1"/>
  <c r="N309" i="9"/>
  <c r="O308" i="9"/>
  <c r="P308" i="9" s="1"/>
  <c r="K627" i="9"/>
  <c r="L626" i="9"/>
  <c r="M626" i="9" s="1"/>
  <c r="S308" i="9" l="1"/>
  <c r="F311" i="2" s="1"/>
  <c r="B309" i="3" s="1"/>
  <c r="B309" i="4" s="1"/>
  <c r="R308" i="9"/>
  <c r="E311" i="2" s="1"/>
  <c r="A309" i="3" s="1"/>
  <c r="A309" i="4" s="1"/>
  <c r="T308" i="9"/>
  <c r="G311" i="2" s="1"/>
  <c r="R307" i="9"/>
  <c r="E310" i="2" s="1"/>
  <c r="A308" i="3" s="1"/>
  <c r="A308" i="4" s="1"/>
  <c r="S307" i="9"/>
  <c r="F310" i="2" s="1"/>
  <c r="B308" i="3" s="1"/>
  <c r="B308" i="4" s="1"/>
  <c r="C308" i="3"/>
  <c r="C308" i="4" s="1"/>
  <c r="O309" i="9"/>
  <c r="N310" i="9"/>
  <c r="K628" i="9"/>
  <c r="L627" i="9"/>
  <c r="M627" i="9" s="1"/>
  <c r="P309" i="9" l="1"/>
  <c r="C309" i="3"/>
  <c r="C309" i="4" s="1"/>
  <c r="N311" i="9"/>
  <c r="O310" i="9"/>
  <c r="P310" i="9" s="1"/>
  <c r="K629" i="9"/>
  <c r="L628" i="9"/>
  <c r="M628" i="9" s="1"/>
  <c r="S309" i="9" l="1"/>
  <c r="F312" i="2" s="1"/>
  <c r="B310" i="3" s="1"/>
  <c r="B310" i="4" s="1"/>
  <c r="R309" i="9"/>
  <c r="E312" i="2" s="1"/>
  <c r="A310" i="3" s="1"/>
  <c r="A310" i="4" s="1"/>
  <c r="S310" i="9"/>
  <c r="F313" i="2" s="1"/>
  <c r="B311" i="3" s="1"/>
  <c r="B311" i="4" s="1"/>
  <c r="R310" i="9"/>
  <c r="E313" i="2" s="1"/>
  <c r="A311" i="3" s="1"/>
  <c r="A311" i="4" s="1"/>
  <c r="T309" i="9"/>
  <c r="G312" i="2" s="1"/>
  <c r="C310" i="3" s="1"/>
  <c r="C310" i="4" s="1"/>
  <c r="T310" i="9"/>
  <c r="G313" i="2" s="1"/>
  <c r="N312" i="9"/>
  <c r="O311" i="9"/>
  <c r="K630" i="9"/>
  <c r="L629" i="9"/>
  <c r="M629" i="9" s="1"/>
  <c r="P311" i="9" l="1"/>
  <c r="T311" i="9" s="1"/>
  <c r="G314" i="2" s="1"/>
  <c r="C311" i="3"/>
  <c r="C311" i="4" s="1"/>
  <c r="N313" i="9"/>
  <c r="O312" i="9"/>
  <c r="P312" i="9" s="1"/>
  <c r="K631" i="9"/>
  <c r="L630" i="9"/>
  <c r="M630" i="9" s="1"/>
  <c r="S311" i="9" l="1"/>
  <c r="F314" i="2" s="1"/>
  <c r="B312" i="3" s="1"/>
  <c r="B312" i="4" s="1"/>
  <c r="R311" i="9"/>
  <c r="E314" i="2" s="1"/>
  <c r="A312" i="3" s="1"/>
  <c r="A312" i="4" s="1"/>
  <c r="S312" i="9"/>
  <c r="F315" i="2" s="1"/>
  <c r="B313" i="3" s="1"/>
  <c r="B313" i="4" s="1"/>
  <c r="R312" i="9"/>
  <c r="E315" i="2" s="1"/>
  <c r="A313" i="3" s="1"/>
  <c r="A313" i="4" s="1"/>
  <c r="T312" i="9"/>
  <c r="G315" i="2" s="1"/>
  <c r="C312" i="3"/>
  <c r="C312" i="4" s="1"/>
  <c r="O313" i="9"/>
  <c r="N314" i="9"/>
  <c r="K632" i="9"/>
  <c r="L631" i="9"/>
  <c r="M631" i="9" s="1"/>
  <c r="P313" i="9" l="1"/>
  <c r="C313" i="3"/>
  <c r="C313" i="4" s="1"/>
  <c r="N315" i="9"/>
  <c r="O314" i="9"/>
  <c r="P314" i="9" s="1"/>
  <c r="K633" i="9"/>
  <c r="L632" i="9"/>
  <c r="M632" i="9" s="1"/>
  <c r="T314" i="9" l="1"/>
  <c r="S314" i="9"/>
  <c r="F317" i="2" s="1"/>
  <c r="B315" i="3" s="1"/>
  <c r="B315" i="4" s="1"/>
  <c r="R314" i="9"/>
  <c r="E317" i="2" s="1"/>
  <c r="A315" i="3" s="1"/>
  <c r="A315" i="4" s="1"/>
  <c r="R313" i="9"/>
  <c r="E316" i="2" s="1"/>
  <c r="A314" i="3" s="1"/>
  <c r="A314" i="4" s="1"/>
  <c r="S313" i="9"/>
  <c r="F316" i="2" s="1"/>
  <c r="B314" i="3" s="1"/>
  <c r="B314" i="4" s="1"/>
  <c r="T313" i="9"/>
  <c r="G316" i="2" s="1"/>
  <c r="C314" i="3" s="1"/>
  <c r="C314" i="4" s="1"/>
  <c r="N316" i="9"/>
  <c r="O315" i="9"/>
  <c r="G317" i="2"/>
  <c r="K634" i="9"/>
  <c r="L633" i="9"/>
  <c r="M633" i="9" s="1"/>
  <c r="P315" i="9" l="1"/>
  <c r="T315" i="9" s="1"/>
  <c r="G318" i="2" s="1"/>
  <c r="C315" i="3"/>
  <c r="C315" i="4" s="1"/>
  <c r="O316" i="9"/>
  <c r="P316" i="9" s="1"/>
  <c r="N317" i="9"/>
  <c r="K635" i="9"/>
  <c r="L634" i="9"/>
  <c r="M634" i="9" s="1"/>
  <c r="T316" i="9" l="1"/>
  <c r="S315" i="9"/>
  <c r="F318" i="2" s="1"/>
  <c r="B316" i="3" s="1"/>
  <c r="B316" i="4" s="1"/>
  <c r="R315" i="9"/>
  <c r="E318" i="2" s="1"/>
  <c r="A316" i="3" s="1"/>
  <c r="A316" i="4" s="1"/>
  <c r="S316" i="9"/>
  <c r="F319" i="2" s="1"/>
  <c r="B317" i="3" s="1"/>
  <c r="B317" i="4" s="1"/>
  <c r="R316" i="9"/>
  <c r="E319" i="2" s="1"/>
  <c r="A317" i="3" s="1"/>
  <c r="A317" i="4" s="1"/>
  <c r="C316" i="3"/>
  <c r="C316" i="4" s="1"/>
  <c r="O317" i="9"/>
  <c r="G319" i="2"/>
  <c r="N318" i="9"/>
  <c r="K636" i="9"/>
  <c r="L635" i="9"/>
  <c r="M635" i="9" s="1"/>
  <c r="P317" i="9" l="1"/>
  <c r="S317" i="9" s="1"/>
  <c r="F320" i="2" s="1"/>
  <c r="B318" i="3" s="1"/>
  <c r="B318" i="4" s="1"/>
  <c r="C317" i="3"/>
  <c r="C317" i="4" s="1"/>
  <c r="O318" i="9"/>
  <c r="P318" i="9" s="1"/>
  <c r="N319" i="9"/>
  <c r="K637" i="9"/>
  <c r="L636" i="9"/>
  <c r="M636" i="9" s="1"/>
  <c r="T317" i="9" l="1"/>
  <c r="G320" i="2" s="1"/>
  <c r="R317" i="9"/>
  <c r="E320" i="2" s="1"/>
  <c r="A318" i="3" s="1"/>
  <c r="A318" i="4" s="1"/>
  <c r="S318" i="9"/>
  <c r="F321" i="2" s="1"/>
  <c r="B319" i="3" s="1"/>
  <c r="B319" i="4" s="1"/>
  <c r="R318" i="9"/>
  <c r="E321" i="2" s="1"/>
  <c r="A319" i="3" s="1"/>
  <c r="A319" i="4" s="1"/>
  <c r="T318" i="9"/>
  <c r="G321" i="2" s="1"/>
  <c r="C318" i="3"/>
  <c r="C318" i="4" s="1"/>
  <c r="O319" i="9"/>
  <c r="N320" i="9"/>
  <c r="K638" i="9"/>
  <c r="L637" i="9"/>
  <c r="M637" i="9" s="1"/>
  <c r="P319" i="9" l="1"/>
  <c r="T319" i="9" s="1"/>
  <c r="G322" i="2" s="1"/>
  <c r="C319" i="3"/>
  <c r="C319" i="4" s="1"/>
  <c r="N321" i="9"/>
  <c r="O320" i="9"/>
  <c r="P320" i="9" s="1"/>
  <c r="K639" i="9"/>
  <c r="L638" i="9"/>
  <c r="M638" i="9" s="1"/>
  <c r="R320" i="9" l="1"/>
  <c r="E323" i="2" s="1"/>
  <c r="A321" i="3" s="1"/>
  <c r="A321" i="4" s="1"/>
  <c r="S320" i="9"/>
  <c r="F323" i="2" s="1"/>
  <c r="B321" i="3" s="1"/>
  <c r="B321" i="4" s="1"/>
  <c r="T320" i="9"/>
  <c r="G323" i="2" s="1"/>
  <c r="S319" i="9"/>
  <c r="F322" i="2" s="1"/>
  <c r="B320" i="3" s="1"/>
  <c r="B320" i="4" s="1"/>
  <c r="R319" i="9"/>
  <c r="E322" i="2" s="1"/>
  <c r="A320" i="3" s="1"/>
  <c r="A320" i="4" s="1"/>
  <c r="C320" i="3"/>
  <c r="C320" i="4" s="1"/>
  <c r="O321" i="9"/>
  <c r="N322" i="9"/>
  <c r="K640" i="9"/>
  <c r="L639" i="9"/>
  <c r="M639" i="9" s="1"/>
  <c r="P321" i="9" l="1"/>
  <c r="C321" i="3"/>
  <c r="C321" i="4" s="1"/>
  <c r="O322" i="9"/>
  <c r="P322" i="9" s="1"/>
  <c r="N323" i="9"/>
  <c r="K641" i="9"/>
  <c r="L640" i="9"/>
  <c r="M640" i="9" s="1"/>
  <c r="T322" i="9" l="1"/>
  <c r="G325" i="2" s="1"/>
  <c r="S321" i="9"/>
  <c r="F324" i="2" s="1"/>
  <c r="B322" i="3" s="1"/>
  <c r="B322" i="4" s="1"/>
  <c r="R321" i="9"/>
  <c r="E324" i="2" s="1"/>
  <c r="A322" i="3" s="1"/>
  <c r="A322" i="4" s="1"/>
  <c r="R322" i="9"/>
  <c r="E325" i="2" s="1"/>
  <c r="A323" i="3" s="1"/>
  <c r="A323" i="4" s="1"/>
  <c r="S322" i="9"/>
  <c r="F325" i="2" s="1"/>
  <c r="B323" i="3" s="1"/>
  <c r="B323" i="4" s="1"/>
  <c r="T321" i="9"/>
  <c r="G324" i="2" s="1"/>
  <c r="C322" i="3" s="1"/>
  <c r="C322" i="4" s="1"/>
  <c r="O323" i="9"/>
  <c r="N324" i="9"/>
  <c r="K642" i="9"/>
  <c r="L641" i="9"/>
  <c r="M641" i="9" s="1"/>
  <c r="P323" i="9" l="1"/>
  <c r="C323" i="3"/>
  <c r="C323" i="4" s="1"/>
  <c r="N325" i="9"/>
  <c r="O324" i="9"/>
  <c r="P324" i="9" s="1"/>
  <c r="K643" i="9"/>
  <c r="L642" i="9"/>
  <c r="M642" i="9" s="1"/>
  <c r="R323" i="9" l="1"/>
  <c r="E326" i="2" s="1"/>
  <c r="A324" i="3" s="1"/>
  <c r="A324" i="4" s="1"/>
  <c r="S323" i="9"/>
  <c r="F326" i="2" s="1"/>
  <c r="B324" i="3" s="1"/>
  <c r="B324" i="4" s="1"/>
  <c r="T324" i="9"/>
  <c r="G327" i="2" s="1"/>
  <c r="S324" i="9"/>
  <c r="F327" i="2" s="1"/>
  <c r="B325" i="3" s="1"/>
  <c r="B325" i="4" s="1"/>
  <c r="R324" i="9"/>
  <c r="E327" i="2" s="1"/>
  <c r="A325" i="3" s="1"/>
  <c r="A325" i="4" s="1"/>
  <c r="T323" i="9"/>
  <c r="G326" i="2" s="1"/>
  <c r="C324" i="3" s="1"/>
  <c r="C324" i="4" s="1"/>
  <c r="O325" i="9"/>
  <c r="N326" i="9"/>
  <c r="K644" i="9"/>
  <c r="L643" i="9"/>
  <c r="M643" i="9" s="1"/>
  <c r="P325" i="9" l="1"/>
  <c r="T325" i="9" s="1"/>
  <c r="G328" i="2" s="1"/>
  <c r="C325" i="3"/>
  <c r="C325" i="4" s="1"/>
  <c r="N327" i="9"/>
  <c r="O326" i="9"/>
  <c r="P326" i="9" s="1"/>
  <c r="K645" i="9"/>
  <c r="L644" i="9"/>
  <c r="M644" i="9" s="1"/>
  <c r="R326" i="9" l="1"/>
  <c r="E329" i="2" s="1"/>
  <c r="A327" i="3" s="1"/>
  <c r="A327" i="4" s="1"/>
  <c r="S326" i="9"/>
  <c r="F329" i="2" s="1"/>
  <c r="B327" i="3" s="1"/>
  <c r="B327" i="4" s="1"/>
  <c r="T326" i="9"/>
  <c r="G329" i="2" s="1"/>
  <c r="S325" i="9"/>
  <c r="F328" i="2" s="1"/>
  <c r="B326" i="3" s="1"/>
  <c r="B326" i="4" s="1"/>
  <c r="R325" i="9"/>
  <c r="E328" i="2" s="1"/>
  <c r="A326" i="3" s="1"/>
  <c r="A326" i="4" s="1"/>
  <c r="C326" i="3"/>
  <c r="C326" i="4" s="1"/>
  <c r="O327" i="9"/>
  <c r="N328" i="9"/>
  <c r="K646" i="9"/>
  <c r="L645" i="9"/>
  <c r="M645" i="9" s="1"/>
  <c r="P327" i="9" l="1"/>
  <c r="C327" i="3"/>
  <c r="C327" i="4" s="1"/>
  <c r="N329" i="9"/>
  <c r="O328" i="9"/>
  <c r="P328" i="9" s="1"/>
  <c r="K647" i="9"/>
  <c r="L646" i="9"/>
  <c r="M646" i="9" s="1"/>
  <c r="R327" i="9" l="1"/>
  <c r="E330" i="2" s="1"/>
  <c r="A328" i="3" s="1"/>
  <c r="A328" i="4" s="1"/>
  <c r="S327" i="9"/>
  <c r="F330" i="2" s="1"/>
  <c r="B328" i="3" s="1"/>
  <c r="B328" i="4" s="1"/>
  <c r="S328" i="9"/>
  <c r="F331" i="2" s="1"/>
  <c r="B329" i="3" s="1"/>
  <c r="B329" i="4" s="1"/>
  <c r="R328" i="9"/>
  <c r="E331" i="2" s="1"/>
  <c r="A329" i="3" s="1"/>
  <c r="A329" i="4" s="1"/>
  <c r="T327" i="9"/>
  <c r="G330" i="2" s="1"/>
  <c r="C328" i="3" s="1"/>
  <c r="C328" i="4" s="1"/>
  <c r="T328" i="9"/>
  <c r="G331" i="2" s="1"/>
  <c r="N330" i="9"/>
  <c r="O329" i="9"/>
  <c r="K648" i="9"/>
  <c r="L647" i="9"/>
  <c r="M647" i="9" s="1"/>
  <c r="P329" i="9" l="1"/>
  <c r="C329" i="3"/>
  <c r="C329" i="4" s="1"/>
  <c r="N331" i="9"/>
  <c r="O330" i="9"/>
  <c r="P330" i="9" s="1"/>
  <c r="K649" i="9"/>
  <c r="L648" i="9"/>
  <c r="M648" i="9" s="1"/>
  <c r="S330" i="9" l="1"/>
  <c r="F333" i="2" s="1"/>
  <c r="B331" i="3" s="1"/>
  <c r="B331" i="4" s="1"/>
  <c r="R330" i="9"/>
  <c r="E333" i="2" s="1"/>
  <c r="A331" i="3" s="1"/>
  <c r="A331" i="4" s="1"/>
  <c r="T330" i="9"/>
  <c r="G333" i="2" s="1"/>
  <c r="S329" i="9"/>
  <c r="F332" i="2" s="1"/>
  <c r="B330" i="3" s="1"/>
  <c r="B330" i="4" s="1"/>
  <c r="R329" i="9"/>
  <c r="E332" i="2" s="1"/>
  <c r="A330" i="3" s="1"/>
  <c r="A330" i="4" s="1"/>
  <c r="T329" i="9"/>
  <c r="G332" i="2" s="1"/>
  <c r="C330" i="3" s="1"/>
  <c r="C330" i="4" s="1"/>
  <c r="N332" i="9"/>
  <c r="O331" i="9"/>
  <c r="K650" i="9"/>
  <c r="L649" i="9"/>
  <c r="M649" i="9" s="1"/>
  <c r="P331" i="9" l="1"/>
  <c r="C331" i="3"/>
  <c r="C331" i="4" s="1"/>
  <c r="N333" i="9"/>
  <c r="O332" i="9"/>
  <c r="P332" i="9" s="1"/>
  <c r="K651" i="9"/>
  <c r="L650" i="9"/>
  <c r="M650" i="9" s="1"/>
  <c r="S331" i="9" l="1"/>
  <c r="F334" i="2" s="1"/>
  <c r="B332" i="3" s="1"/>
  <c r="B332" i="4" s="1"/>
  <c r="R331" i="9"/>
  <c r="E334" i="2" s="1"/>
  <c r="A332" i="3" s="1"/>
  <c r="A332" i="4" s="1"/>
  <c r="R332" i="9"/>
  <c r="E335" i="2" s="1"/>
  <c r="A333" i="3" s="1"/>
  <c r="A333" i="4" s="1"/>
  <c r="S332" i="9"/>
  <c r="F335" i="2" s="1"/>
  <c r="B333" i="3" s="1"/>
  <c r="B333" i="4" s="1"/>
  <c r="T332" i="9"/>
  <c r="G335" i="2" s="1"/>
  <c r="T331" i="9"/>
  <c r="G334" i="2" s="1"/>
  <c r="C332" i="3" s="1"/>
  <c r="C332" i="4" s="1"/>
  <c r="N334" i="9"/>
  <c r="O333" i="9"/>
  <c r="K652" i="9"/>
  <c r="L651" i="9"/>
  <c r="M651" i="9" s="1"/>
  <c r="P333" i="9" l="1"/>
  <c r="T333" i="9" s="1"/>
  <c r="G336" i="2" s="1"/>
  <c r="C333" i="3"/>
  <c r="C333" i="4" s="1"/>
  <c r="N335" i="9"/>
  <c r="O334" i="9"/>
  <c r="P334" i="9" s="1"/>
  <c r="K653" i="9"/>
  <c r="L652" i="9"/>
  <c r="M652" i="9" s="1"/>
  <c r="S334" i="9" l="1"/>
  <c r="F337" i="2" s="1"/>
  <c r="B335" i="3" s="1"/>
  <c r="B335" i="4" s="1"/>
  <c r="R334" i="9"/>
  <c r="E337" i="2" s="1"/>
  <c r="A335" i="3" s="1"/>
  <c r="A335" i="4" s="1"/>
  <c r="T334" i="9"/>
  <c r="G337" i="2" s="1"/>
  <c r="R333" i="9"/>
  <c r="E336" i="2" s="1"/>
  <c r="A334" i="3" s="1"/>
  <c r="A334" i="4" s="1"/>
  <c r="S333" i="9"/>
  <c r="F336" i="2" s="1"/>
  <c r="B334" i="3" s="1"/>
  <c r="B334" i="4" s="1"/>
  <c r="C334" i="3"/>
  <c r="C334" i="4" s="1"/>
  <c r="N336" i="9"/>
  <c r="O335" i="9"/>
  <c r="K654" i="9"/>
  <c r="L653" i="9"/>
  <c r="M653" i="9" s="1"/>
  <c r="P335" i="9" l="1"/>
  <c r="C335" i="3"/>
  <c r="C335" i="4" s="1"/>
  <c r="N337" i="9"/>
  <c r="O336" i="9"/>
  <c r="P336" i="9" s="1"/>
  <c r="K655" i="9"/>
  <c r="L654" i="9"/>
  <c r="M654" i="9" s="1"/>
  <c r="R336" i="9" l="1"/>
  <c r="E339" i="2" s="1"/>
  <c r="A337" i="3" s="1"/>
  <c r="A337" i="4" s="1"/>
  <c r="S336" i="9"/>
  <c r="F339" i="2" s="1"/>
  <c r="B337" i="3" s="1"/>
  <c r="B337" i="4" s="1"/>
  <c r="T336" i="9"/>
  <c r="G339" i="2" s="1"/>
  <c r="R335" i="9"/>
  <c r="E338" i="2" s="1"/>
  <c r="A336" i="3" s="1"/>
  <c r="A336" i="4" s="1"/>
  <c r="S335" i="9"/>
  <c r="F338" i="2" s="1"/>
  <c r="B336" i="3" s="1"/>
  <c r="B336" i="4" s="1"/>
  <c r="T335" i="9"/>
  <c r="G338" i="2" s="1"/>
  <c r="C336" i="3" s="1"/>
  <c r="C336" i="4" s="1"/>
  <c r="N338" i="9"/>
  <c r="O337" i="9"/>
  <c r="K656" i="9"/>
  <c r="L655" i="9"/>
  <c r="M655" i="9" s="1"/>
  <c r="P337" i="9" l="1"/>
  <c r="C337" i="3"/>
  <c r="C337" i="4" s="1"/>
  <c r="O338" i="9"/>
  <c r="P338" i="9" s="1"/>
  <c r="N339" i="9"/>
  <c r="K657" i="9"/>
  <c r="L656" i="9"/>
  <c r="M656" i="9" s="1"/>
  <c r="T338" i="9" l="1"/>
  <c r="R338" i="9"/>
  <c r="E341" i="2" s="1"/>
  <c r="A339" i="3" s="1"/>
  <c r="A339" i="4" s="1"/>
  <c r="S338" i="9"/>
  <c r="F341" i="2" s="1"/>
  <c r="B339" i="3" s="1"/>
  <c r="B339" i="4" s="1"/>
  <c r="R337" i="9"/>
  <c r="E340" i="2" s="1"/>
  <c r="A338" i="3" s="1"/>
  <c r="A338" i="4" s="1"/>
  <c r="S337" i="9"/>
  <c r="F340" i="2" s="1"/>
  <c r="B338" i="3" s="1"/>
  <c r="B338" i="4" s="1"/>
  <c r="T337" i="9"/>
  <c r="G340" i="2" s="1"/>
  <c r="C338" i="3" s="1"/>
  <c r="C338" i="4" s="1"/>
  <c r="O339" i="9"/>
  <c r="N340" i="9"/>
  <c r="G341" i="2"/>
  <c r="K658" i="9"/>
  <c r="L657" i="9"/>
  <c r="M657" i="9" s="1"/>
  <c r="P339" i="9" l="1"/>
  <c r="C339" i="3"/>
  <c r="C339" i="4" s="1"/>
  <c r="N341" i="9"/>
  <c r="O340" i="9"/>
  <c r="P340" i="9" s="1"/>
  <c r="K659" i="9"/>
  <c r="L658" i="9"/>
  <c r="M658" i="9" s="1"/>
  <c r="S340" i="9" l="1"/>
  <c r="F343" i="2" s="1"/>
  <c r="B341" i="3" s="1"/>
  <c r="B341" i="4" s="1"/>
  <c r="R340" i="9"/>
  <c r="E343" i="2" s="1"/>
  <c r="A341" i="3" s="1"/>
  <c r="A341" i="4" s="1"/>
  <c r="T340" i="9"/>
  <c r="G343" i="2" s="1"/>
  <c r="S339" i="9"/>
  <c r="F342" i="2" s="1"/>
  <c r="B340" i="3" s="1"/>
  <c r="B340" i="4" s="1"/>
  <c r="R339" i="9"/>
  <c r="E342" i="2" s="1"/>
  <c r="A340" i="3" s="1"/>
  <c r="A340" i="4" s="1"/>
  <c r="T339" i="9"/>
  <c r="G342" i="2" s="1"/>
  <c r="C340" i="3" s="1"/>
  <c r="C340" i="4" s="1"/>
  <c r="N342" i="9"/>
  <c r="O341" i="9"/>
  <c r="K660" i="9"/>
  <c r="L659" i="9"/>
  <c r="M659" i="9" s="1"/>
  <c r="P341" i="9" l="1"/>
  <c r="T341" i="9" s="1"/>
  <c r="G344" i="2" s="1"/>
  <c r="C341" i="3"/>
  <c r="C341" i="4" s="1"/>
  <c r="N343" i="9"/>
  <c r="O342" i="9"/>
  <c r="P342" i="9" s="1"/>
  <c r="K661" i="9"/>
  <c r="L660" i="9"/>
  <c r="M660" i="9" s="1"/>
  <c r="T342" i="9" l="1"/>
  <c r="G345" i="2" s="1"/>
  <c r="R341" i="9"/>
  <c r="E344" i="2" s="1"/>
  <c r="A342" i="3" s="1"/>
  <c r="A342" i="4" s="1"/>
  <c r="S341" i="9"/>
  <c r="F344" i="2" s="1"/>
  <c r="B342" i="3" s="1"/>
  <c r="B342" i="4" s="1"/>
  <c r="R342" i="9"/>
  <c r="E345" i="2" s="1"/>
  <c r="A343" i="3" s="1"/>
  <c r="A343" i="4" s="1"/>
  <c r="S342" i="9"/>
  <c r="F345" i="2" s="1"/>
  <c r="B343" i="3" s="1"/>
  <c r="B343" i="4" s="1"/>
  <c r="C342" i="3"/>
  <c r="C342" i="4" s="1"/>
  <c r="N344" i="9"/>
  <c r="O343" i="9"/>
  <c r="K662" i="9"/>
  <c r="L661" i="9"/>
  <c r="M661" i="9" s="1"/>
  <c r="P343" i="9" l="1"/>
  <c r="C343" i="3"/>
  <c r="C343" i="4" s="1"/>
  <c r="O344" i="9"/>
  <c r="P344" i="9" s="1"/>
  <c r="N345" i="9"/>
  <c r="K663" i="9"/>
  <c r="L662" i="9"/>
  <c r="M662" i="9" s="1"/>
  <c r="T344" i="9" l="1"/>
  <c r="G347" i="2" s="1"/>
  <c r="R343" i="9"/>
  <c r="E346" i="2" s="1"/>
  <c r="A344" i="3" s="1"/>
  <c r="A344" i="4" s="1"/>
  <c r="S343" i="9"/>
  <c r="F346" i="2" s="1"/>
  <c r="B344" i="3" s="1"/>
  <c r="B344" i="4" s="1"/>
  <c r="S344" i="9"/>
  <c r="F347" i="2" s="1"/>
  <c r="B345" i="3" s="1"/>
  <c r="B345" i="4" s="1"/>
  <c r="R344" i="9"/>
  <c r="E347" i="2" s="1"/>
  <c r="A345" i="3" s="1"/>
  <c r="A345" i="4" s="1"/>
  <c r="T343" i="9"/>
  <c r="G346" i="2" s="1"/>
  <c r="C344" i="3" s="1"/>
  <c r="C344" i="4" s="1"/>
  <c r="N346" i="9"/>
  <c r="O345" i="9"/>
  <c r="K664" i="9"/>
  <c r="L663" i="9"/>
  <c r="M663" i="9" s="1"/>
  <c r="P345" i="9" l="1"/>
  <c r="S345" i="9" s="1"/>
  <c r="F348" i="2" s="1"/>
  <c r="B346" i="3" s="1"/>
  <c r="B346" i="4" s="1"/>
  <c r="C345" i="3"/>
  <c r="C345" i="4" s="1"/>
  <c r="N347" i="9"/>
  <c r="O346" i="9"/>
  <c r="P346" i="9" s="1"/>
  <c r="K665" i="9"/>
  <c r="L664" i="9"/>
  <c r="M664" i="9" s="1"/>
  <c r="R345" i="9" l="1"/>
  <c r="E348" i="2" s="1"/>
  <c r="A346" i="3" s="1"/>
  <c r="A346" i="4" s="1"/>
  <c r="T346" i="9"/>
  <c r="S346" i="9"/>
  <c r="F349" i="2" s="1"/>
  <c r="B347" i="3" s="1"/>
  <c r="B347" i="4" s="1"/>
  <c r="R346" i="9"/>
  <c r="E349" i="2" s="1"/>
  <c r="A347" i="3" s="1"/>
  <c r="A347" i="4" s="1"/>
  <c r="T345" i="9"/>
  <c r="G348" i="2" s="1"/>
  <c r="C346" i="3" s="1"/>
  <c r="C346" i="4" s="1"/>
  <c r="G349" i="2"/>
  <c r="N348" i="9"/>
  <c r="O347" i="9"/>
  <c r="K666" i="9"/>
  <c r="L665" i="9"/>
  <c r="M665" i="9" s="1"/>
  <c r="P347" i="9" l="1"/>
  <c r="C347" i="3"/>
  <c r="C347" i="4" s="1"/>
  <c r="N349" i="9"/>
  <c r="O348" i="9"/>
  <c r="P348" i="9" s="1"/>
  <c r="K667" i="9"/>
  <c r="L666" i="9"/>
  <c r="M666" i="9" s="1"/>
  <c r="T348" i="9" l="1"/>
  <c r="G351" i="2" s="1"/>
  <c r="S348" i="9"/>
  <c r="F351" i="2" s="1"/>
  <c r="B349" i="3" s="1"/>
  <c r="B349" i="4" s="1"/>
  <c r="R348" i="9"/>
  <c r="E351" i="2" s="1"/>
  <c r="A349" i="3" s="1"/>
  <c r="A349" i="4" s="1"/>
  <c r="R347" i="9"/>
  <c r="E350" i="2" s="1"/>
  <c r="A348" i="3" s="1"/>
  <c r="A348" i="4" s="1"/>
  <c r="S347" i="9"/>
  <c r="F350" i="2" s="1"/>
  <c r="B348" i="3" s="1"/>
  <c r="B348" i="4" s="1"/>
  <c r="T347" i="9"/>
  <c r="G350" i="2" s="1"/>
  <c r="C348" i="3" s="1"/>
  <c r="C348" i="4" s="1"/>
  <c r="N350" i="9"/>
  <c r="O349" i="9"/>
  <c r="K668" i="9"/>
  <c r="L667" i="9"/>
  <c r="M667" i="9" s="1"/>
  <c r="P349" i="9" l="1"/>
  <c r="C349" i="3"/>
  <c r="C349" i="4" s="1"/>
  <c r="N351" i="9"/>
  <c r="O350" i="9"/>
  <c r="P350" i="9" s="1"/>
  <c r="K669" i="9"/>
  <c r="L668" i="9"/>
  <c r="M668" i="9" s="1"/>
  <c r="R350" i="9" l="1"/>
  <c r="E353" i="2" s="1"/>
  <c r="A351" i="3" s="1"/>
  <c r="A351" i="4" s="1"/>
  <c r="S350" i="9"/>
  <c r="F353" i="2" s="1"/>
  <c r="B351" i="3" s="1"/>
  <c r="B351" i="4" s="1"/>
  <c r="T350" i="9"/>
  <c r="G353" i="2" s="1"/>
  <c r="S349" i="9"/>
  <c r="F352" i="2" s="1"/>
  <c r="B350" i="3" s="1"/>
  <c r="B350" i="4" s="1"/>
  <c r="R349" i="9"/>
  <c r="E352" i="2" s="1"/>
  <c r="A350" i="3" s="1"/>
  <c r="A350" i="4" s="1"/>
  <c r="T349" i="9"/>
  <c r="G352" i="2" s="1"/>
  <c r="C350" i="3" s="1"/>
  <c r="C350" i="4" s="1"/>
  <c r="O351" i="9"/>
  <c r="N352" i="9"/>
  <c r="K670" i="9"/>
  <c r="L669" i="9"/>
  <c r="M669" i="9" s="1"/>
  <c r="P351" i="9" l="1"/>
  <c r="T351" i="9" s="1"/>
  <c r="G354" i="2" s="1"/>
  <c r="C351" i="3"/>
  <c r="C351" i="4" s="1"/>
  <c r="N353" i="9"/>
  <c r="O352" i="9"/>
  <c r="P352" i="9" s="1"/>
  <c r="K671" i="9"/>
  <c r="L670" i="9"/>
  <c r="M670" i="9" s="1"/>
  <c r="S352" i="9" l="1"/>
  <c r="F355" i="2" s="1"/>
  <c r="B353" i="3" s="1"/>
  <c r="B353" i="4" s="1"/>
  <c r="R352" i="9"/>
  <c r="E355" i="2" s="1"/>
  <c r="A353" i="3" s="1"/>
  <c r="A353" i="4" s="1"/>
  <c r="R351" i="9"/>
  <c r="E354" i="2" s="1"/>
  <c r="A352" i="3" s="1"/>
  <c r="A352" i="4" s="1"/>
  <c r="S351" i="9"/>
  <c r="F354" i="2" s="1"/>
  <c r="B352" i="3" s="1"/>
  <c r="B352" i="4" s="1"/>
  <c r="T352" i="9"/>
  <c r="G355" i="2" s="1"/>
  <c r="C352" i="3"/>
  <c r="C352" i="4" s="1"/>
  <c r="N354" i="9"/>
  <c r="O353" i="9"/>
  <c r="K672" i="9"/>
  <c r="L671" i="9"/>
  <c r="M671" i="9" s="1"/>
  <c r="P353" i="9" l="1"/>
  <c r="T353" i="9" s="1"/>
  <c r="G356" i="2" s="1"/>
  <c r="C353" i="3"/>
  <c r="C353" i="4" s="1"/>
  <c r="N355" i="9"/>
  <c r="O354" i="9"/>
  <c r="P354" i="9" s="1"/>
  <c r="K673" i="9"/>
  <c r="L672" i="9"/>
  <c r="M672" i="9" s="1"/>
  <c r="T354" i="9" l="1"/>
  <c r="G357" i="2" s="1"/>
  <c r="S353" i="9"/>
  <c r="F356" i="2" s="1"/>
  <c r="B354" i="3" s="1"/>
  <c r="B354" i="4" s="1"/>
  <c r="R353" i="9"/>
  <c r="E356" i="2" s="1"/>
  <c r="A354" i="3" s="1"/>
  <c r="A354" i="4" s="1"/>
  <c r="R354" i="9"/>
  <c r="E357" i="2" s="1"/>
  <c r="A355" i="3" s="1"/>
  <c r="A355" i="4" s="1"/>
  <c r="S354" i="9"/>
  <c r="F357" i="2" s="1"/>
  <c r="B355" i="3" s="1"/>
  <c r="B355" i="4" s="1"/>
  <c r="C354" i="3"/>
  <c r="C354" i="4" s="1"/>
  <c r="N356" i="9"/>
  <c r="O355" i="9"/>
  <c r="K674" i="9"/>
  <c r="L673" i="9"/>
  <c r="M673" i="9" s="1"/>
  <c r="P355" i="9" l="1"/>
  <c r="T355" i="9" s="1"/>
  <c r="G358" i="2" s="1"/>
  <c r="C355" i="3"/>
  <c r="C355" i="4" s="1"/>
  <c r="O356" i="9"/>
  <c r="P356" i="9" s="1"/>
  <c r="N357" i="9"/>
  <c r="K675" i="9"/>
  <c r="L674" i="9"/>
  <c r="M674" i="9" s="1"/>
  <c r="S356" i="9" l="1"/>
  <c r="F359" i="2" s="1"/>
  <c r="B357" i="3" s="1"/>
  <c r="B357" i="4" s="1"/>
  <c r="R356" i="9"/>
  <c r="E359" i="2" s="1"/>
  <c r="A357" i="3" s="1"/>
  <c r="A357" i="4" s="1"/>
  <c r="T356" i="9"/>
  <c r="G359" i="2" s="1"/>
  <c r="S355" i="9"/>
  <c r="F358" i="2" s="1"/>
  <c r="B356" i="3" s="1"/>
  <c r="B356" i="4" s="1"/>
  <c r="R355" i="9"/>
  <c r="E358" i="2" s="1"/>
  <c r="A356" i="3" s="1"/>
  <c r="A356" i="4" s="1"/>
  <c r="C356" i="3"/>
  <c r="C356" i="4" s="1"/>
  <c r="O357" i="9"/>
  <c r="N358" i="9"/>
  <c r="K676" i="9"/>
  <c r="L675" i="9"/>
  <c r="M675" i="9" s="1"/>
  <c r="P357" i="9" l="1"/>
  <c r="T357" i="9" s="1"/>
  <c r="G360" i="2" s="1"/>
  <c r="C357" i="3"/>
  <c r="C357" i="4" s="1"/>
  <c r="O358" i="9"/>
  <c r="P358" i="9" s="1"/>
  <c r="N359" i="9"/>
  <c r="K677" i="9"/>
  <c r="L676" i="9"/>
  <c r="M676" i="9" s="1"/>
  <c r="T358" i="9" l="1"/>
  <c r="G361" i="2" s="1"/>
  <c r="R357" i="9"/>
  <c r="E360" i="2" s="1"/>
  <c r="A358" i="3" s="1"/>
  <c r="A358" i="4" s="1"/>
  <c r="S357" i="9"/>
  <c r="F360" i="2" s="1"/>
  <c r="B358" i="3" s="1"/>
  <c r="B358" i="4" s="1"/>
  <c r="S358" i="9"/>
  <c r="F361" i="2" s="1"/>
  <c r="B359" i="3" s="1"/>
  <c r="B359" i="4" s="1"/>
  <c r="R358" i="9"/>
  <c r="E361" i="2" s="1"/>
  <c r="A359" i="3" s="1"/>
  <c r="A359" i="4" s="1"/>
  <c r="C358" i="3"/>
  <c r="C358" i="4" s="1"/>
  <c r="O359" i="9"/>
  <c r="N360" i="9"/>
  <c r="K678" i="9"/>
  <c r="L677" i="9"/>
  <c r="M677" i="9" s="1"/>
  <c r="P359" i="9" l="1"/>
  <c r="C359" i="3"/>
  <c r="C359" i="4" s="1"/>
  <c r="N361" i="9"/>
  <c r="O360" i="9"/>
  <c r="P360" i="9" s="1"/>
  <c r="K679" i="9"/>
  <c r="L678" i="9"/>
  <c r="M678" i="9" s="1"/>
  <c r="R360" i="9" l="1"/>
  <c r="E363" i="2" s="1"/>
  <c r="A361" i="3" s="1"/>
  <c r="A361" i="4" s="1"/>
  <c r="S360" i="9"/>
  <c r="F363" i="2" s="1"/>
  <c r="B361" i="3" s="1"/>
  <c r="B361" i="4" s="1"/>
  <c r="T360" i="9"/>
  <c r="G363" i="2" s="1"/>
  <c r="R359" i="9"/>
  <c r="E362" i="2" s="1"/>
  <c r="A360" i="3" s="1"/>
  <c r="A360" i="4" s="1"/>
  <c r="S359" i="9"/>
  <c r="F362" i="2" s="1"/>
  <c r="B360" i="3" s="1"/>
  <c r="B360" i="4" s="1"/>
  <c r="T359" i="9"/>
  <c r="G362" i="2" s="1"/>
  <c r="C360" i="3" s="1"/>
  <c r="C360" i="4" s="1"/>
  <c r="O361" i="9"/>
  <c r="N362" i="9"/>
  <c r="K680" i="9"/>
  <c r="L679" i="9"/>
  <c r="M679" i="9" s="1"/>
  <c r="P361" i="9" l="1"/>
  <c r="C361" i="3"/>
  <c r="C361" i="4" s="1"/>
  <c r="O362" i="9"/>
  <c r="P362" i="9" s="1"/>
  <c r="N363" i="9"/>
  <c r="K681" i="9"/>
  <c r="L680" i="9"/>
  <c r="M680" i="9" s="1"/>
  <c r="T362" i="9" l="1"/>
  <c r="G365" i="2" s="1"/>
  <c r="S361" i="9"/>
  <c r="F364" i="2" s="1"/>
  <c r="B362" i="3" s="1"/>
  <c r="B362" i="4" s="1"/>
  <c r="R361" i="9"/>
  <c r="E364" i="2" s="1"/>
  <c r="A362" i="3" s="1"/>
  <c r="A362" i="4" s="1"/>
  <c r="S362" i="9"/>
  <c r="F365" i="2" s="1"/>
  <c r="B363" i="3" s="1"/>
  <c r="B363" i="4" s="1"/>
  <c r="R362" i="9"/>
  <c r="E365" i="2" s="1"/>
  <c r="A363" i="3" s="1"/>
  <c r="A363" i="4" s="1"/>
  <c r="T361" i="9"/>
  <c r="G364" i="2" s="1"/>
  <c r="C362" i="3" s="1"/>
  <c r="C362" i="4" s="1"/>
  <c r="N364" i="9"/>
  <c r="O363" i="9"/>
  <c r="K682" i="9"/>
  <c r="L681" i="9"/>
  <c r="M681" i="9" s="1"/>
  <c r="P363" i="9" l="1"/>
  <c r="S363" i="9" s="1"/>
  <c r="F366" i="2" s="1"/>
  <c r="B364" i="3" s="1"/>
  <c r="B364" i="4" s="1"/>
  <c r="C363" i="3"/>
  <c r="C363" i="4" s="1"/>
  <c r="N365" i="9"/>
  <c r="O364" i="9"/>
  <c r="P364" i="9" s="1"/>
  <c r="K683" i="9"/>
  <c r="L682" i="9"/>
  <c r="M682" i="9" s="1"/>
  <c r="R363" i="9" l="1"/>
  <c r="E366" i="2" s="1"/>
  <c r="A364" i="3" s="1"/>
  <c r="A364" i="4" s="1"/>
  <c r="T363" i="9"/>
  <c r="G366" i="2" s="1"/>
  <c r="R364" i="9"/>
  <c r="E367" i="2" s="1"/>
  <c r="A365" i="3" s="1"/>
  <c r="A365" i="4" s="1"/>
  <c r="S364" i="9"/>
  <c r="F367" i="2" s="1"/>
  <c r="B365" i="3" s="1"/>
  <c r="B365" i="4" s="1"/>
  <c r="T364" i="9"/>
  <c r="G367" i="2" s="1"/>
  <c r="C364" i="3"/>
  <c r="C364" i="4" s="1"/>
  <c r="N366" i="9"/>
  <c r="O365" i="9"/>
  <c r="K684" i="9"/>
  <c r="L683" i="9"/>
  <c r="M683" i="9" s="1"/>
  <c r="P365" i="9" l="1"/>
  <c r="C365" i="3"/>
  <c r="C365" i="4" s="1"/>
  <c r="N367" i="9"/>
  <c r="O366" i="9"/>
  <c r="P366" i="9" s="1"/>
  <c r="L684" i="9"/>
  <c r="M684" i="9" s="1"/>
  <c r="K685" i="9"/>
  <c r="R366" i="9" l="1"/>
  <c r="E369" i="2" s="1"/>
  <c r="A367" i="3" s="1"/>
  <c r="A367" i="4" s="1"/>
  <c r="S366" i="9"/>
  <c r="F369" i="2" s="1"/>
  <c r="B367" i="3" s="1"/>
  <c r="B367" i="4" s="1"/>
  <c r="T366" i="9"/>
  <c r="G369" i="2" s="1"/>
  <c r="R365" i="9"/>
  <c r="E368" i="2" s="1"/>
  <c r="A366" i="3" s="1"/>
  <c r="A366" i="4" s="1"/>
  <c r="S365" i="9"/>
  <c r="F368" i="2" s="1"/>
  <c r="B366" i="3" s="1"/>
  <c r="B366" i="4" s="1"/>
  <c r="T365" i="9"/>
  <c r="G368" i="2" s="1"/>
  <c r="C366" i="3" s="1"/>
  <c r="C366" i="4" s="1"/>
  <c r="O367" i="9"/>
  <c r="N368" i="9"/>
  <c r="K686" i="9"/>
  <c r="L685" i="9"/>
  <c r="M685" i="9" s="1"/>
  <c r="P367" i="9" l="1"/>
  <c r="T367" i="9" s="1"/>
  <c r="G370" i="2" s="1"/>
  <c r="C367" i="3"/>
  <c r="C367" i="4" s="1"/>
  <c r="N369" i="9"/>
  <c r="O368" i="9"/>
  <c r="P368" i="9" s="1"/>
  <c r="K687" i="9"/>
  <c r="L686" i="9"/>
  <c r="M686" i="9" s="1"/>
  <c r="R368" i="9" l="1"/>
  <c r="E371" i="2" s="1"/>
  <c r="A369" i="3" s="1"/>
  <c r="A369" i="4" s="1"/>
  <c r="S368" i="9"/>
  <c r="F371" i="2" s="1"/>
  <c r="B369" i="3" s="1"/>
  <c r="B369" i="4" s="1"/>
  <c r="T368" i="9"/>
  <c r="S367" i="9"/>
  <c r="F370" i="2" s="1"/>
  <c r="B368" i="3" s="1"/>
  <c r="B368" i="4" s="1"/>
  <c r="R367" i="9"/>
  <c r="E370" i="2" s="1"/>
  <c r="A368" i="3" s="1"/>
  <c r="A368" i="4" s="1"/>
  <c r="C368" i="3"/>
  <c r="C368" i="4" s="1"/>
  <c r="O369" i="9"/>
  <c r="G371" i="2"/>
  <c r="N370" i="9"/>
  <c r="K688" i="9"/>
  <c r="L687" i="9"/>
  <c r="M687" i="9" s="1"/>
  <c r="P369" i="9" l="1"/>
  <c r="T369" i="9" s="1"/>
  <c r="G372" i="2" s="1"/>
  <c r="C369" i="3"/>
  <c r="C369" i="4" s="1"/>
  <c r="N371" i="9"/>
  <c r="O370" i="9"/>
  <c r="P370" i="9" s="1"/>
  <c r="K689" i="9"/>
  <c r="L688" i="9"/>
  <c r="M688" i="9" s="1"/>
  <c r="R370" i="9" l="1"/>
  <c r="E373" i="2" s="1"/>
  <c r="A371" i="3" s="1"/>
  <c r="A371" i="4" s="1"/>
  <c r="S370" i="9"/>
  <c r="F373" i="2" s="1"/>
  <c r="B371" i="3" s="1"/>
  <c r="B371" i="4" s="1"/>
  <c r="T370" i="9"/>
  <c r="G373" i="2" s="1"/>
  <c r="R369" i="9"/>
  <c r="E372" i="2" s="1"/>
  <c r="A370" i="3" s="1"/>
  <c r="A370" i="4" s="1"/>
  <c r="S369" i="9"/>
  <c r="F372" i="2" s="1"/>
  <c r="B370" i="3" s="1"/>
  <c r="B370" i="4" s="1"/>
  <c r="C370" i="3"/>
  <c r="C370" i="4" s="1"/>
  <c r="N372" i="9"/>
  <c r="O371" i="9"/>
  <c r="K690" i="9"/>
  <c r="L689" i="9"/>
  <c r="M689" i="9" s="1"/>
  <c r="P371" i="9" l="1"/>
  <c r="C371" i="3"/>
  <c r="C371" i="4" s="1"/>
  <c r="O372" i="9"/>
  <c r="P372" i="9" s="1"/>
  <c r="N373" i="9"/>
  <c r="K691" i="9"/>
  <c r="L690" i="9"/>
  <c r="M690" i="9" s="1"/>
  <c r="T372" i="9" l="1"/>
  <c r="S371" i="9"/>
  <c r="F374" i="2" s="1"/>
  <c r="B372" i="3" s="1"/>
  <c r="B372" i="4" s="1"/>
  <c r="R371" i="9"/>
  <c r="E374" i="2" s="1"/>
  <c r="A372" i="3" s="1"/>
  <c r="A372" i="4" s="1"/>
  <c r="R372" i="9"/>
  <c r="E375" i="2" s="1"/>
  <c r="A373" i="3" s="1"/>
  <c r="A373" i="4" s="1"/>
  <c r="S372" i="9"/>
  <c r="F375" i="2" s="1"/>
  <c r="B373" i="3" s="1"/>
  <c r="B373" i="4" s="1"/>
  <c r="T371" i="9"/>
  <c r="G374" i="2" s="1"/>
  <c r="C372" i="3" s="1"/>
  <c r="C372" i="4" s="1"/>
  <c r="N374" i="9"/>
  <c r="O373" i="9"/>
  <c r="G375" i="2"/>
  <c r="K692" i="9"/>
  <c r="L691" i="9"/>
  <c r="M691" i="9" s="1"/>
  <c r="P373" i="9" l="1"/>
  <c r="T373" i="9" s="1"/>
  <c r="G376" i="2" s="1"/>
  <c r="C373" i="3"/>
  <c r="C373" i="4" s="1"/>
  <c r="O374" i="9"/>
  <c r="P374" i="9" s="1"/>
  <c r="N375" i="9"/>
  <c r="K693" i="9"/>
  <c r="L692" i="9"/>
  <c r="M692" i="9" s="1"/>
  <c r="T374" i="9" l="1"/>
  <c r="G377" i="2" s="1"/>
  <c r="S373" i="9"/>
  <c r="F376" i="2" s="1"/>
  <c r="B374" i="3" s="1"/>
  <c r="B374" i="4" s="1"/>
  <c r="R373" i="9"/>
  <c r="E376" i="2" s="1"/>
  <c r="A374" i="3" s="1"/>
  <c r="A374" i="4" s="1"/>
  <c r="S374" i="9"/>
  <c r="F377" i="2" s="1"/>
  <c r="B375" i="3" s="1"/>
  <c r="B375" i="4" s="1"/>
  <c r="R374" i="9"/>
  <c r="E377" i="2" s="1"/>
  <c r="A375" i="3" s="1"/>
  <c r="A375" i="4" s="1"/>
  <c r="C374" i="3"/>
  <c r="C374" i="4" s="1"/>
  <c r="N376" i="9"/>
  <c r="O375" i="9"/>
  <c r="K694" i="9"/>
  <c r="L693" i="9"/>
  <c r="M693" i="9" s="1"/>
  <c r="P375" i="9" l="1"/>
  <c r="T375" i="9" s="1"/>
  <c r="G378" i="2" s="1"/>
  <c r="C375" i="3"/>
  <c r="C375" i="4" s="1"/>
  <c r="N377" i="9"/>
  <c r="O376" i="9"/>
  <c r="P376" i="9" s="1"/>
  <c r="K695" i="9"/>
  <c r="L694" i="9"/>
  <c r="M694" i="9" s="1"/>
  <c r="R376" i="9" l="1"/>
  <c r="E379" i="2" s="1"/>
  <c r="A377" i="3" s="1"/>
  <c r="A377" i="4" s="1"/>
  <c r="S376" i="9"/>
  <c r="F379" i="2" s="1"/>
  <c r="B377" i="3" s="1"/>
  <c r="B377" i="4" s="1"/>
  <c r="S375" i="9"/>
  <c r="F378" i="2" s="1"/>
  <c r="B376" i="3" s="1"/>
  <c r="B376" i="4" s="1"/>
  <c r="R375" i="9"/>
  <c r="E378" i="2" s="1"/>
  <c r="A376" i="3" s="1"/>
  <c r="A376" i="4" s="1"/>
  <c r="T376" i="9"/>
  <c r="G379" i="2" s="1"/>
  <c r="C376" i="3"/>
  <c r="C376" i="4" s="1"/>
  <c r="N378" i="9"/>
  <c r="O377" i="9"/>
  <c r="K696" i="9"/>
  <c r="L695" i="9"/>
  <c r="M695" i="9" s="1"/>
  <c r="P377" i="9" l="1"/>
  <c r="T377" i="9" s="1"/>
  <c r="G380" i="2" s="1"/>
  <c r="C377" i="3"/>
  <c r="C377" i="4" s="1"/>
  <c r="O378" i="9"/>
  <c r="P378" i="9" s="1"/>
  <c r="N379" i="9"/>
  <c r="K697" i="9"/>
  <c r="L696" i="9"/>
  <c r="M696" i="9" s="1"/>
  <c r="T378" i="9" l="1"/>
  <c r="G381" i="2" s="1"/>
  <c r="S377" i="9"/>
  <c r="F380" i="2" s="1"/>
  <c r="B378" i="3" s="1"/>
  <c r="B378" i="4" s="1"/>
  <c r="R377" i="9"/>
  <c r="E380" i="2" s="1"/>
  <c r="A378" i="3" s="1"/>
  <c r="A378" i="4" s="1"/>
  <c r="R378" i="9"/>
  <c r="E381" i="2" s="1"/>
  <c r="A379" i="3" s="1"/>
  <c r="A379" i="4" s="1"/>
  <c r="S378" i="9"/>
  <c r="F381" i="2" s="1"/>
  <c r="B379" i="3" s="1"/>
  <c r="B379" i="4" s="1"/>
  <c r="C378" i="3"/>
  <c r="C378" i="4" s="1"/>
  <c r="N380" i="9"/>
  <c r="O379" i="9"/>
  <c r="K698" i="9"/>
  <c r="L697" i="9"/>
  <c r="M697" i="9" s="1"/>
  <c r="P379" i="9" l="1"/>
  <c r="T379" i="9" s="1"/>
  <c r="G382" i="2" s="1"/>
  <c r="C379" i="3"/>
  <c r="C379" i="4" s="1"/>
  <c r="N381" i="9"/>
  <c r="O380" i="9"/>
  <c r="P380" i="9" s="1"/>
  <c r="K699" i="9"/>
  <c r="L698" i="9"/>
  <c r="M698" i="9" s="1"/>
  <c r="T380" i="9" l="1"/>
  <c r="R379" i="9"/>
  <c r="E382" i="2" s="1"/>
  <c r="A380" i="3" s="1"/>
  <c r="A380" i="4" s="1"/>
  <c r="S379" i="9"/>
  <c r="F382" i="2" s="1"/>
  <c r="B380" i="3" s="1"/>
  <c r="B380" i="4" s="1"/>
  <c r="R380" i="9"/>
  <c r="E383" i="2" s="1"/>
  <c r="A381" i="3" s="1"/>
  <c r="A381" i="4" s="1"/>
  <c r="S380" i="9"/>
  <c r="F383" i="2" s="1"/>
  <c r="B381" i="3" s="1"/>
  <c r="B381" i="4" s="1"/>
  <c r="C380" i="3"/>
  <c r="C380" i="4" s="1"/>
  <c r="G383" i="2"/>
  <c r="O381" i="9"/>
  <c r="N382" i="9"/>
  <c r="K700" i="9"/>
  <c r="L699" i="9"/>
  <c r="M699" i="9" s="1"/>
  <c r="P381" i="9" l="1"/>
  <c r="T381" i="9" s="1"/>
  <c r="G384" i="2" s="1"/>
  <c r="C381" i="3"/>
  <c r="C381" i="4" s="1"/>
  <c r="N383" i="9"/>
  <c r="O382" i="9"/>
  <c r="P382" i="9" s="1"/>
  <c r="K701" i="9"/>
  <c r="L700" i="9"/>
  <c r="M700" i="9" s="1"/>
  <c r="R382" i="9" l="1"/>
  <c r="E385" i="2" s="1"/>
  <c r="A383" i="3" s="1"/>
  <c r="A383" i="4" s="1"/>
  <c r="S382" i="9"/>
  <c r="F385" i="2" s="1"/>
  <c r="B383" i="3" s="1"/>
  <c r="B383" i="4" s="1"/>
  <c r="T382" i="9"/>
  <c r="G385" i="2" s="1"/>
  <c r="S381" i="9"/>
  <c r="F384" i="2" s="1"/>
  <c r="B382" i="3" s="1"/>
  <c r="B382" i="4" s="1"/>
  <c r="R381" i="9"/>
  <c r="E384" i="2" s="1"/>
  <c r="A382" i="3" s="1"/>
  <c r="A382" i="4" s="1"/>
  <c r="C382" i="3"/>
  <c r="C382" i="4" s="1"/>
  <c r="N384" i="9"/>
  <c r="O383" i="9"/>
  <c r="K702" i="9"/>
  <c r="L701" i="9"/>
  <c r="M701" i="9" s="1"/>
  <c r="P383" i="9" l="1"/>
  <c r="C383" i="3"/>
  <c r="C383" i="4" s="1"/>
  <c r="N385" i="9"/>
  <c r="O384" i="9"/>
  <c r="P384" i="9" s="1"/>
  <c r="K703" i="9"/>
  <c r="L702" i="9"/>
  <c r="M702" i="9" s="1"/>
  <c r="R383" i="9" l="1"/>
  <c r="E386" i="2" s="1"/>
  <c r="A384" i="3" s="1"/>
  <c r="A384" i="4" s="1"/>
  <c r="S383" i="9"/>
  <c r="F386" i="2" s="1"/>
  <c r="B384" i="3" s="1"/>
  <c r="B384" i="4" s="1"/>
  <c r="T384" i="9"/>
  <c r="G387" i="2" s="1"/>
  <c r="S384" i="9"/>
  <c r="F387" i="2" s="1"/>
  <c r="B385" i="3" s="1"/>
  <c r="B385" i="4" s="1"/>
  <c r="R384" i="9"/>
  <c r="E387" i="2" s="1"/>
  <c r="A385" i="3" s="1"/>
  <c r="A385" i="4" s="1"/>
  <c r="T383" i="9"/>
  <c r="G386" i="2" s="1"/>
  <c r="C384" i="3" s="1"/>
  <c r="C384" i="4" s="1"/>
  <c r="N386" i="9"/>
  <c r="O385" i="9"/>
  <c r="K704" i="9"/>
  <c r="L703" i="9"/>
  <c r="M703" i="9" s="1"/>
  <c r="P385" i="9" l="1"/>
  <c r="T385" i="9" s="1"/>
  <c r="G388" i="2" s="1"/>
  <c r="C385" i="3"/>
  <c r="C385" i="4" s="1"/>
  <c r="O386" i="9"/>
  <c r="P386" i="9" s="1"/>
  <c r="N387" i="9"/>
  <c r="K705" i="9"/>
  <c r="L704" i="9"/>
  <c r="M704" i="9" s="1"/>
  <c r="T386" i="9" l="1"/>
  <c r="G389" i="2" s="1"/>
  <c r="R385" i="9"/>
  <c r="E388" i="2" s="1"/>
  <c r="A386" i="3" s="1"/>
  <c r="A386" i="4" s="1"/>
  <c r="S385" i="9"/>
  <c r="F388" i="2" s="1"/>
  <c r="B386" i="3" s="1"/>
  <c r="B386" i="4" s="1"/>
  <c r="R386" i="9"/>
  <c r="E389" i="2" s="1"/>
  <c r="A387" i="3" s="1"/>
  <c r="A387" i="4" s="1"/>
  <c r="S386" i="9"/>
  <c r="F389" i="2" s="1"/>
  <c r="B387" i="3" s="1"/>
  <c r="B387" i="4" s="1"/>
  <c r="C386" i="3"/>
  <c r="C386" i="4" s="1"/>
  <c r="N388" i="9"/>
  <c r="O387" i="9"/>
  <c r="K706" i="9"/>
  <c r="L705" i="9"/>
  <c r="M705" i="9" s="1"/>
  <c r="P387" i="9" l="1"/>
  <c r="C387" i="3"/>
  <c r="C387" i="4" s="1"/>
  <c r="O388" i="9"/>
  <c r="P388" i="9" s="1"/>
  <c r="N389" i="9"/>
  <c r="K707" i="9"/>
  <c r="L706" i="9"/>
  <c r="M706" i="9" s="1"/>
  <c r="S388" i="9" l="1"/>
  <c r="F391" i="2" s="1"/>
  <c r="B389" i="3" s="1"/>
  <c r="B389" i="4" s="1"/>
  <c r="R388" i="9"/>
  <c r="E391" i="2" s="1"/>
  <c r="A389" i="3" s="1"/>
  <c r="A389" i="4" s="1"/>
  <c r="R387" i="9"/>
  <c r="E390" i="2" s="1"/>
  <c r="A388" i="3" s="1"/>
  <c r="A388" i="4" s="1"/>
  <c r="S387" i="9"/>
  <c r="F390" i="2" s="1"/>
  <c r="B388" i="3" s="1"/>
  <c r="B388" i="4" s="1"/>
  <c r="T388" i="9"/>
  <c r="G391" i="2" s="1"/>
  <c r="T387" i="9"/>
  <c r="G390" i="2" s="1"/>
  <c r="C388" i="3" s="1"/>
  <c r="C388" i="4" s="1"/>
  <c r="N390" i="9"/>
  <c r="O389" i="9"/>
  <c r="K708" i="9"/>
  <c r="L707" i="9"/>
  <c r="M707" i="9" s="1"/>
  <c r="P389" i="9" l="1"/>
  <c r="T389" i="9" s="1"/>
  <c r="G392" i="2" s="1"/>
  <c r="C389" i="3"/>
  <c r="C389" i="4" s="1"/>
  <c r="O390" i="9"/>
  <c r="P390" i="9" s="1"/>
  <c r="N391" i="9"/>
  <c r="K709" i="9"/>
  <c r="L708" i="9"/>
  <c r="M708" i="9" s="1"/>
  <c r="R390" i="9" l="1"/>
  <c r="E393" i="2" s="1"/>
  <c r="A391" i="3" s="1"/>
  <c r="A391" i="4" s="1"/>
  <c r="S390" i="9"/>
  <c r="F393" i="2" s="1"/>
  <c r="B391" i="3" s="1"/>
  <c r="B391" i="4" s="1"/>
  <c r="T390" i="9"/>
  <c r="G393" i="2" s="1"/>
  <c r="S389" i="9"/>
  <c r="F392" i="2" s="1"/>
  <c r="B390" i="3" s="1"/>
  <c r="B390" i="4" s="1"/>
  <c r="R389" i="9"/>
  <c r="E392" i="2" s="1"/>
  <c r="A390" i="3" s="1"/>
  <c r="A390" i="4" s="1"/>
  <c r="C390" i="3"/>
  <c r="C390" i="4" s="1"/>
  <c r="N392" i="9"/>
  <c r="O391" i="9"/>
  <c r="K710" i="9"/>
  <c r="L709" i="9"/>
  <c r="M709" i="9" s="1"/>
  <c r="P391" i="9" l="1"/>
  <c r="T391" i="9" s="1"/>
  <c r="G394" i="2" s="1"/>
  <c r="C391" i="3"/>
  <c r="C391" i="4" s="1"/>
  <c r="O392" i="9"/>
  <c r="P392" i="9" s="1"/>
  <c r="N393" i="9"/>
  <c r="K711" i="9"/>
  <c r="L710" i="9"/>
  <c r="M710" i="9" s="1"/>
  <c r="R391" i="9" l="1"/>
  <c r="E394" i="2" s="1"/>
  <c r="A392" i="3" s="1"/>
  <c r="A392" i="4" s="1"/>
  <c r="S391" i="9"/>
  <c r="F394" i="2" s="1"/>
  <c r="B392" i="3" s="1"/>
  <c r="B392" i="4" s="1"/>
  <c r="T392" i="9"/>
  <c r="G395" i="2" s="1"/>
  <c r="R392" i="9"/>
  <c r="E395" i="2" s="1"/>
  <c r="A393" i="3" s="1"/>
  <c r="A393" i="4" s="1"/>
  <c r="S392" i="9"/>
  <c r="F395" i="2" s="1"/>
  <c r="B393" i="3" s="1"/>
  <c r="B393" i="4" s="1"/>
  <c r="C392" i="3"/>
  <c r="C392" i="4" s="1"/>
  <c r="N394" i="9"/>
  <c r="O393" i="9"/>
  <c r="K712" i="9"/>
  <c r="L711" i="9"/>
  <c r="M711" i="9" s="1"/>
  <c r="P393" i="9" l="1"/>
  <c r="S393" i="9" s="1"/>
  <c r="F396" i="2" s="1"/>
  <c r="B394" i="3" s="1"/>
  <c r="B394" i="4" s="1"/>
  <c r="C393" i="3"/>
  <c r="C393" i="4" s="1"/>
  <c r="O394" i="9"/>
  <c r="P394" i="9" s="1"/>
  <c r="N395" i="9"/>
  <c r="K713" i="9"/>
  <c r="L712" i="9"/>
  <c r="M712" i="9" s="1"/>
  <c r="T393" i="9" l="1"/>
  <c r="G396" i="2" s="1"/>
  <c r="C394" i="3" s="1"/>
  <c r="C394" i="4" s="1"/>
  <c r="T394" i="9"/>
  <c r="G397" i="2" s="1"/>
  <c r="S394" i="9"/>
  <c r="F397" i="2" s="1"/>
  <c r="B395" i="3" s="1"/>
  <c r="B395" i="4" s="1"/>
  <c r="R394" i="9"/>
  <c r="E397" i="2" s="1"/>
  <c r="A395" i="3" s="1"/>
  <c r="A395" i="4" s="1"/>
  <c r="R393" i="9"/>
  <c r="E396" i="2" s="1"/>
  <c r="A394" i="3" s="1"/>
  <c r="A394" i="4" s="1"/>
  <c r="N396" i="9"/>
  <c r="O395" i="9"/>
  <c r="K714" i="9"/>
  <c r="L713" i="9"/>
  <c r="M713" i="9" s="1"/>
  <c r="P395" i="9" l="1"/>
  <c r="T395" i="9" s="1"/>
  <c r="G398" i="2" s="1"/>
  <c r="C395" i="3"/>
  <c r="C395" i="4" s="1"/>
  <c r="O396" i="9"/>
  <c r="P396" i="9" s="1"/>
  <c r="N397" i="9"/>
  <c r="K715" i="9"/>
  <c r="L714" i="9"/>
  <c r="M714" i="9" s="1"/>
  <c r="T396" i="9" l="1"/>
  <c r="G399" i="2" s="1"/>
  <c r="S396" i="9"/>
  <c r="F399" i="2" s="1"/>
  <c r="B397" i="3" s="1"/>
  <c r="B397" i="4" s="1"/>
  <c r="R396" i="9"/>
  <c r="E399" i="2" s="1"/>
  <c r="A397" i="3" s="1"/>
  <c r="A397" i="4" s="1"/>
  <c r="R395" i="9"/>
  <c r="E398" i="2" s="1"/>
  <c r="A396" i="3" s="1"/>
  <c r="A396" i="4" s="1"/>
  <c r="S395" i="9"/>
  <c r="F398" i="2" s="1"/>
  <c r="B396" i="3" s="1"/>
  <c r="B396" i="4" s="1"/>
  <c r="C396" i="3"/>
  <c r="C396" i="4" s="1"/>
  <c r="N398" i="9"/>
  <c r="O397" i="9"/>
  <c r="K716" i="9"/>
  <c r="L715" i="9"/>
  <c r="M715" i="9" s="1"/>
  <c r="P397" i="9" l="1"/>
  <c r="S397" i="9" s="1"/>
  <c r="F400" i="2" s="1"/>
  <c r="B398" i="3" s="1"/>
  <c r="B398" i="4" s="1"/>
  <c r="C397" i="3"/>
  <c r="C397" i="4" s="1"/>
  <c r="O398" i="9"/>
  <c r="P398" i="9" s="1"/>
  <c r="N399" i="9"/>
  <c r="K717" i="9"/>
  <c r="L716" i="9"/>
  <c r="M716" i="9" s="1"/>
  <c r="R397" i="9" l="1"/>
  <c r="E400" i="2" s="1"/>
  <c r="A398" i="3" s="1"/>
  <c r="A398" i="4" s="1"/>
  <c r="T397" i="9"/>
  <c r="G400" i="2" s="1"/>
  <c r="C398" i="3" s="1"/>
  <c r="C398" i="4" s="1"/>
  <c r="T398" i="9"/>
  <c r="G401" i="2" s="1"/>
  <c r="S398" i="9"/>
  <c r="F401" i="2" s="1"/>
  <c r="B399" i="3" s="1"/>
  <c r="B399" i="4" s="1"/>
  <c r="R398" i="9"/>
  <c r="E401" i="2" s="1"/>
  <c r="A399" i="3" s="1"/>
  <c r="A399" i="4" s="1"/>
  <c r="O399" i="9"/>
  <c r="N400" i="9"/>
  <c r="K718" i="9"/>
  <c r="L717" i="9"/>
  <c r="M717" i="9" s="1"/>
  <c r="P399" i="9" l="1"/>
  <c r="T399" i="9" s="1"/>
  <c r="G402" i="2" s="1"/>
  <c r="C399" i="3"/>
  <c r="C399" i="4" s="1"/>
  <c r="O400" i="9"/>
  <c r="P400" i="9" s="1"/>
  <c r="N401" i="9"/>
  <c r="K719" i="9"/>
  <c r="L718" i="9"/>
  <c r="M718" i="9" s="1"/>
  <c r="T400" i="9" l="1"/>
  <c r="G403" i="2" s="1"/>
  <c r="S400" i="9"/>
  <c r="F403" i="2" s="1"/>
  <c r="B401" i="3" s="1"/>
  <c r="B401" i="4" s="1"/>
  <c r="R400" i="9"/>
  <c r="E403" i="2" s="1"/>
  <c r="A401" i="3" s="1"/>
  <c r="A401" i="4" s="1"/>
  <c r="S399" i="9"/>
  <c r="F402" i="2" s="1"/>
  <c r="B400" i="3" s="1"/>
  <c r="B400" i="4" s="1"/>
  <c r="R399" i="9"/>
  <c r="E402" i="2" s="1"/>
  <c r="A400" i="3" s="1"/>
  <c r="A400" i="4" s="1"/>
  <c r="C400" i="3"/>
  <c r="C400" i="4" s="1"/>
  <c r="N402" i="9"/>
  <c r="O401" i="9"/>
  <c r="K720" i="9"/>
  <c r="L719" i="9"/>
  <c r="M719" i="9" s="1"/>
  <c r="P401" i="9" l="1"/>
  <c r="T401" i="9" s="1"/>
  <c r="G404" i="2" s="1"/>
  <c r="C401" i="3"/>
  <c r="C401" i="4" s="1"/>
  <c r="O402" i="9"/>
  <c r="P402" i="9" s="1"/>
  <c r="N403" i="9"/>
  <c r="K721" i="9"/>
  <c r="L720" i="9"/>
  <c r="M720" i="9" s="1"/>
  <c r="R402" i="9" l="1"/>
  <c r="E405" i="2" s="1"/>
  <c r="A403" i="3" s="1"/>
  <c r="A403" i="4" s="1"/>
  <c r="S402" i="9"/>
  <c r="F405" i="2" s="1"/>
  <c r="B403" i="3" s="1"/>
  <c r="B403" i="4" s="1"/>
  <c r="T402" i="9"/>
  <c r="G405" i="2" s="1"/>
  <c r="R401" i="9"/>
  <c r="E404" i="2" s="1"/>
  <c r="A402" i="3" s="1"/>
  <c r="A402" i="4" s="1"/>
  <c r="S401" i="9"/>
  <c r="F404" i="2" s="1"/>
  <c r="B402" i="3" s="1"/>
  <c r="B402" i="4" s="1"/>
  <c r="C402" i="3"/>
  <c r="C402" i="4" s="1"/>
  <c r="N404" i="9"/>
  <c r="O403" i="9"/>
  <c r="K722" i="9"/>
  <c r="L721" i="9"/>
  <c r="M721" i="9" s="1"/>
  <c r="P403" i="9" l="1"/>
  <c r="T403" i="9" s="1"/>
  <c r="G406" i="2" s="1"/>
  <c r="C403" i="3"/>
  <c r="C403" i="4" s="1"/>
  <c r="O404" i="9"/>
  <c r="P404" i="9" s="1"/>
  <c r="N405" i="9"/>
  <c r="K723" i="9"/>
  <c r="L722" i="9"/>
  <c r="M722" i="9" s="1"/>
  <c r="T404" i="9" l="1"/>
  <c r="R403" i="9"/>
  <c r="E406" i="2" s="1"/>
  <c r="A404" i="3" s="1"/>
  <c r="A404" i="4" s="1"/>
  <c r="S403" i="9"/>
  <c r="F406" i="2" s="1"/>
  <c r="B404" i="3" s="1"/>
  <c r="B404" i="4" s="1"/>
  <c r="R404" i="9"/>
  <c r="E407" i="2" s="1"/>
  <c r="A405" i="3" s="1"/>
  <c r="A405" i="4" s="1"/>
  <c r="S404" i="9"/>
  <c r="F407" i="2" s="1"/>
  <c r="B405" i="3" s="1"/>
  <c r="B405" i="4" s="1"/>
  <c r="C404" i="3"/>
  <c r="C404" i="4" s="1"/>
  <c r="N406" i="9"/>
  <c r="O405" i="9"/>
  <c r="G407" i="2"/>
  <c r="K724" i="9"/>
  <c r="L723" i="9"/>
  <c r="M723" i="9" s="1"/>
  <c r="P405" i="9" l="1"/>
  <c r="T405" i="9" s="1"/>
  <c r="G408" i="2" s="1"/>
  <c r="C405" i="3"/>
  <c r="C405" i="4" s="1"/>
  <c r="O406" i="9"/>
  <c r="P406" i="9" s="1"/>
  <c r="N407" i="9"/>
  <c r="K725" i="9"/>
  <c r="L724" i="9"/>
  <c r="M724" i="9" s="1"/>
  <c r="T406" i="9" l="1"/>
  <c r="R405" i="9"/>
  <c r="E408" i="2" s="1"/>
  <c r="A406" i="3" s="1"/>
  <c r="A406" i="4" s="1"/>
  <c r="S405" i="9"/>
  <c r="F408" i="2" s="1"/>
  <c r="B406" i="3" s="1"/>
  <c r="B406" i="4" s="1"/>
  <c r="S406" i="9"/>
  <c r="F409" i="2" s="1"/>
  <c r="B407" i="3" s="1"/>
  <c r="B407" i="4" s="1"/>
  <c r="R406" i="9"/>
  <c r="E409" i="2" s="1"/>
  <c r="A407" i="3" s="1"/>
  <c r="A407" i="4" s="1"/>
  <c r="C406" i="3"/>
  <c r="C406" i="4" s="1"/>
  <c r="N408" i="9"/>
  <c r="O407" i="9"/>
  <c r="G409" i="2"/>
  <c r="K726" i="9"/>
  <c r="L725" i="9"/>
  <c r="M725" i="9" s="1"/>
  <c r="P407" i="9" l="1"/>
  <c r="C407" i="3"/>
  <c r="C407" i="4" s="1"/>
  <c r="O408" i="9"/>
  <c r="P408" i="9" s="1"/>
  <c r="N409" i="9"/>
  <c r="K727" i="9"/>
  <c r="L726" i="9"/>
  <c r="M726" i="9" s="1"/>
  <c r="R408" i="9" l="1"/>
  <c r="E411" i="2" s="1"/>
  <c r="A409" i="3" s="1"/>
  <c r="A409" i="4" s="1"/>
  <c r="S408" i="9"/>
  <c r="F411" i="2" s="1"/>
  <c r="B409" i="3" s="1"/>
  <c r="B409" i="4" s="1"/>
  <c r="S407" i="9"/>
  <c r="F410" i="2" s="1"/>
  <c r="B408" i="3" s="1"/>
  <c r="B408" i="4" s="1"/>
  <c r="R407" i="9"/>
  <c r="E410" i="2" s="1"/>
  <c r="A408" i="3" s="1"/>
  <c r="A408" i="4" s="1"/>
  <c r="T408" i="9"/>
  <c r="G411" i="2" s="1"/>
  <c r="T407" i="9"/>
  <c r="G410" i="2" s="1"/>
  <c r="C408" i="3" s="1"/>
  <c r="C408" i="4" s="1"/>
  <c r="N410" i="9"/>
  <c r="O409" i="9"/>
  <c r="K728" i="9"/>
  <c r="L727" i="9"/>
  <c r="M727" i="9" s="1"/>
  <c r="P409" i="9" l="1"/>
  <c r="T409" i="9" s="1"/>
  <c r="G412" i="2" s="1"/>
  <c r="C409" i="3"/>
  <c r="C409" i="4" s="1"/>
  <c r="O410" i="9"/>
  <c r="P410" i="9" s="1"/>
  <c r="N411" i="9"/>
  <c r="K729" i="9"/>
  <c r="L728" i="9"/>
  <c r="M728" i="9" s="1"/>
  <c r="R409" i="9" l="1"/>
  <c r="E412" i="2" s="1"/>
  <c r="A410" i="3" s="1"/>
  <c r="A410" i="4" s="1"/>
  <c r="S409" i="9"/>
  <c r="F412" i="2" s="1"/>
  <c r="B410" i="3" s="1"/>
  <c r="B410" i="4" s="1"/>
  <c r="T410" i="9"/>
  <c r="G413" i="2" s="1"/>
  <c r="S410" i="9"/>
  <c r="F413" i="2" s="1"/>
  <c r="B411" i="3" s="1"/>
  <c r="B411" i="4" s="1"/>
  <c r="R410" i="9"/>
  <c r="E413" i="2" s="1"/>
  <c r="A411" i="3" s="1"/>
  <c r="A411" i="4" s="1"/>
  <c r="C410" i="3"/>
  <c r="C410" i="4" s="1"/>
  <c r="N412" i="9"/>
  <c r="O411" i="9"/>
  <c r="K730" i="9"/>
  <c r="L729" i="9"/>
  <c r="M729" i="9" s="1"/>
  <c r="P411" i="9" l="1"/>
  <c r="C411" i="3"/>
  <c r="C411" i="4" s="1"/>
  <c r="O412" i="9"/>
  <c r="P412" i="9" s="1"/>
  <c r="N413" i="9"/>
  <c r="K731" i="9"/>
  <c r="L730" i="9"/>
  <c r="M730" i="9" s="1"/>
  <c r="S412" i="9" l="1"/>
  <c r="F415" i="2" s="1"/>
  <c r="B413" i="3" s="1"/>
  <c r="B413" i="4" s="1"/>
  <c r="R412" i="9"/>
  <c r="E415" i="2" s="1"/>
  <c r="A413" i="3" s="1"/>
  <c r="A413" i="4" s="1"/>
  <c r="T412" i="9"/>
  <c r="G415" i="2" s="1"/>
  <c r="R411" i="9"/>
  <c r="E414" i="2" s="1"/>
  <c r="A412" i="3" s="1"/>
  <c r="A412" i="4" s="1"/>
  <c r="S411" i="9"/>
  <c r="F414" i="2" s="1"/>
  <c r="B412" i="3" s="1"/>
  <c r="B412" i="4" s="1"/>
  <c r="T411" i="9"/>
  <c r="G414" i="2" s="1"/>
  <c r="C412" i="3" s="1"/>
  <c r="C412" i="4" s="1"/>
  <c r="N414" i="9"/>
  <c r="O413" i="9"/>
  <c r="K732" i="9"/>
  <c r="L731" i="9"/>
  <c r="M731" i="9" s="1"/>
  <c r="P413" i="9" l="1"/>
  <c r="T413" i="9" s="1"/>
  <c r="G416" i="2" s="1"/>
  <c r="C413" i="3"/>
  <c r="C413" i="4" s="1"/>
  <c r="N415" i="9"/>
  <c r="O414" i="9"/>
  <c r="P414" i="9" s="1"/>
  <c r="K733" i="9"/>
  <c r="L732" i="9"/>
  <c r="M732" i="9" s="1"/>
  <c r="R414" i="9" l="1"/>
  <c r="E417" i="2" s="1"/>
  <c r="A415" i="3" s="1"/>
  <c r="A415" i="4" s="1"/>
  <c r="S414" i="9"/>
  <c r="F417" i="2" s="1"/>
  <c r="B415" i="3" s="1"/>
  <c r="B415" i="4" s="1"/>
  <c r="T414" i="9"/>
  <c r="G417" i="2" s="1"/>
  <c r="S413" i="9"/>
  <c r="F416" i="2" s="1"/>
  <c r="B414" i="3" s="1"/>
  <c r="B414" i="4" s="1"/>
  <c r="R413" i="9"/>
  <c r="E416" i="2" s="1"/>
  <c r="A414" i="3" s="1"/>
  <c r="A414" i="4" s="1"/>
  <c r="C414" i="3"/>
  <c r="C414" i="4" s="1"/>
  <c r="N416" i="9"/>
  <c r="O415" i="9"/>
  <c r="K734" i="9"/>
  <c r="L733" i="9"/>
  <c r="M733" i="9" s="1"/>
  <c r="P415" i="9" l="1"/>
  <c r="C415" i="3"/>
  <c r="C415" i="4" s="1"/>
  <c r="N417" i="9"/>
  <c r="O416" i="9"/>
  <c r="P416" i="9" s="1"/>
  <c r="K735" i="9"/>
  <c r="L734" i="9"/>
  <c r="M734" i="9" s="1"/>
  <c r="T416" i="9" l="1"/>
  <c r="G419" i="2" s="1"/>
  <c r="S416" i="9"/>
  <c r="F419" i="2" s="1"/>
  <c r="B417" i="3" s="1"/>
  <c r="B417" i="4" s="1"/>
  <c r="R416" i="9"/>
  <c r="E419" i="2" s="1"/>
  <c r="A417" i="3" s="1"/>
  <c r="A417" i="4" s="1"/>
  <c r="R415" i="9"/>
  <c r="E418" i="2" s="1"/>
  <c r="A416" i="3" s="1"/>
  <c r="A416" i="4" s="1"/>
  <c r="S415" i="9"/>
  <c r="F418" i="2" s="1"/>
  <c r="B416" i="3" s="1"/>
  <c r="B416" i="4" s="1"/>
  <c r="T415" i="9"/>
  <c r="G418" i="2" s="1"/>
  <c r="C416" i="3" s="1"/>
  <c r="C416" i="4" s="1"/>
  <c r="O417" i="9"/>
  <c r="N418" i="9"/>
  <c r="K736" i="9"/>
  <c r="L735" i="9"/>
  <c r="M735" i="9" s="1"/>
  <c r="P417" i="9" l="1"/>
  <c r="C417" i="3"/>
  <c r="C417" i="4" s="1"/>
  <c r="N419" i="9"/>
  <c r="O418" i="9"/>
  <c r="P418" i="9" s="1"/>
  <c r="K737" i="9"/>
  <c r="L736" i="9"/>
  <c r="M736" i="9" s="1"/>
  <c r="S417" i="9" l="1"/>
  <c r="F420" i="2" s="1"/>
  <c r="B418" i="3" s="1"/>
  <c r="B418" i="4" s="1"/>
  <c r="R417" i="9"/>
  <c r="E420" i="2" s="1"/>
  <c r="A418" i="3" s="1"/>
  <c r="A418" i="4" s="1"/>
  <c r="S418" i="9"/>
  <c r="F421" i="2" s="1"/>
  <c r="B419" i="3" s="1"/>
  <c r="B419" i="4" s="1"/>
  <c r="R418" i="9"/>
  <c r="E421" i="2" s="1"/>
  <c r="A419" i="3" s="1"/>
  <c r="A419" i="4" s="1"/>
  <c r="T418" i="9"/>
  <c r="G421" i="2" s="1"/>
  <c r="T417" i="9"/>
  <c r="G420" i="2" s="1"/>
  <c r="C418" i="3" s="1"/>
  <c r="C418" i="4" s="1"/>
  <c r="O419" i="9"/>
  <c r="N420" i="9"/>
  <c r="K738" i="9"/>
  <c r="L737" i="9"/>
  <c r="M737" i="9" s="1"/>
  <c r="P419" i="9" l="1"/>
  <c r="C419" i="3"/>
  <c r="C419" i="4" s="1"/>
  <c r="N421" i="9"/>
  <c r="O420" i="9"/>
  <c r="P420" i="9" s="1"/>
  <c r="K739" i="9"/>
  <c r="L738" i="9"/>
  <c r="M738" i="9" s="1"/>
  <c r="R420" i="9" l="1"/>
  <c r="E423" i="2" s="1"/>
  <c r="A421" i="3" s="1"/>
  <c r="A421" i="4" s="1"/>
  <c r="S420" i="9"/>
  <c r="F423" i="2" s="1"/>
  <c r="B421" i="3" s="1"/>
  <c r="B421" i="4" s="1"/>
  <c r="R419" i="9"/>
  <c r="E422" i="2" s="1"/>
  <c r="A420" i="3" s="1"/>
  <c r="A420" i="4" s="1"/>
  <c r="S419" i="9"/>
  <c r="F422" i="2" s="1"/>
  <c r="B420" i="3" s="1"/>
  <c r="B420" i="4" s="1"/>
  <c r="T419" i="9"/>
  <c r="G422" i="2" s="1"/>
  <c r="C420" i="3" s="1"/>
  <c r="C420" i="4" s="1"/>
  <c r="T420" i="9"/>
  <c r="G423" i="2" s="1"/>
  <c r="O421" i="9"/>
  <c r="N422" i="9"/>
  <c r="K740" i="9"/>
  <c r="L739" i="9"/>
  <c r="M739" i="9" s="1"/>
  <c r="P421" i="9" l="1"/>
  <c r="C421" i="3"/>
  <c r="C421" i="4" s="1"/>
  <c r="N423" i="9"/>
  <c r="O422" i="9"/>
  <c r="P422" i="9" s="1"/>
  <c r="K741" i="9"/>
  <c r="L740" i="9"/>
  <c r="M740" i="9" s="1"/>
  <c r="R422" i="9" l="1"/>
  <c r="E425" i="2" s="1"/>
  <c r="A423" i="3" s="1"/>
  <c r="A423" i="4" s="1"/>
  <c r="S422" i="9"/>
  <c r="F425" i="2" s="1"/>
  <c r="B423" i="3" s="1"/>
  <c r="B423" i="4" s="1"/>
  <c r="R421" i="9"/>
  <c r="E424" i="2" s="1"/>
  <c r="A422" i="3" s="1"/>
  <c r="A422" i="4" s="1"/>
  <c r="S421" i="9"/>
  <c r="F424" i="2" s="1"/>
  <c r="B422" i="3" s="1"/>
  <c r="B422" i="4" s="1"/>
  <c r="T422" i="9"/>
  <c r="G425" i="2" s="1"/>
  <c r="T421" i="9"/>
  <c r="G424" i="2" s="1"/>
  <c r="C422" i="3" s="1"/>
  <c r="C422" i="4" s="1"/>
  <c r="N424" i="9"/>
  <c r="O423" i="9"/>
  <c r="K742" i="9"/>
  <c r="L741" i="9"/>
  <c r="M741" i="9" s="1"/>
  <c r="P423" i="9" l="1"/>
  <c r="S423" i="9" s="1"/>
  <c r="F426" i="2" s="1"/>
  <c r="B424" i="3" s="1"/>
  <c r="B424" i="4" s="1"/>
  <c r="C423" i="3"/>
  <c r="C423" i="4" s="1"/>
  <c r="N425" i="9"/>
  <c r="O424" i="9"/>
  <c r="P424" i="9" s="1"/>
  <c r="K743" i="9"/>
  <c r="L742" i="9"/>
  <c r="M742" i="9" s="1"/>
  <c r="T424" i="9" l="1"/>
  <c r="G427" i="2" s="1"/>
  <c r="T423" i="9"/>
  <c r="G426" i="2" s="1"/>
  <c r="C424" i="3" s="1"/>
  <c r="C424" i="4" s="1"/>
  <c r="S424" i="9"/>
  <c r="F427" i="2" s="1"/>
  <c r="B425" i="3" s="1"/>
  <c r="B425" i="4" s="1"/>
  <c r="R424" i="9"/>
  <c r="E427" i="2" s="1"/>
  <c r="A425" i="3" s="1"/>
  <c r="A425" i="4" s="1"/>
  <c r="R423" i="9"/>
  <c r="E426" i="2" s="1"/>
  <c r="A424" i="3" s="1"/>
  <c r="A424" i="4" s="1"/>
  <c r="O425" i="9"/>
  <c r="N426" i="9"/>
  <c r="K744" i="9"/>
  <c r="L743" i="9"/>
  <c r="M743" i="9" s="1"/>
  <c r="P425" i="9" l="1"/>
  <c r="T425" i="9" s="1"/>
  <c r="G428" i="2" s="1"/>
  <c r="C425" i="3"/>
  <c r="C425" i="4" s="1"/>
  <c r="N427" i="9"/>
  <c r="O426" i="9"/>
  <c r="P426" i="9" s="1"/>
  <c r="K745" i="9"/>
  <c r="L744" i="9"/>
  <c r="M744" i="9" s="1"/>
  <c r="R426" i="9" l="1"/>
  <c r="E429" i="2" s="1"/>
  <c r="A427" i="3" s="1"/>
  <c r="A427" i="4" s="1"/>
  <c r="S426" i="9"/>
  <c r="F429" i="2" s="1"/>
  <c r="B427" i="3" s="1"/>
  <c r="B427" i="4" s="1"/>
  <c r="S425" i="9"/>
  <c r="F428" i="2" s="1"/>
  <c r="B426" i="3" s="1"/>
  <c r="B426" i="4" s="1"/>
  <c r="R425" i="9"/>
  <c r="E428" i="2" s="1"/>
  <c r="A426" i="3" s="1"/>
  <c r="A426" i="4" s="1"/>
  <c r="T426" i="9"/>
  <c r="G429" i="2" s="1"/>
  <c r="C426" i="3"/>
  <c r="C426" i="4" s="1"/>
  <c r="O427" i="9"/>
  <c r="N428" i="9"/>
  <c r="K746" i="9"/>
  <c r="L745" i="9"/>
  <c r="M745" i="9" s="1"/>
  <c r="P427" i="9" l="1"/>
  <c r="T427" i="9" s="1"/>
  <c r="G430" i="2" s="1"/>
  <c r="C427" i="3"/>
  <c r="C427" i="4" s="1"/>
  <c r="N429" i="9"/>
  <c r="O428" i="9"/>
  <c r="P428" i="9" s="1"/>
  <c r="K747" i="9"/>
  <c r="L746" i="9"/>
  <c r="M746" i="9" s="1"/>
  <c r="R428" i="9" l="1"/>
  <c r="E431" i="2" s="1"/>
  <c r="A429" i="3" s="1"/>
  <c r="A429" i="4" s="1"/>
  <c r="S428" i="9"/>
  <c r="F431" i="2" s="1"/>
  <c r="B429" i="3" s="1"/>
  <c r="B429" i="4" s="1"/>
  <c r="T428" i="9"/>
  <c r="G431" i="2" s="1"/>
  <c r="S427" i="9"/>
  <c r="F430" i="2" s="1"/>
  <c r="B428" i="3" s="1"/>
  <c r="B428" i="4" s="1"/>
  <c r="R427" i="9"/>
  <c r="E430" i="2" s="1"/>
  <c r="A428" i="3" s="1"/>
  <c r="A428" i="4" s="1"/>
  <c r="C428" i="3"/>
  <c r="C428" i="4" s="1"/>
  <c r="O429" i="9"/>
  <c r="N430" i="9"/>
  <c r="K748" i="9"/>
  <c r="L747" i="9"/>
  <c r="M747" i="9" s="1"/>
  <c r="P429" i="9" l="1"/>
  <c r="T429" i="9" s="1"/>
  <c r="G432" i="2" s="1"/>
  <c r="C429" i="3"/>
  <c r="C429" i="4" s="1"/>
  <c r="N431" i="9"/>
  <c r="O430" i="9"/>
  <c r="P430" i="9" s="1"/>
  <c r="K749" i="9"/>
  <c r="L748" i="9"/>
  <c r="M748" i="9" s="1"/>
  <c r="S430" i="9" l="1"/>
  <c r="F433" i="2" s="1"/>
  <c r="B431" i="3" s="1"/>
  <c r="B431" i="4" s="1"/>
  <c r="R430" i="9"/>
  <c r="E433" i="2" s="1"/>
  <c r="A431" i="3" s="1"/>
  <c r="A431" i="4" s="1"/>
  <c r="T430" i="9"/>
  <c r="G433" i="2" s="1"/>
  <c r="R429" i="9"/>
  <c r="E432" i="2" s="1"/>
  <c r="A430" i="3" s="1"/>
  <c r="A430" i="4" s="1"/>
  <c r="S429" i="9"/>
  <c r="F432" i="2" s="1"/>
  <c r="B430" i="3" s="1"/>
  <c r="B430" i="4" s="1"/>
  <c r="C430" i="3"/>
  <c r="C430" i="4" s="1"/>
  <c r="O431" i="9"/>
  <c r="N432" i="9"/>
  <c r="K750" i="9"/>
  <c r="L749" i="9"/>
  <c r="M749" i="9" s="1"/>
  <c r="P431" i="9" l="1"/>
  <c r="S431" i="9" s="1"/>
  <c r="F434" i="2" s="1"/>
  <c r="B432" i="3" s="1"/>
  <c r="B432" i="4" s="1"/>
  <c r="C431" i="3"/>
  <c r="C431" i="4" s="1"/>
  <c r="N433" i="9"/>
  <c r="O432" i="9"/>
  <c r="P432" i="9" s="1"/>
  <c r="K751" i="9"/>
  <c r="L750" i="9"/>
  <c r="M750" i="9" s="1"/>
  <c r="T432" i="9" l="1"/>
  <c r="G435" i="2" s="1"/>
  <c r="T431" i="9"/>
  <c r="G434" i="2" s="1"/>
  <c r="C432" i="3" s="1"/>
  <c r="C432" i="4" s="1"/>
  <c r="S432" i="9"/>
  <c r="F435" i="2" s="1"/>
  <c r="B433" i="3" s="1"/>
  <c r="B433" i="4" s="1"/>
  <c r="R432" i="9"/>
  <c r="E435" i="2" s="1"/>
  <c r="A433" i="3" s="1"/>
  <c r="A433" i="4" s="1"/>
  <c r="R431" i="9"/>
  <c r="E434" i="2" s="1"/>
  <c r="A432" i="3" s="1"/>
  <c r="A432" i="4" s="1"/>
  <c r="N434" i="9"/>
  <c r="O433" i="9"/>
  <c r="K752" i="9"/>
  <c r="L751" i="9"/>
  <c r="M751" i="9" s="1"/>
  <c r="P433" i="9" l="1"/>
  <c r="T433" i="9" s="1"/>
  <c r="G436" i="2" s="1"/>
  <c r="C433" i="3"/>
  <c r="C433" i="4" s="1"/>
  <c r="N435" i="9"/>
  <c r="O434" i="9"/>
  <c r="P434" i="9" s="1"/>
  <c r="K753" i="9"/>
  <c r="L752" i="9"/>
  <c r="M752" i="9" s="1"/>
  <c r="T434" i="9" l="1"/>
  <c r="G437" i="2" s="1"/>
  <c r="R434" i="9"/>
  <c r="E437" i="2" s="1"/>
  <c r="A435" i="3" s="1"/>
  <c r="A435" i="4" s="1"/>
  <c r="S434" i="9"/>
  <c r="F437" i="2" s="1"/>
  <c r="B435" i="3" s="1"/>
  <c r="B435" i="4" s="1"/>
  <c r="R433" i="9"/>
  <c r="E436" i="2" s="1"/>
  <c r="A434" i="3" s="1"/>
  <c r="A434" i="4" s="1"/>
  <c r="S433" i="9"/>
  <c r="F436" i="2" s="1"/>
  <c r="B434" i="3" s="1"/>
  <c r="B434" i="4" s="1"/>
  <c r="C434" i="3"/>
  <c r="C434" i="4" s="1"/>
  <c r="N436" i="9"/>
  <c r="O435" i="9"/>
  <c r="K754" i="9"/>
  <c r="L753" i="9"/>
  <c r="M753" i="9" s="1"/>
  <c r="P435" i="9" l="1"/>
  <c r="T435" i="9" s="1"/>
  <c r="G438" i="2" s="1"/>
  <c r="C435" i="3"/>
  <c r="C435" i="4" s="1"/>
  <c r="N437" i="9"/>
  <c r="O436" i="9"/>
  <c r="P436" i="9" s="1"/>
  <c r="K755" i="9"/>
  <c r="L754" i="9"/>
  <c r="M754" i="9" s="1"/>
  <c r="T436" i="9" l="1"/>
  <c r="G439" i="2" s="1"/>
  <c r="R435" i="9"/>
  <c r="E438" i="2" s="1"/>
  <c r="A436" i="3" s="1"/>
  <c r="A436" i="4" s="1"/>
  <c r="S435" i="9"/>
  <c r="F438" i="2" s="1"/>
  <c r="B436" i="3" s="1"/>
  <c r="B436" i="4" s="1"/>
  <c r="R436" i="9"/>
  <c r="E439" i="2" s="1"/>
  <c r="A437" i="3" s="1"/>
  <c r="A437" i="4" s="1"/>
  <c r="S436" i="9"/>
  <c r="F439" i="2" s="1"/>
  <c r="B437" i="3" s="1"/>
  <c r="B437" i="4" s="1"/>
  <c r="C436" i="3"/>
  <c r="C436" i="4" s="1"/>
  <c r="N438" i="9"/>
  <c r="O437" i="9"/>
  <c r="K756" i="9"/>
  <c r="L755" i="9"/>
  <c r="M755" i="9" s="1"/>
  <c r="P437" i="9" l="1"/>
  <c r="T437" i="9" s="1"/>
  <c r="G440" i="2" s="1"/>
  <c r="C437" i="3"/>
  <c r="C437" i="4" s="1"/>
  <c r="O438" i="9"/>
  <c r="P438" i="9" s="1"/>
  <c r="N439" i="9"/>
  <c r="K757" i="9"/>
  <c r="L756" i="9"/>
  <c r="M756" i="9" s="1"/>
  <c r="S437" i="9" l="1"/>
  <c r="F440" i="2" s="1"/>
  <c r="B438" i="3" s="1"/>
  <c r="B438" i="4" s="1"/>
  <c r="R437" i="9"/>
  <c r="E440" i="2" s="1"/>
  <c r="A438" i="3" s="1"/>
  <c r="A438" i="4" s="1"/>
  <c r="T438" i="9"/>
  <c r="G441" i="2" s="1"/>
  <c r="S438" i="9"/>
  <c r="F441" i="2" s="1"/>
  <c r="B439" i="3" s="1"/>
  <c r="B439" i="4" s="1"/>
  <c r="R438" i="9"/>
  <c r="E441" i="2" s="1"/>
  <c r="A439" i="3" s="1"/>
  <c r="A439" i="4" s="1"/>
  <c r="C438" i="3"/>
  <c r="C438" i="4" s="1"/>
  <c r="N440" i="9"/>
  <c r="O439" i="9"/>
  <c r="K758" i="9"/>
  <c r="L757" i="9"/>
  <c r="M757" i="9" s="1"/>
  <c r="P439" i="9" l="1"/>
  <c r="T439" i="9" s="1"/>
  <c r="G442" i="2" s="1"/>
  <c r="C439" i="3"/>
  <c r="C439" i="4" s="1"/>
  <c r="N441" i="9"/>
  <c r="O440" i="9"/>
  <c r="P440" i="9" s="1"/>
  <c r="K759" i="9"/>
  <c r="L758" i="9"/>
  <c r="M758" i="9" s="1"/>
  <c r="T440" i="9" l="1"/>
  <c r="G443" i="2" s="1"/>
  <c r="R439" i="9"/>
  <c r="E442" i="2" s="1"/>
  <c r="A440" i="3" s="1"/>
  <c r="A440" i="4" s="1"/>
  <c r="S439" i="9"/>
  <c r="F442" i="2" s="1"/>
  <c r="B440" i="3" s="1"/>
  <c r="B440" i="4" s="1"/>
  <c r="S440" i="9"/>
  <c r="F443" i="2" s="1"/>
  <c r="B441" i="3" s="1"/>
  <c r="B441" i="4" s="1"/>
  <c r="R440" i="9"/>
  <c r="E443" i="2" s="1"/>
  <c r="A441" i="3" s="1"/>
  <c r="A441" i="4" s="1"/>
  <c r="C440" i="3"/>
  <c r="C440" i="4" s="1"/>
  <c r="N442" i="9"/>
  <c r="O441" i="9"/>
  <c r="K760" i="9"/>
  <c r="L759" i="9"/>
  <c r="M759" i="9" s="1"/>
  <c r="P441" i="9" l="1"/>
  <c r="C441" i="3"/>
  <c r="C441" i="4" s="1"/>
  <c r="N443" i="9"/>
  <c r="O442" i="9"/>
  <c r="P442" i="9" s="1"/>
  <c r="K761" i="9"/>
  <c r="L760" i="9"/>
  <c r="M760" i="9" s="1"/>
  <c r="R441" i="9" l="1"/>
  <c r="E444" i="2" s="1"/>
  <c r="A442" i="3" s="1"/>
  <c r="A442" i="4" s="1"/>
  <c r="S441" i="9"/>
  <c r="F444" i="2" s="1"/>
  <c r="B442" i="3" s="1"/>
  <c r="B442" i="4" s="1"/>
  <c r="S442" i="9"/>
  <c r="F445" i="2" s="1"/>
  <c r="B443" i="3" s="1"/>
  <c r="B443" i="4" s="1"/>
  <c r="R442" i="9"/>
  <c r="E445" i="2" s="1"/>
  <c r="A443" i="3" s="1"/>
  <c r="A443" i="4" s="1"/>
  <c r="T442" i="9"/>
  <c r="G445" i="2" s="1"/>
  <c r="T441" i="9"/>
  <c r="G444" i="2" s="1"/>
  <c r="C442" i="3" s="1"/>
  <c r="C442" i="4" s="1"/>
  <c r="N444" i="9"/>
  <c r="O443" i="9"/>
  <c r="K762" i="9"/>
  <c r="L761" i="9"/>
  <c r="M761" i="9" s="1"/>
  <c r="P443" i="9" l="1"/>
  <c r="C443" i="3"/>
  <c r="C443" i="4" s="1"/>
  <c r="N445" i="9"/>
  <c r="O444" i="9"/>
  <c r="P444" i="9" s="1"/>
  <c r="K763" i="9"/>
  <c r="L762" i="9"/>
  <c r="M762" i="9" s="1"/>
  <c r="S444" i="9" l="1"/>
  <c r="F447" i="2" s="1"/>
  <c r="B445" i="3" s="1"/>
  <c r="B445" i="4" s="1"/>
  <c r="R444" i="9"/>
  <c r="E447" i="2" s="1"/>
  <c r="A445" i="3" s="1"/>
  <c r="A445" i="4" s="1"/>
  <c r="T444" i="9"/>
  <c r="G447" i="2" s="1"/>
  <c r="R443" i="9"/>
  <c r="E446" i="2" s="1"/>
  <c r="A444" i="3" s="1"/>
  <c r="A444" i="4" s="1"/>
  <c r="S443" i="9"/>
  <c r="F446" i="2" s="1"/>
  <c r="B444" i="3" s="1"/>
  <c r="B444" i="4" s="1"/>
  <c r="T443" i="9"/>
  <c r="G446" i="2" s="1"/>
  <c r="C444" i="3" s="1"/>
  <c r="C444" i="4" s="1"/>
  <c r="O445" i="9"/>
  <c r="N446" i="9"/>
  <c r="K764" i="9"/>
  <c r="L763" i="9"/>
  <c r="M763" i="9" s="1"/>
  <c r="P445" i="9" l="1"/>
  <c r="T445" i="9" s="1"/>
  <c r="G448" i="2" s="1"/>
  <c r="C445" i="3"/>
  <c r="C445" i="4" s="1"/>
  <c r="N447" i="9"/>
  <c r="O446" i="9"/>
  <c r="P446" i="9" s="1"/>
  <c r="K765" i="9"/>
  <c r="L764" i="9"/>
  <c r="M764" i="9" s="1"/>
  <c r="R446" i="9" l="1"/>
  <c r="E449" i="2" s="1"/>
  <c r="A447" i="3" s="1"/>
  <c r="A447" i="4" s="1"/>
  <c r="S446" i="9"/>
  <c r="F449" i="2" s="1"/>
  <c r="B447" i="3" s="1"/>
  <c r="B447" i="4" s="1"/>
  <c r="T446" i="9"/>
  <c r="G449" i="2" s="1"/>
  <c r="S445" i="9"/>
  <c r="F448" i="2" s="1"/>
  <c r="B446" i="3" s="1"/>
  <c r="B446" i="4" s="1"/>
  <c r="R445" i="9"/>
  <c r="E448" i="2" s="1"/>
  <c r="A446" i="3" s="1"/>
  <c r="A446" i="4" s="1"/>
  <c r="C446" i="3"/>
  <c r="C446" i="4" s="1"/>
  <c r="N448" i="9"/>
  <c r="O447" i="9"/>
  <c r="K766" i="9"/>
  <c r="L765" i="9"/>
  <c r="M765" i="9" s="1"/>
  <c r="P447" i="9" l="1"/>
  <c r="S447" i="9" s="1"/>
  <c r="F450" i="2" s="1"/>
  <c r="B448" i="3" s="1"/>
  <c r="B448" i="4" s="1"/>
  <c r="C447" i="3"/>
  <c r="C447" i="4" s="1"/>
  <c r="N449" i="9"/>
  <c r="O448" i="9"/>
  <c r="P448" i="9" s="1"/>
  <c r="K767" i="9"/>
  <c r="L766" i="9"/>
  <c r="M766" i="9" s="1"/>
  <c r="T447" i="9" l="1"/>
  <c r="G450" i="2" s="1"/>
  <c r="C448" i="3" s="1"/>
  <c r="C448" i="4" s="1"/>
  <c r="T448" i="9"/>
  <c r="G451" i="2" s="1"/>
  <c r="S448" i="9"/>
  <c r="F451" i="2" s="1"/>
  <c r="B449" i="3" s="1"/>
  <c r="B449" i="4" s="1"/>
  <c r="R448" i="9"/>
  <c r="E451" i="2" s="1"/>
  <c r="A449" i="3" s="1"/>
  <c r="A449" i="4" s="1"/>
  <c r="R447" i="9"/>
  <c r="E450" i="2" s="1"/>
  <c r="A448" i="3" s="1"/>
  <c r="A448" i="4" s="1"/>
  <c r="N450" i="9"/>
  <c r="O449" i="9"/>
  <c r="K768" i="9"/>
  <c r="L767" i="9"/>
  <c r="M767" i="9" s="1"/>
  <c r="P449" i="9" l="1"/>
  <c r="C449" i="3"/>
  <c r="C449" i="4" s="1"/>
  <c r="N451" i="9"/>
  <c r="O450" i="9"/>
  <c r="P450" i="9" s="1"/>
  <c r="K769" i="9"/>
  <c r="L768" i="9"/>
  <c r="M768" i="9" s="1"/>
  <c r="R449" i="9" l="1"/>
  <c r="E452" i="2" s="1"/>
  <c r="A450" i="3" s="1"/>
  <c r="A450" i="4" s="1"/>
  <c r="S449" i="9"/>
  <c r="F452" i="2" s="1"/>
  <c r="B450" i="3" s="1"/>
  <c r="B450" i="4" s="1"/>
  <c r="T449" i="9"/>
  <c r="G452" i="2" s="1"/>
  <c r="C450" i="3" s="1"/>
  <c r="C450" i="4" s="1"/>
  <c r="S450" i="9"/>
  <c r="F453" i="2" s="1"/>
  <c r="B451" i="3" s="1"/>
  <c r="B451" i="4" s="1"/>
  <c r="R450" i="9"/>
  <c r="E453" i="2" s="1"/>
  <c r="A451" i="3" s="1"/>
  <c r="A451" i="4" s="1"/>
  <c r="T450" i="9"/>
  <c r="G453" i="2" s="1"/>
  <c r="N452" i="9"/>
  <c r="O451" i="9"/>
  <c r="K770" i="9"/>
  <c r="L769" i="9"/>
  <c r="M769" i="9" s="1"/>
  <c r="P451" i="9" l="1"/>
  <c r="C451" i="3"/>
  <c r="C451" i="4" s="1"/>
  <c r="O452" i="9"/>
  <c r="P452" i="9" s="1"/>
  <c r="N453" i="9"/>
  <c r="K771" i="9"/>
  <c r="L770" i="9"/>
  <c r="M770" i="9" s="1"/>
  <c r="T452" i="9" l="1"/>
  <c r="G455" i="2" s="1"/>
  <c r="S451" i="9"/>
  <c r="F454" i="2" s="1"/>
  <c r="B452" i="3" s="1"/>
  <c r="B452" i="4" s="1"/>
  <c r="R451" i="9"/>
  <c r="E454" i="2" s="1"/>
  <c r="A452" i="3" s="1"/>
  <c r="A452" i="4" s="1"/>
  <c r="T451" i="9"/>
  <c r="G454" i="2" s="1"/>
  <c r="C452" i="3" s="1"/>
  <c r="C452" i="4" s="1"/>
  <c r="S452" i="9"/>
  <c r="F455" i="2" s="1"/>
  <c r="B453" i="3" s="1"/>
  <c r="B453" i="4" s="1"/>
  <c r="R452" i="9"/>
  <c r="E455" i="2" s="1"/>
  <c r="A453" i="3" s="1"/>
  <c r="A453" i="4" s="1"/>
  <c r="N454" i="9"/>
  <c r="O453" i="9"/>
  <c r="K772" i="9"/>
  <c r="L771" i="9"/>
  <c r="M771" i="9" s="1"/>
  <c r="P453" i="9" l="1"/>
  <c r="T453" i="9" s="1"/>
  <c r="G456" i="2" s="1"/>
  <c r="C453" i="3"/>
  <c r="C453" i="4" s="1"/>
  <c r="O454" i="9"/>
  <c r="P454" i="9" s="1"/>
  <c r="N455" i="9"/>
  <c r="K773" i="9"/>
  <c r="L772" i="9"/>
  <c r="M772" i="9" s="1"/>
  <c r="T454" i="9" l="1"/>
  <c r="G457" i="2" s="1"/>
  <c r="S454" i="9"/>
  <c r="F457" i="2" s="1"/>
  <c r="B455" i="3" s="1"/>
  <c r="B455" i="4" s="1"/>
  <c r="R454" i="9"/>
  <c r="E457" i="2" s="1"/>
  <c r="A455" i="3" s="1"/>
  <c r="A455" i="4" s="1"/>
  <c r="R453" i="9"/>
  <c r="E456" i="2" s="1"/>
  <c r="A454" i="3" s="1"/>
  <c r="A454" i="4" s="1"/>
  <c r="S453" i="9"/>
  <c r="F456" i="2" s="1"/>
  <c r="B454" i="3" s="1"/>
  <c r="B454" i="4" s="1"/>
  <c r="C454" i="3"/>
  <c r="C454" i="4" s="1"/>
  <c r="N456" i="9"/>
  <c r="O455" i="9"/>
  <c r="K774" i="9"/>
  <c r="L773" i="9"/>
  <c r="M773" i="9" s="1"/>
  <c r="P455" i="9" l="1"/>
  <c r="T455" i="9" s="1"/>
  <c r="G458" i="2" s="1"/>
  <c r="C455" i="3"/>
  <c r="C455" i="4" s="1"/>
  <c r="N457" i="9"/>
  <c r="O456" i="9"/>
  <c r="P456" i="9" s="1"/>
  <c r="K775" i="9"/>
  <c r="L774" i="9"/>
  <c r="M774" i="9" s="1"/>
  <c r="R456" i="9" l="1"/>
  <c r="E459" i="2" s="1"/>
  <c r="A457" i="3" s="1"/>
  <c r="A457" i="4" s="1"/>
  <c r="S456" i="9"/>
  <c r="F459" i="2" s="1"/>
  <c r="B457" i="3" s="1"/>
  <c r="B457" i="4" s="1"/>
  <c r="R455" i="9"/>
  <c r="E458" i="2" s="1"/>
  <c r="A456" i="3" s="1"/>
  <c r="A456" i="4" s="1"/>
  <c r="S455" i="9"/>
  <c r="F458" i="2" s="1"/>
  <c r="B456" i="3" s="1"/>
  <c r="B456" i="4" s="1"/>
  <c r="T456" i="9"/>
  <c r="G459" i="2" s="1"/>
  <c r="C456" i="3"/>
  <c r="C456" i="4" s="1"/>
  <c r="O457" i="9"/>
  <c r="N458" i="9"/>
  <c r="K776" i="9"/>
  <c r="L775" i="9"/>
  <c r="M775" i="9" s="1"/>
  <c r="P457" i="9" l="1"/>
  <c r="T457" i="9" s="1"/>
  <c r="G460" i="2" s="1"/>
  <c r="C457" i="3"/>
  <c r="C457" i="4" s="1"/>
  <c r="N459" i="9"/>
  <c r="O458" i="9"/>
  <c r="P458" i="9" s="1"/>
  <c r="K777" i="9"/>
  <c r="L776" i="9"/>
  <c r="M776" i="9" s="1"/>
  <c r="S458" i="9" l="1"/>
  <c r="F461" i="2" s="1"/>
  <c r="B459" i="3" s="1"/>
  <c r="B459" i="4" s="1"/>
  <c r="R458" i="9"/>
  <c r="E461" i="2" s="1"/>
  <c r="A459" i="3" s="1"/>
  <c r="A459" i="4" s="1"/>
  <c r="S457" i="9"/>
  <c r="F460" i="2" s="1"/>
  <c r="B458" i="3" s="1"/>
  <c r="B458" i="4" s="1"/>
  <c r="R457" i="9"/>
  <c r="E460" i="2" s="1"/>
  <c r="A458" i="3" s="1"/>
  <c r="A458" i="4" s="1"/>
  <c r="T458" i="9"/>
  <c r="G461" i="2" s="1"/>
  <c r="C458" i="3"/>
  <c r="C458" i="4" s="1"/>
  <c r="N460" i="9"/>
  <c r="O459" i="9"/>
  <c r="K778" i="9"/>
  <c r="L777" i="9"/>
  <c r="M777" i="9" s="1"/>
  <c r="P459" i="9" l="1"/>
  <c r="T459" i="9" s="1"/>
  <c r="G462" i="2" s="1"/>
  <c r="C459" i="3"/>
  <c r="C459" i="4" s="1"/>
  <c r="N461" i="9"/>
  <c r="O460" i="9"/>
  <c r="P460" i="9" s="1"/>
  <c r="K779" i="9"/>
  <c r="L778" i="9"/>
  <c r="M778" i="9" s="1"/>
  <c r="S460" i="9" l="1"/>
  <c r="F463" i="2" s="1"/>
  <c r="B461" i="3" s="1"/>
  <c r="B461" i="4" s="1"/>
  <c r="R460" i="9"/>
  <c r="E463" i="2" s="1"/>
  <c r="A461" i="3" s="1"/>
  <c r="A461" i="4" s="1"/>
  <c r="T460" i="9"/>
  <c r="G463" i="2" s="1"/>
  <c r="S459" i="9"/>
  <c r="F462" i="2" s="1"/>
  <c r="B460" i="3" s="1"/>
  <c r="B460" i="4" s="1"/>
  <c r="R459" i="9"/>
  <c r="E462" i="2" s="1"/>
  <c r="A460" i="3" s="1"/>
  <c r="A460" i="4" s="1"/>
  <c r="C460" i="3"/>
  <c r="C460" i="4" s="1"/>
  <c r="N462" i="9"/>
  <c r="O461" i="9"/>
  <c r="K780" i="9"/>
  <c r="L779" i="9"/>
  <c r="M779" i="9" s="1"/>
  <c r="P461" i="9" l="1"/>
  <c r="T461" i="9" s="1"/>
  <c r="G464" i="2" s="1"/>
  <c r="C461" i="3"/>
  <c r="C461" i="4" s="1"/>
  <c r="N463" i="9"/>
  <c r="O462" i="9"/>
  <c r="P462" i="9" s="1"/>
  <c r="K781" i="9"/>
  <c r="L780" i="9"/>
  <c r="M780" i="9" s="1"/>
  <c r="R462" i="9" l="1"/>
  <c r="E465" i="2" s="1"/>
  <c r="A463" i="3" s="1"/>
  <c r="A463" i="4" s="1"/>
  <c r="S462" i="9"/>
  <c r="F465" i="2" s="1"/>
  <c r="B463" i="3" s="1"/>
  <c r="B463" i="4" s="1"/>
  <c r="R461" i="9"/>
  <c r="E464" i="2" s="1"/>
  <c r="A462" i="3" s="1"/>
  <c r="A462" i="4" s="1"/>
  <c r="S461" i="9"/>
  <c r="F464" i="2" s="1"/>
  <c r="B462" i="3" s="1"/>
  <c r="B462" i="4" s="1"/>
  <c r="T462" i="9"/>
  <c r="G465" i="2" s="1"/>
  <c r="C462" i="3"/>
  <c r="C462" i="4" s="1"/>
  <c r="N464" i="9"/>
  <c r="O463" i="9"/>
  <c r="K782" i="9"/>
  <c r="L781" i="9"/>
  <c r="M781" i="9" s="1"/>
  <c r="P463" i="9" l="1"/>
  <c r="C463" i="3"/>
  <c r="C463" i="4" s="1"/>
  <c r="N465" i="9"/>
  <c r="O464" i="9"/>
  <c r="P464" i="9" s="1"/>
  <c r="K783" i="9"/>
  <c r="L782" i="9"/>
  <c r="M782" i="9" s="1"/>
  <c r="R463" i="9" l="1"/>
  <c r="E466" i="2" s="1"/>
  <c r="A464" i="3" s="1"/>
  <c r="A464" i="4" s="1"/>
  <c r="S463" i="9"/>
  <c r="F466" i="2" s="1"/>
  <c r="B464" i="3" s="1"/>
  <c r="B464" i="4" s="1"/>
  <c r="R464" i="9"/>
  <c r="E467" i="2" s="1"/>
  <c r="A465" i="3" s="1"/>
  <c r="A465" i="4" s="1"/>
  <c r="S464" i="9"/>
  <c r="F467" i="2" s="1"/>
  <c r="B465" i="3" s="1"/>
  <c r="B465" i="4" s="1"/>
  <c r="T464" i="9"/>
  <c r="G467" i="2" s="1"/>
  <c r="T463" i="9"/>
  <c r="G466" i="2" s="1"/>
  <c r="C464" i="3" s="1"/>
  <c r="C464" i="4" s="1"/>
  <c r="N466" i="9"/>
  <c r="O465" i="9"/>
  <c r="K784" i="9"/>
  <c r="L783" i="9"/>
  <c r="M783" i="9" s="1"/>
  <c r="P465" i="9" l="1"/>
  <c r="T465" i="9" s="1"/>
  <c r="G468" i="2" s="1"/>
  <c r="C465" i="3"/>
  <c r="C465" i="4" s="1"/>
  <c r="N467" i="9"/>
  <c r="O466" i="9"/>
  <c r="P466" i="9" s="1"/>
  <c r="K785" i="9"/>
  <c r="L784" i="9"/>
  <c r="M784" i="9" s="1"/>
  <c r="S466" i="9" l="1"/>
  <c r="F469" i="2" s="1"/>
  <c r="B467" i="3" s="1"/>
  <c r="B467" i="4" s="1"/>
  <c r="R466" i="9"/>
  <c r="E469" i="2" s="1"/>
  <c r="A467" i="3" s="1"/>
  <c r="A467" i="4" s="1"/>
  <c r="T466" i="9"/>
  <c r="G469" i="2" s="1"/>
  <c r="S465" i="9"/>
  <c r="F468" i="2" s="1"/>
  <c r="B466" i="3" s="1"/>
  <c r="B466" i="4" s="1"/>
  <c r="R465" i="9"/>
  <c r="E468" i="2" s="1"/>
  <c r="A466" i="3" s="1"/>
  <c r="A466" i="4" s="1"/>
  <c r="C466" i="3"/>
  <c r="C466" i="4" s="1"/>
  <c r="N468" i="9"/>
  <c r="O467" i="9"/>
  <c r="K786" i="9"/>
  <c r="L785" i="9"/>
  <c r="M785" i="9" s="1"/>
  <c r="P467" i="9" l="1"/>
  <c r="T467" i="9" s="1"/>
  <c r="G470" i="2" s="1"/>
  <c r="C467" i="3"/>
  <c r="C467" i="4" s="1"/>
  <c r="N469" i="9"/>
  <c r="O468" i="9"/>
  <c r="P468" i="9" s="1"/>
  <c r="K787" i="9"/>
  <c r="L786" i="9"/>
  <c r="M786" i="9" s="1"/>
  <c r="S468" i="9" l="1"/>
  <c r="F471" i="2" s="1"/>
  <c r="B469" i="3" s="1"/>
  <c r="B469" i="4" s="1"/>
  <c r="R468" i="9"/>
  <c r="E471" i="2" s="1"/>
  <c r="A469" i="3" s="1"/>
  <c r="A469" i="4" s="1"/>
  <c r="T468" i="9"/>
  <c r="G471" i="2" s="1"/>
  <c r="R467" i="9"/>
  <c r="E470" i="2" s="1"/>
  <c r="A468" i="3" s="1"/>
  <c r="A468" i="4" s="1"/>
  <c r="S467" i="9"/>
  <c r="F470" i="2" s="1"/>
  <c r="B468" i="3" s="1"/>
  <c r="B468" i="4" s="1"/>
  <c r="C468" i="3"/>
  <c r="C468" i="4" s="1"/>
  <c r="N470" i="9"/>
  <c r="O469" i="9"/>
  <c r="K788" i="9"/>
  <c r="L787" i="9"/>
  <c r="M787" i="9" s="1"/>
  <c r="P469" i="9" l="1"/>
  <c r="C469" i="3"/>
  <c r="C469" i="4" s="1"/>
  <c r="N471" i="9"/>
  <c r="O470" i="9"/>
  <c r="P470" i="9" s="1"/>
  <c r="K789" i="9"/>
  <c r="L788" i="9"/>
  <c r="M788" i="9" s="1"/>
  <c r="T470" i="9" l="1"/>
  <c r="G473" i="2" s="1"/>
  <c r="R469" i="9"/>
  <c r="E472" i="2" s="1"/>
  <c r="A470" i="3" s="1"/>
  <c r="A470" i="4" s="1"/>
  <c r="S469" i="9"/>
  <c r="F472" i="2" s="1"/>
  <c r="B470" i="3" s="1"/>
  <c r="B470" i="4" s="1"/>
  <c r="S470" i="9"/>
  <c r="F473" i="2" s="1"/>
  <c r="B471" i="3" s="1"/>
  <c r="B471" i="4" s="1"/>
  <c r="R470" i="9"/>
  <c r="E473" i="2" s="1"/>
  <c r="A471" i="3" s="1"/>
  <c r="A471" i="4" s="1"/>
  <c r="T469" i="9"/>
  <c r="G472" i="2" s="1"/>
  <c r="C470" i="3" s="1"/>
  <c r="C470" i="4" s="1"/>
  <c r="N472" i="9"/>
  <c r="O471" i="9"/>
  <c r="K790" i="9"/>
  <c r="L789" i="9"/>
  <c r="M789" i="9" s="1"/>
  <c r="P471" i="9" l="1"/>
  <c r="T471" i="9" s="1"/>
  <c r="G474" i="2" s="1"/>
  <c r="C471" i="3"/>
  <c r="C471" i="4" s="1"/>
  <c r="O472" i="9"/>
  <c r="P472" i="9" s="1"/>
  <c r="N473" i="9"/>
  <c r="K791" i="9"/>
  <c r="L790" i="9"/>
  <c r="M790" i="9" s="1"/>
  <c r="S472" i="9" l="1"/>
  <c r="F475" i="2" s="1"/>
  <c r="B473" i="3" s="1"/>
  <c r="B473" i="4" s="1"/>
  <c r="R472" i="9"/>
  <c r="E475" i="2" s="1"/>
  <c r="A473" i="3" s="1"/>
  <c r="A473" i="4" s="1"/>
  <c r="R471" i="9"/>
  <c r="E474" i="2" s="1"/>
  <c r="A472" i="3" s="1"/>
  <c r="A472" i="4" s="1"/>
  <c r="S471" i="9"/>
  <c r="F474" i="2" s="1"/>
  <c r="B472" i="3" s="1"/>
  <c r="B472" i="4" s="1"/>
  <c r="T472" i="9"/>
  <c r="G475" i="2" s="1"/>
  <c r="C472" i="3"/>
  <c r="C472" i="4" s="1"/>
  <c r="N474" i="9"/>
  <c r="O473" i="9"/>
  <c r="K792" i="9"/>
  <c r="L791" i="9"/>
  <c r="M791" i="9" s="1"/>
  <c r="P473" i="9" l="1"/>
  <c r="C473" i="3"/>
  <c r="C473" i="4" s="1"/>
  <c r="N475" i="9"/>
  <c r="O474" i="9"/>
  <c r="P474" i="9" s="1"/>
  <c r="K793" i="9"/>
  <c r="L792" i="9"/>
  <c r="M792" i="9" s="1"/>
  <c r="S474" i="9" l="1"/>
  <c r="F477" i="2" s="1"/>
  <c r="B475" i="3" s="1"/>
  <c r="B475" i="4" s="1"/>
  <c r="R474" i="9"/>
  <c r="E477" i="2" s="1"/>
  <c r="A475" i="3" s="1"/>
  <c r="A475" i="4" s="1"/>
  <c r="T474" i="9"/>
  <c r="G477" i="2" s="1"/>
  <c r="R473" i="9"/>
  <c r="E476" i="2" s="1"/>
  <c r="A474" i="3" s="1"/>
  <c r="A474" i="4" s="1"/>
  <c r="S473" i="9"/>
  <c r="F476" i="2" s="1"/>
  <c r="B474" i="3" s="1"/>
  <c r="B474" i="4" s="1"/>
  <c r="T473" i="9"/>
  <c r="G476" i="2" s="1"/>
  <c r="C474" i="3" s="1"/>
  <c r="C474" i="4" s="1"/>
  <c r="N476" i="9"/>
  <c r="O475" i="9"/>
  <c r="K794" i="9"/>
  <c r="L793" i="9"/>
  <c r="M793" i="9" s="1"/>
  <c r="P475" i="9" l="1"/>
  <c r="C475" i="3"/>
  <c r="C475" i="4" s="1"/>
  <c r="O476" i="9"/>
  <c r="P476" i="9" s="1"/>
  <c r="N477" i="9"/>
  <c r="K795" i="9"/>
  <c r="L794" i="9"/>
  <c r="M794" i="9" s="1"/>
  <c r="T476" i="9" l="1"/>
  <c r="G479" i="2" s="1"/>
  <c r="R475" i="9"/>
  <c r="E478" i="2" s="1"/>
  <c r="A476" i="3" s="1"/>
  <c r="A476" i="4" s="1"/>
  <c r="S475" i="9"/>
  <c r="F478" i="2" s="1"/>
  <c r="B476" i="3" s="1"/>
  <c r="B476" i="4" s="1"/>
  <c r="R476" i="9"/>
  <c r="E479" i="2" s="1"/>
  <c r="A477" i="3" s="1"/>
  <c r="A477" i="4" s="1"/>
  <c r="S476" i="9"/>
  <c r="F479" i="2" s="1"/>
  <c r="B477" i="3" s="1"/>
  <c r="B477" i="4" s="1"/>
  <c r="T475" i="9"/>
  <c r="G478" i="2" s="1"/>
  <c r="C476" i="3" s="1"/>
  <c r="C476" i="4" s="1"/>
  <c r="N478" i="9"/>
  <c r="O477" i="9"/>
  <c r="K796" i="9"/>
  <c r="L795" i="9"/>
  <c r="M795" i="9" s="1"/>
  <c r="P477" i="9" l="1"/>
  <c r="T477" i="9" s="1"/>
  <c r="G480" i="2" s="1"/>
  <c r="C477" i="3"/>
  <c r="C477" i="4" s="1"/>
  <c r="N479" i="9"/>
  <c r="O478" i="9"/>
  <c r="P478" i="9" s="1"/>
  <c r="K797" i="9"/>
  <c r="L796" i="9"/>
  <c r="M796" i="9" s="1"/>
  <c r="T478" i="9" l="1"/>
  <c r="G481" i="2" s="1"/>
  <c r="R478" i="9"/>
  <c r="E481" i="2" s="1"/>
  <c r="A479" i="3" s="1"/>
  <c r="A479" i="4" s="1"/>
  <c r="S478" i="9"/>
  <c r="F481" i="2" s="1"/>
  <c r="B479" i="3" s="1"/>
  <c r="B479" i="4" s="1"/>
  <c r="R477" i="9"/>
  <c r="E480" i="2" s="1"/>
  <c r="A478" i="3" s="1"/>
  <c r="A478" i="4" s="1"/>
  <c r="S477" i="9"/>
  <c r="F480" i="2" s="1"/>
  <c r="B478" i="3" s="1"/>
  <c r="B478" i="4" s="1"/>
  <c r="C478" i="3"/>
  <c r="C478" i="4" s="1"/>
  <c r="N480" i="9"/>
  <c r="O479" i="9"/>
  <c r="K798" i="9"/>
  <c r="L797" i="9"/>
  <c r="M797" i="9" s="1"/>
  <c r="P479" i="9" l="1"/>
  <c r="C479" i="3"/>
  <c r="C479" i="4" s="1"/>
  <c r="N481" i="9"/>
  <c r="O480" i="9"/>
  <c r="P480" i="9" s="1"/>
  <c r="K799" i="9"/>
  <c r="L798" i="9"/>
  <c r="M798" i="9" s="1"/>
  <c r="T480" i="9" l="1"/>
  <c r="G483" i="2" s="1"/>
  <c r="S479" i="9"/>
  <c r="F482" i="2" s="1"/>
  <c r="B480" i="3" s="1"/>
  <c r="B480" i="4" s="1"/>
  <c r="R479" i="9"/>
  <c r="E482" i="2" s="1"/>
  <c r="A480" i="3" s="1"/>
  <c r="A480" i="4" s="1"/>
  <c r="R480" i="9"/>
  <c r="E483" i="2" s="1"/>
  <c r="A481" i="3" s="1"/>
  <c r="A481" i="4" s="1"/>
  <c r="S480" i="9"/>
  <c r="F483" i="2" s="1"/>
  <c r="B481" i="3" s="1"/>
  <c r="B481" i="4" s="1"/>
  <c r="T479" i="9"/>
  <c r="G482" i="2" s="1"/>
  <c r="C480" i="3" s="1"/>
  <c r="C480" i="4" s="1"/>
  <c r="N482" i="9"/>
  <c r="O481" i="9"/>
  <c r="K800" i="9"/>
  <c r="L799" i="9"/>
  <c r="M799" i="9" s="1"/>
  <c r="P481" i="9" l="1"/>
  <c r="C481" i="3"/>
  <c r="C481" i="4" s="1"/>
  <c r="N483" i="9"/>
  <c r="O482" i="9"/>
  <c r="P482" i="9" s="1"/>
  <c r="K801" i="9"/>
  <c r="L800" i="9"/>
  <c r="M800" i="9" s="1"/>
  <c r="S482" i="9" l="1"/>
  <c r="F485" i="2" s="1"/>
  <c r="B483" i="3" s="1"/>
  <c r="B483" i="4" s="1"/>
  <c r="R482" i="9"/>
  <c r="E485" i="2" s="1"/>
  <c r="A483" i="3" s="1"/>
  <c r="A483" i="4" s="1"/>
  <c r="T482" i="9"/>
  <c r="G485" i="2" s="1"/>
  <c r="R481" i="9"/>
  <c r="E484" i="2" s="1"/>
  <c r="A482" i="3" s="1"/>
  <c r="A482" i="4" s="1"/>
  <c r="S481" i="9"/>
  <c r="F484" i="2" s="1"/>
  <c r="B482" i="3" s="1"/>
  <c r="B482" i="4" s="1"/>
  <c r="T481" i="9"/>
  <c r="G484" i="2" s="1"/>
  <c r="C482" i="3" s="1"/>
  <c r="C482" i="4" s="1"/>
  <c r="O483" i="9"/>
  <c r="N484" i="9"/>
  <c r="K802" i="9"/>
  <c r="L801" i="9"/>
  <c r="M801" i="9" s="1"/>
  <c r="P483" i="9" l="1"/>
  <c r="C483" i="3"/>
  <c r="C483" i="4" s="1"/>
  <c r="N485" i="9"/>
  <c r="O484" i="9"/>
  <c r="P484" i="9" s="1"/>
  <c r="K803" i="9"/>
  <c r="L802" i="9"/>
  <c r="M802" i="9" s="1"/>
  <c r="S484" i="9" l="1"/>
  <c r="F487" i="2" s="1"/>
  <c r="B485" i="3" s="1"/>
  <c r="B485" i="4" s="1"/>
  <c r="R484" i="9"/>
  <c r="E487" i="2" s="1"/>
  <c r="A485" i="3" s="1"/>
  <c r="A485" i="4" s="1"/>
  <c r="R483" i="9"/>
  <c r="E486" i="2" s="1"/>
  <c r="A484" i="3" s="1"/>
  <c r="A484" i="4" s="1"/>
  <c r="S483" i="9"/>
  <c r="F486" i="2" s="1"/>
  <c r="B484" i="3" s="1"/>
  <c r="B484" i="4" s="1"/>
  <c r="T484" i="9"/>
  <c r="G487" i="2" s="1"/>
  <c r="T483" i="9"/>
  <c r="G486" i="2" s="1"/>
  <c r="C484" i="3" s="1"/>
  <c r="C484" i="4" s="1"/>
  <c r="N486" i="9"/>
  <c r="O485" i="9"/>
  <c r="K804" i="9"/>
  <c r="L803" i="9"/>
  <c r="M803" i="9" s="1"/>
  <c r="P485" i="9" l="1"/>
  <c r="T485" i="9" s="1"/>
  <c r="G488" i="2" s="1"/>
  <c r="C485" i="3"/>
  <c r="C485" i="4" s="1"/>
  <c r="N487" i="9"/>
  <c r="O486" i="9"/>
  <c r="P486" i="9" s="1"/>
  <c r="K805" i="9"/>
  <c r="L804" i="9"/>
  <c r="M804" i="9" s="1"/>
  <c r="T486" i="9" l="1"/>
  <c r="G489" i="2" s="1"/>
  <c r="R486" i="9"/>
  <c r="E489" i="2" s="1"/>
  <c r="A487" i="3" s="1"/>
  <c r="A487" i="4" s="1"/>
  <c r="S486" i="9"/>
  <c r="F489" i="2" s="1"/>
  <c r="B487" i="3" s="1"/>
  <c r="B487" i="4" s="1"/>
  <c r="S485" i="9"/>
  <c r="F488" i="2" s="1"/>
  <c r="B486" i="3" s="1"/>
  <c r="B486" i="4" s="1"/>
  <c r="R485" i="9"/>
  <c r="E488" i="2" s="1"/>
  <c r="A486" i="3" s="1"/>
  <c r="A486" i="4" s="1"/>
  <c r="C486" i="3"/>
  <c r="C486" i="4" s="1"/>
  <c r="O487" i="9"/>
  <c r="N488" i="9"/>
  <c r="K806" i="9"/>
  <c r="L805" i="9"/>
  <c r="M805" i="9" s="1"/>
  <c r="P487" i="9" l="1"/>
  <c r="C487" i="3"/>
  <c r="C487" i="4" s="1"/>
  <c r="O488" i="9"/>
  <c r="P488" i="9" s="1"/>
  <c r="N489" i="9"/>
  <c r="K807" i="9"/>
  <c r="L806" i="9"/>
  <c r="M806" i="9" s="1"/>
  <c r="S487" i="9" l="1"/>
  <c r="F490" i="2" s="1"/>
  <c r="B488" i="3" s="1"/>
  <c r="B488" i="4" s="1"/>
  <c r="R487" i="9"/>
  <c r="E490" i="2" s="1"/>
  <c r="A488" i="3" s="1"/>
  <c r="A488" i="4" s="1"/>
  <c r="S488" i="9"/>
  <c r="F491" i="2" s="1"/>
  <c r="B489" i="3" s="1"/>
  <c r="B489" i="4" s="1"/>
  <c r="R488" i="9"/>
  <c r="E491" i="2" s="1"/>
  <c r="A489" i="3" s="1"/>
  <c r="A489" i="4" s="1"/>
  <c r="T488" i="9"/>
  <c r="G491" i="2" s="1"/>
  <c r="T487" i="9"/>
  <c r="G490" i="2" s="1"/>
  <c r="C488" i="3" s="1"/>
  <c r="C488" i="4" s="1"/>
  <c r="N490" i="9"/>
  <c r="O489" i="9"/>
  <c r="K808" i="9"/>
  <c r="L807" i="9"/>
  <c r="M807" i="9" s="1"/>
  <c r="P489" i="9" l="1"/>
  <c r="C489" i="3"/>
  <c r="C489" i="4" s="1"/>
  <c r="N491" i="9"/>
  <c r="O490" i="9"/>
  <c r="P490" i="9" s="1"/>
  <c r="K809" i="9"/>
  <c r="L808" i="9"/>
  <c r="M808" i="9" s="1"/>
  <c r="R489" i="9" l="1"/>
  <c r="E492" i="2" s="1"/>
  <c r="A490" i="3" s="1"/>
  <c r="A490" i="4" s="1"/>
  <c r="S489" i="9"/>
  <c r="F492" i="2" s="1"/>
  <c r="B490" i="3" s="1"/>
  <c r="B490" i="4" s="1"/>
  <c r="T489" i="9"/>
  <c r="G492" i="2" s="1"/>
  <c r="C490" i="3" s="1"/>
  <c r="C490" i="4" s="1"/>
  <c r="S490" i="9"/>
  <c r="F493" i="2" s="1"/>
  <c r="B491" i="3" s="1"/>
  <c r="B491" i="4" s="1"/>
  <c r="R490" i="9"/>
  <c r="E493" i="2" s="1"/>
  <c r="A491" i="3" s="1"/>
  <c r="A491" i="4" s="1"/>
  <c r="T490" i="9"/>
  <c r="G493" i="2" s="1"/>
  <c r="N492" i="9"/>
  <c r="O491" i="9"/>
  <c r="K810" i="9"/>
  <c r="L809" i="9"/>
  <c r="M809" i="9" s="1"/>
  <c r="P491" i="9" l="1"/>
  <c r="C491" i="3"/>
  <c r="C491" i="4" s="1"/>
  <c r="N493" i="9"/>
  <c r="O492" i="9"/>
  <c r="P492" i="9" s="1"/>
  <c r="K811" i="9"/>
  <c r="L810" i="9"/>
  <c r="M810" i="9" s="1"/>
  <c r="T492" i="9" l="1"/>
  <c r="G495" i="2" s="1"/>
  <c r="R492" i="9"/>
  <c r="E495" i="2" s="1"/>
  <c r="A493" i="3" s="1"/>
  <c r="A493" i="4" s="1"/>
  <c r="S492" i="9"/>
  <c r="F495" i="2" s="1"/>
  <c r="B493" i="3" s="1"/>
  <c r="B493" i="4" s="1"/>
  <c r="R491" i="9"/>
  <c r="E494" i="2" s="1"/>
  <c r="A492" i="3" s="1"/>
  <c r="A492" i="4" s="1"/>
  <c r="S491" i="9"/>
  <c r="F494" i="2" s="1"/>
  <c r="B492" i="3" s="1"/>
  <c r="B492" i="4" s="1"/>
  <c r="T491" i="9"/>
  <c r="G494" i="2" s="1"/>
  <c r="C492" i="3" s="1"/>
  <c r="C492" i="4" s="1"/>
  <c r="N494" i="9"/>
  <c r="O493" i="9"/>
  <c r="K812" i="9"/>
  <c r="L811" i="9"/>
  <c r="M811" i="9" s="1"/>
  <c r="P493" i="9" l="1"/>
  <c r="T493" i="9" s="1"/>
  <c r="G496" i="2" s="1"/>
  <c r="C493" i="3"/>
  <c r="C493" i="4" s="1"/>
  <c r="O494" i="9"/>
  <c r="P494" i="9" s="1"/>
  <c r="N495" i="9"/>
  <c r="L812" i="9"/>
  <c r="M812" i="9" s="1"/>
  <c r="K813" i="9"/>
  <c r="T494" i="9" l="1"/>
  <c r="G497" i="2" s="1"/>
  <c r="R494" i="9"/>
  <c r="E497" i="2" s="1"/>
  <c r="A495" i="3" s="1"/>
  <c r="A495" i="4" s="1"/>
  <c r="S494" i="9"/>
  <c r="F497" i="2" s="1"/>
  <c r="B495" i="3" s="1"/>
  <c r="B495" i="4" s="1"/>
  <c r="S493" i="9"/>
  <c r="F496" i="2" s="1"/>
  <c r="B494" i="3" s="1"/>
  <c r="B494" i="4" s="1"/>
  <c r="R493" i="9"/>
  <c r="E496" i="2" s="1"/>
  <c r="A494" i="3" s="1"/>
  <c r="A494" i="4" s="1"/>
  <c r="C494" i="3"/>
  <c r="C494" i="4" s="1"/>
  <c r="N496" i="9"/>
  <c r="O495" i="9"/>
  <c r="K814" i="9"/>
  <c r="L813" i="9"/>
  <c r="M813" i="9" s="1"/>
  <c r="P495" i="9" l="1"/>
  <c r="C495" i="3"/>
  <c r="C495" i="4" s="1"/>
  <c r="O496" i="9"/>
  <c r="P496" i="9" s="1"/>
  <c r="N497" i="9"/>
  <c r="K815" i="9"/>
  <c r="L814" i="9"/>
  <c r="M814" i="9" s="1"/>
  <c r="T496" i="9" l="1"/>
  <c r="G499" i="2" s="1"/>
  <c r="R496" i="9"/>
  <c r="E499" i="2" s="1"/>
  <c r="A497" i="3" s="1"/>
  <c r="A497" i="4" s="1"/>
  <c r="S496" i="9"/>
  <c r="F499" i="2" s="1"/>
  <c r="B497" i="3" s="1"/>
  <c r="B497" i="4" s="1"/>
  <c r="S495" i="9"/>
  <c r="F498" i="2" s="1"/>
  <c r="B496" i="3" s="1"/>
  <c r="B496" i="4" s="1"/>
  <c r="R495" i="9"/>
  <c r="E498" i="2" s="1"/>
  <c r="A496" i="3" s="1"/>
  <c r="A496" i="4" s="1"/>
  <c r="T495" i="9"/>
  <c r="G498" i="2" s="1"/>
  <c r="C496" i="3" s="1"/>
  <c r="C496" i="4" s="1"/>
  <c r="O497" i="9"/>
  <c r="N498" i="9"/>
  <c r="K816" i="9"/>
  <c r="L815" i="9"/>
  <c r="M815" i="9" s="1"/>
  <c r="P497" i="9" l="1"/>
  <c r="C497" i="3"/>
  <c r="C497" i="4" s="1"/>
  <c r="O498" i="9"/>
  <c r="P498" i="9" s="1"/>
  <c r="N499" i="9"/>
  <c r="K817" i="9"/>
  <c r="L816" i="9"/>
  <c r="M816" i="9" s="1"/>
  <c r="T498" i="9" l="1"/>
  <c r="G501" i="2" s="1"/>
  <c r="S498" i="9"/>
  <c r="F501" i="2" s="1"/>
  <c r="B499" i="3" s="1"/>
  <c r="B499" i="4" s="1"/>
  <c r="R498" i="9"/>
  <c r="E501" i="2" s="1"/>
  <c r="A499" i="3" s="1"/>
  <c r="A499" i="4" s="1"/>
  <c r="R497" i="9"/>
  <c r="E500" i="2" s="1"/>
  <c r="A498" i="3" s="1"/>
  <c r="A498" i="4" s="1"/>
  <c r="S497" i="9"/>
  <c r="F500" i="2" s="1"/>
  <c r="B498" i="3" s="1"/>
  <c r="B498" i="4" s="1"/>
  <c r="T497" i="9"/>
  <c r="G500" i="2" s="1"/>
  <c r="C498" i="3" s="1"/>
  <c r="C498" i="4" s="1"/>
  <c r="N500" i="9"/>
  <c r="O499" i="9"/>
  <c r="K818" i="9"/>
  <c r="L817" i="9"/>
  <c r="M817" i="9" s="1"/>
  <c r="P499" i="9" l="1"/>
  <c r="C499" i="3"/>
  <c r="C499" i="4" s="1"/>
  <c r="N501" i="9"/>
  <c r="O500" i="9"/>
  <c r="P500" i="9" s="1"/>
  <c r="K819" i="9"/>
  <c r="L818" i="9"/>
  <c r="M818" i="9" s="1"/>
  <c r="T500" i="9" l="1"/>
  <c r="G503" i="2" s="1"/>
  <c r="R499" i="9"/>
  <c r="E502" i="2" s="1"/>
  <c r="A500" i="3" s="1"/>
  <c r="A500" i="4" s="1"/>
  <c r="S499" i="9"/>
  <c r="F502" i="2" s="1"/>
  <c r="B500" i="3" s="1"/>
  <c r="B500" i="4" s="1"/>
  <c r="S500" i="9"/>
  <c r="F503" i="2" s="1"/>
  <c r="B501" i="3" s="1"/>
  <c r="B501" i="4" s="1"/>
  <c r="R500" i="9"/>
  <c r="E503" i="2" s="1"/>
  <c r="A501" i="3" s="1"/>
  <c r="A501" i="4" s="1"/>
  <c r="T499" i="9"/>
  <c r="G502" i="2" s="1"/>
  <c r="C500" i="3" s="1"/>
  <c r="C500" i="4" s="1"/>
  <c r="N502" i="9"/>
  <c r="O501" i="9"/>
  <c r="K820" i="9"/>
  <c r="L819" i="9"/>
  <c r="M819" i="9" s="1"/>
  <c r="P501" i="9" l="1"/>
  <c r="S501" i="9" s="1"/>
  <c r="F504" i="2" s="1"/>
  <c r="B502" i="3" s="1"/>
  <c r="B502" i="4" s="1"/>
  <c r="C501" i="3"/>
  <c r="C501" i="4" s="1"/>
  <c r="N503" i="9"/>
  <c r="O502" i="9"/>
  <c r="P502" i="9" s="1"/>
  <c r="K821" i="9"/>
  <c r="L820" i="9"/>
  <c r="M820" i="9" s="1"/>
  <c r="R501" i="9" l="1"/>
  <c r="E504" i="2" s="1"/>
  <c r="A502" i="3" s="1"/>
  <c r="A502" i="4" s="1"/>
  <c r="T501" i="9"/>
  <c r="G504" i="2" s="1"/>
  <c r="C502" i="3" s="1"/>
  <c r="C502" i="4" s="1"/>
  <c r="T502" i="9"/>
  <c r="G505" i="2" s="1"/>
  <c r="R502" i="9"/>
  <c r="E505" i="2" s="1"/>
  <c r="A503" i="3" s="1"/>
  <c r="A503" i="4" s="1"/>
  <c r="S502" i="9"/>
  <c r="F505" i="2" s="1"/>
  <c r="B503" i="3" s="1"/>
  <c r="B503" i="4" s="1"/>
  <c r="N504" i="9"/>
  <c r="O503" i="9"/>
  <c r="K822" i="9"/>
  <c r="L821" i="9"/>
  <c r="M821" i="9" s="1"/>
  <c r="P503" i="9" l="1"/>
  <c r="T503" i="9" s="1"/>
  <c r="G506" i="2" s="1"/>
  <c r="C503" i="3"/>
  <c r="C503" i="4" s="1"/>
  <c r="O504" i="9"/>
  <c r="P504" i="9" s="1"/>
  <c r="N505" i="9"/>
  <c r="K823" i="9"/>
  <c r="L822" i="9"/>
  <c r="M822" i="9" s="1"/>
  <c r="T504" i="9" l="1"/>
  <c r="G507" i="2" s="1"/>
  <c r="R503" i="9"/>
  <c r="E506" i="2" s="1"/>
  <c r="A504" i="3" s="1"/>
  <c r="A504" i="4" s="1"/>
  <c r="S503" i="9"/>
  <c r="F506" i="2" s="1"/>
  <c r="B504" i="3" s="1"/>
  <c r="B504" i="4" s="1"/>
  <c r="S504" i="9"/>
  <c r="F507" i="2" s="1"/>
  <c r="B505" i="3" s="1"/>
  <c r="B505" i="4" s="1"/>
  <c r="R504" i="9"/>
  <c r="E507" i="2" s="1"/>
  <c r="A505" i="3" s="1"/>
  <c r="A505" i="4" s="1"/>
  <c r="C504" i="3"/>
  <c r="C504" i="4" s="1"/>
  <c r="O505" i="9"/>
  <c r="N506" i="9"/>
  <c r="K824" i="9"/>
  <c r="L823" i="9"/>
  <c r="M823" i="9" s="1"/>
  <c r="P505" i="9" l="1"/>
  <c r="C505" i="3"/>
  <c r="C505" i="4" s="1"/>
  <c r="N507" i="9"/>
  <c r="O506" i="9"/>
  <c r="P506" i="9" s="1"/>
  <c r="K825" i="9"/>
  <c r="L824" i="9"/>
  <c r="M824" i="9" s="1"/>
  <c r="R506" i="9" l="1"/>
  <c r="E509" i="2" s="1"/>
  <c r="A507" i="3" s="1"/>
  <c r="A507" i="4" s="1"/>
  <c r="S506" i="9"/>
  <c r="F509" i="2" s="1"/>
  <c r="B507" i="3" s="1"/>
  <c r="B507" i="4" s="1"/>
  <c r="T506" i="9"/>
  <c r="R505" i="9"/>
  <c r="E508" i="2" s="1"/>
  <c r="A506" i="3" s="1"/>
  <c r="A506" i="4" s="1"/>
  <c r="S505" i="9"/>
  <c r="F508" i="2" s="1"/>
  <c r="B506" i="3" s="1"/>
  <c r="B506" i="4" s="1"/>
  <c r="T505" i="9"/>
  <c r="G508" i="2" s="1"/>
  <c r="C506" i="3" s="1"/>
  <c r="C506" i="4" s="1"/>
  <c r="G509" i="2"/>
  <c r="N508" i="9"/>
  <c r="O507" i="9"/>
  <c r="K826" i="9"/>
  <c r="L825" i="9"/>
  <c r="M825" i="9" s="1"/>
  <c r="P507" i="9" l="1"/>
  <c r="C507" i="3"/>
  <c r="C507" i="4" s="1"/>
  <c r="N509" i="9"/>
  <c r="O508" i="9"/>
  <c r="P508" i="9" s="1"/>
  <c r="K827" i="9"/>
  <c r="L826" i="9"/>
  <c r="M826" i="9" s="1"/>
  <c r="S508" i="9" l="1"/>
  <c r="F511" i="2" s="1"/>
  <c r="B509" i="3" s="1"/>
  <c r="B509" i="4" s="1"/>
  <c r="R508" i="9"/>
  <c r="E511" i="2" s="1"/>
  <c r="A509" i="3" s="1"/>
  <c r="A509" i="4" s="1"/>
  <c r="R507" i="9"/>
  <c r="E510" i="2" s="1"/>
  <c r="A508" i="3" s="1"/>
  <c r="A508" i="4" s="1"/>
  <c r="S507" i="9"/>
  <c r="F510" i="2" s="1"/>
  <c r="B508" i="3" s="1"/>
  <c r="B508" i="4" s="1"/>
  <c r="T508" i="9"/>
  <c r="G511" i="2" s="1"/>
  <c r="T507" i="9"/>
  <c r="G510" i="2" s="1"/>
  <c r="C508" i="3" s="1"/>
  <c r="C508" i="4" s="1"/>
  <c r="N510" i="9"/>
  <c r="O509" i="9"/>
  <c r="K828" i="9"/>
  <c r="L827" i="9"/>
  <c r="M827" i="9" s="1"/>
  <c r="P509" i="9" l="1"/>
  <c r="C509" i="3"/>
  <c r="C509" i="4" s="1"/>
  <c r="N511" i="9"/>
  <c r="O510" i="9"/>
  <c r="P510" i="9" s="1"/>
  <c r="K829" i="9"/>
  <c r="L828" i="9"/>
  <c r="M828" i="9" s="1"/>
  <c r="R510" i="9" l="1"/>
  <c r="E513" i="2" s="1"/>
  <c r="A511" i="3" s="1"/>
  <c r="A511" i="4" s="1"/>
  <c r="S510" i="9"/>
  <c r="F513" i="2" s="1"/>
  <c r="B511" i="3" s="1"/>
  <c r="B511" i="4" s="1"/>
  <c r="R509" i="9"/>
  <c r="E512" i="2" s="1"/>
  <c r="A510" i="3" s="1"/>
  <c r="A510" i="4" s="1"/>
  <c r="S509" i="9"/>
  <c r="F512" i="2" s="1"/>
  <c r="B510" i="3" s="1"/>
  <c r="B510" i="4" s="1"/>
  <c r="T510" i="9"/>
  <c r="G513" i="2" s="1"/>
  <c r="T509" i="9"/>
  <c r="G512" i="2" s="1"/>
  <c r="C510" i="3" s="1"/>
  <c r="C510" i="4" s="1"/>
  <c r="N512" i="9"/>
  <c r="O511" i="9"/>
  <c r="K830" i="9"/>
  <c r="L829" i="9"/>
  <c r="M829" i="9" s="1"/>
  <c r="P511" i="9" l="1"/>
  <c r="T511" i="9" s="1"/>
  <c r="G514" i="2" s="1"/>
  <c r="C511" i="3"/>
  <c r="C511" i="4" s="1"/>
  <c r="N513" i="9"/>
  <c r="O512" i="9"/>
  <c r="P512" i="9" s="1"/>
  <c r="K831" i="9"/>
  <c r="L830" i="9"/>
  <c r="M830" i="9" s="1"/>
  <c r="R512" i="9" l="1"/>
  <c r="E515" i="2" s="1"/>
  <c r="A513" i="3" s="1"/>
  <c r="A513" i="4" s="1"/>
  <c r="S512" i="9"/>
  <c r="F515" i="2" s="1"/>
  <c r="B513" i="3" s="1"/>
  <c r="B513" i="4" s="1"/>
  <c r="T512" i="9"/>
  <c r="G515" i="2" s="1"/>
  <c r="S511" i="9"/>
  <c r="F514" i="2" s="1"/>
  <c r="B512" i="3" s="1"/>
  <c r="B512" i="4" s="1"/>
  <c r="R511" i="9"/>
  <c r="E514" i="2" s="1"/>
  <c r="A512" i="3" s="1"/>
  <c r="A512" i="4" s="1"/>
  <c r="C512" i="3"/>
  <c r="C512" i="4" s="1"/>
  <c r="N514" i="9"/>
  <c r="O513" i="9"/>
  <c r="K832" i="9"/>
  <c r="L831" i="9"/>
  <c r="M831" i="9" s="1"/>
  <c r="P513" i="9" l="1"/>
  <c r="C513" i="3"/>
  <c r="C513" i="4" s="1"/>
  <c r="N515" i="9"/>
  <c r="O514" i="9"/>
  <c r="P514" i="9" s="1"/>
  <c r="K833" i="9"/>
  <c r="L832" i="9"/>
  <c r="M832" i="9" s="1"/>
  <c r="R514" i="9" l="1"/>
  <c r="E517" i="2" s="1"/>
  <c r="A515" i="3" s="1"/>
  <c r="A515" i="4" s="1"/>
  <c r="S514" i="9"/>
  <c r="F517" i="2" s="1"/>
  <c r="B515" i="3" s="1"/>
  <c r="B515" i="4" s="1"/>
  <c r="S513" i="9"/>
  <c r="F516" i="2" s="1"/>
  <c r="B514" i="3" s="1"/>
  <c r="B514" i="4" s="1"/>
  <c r="R513" i="9"/>
  <c r="E516" i="2" s="1"/>
  <c r="A514" i="3" s="1"/>
  <c r="A514" i="4" s="1"/>
  <c r="T514" i="9"/>
  <c r="G517" i="2" s="1"/>
  <c r="T513" i="9"/>
  <c r="G516" i="2" s="1"/>
  <c r="C514" i="3" s="1"/>
  <c r="C514" i="4" s="1"/>
  <c r="N516" i="9"/>
  <c r="O515" i="9"/>
  <c r="K834" i="9"/>
  <c r="L833" i="9"/>
  <c r="M833" i="9" s="1"/>
  <c r="P515" i="9" l="1"/>
  <c r="C515" i="3"/>
  <c r="C515" i="4" s="1"/>
  <c r="N517" i="9"/>
  <c r="O516" i="9"/>
  <c r="P516" i="9" s="1"/>
  <c r="K835" i="9"/>
  <c r="L834" i="9"/>
  <c r="M834" i="9" s="1"/>
  <c r="R516" i="9" l="1"/>
  <c r="E519" i="2" s="1"/>
  <c r="A517" i="3" s="1"/>
  <c r="A517" i="4" s="1"/>
  <c r="S516" i="9"/>
  <c r="F519" i="2" s="1"/>
  <c r="B517" i="3" s="1"/>
  <c r="B517" i="4" s="1"/>
  <c r="T516" i="9"/>
  <c r="G519" i="2" s="1"/>
  <c r="S515" i="9"/>
  <c r="F518" i="2" s="1"/>
  <c r="B516" i="3" s="1"/>
  <c r="B516" i="4" s="1"/>
  <c r="R515" i="9"/>
  <c r="E518" i="2" s="1"/>
  <c r="A516" i="3" s="1"/>
  <c r="A516" i="4" s="1"/>
  <c r="T515" i="9"/>
  <c r="G518" i="2" s="1"/>
  <c r="C516" i="3" s="1"/>
  <c r="C516" i="4" s="1"/>
  <c r="O517" i="9"/>
  <c r="N518" i="9"/>
  <c r="K836" i="9"/>
  <c r="L835" i="9"/>
  <c r="M835" i="9" s="1"/>
  <c r="P517" i="9" l="1"/>
  <c r="T517" i="9" s="1"/>
  <c r="G520" i="2" s="1"/>
  <c r="C517" i="3"/>
  <c r="C517" i="4" s="1"/>
  <c r="N519" i="9"/>
  <c r="O518" i="9"/>
  <c r="P518" i="9" s="1"/>
  <c r="K837" i="9"/>
  <c r="L836" i="9"/>
  <c r="M836" i="9" s="1"/>
  <c r="S517" i="9" l="1"/>
  <c r="F520" i="2" s="1"/>
  <c r="B518" i="3" s="1"/>
  <c r="B518" i="4" s="1"/>
  <c r="R517" i="9"/>
  <c r="E520" i="2" s="1"/>
  <c r="A518" i="3" s="1"/>
  <c r="A518" i="4" s="1"/>
  <c r="S518" i="9"/>
  <c r="F521" i="2" s="1"/>
  <c r="B519" i="3" s="1"/>
  <c r="B519" i="4" s="1"/>
  <c r="R518" i="9"/>
  <c r="E521" i="2" s="1"/>
  <c r="A519" i="3" s="1"/>
  <c r="A519" i="4" s="1"/>
  <c r="T518" i="9"/>
  <c r="G521" i="2" s="1"/>
  <c r="C518" i="3"/>
  <c r="C518" i="4" s="1"/>
  <c r="N520" i="9"/>
  <c r="O519" i="9"/>
  <c r="K838" i="9"/>
  <c r="L837" i="9"/>
  <c r="M837" i="9" s="1"/>
  <c r="P519" i="9" l="1"/>
  <c r="T519" i="9" s="1"/>
  <c r="G522" i="2" s="1"/>
  <c r="C519" i="3"/>
  <c r="C519" i="4" s="1"/>
  <c r="N521" i="9"/>
  <c r="O520" i="9"/>
  <c r="P520" i="9" s="1"/>
  <c r="K839" i="9"/>
  <c r="L838" i="9"/>
  <c r="M838" i="9" s="1"/>
  <c r="R520" i="9" l="1"/>
  <c r="E523" i="2" s="1"/>
  <c r="A521" i="3" s="1"/>
  <c r="A521" i="4" s="1"/>
  <c r="S520" i="9"/>
  <c r="F523" i="2" s="1"/>
  <c r="B521" i="3" s="1"/>
  <c r="B521" i="4" s="1"/>
  <c r="S519" i="9"/>
  <c r="F522" i="2" s="1"/>
  <c r="B520" i="3" s="1"/>
  <c r="B520" i="4" s="1"/>
  <c r="R519" i="9"/>
  <c r="E522" i="2" s="1"/>
  <c r="A520" i="3" s="1"/>
  <c r="A520" i="4" s="1"/>
  <c r="T520" i="9"/>
  <c r="G523" i="2" s="1"/>
  <c r="C520" i="3"/>
  <c r="C520" i="4" s="1"/>
  <c r="N522" i="9"/>
  <c r="O521" i="9"/>
  <c r="K840" i="9"/>
  <c r="L839" i="9"/>
  <c r="M839" i="9" s="1"/>
  <c r="P521" i="9" l="1"/>
  <c r="C521" i="3"/>
  <c r="C521" i="4" s="1"/>
  <c r="N523" i="9"/>
  <c r="O522" i="9"/>
  <c r="P522" i="9" s="1"/>
  <c r="K841" i="9"/>
  <c r="L840" i="9"/>
  <c r="M840" i="9" s="1"/>
  <c r="R522" i="9" l="1"/>
  <c r="E525" i="2" s="1"/>
  <c r="A523" i="3" s="1"/>
  <c r="A523" i="4" s="1"/>
  <c r="S522" i="9"/>
  <c r="F525" i="2" s="1"/>
  <c r="B523" i="3" s="1"/>
  <c r="B523" i="4" s="1"/>
  <c r="R521" i="9"/>
  <c r="E524" i="2" s="1"/>
  <c r="A522" i="3" s="1"/>
  <c r="A522" i="4" s="1"/>
  <c r="S521" i="9"/>
  <c r="F524" i="2" s="1"/>
  <c r="B522" i="3" s="1"/>
  <c r="B522" i="4" s="1"/>
  <c r="T522" i="9"/>
  <c r="G525" i="2" s="1"/>
  <c r="T521" i="9"/>
  <c r="G524" i="2" s="1"/>
  <c r="C522" i="3" s="1"/>
  <c r="C522" i="4" s="1"/>
  <c r="O523" i="9"/>
  <c r="N524" i="9"/>
  <c r="K842" i="9"/>
  <c r="L841" i="9"/>
  <c r="M841" i="9" s="1"/>
  <c r="P523" i="9" l="1"/>
  <c r="T523" i="9" s="1"/>
  <c r="G526" i="2" s="1"/>
  <c r="C523" i="3"/>
  <c r="C523" i="4" s="1"/>
  <c r="N525" i="9"/>
  <c r="O524" i="9"/>
  <c r="P524" i="9" s="1"/>
  <c r="K843" i="9"/>
  <c r="L842" i="9"/>
  <c r="M842" i="9" s="1"/>
  <c r="R524" i="9" l="1"/>
  <c r="E527" i="2" s="1"/>
  <c r="A525" i="3" s="1"/>
  <c r="A525" i="4" s="1"/>
  <c r="S524" i="9"/>
  <c r="F527" i="2" s="1"/>
  <c r="B525" i="3" s="1"/>
  <c r="B525" i="4" s="1"/>
  <c r="T524" i="9"/>
  <c r="G527" i="2" s="1"/>
  <c r="R523" i="9"/>
  <c r="E526" i="2" s="1"/>
  <c r="A524" i="3" s="1"/>
  <c r="A524" i="4" s="1"/>
  <c r="S523" i="9"/>
  <c r="F526" i="2" s="1"/>
  <c r="B524" i="3" s="1"/>
  <c r="B524" i="4" s="1"/>
  <c r="C524" i="3"/>
  <c r="C524" i="4" s="1"/>
  <c r="N526" i="9"/>
  <c r="O525" i="9"/>
  <c r="K844" i="9"/>
  <c r="L843" i="9"/>
  <c r="M843" i="9" s="1"/>
  <c r="P525" i="9" l="1"/>
  <c r="C525" i="3"/>
  <c r="C525" i="4" s="1"/>
  <c r="N527" i="9"/>
  <c r="O526" i="9"/>
  <c r="P526" i="9" s="1"/>
  <c r="K845" i="9"/>
  <c r="L844" i="9"/>
  <c r="M844" i="9" s="1"/>
  <c r="S526" i="9" l="1"/>
  <c r="F529" i="2" s="1"/>
  <c r="B527" i="3" s="1"/>
  <c r="B527" i="4" s="1"/>
  <c r="R526" i="9"/>
  <c r="E529" i="2" s="1"/>
  <c r="A527" i="3" s="1"/>
  <c r="A527" i="4" s="1"/>
  <c r="T526" i="9"/>
  <c r="G529" i="2" s="1"/>
  <c r="R525" i="9"/>
  <c r="E528" i="2" s="1"/>
  <c r="A526" i="3" s="1"/>
  <c r="A526" i="4" s="1"/>
  <c r="S525" i="9"/>
  <c r="F528" i="2" s="1"/>
  <c r="B526" i="3" s="1"/>
  <c r="B526" i="4" s="1"/>
  <c r="T525" i="9"/>
  <c r="G528" i="2" s="1"/>
  <c r="C526" i="3" s="1"/>
  <c r="C526" i="4" s="1"/>
  <c r="N528" i="9"/>
  <c r="O527" i="9"/>
  <c r="K846" i="9"/>
  <c r="L845" i="9"/>
  <c r="M845" i="9" s="1"/>
  <c r="P527" i="9" l="1"/>
  <c r="T527" i="9" s="1"/>
  <c r="G530" i="2" s="1"/>
  <c r="C527" i="3"/>
  <c r="C527" i="4" s="1"/>
  <c r="N529" i="9"/>
  <c r="O528" i="9"/>
  <c r="P528" i="9" s="1"/>
  <c r="K847" i="9"/>
  <c r="L846" i="9"/>
  <c r="M846" i="9" s="1"/>
  <c r="R528" i="9" l="1"/>
  <c r="E531" i="2" s="1"/>
  <c r="A529" i="3" s="1"/>
  <c r="A529" i="4" s="1"/>
  <c r="S528" i="9"/>
  <c r="F531" i="2" s="1"/>
  <c r="B529" i="3" s="1"/>
  <c r="B529" i="4" s="1"/>
  <c r="T528" i="9"/>
  <c r="G531" i="2" s="1"/>
  <c r="S527" i="9"/>
  <c r="F530" i="2" s="1"/>
  <c r="B528" i="3" s="1"/>
  <c r="B528" i="4" s="1"/>
  <c r="R527" i="9"/>
  <c r="E530" i="2" s="1"/>
  <c r="A528" i="3" s="1"/>
  <c r="A528" i="4" s="1"/>
  <c r="C528" i="3"/>
  <c r="C528" i="4" s="1"/>
  <c r="N530" i="9"/>
  <c r="O529" i="9"/>
  <c r="K848" i="9"/>
  <c r="L847" i="9"/>
  <c r="M847" i="9" s="1"/>
  <c r="P529" i="9" l="1"/>
  <c r="C529" i="3"/>
  <c r="C529" i="4" s="1"/>
  <c r="O530" i="9"/>
  <c r="P530" i="9" s="1"/>
  <c r="N531" i="9"/>
  <c r="K849" i="9"/>
  <c r="L848" i="9"/>
  <c r="M848" i="9" s="1"/>
  <c r="T530" i="9" l="1"/>
  <c r="R529" i="9"/>
  <c r="E532" i="2" s="1"/>
  <c r="A530" i="3" s="1"/>
  <c r="A530" i="4" s="1"/>
  <c r="S529" i="9"/>
  <c r="F532" i="2" s="1"/>
  <c r="B530" i="3" s="1"/>
  <c r="B530" i="4" s="1"/>
  <c r="R530" i="9"/>
  <c r="E533" i="2" s="1"/>
  <c r="A531" i="3" s="1"/>
  <c r="A531" i="4" s="1"/>
  <c r="S530" i="9"/>
  <c r="F533" i="2" s="1"/>
  <c r="B531" i="3" s="1"/>
  <c r="B531" i="4" s="1"/>
  <c r="T529" i="9"/>
  <c r="G532" i="2" s="1"/>
  <c r="C530" i="3" s="1"/>
  <c r="C530" i="4" s="1"/>
  <c r="O531" i="9"/>
  <c r="N532" i="9"/>
  <c r="G533" i="2"/>
  <c r="K850" i="9"/>
  <c r="L849" i="9"/>
  <c r="M849" i="9" s="1"/>
  <c r="P531" i="9" l="1"/>
  <c r="C531" i="3"/>
  <c r="C531" i="4" s="1"/>
  <c r="N533" i="9"/>
  <c r="O532" i="9"/>
  <c r="P532" i="9" s="1"/>
  <c r="K851" i="9"/>
  <c r="L850" i="9"/>
  <c r="M850" i="9" s="1"/>
  <c r="S531" i="9" l="1"/>
  <c r="F534" i="2" s="1"/>
  <c r="B532" i="3" s="1"/>
  <c r="B532" i="4" s="1"/>
  <c r="R531" i="9"/>
  <c r="E534" i="2" s="1"/>
  <c r="A532" i="3" s="1"/>
  <c r="A532" i="4" s="1"/>
  <c r="R532" i="9"/>
  <c r="E535" i="2" s="1"/>
  <c r="A533" i="3" s="1"/>
  <c r="A533" i="4" s="1"/>
  <c r="S532" i="9"/>
  <c r="F535" i="2" s="1"/>
  <c r="B533" i="3" s="1"/>
  <c r="B533" i="4" s="1"/>
  <c r="T532" i="9"/>
  <c r="G535" i="2" s="1"/>
  <c r="T531" i="9"/>
  <c r="G534" i="2" s="1"/>
  <c r="C532" i="3" s="1"/>
  <c r="C532" i="4" s="1"/>
  <c r="N534" i="9"/>
  <c r="O533" i="9"/>
  <c r="K852" i="9"/>
  <c r="L851" i="9"/>
  <c r="M851" i="9" s="1"/>
  <c r="P533" i="9" l="1"/>
  <c r="C533" i="3"/>
  <c r="C533" i="4" s="1"/>
  <c r="N535" i="9"/>
  <c r="O534" i="9"/>
  <c r="P534" i="9" s="1"/>
  <c r="K853" i="9"/>
  <c r="L852" i="9"/>
  <c r="M852" i="9" s="1"/>
  <c r="R533" i="9" l="1"/>
  <c r="E536" i="2" s="1"/>
  <c r="A534" i="3" s="1"/>
  <c r="A534" i="4" s="1"/>
  <c r="S533" i="9"/>
  <c r="F536" i="2" s="1"/>
  <c r="B534" i="3" s="1"/>
  <c r="B534" i="4" s="1"/>
  <c r="S534" i="9"/>
  <c r="F537" i="2" s="1"/>
  <c r="B535" i="3" s="1"/>
  <c r="B535" i="4" s="1"/>
  <c r="R534" i="9"/>
  <c r="E537" i="2" s="1"/>
  <c r="A535" i="3" s="1"/>
  <c r="A535" i="4" s="1"/>
  <c r="T534" i="9"/>
  <c r="G537" i="2" s="1"/>
  <c r="T533" i="9"/>
  <c r="G536" i="2" s="1"/>
  <c r="C534" i="3" s="1"/>
  <c r="C534" i="4" s="1"/>
  <c r="O535" i="9"/>
  <c r="N536" i="9"/>
  <c r="K854" i="9"/>
  <c r="L853" i="9"/>
  <c r="M853" i="9" s="1"/>
  <c r="P535" i="9" l="1"/>
  <c r="T535" i="9" s="1"/>
  <c r="G538" i="2" s="1"/>
  <c r="C535" i="3"/>
  <c r="C535" i="4" s="1"/>
  <c r="N537" i="9"/>
  <c r="O536" i="9"/>
  <c r="P536" i="9" s="1"/>
  <c r="K855" i="9"/>
  <c r="L854" i="9"/>
  <c r="M854" i="9" s="1"/>
  <c r="R536" i="9" l="1"/>
  <c r="E539" i="2" s="1"/>
  <c r="A537" i="3" s="1"/>
  <c r="A537" i="4" s="1"/>
  <c r="S536" i="9"/>
  <c r="F539" i="2" s="1"/>
  <c r="B537" i="3" s="1"/>
  <c r="B537" i="4" s="1"/>
  <c r="T536" i="9"/>
  <c r="G539" i="2" s="1"/>
  <c r="S535" i="9"/>
  <c r="F538" i="2" s="1"/>
  <c r="B536" i="3" s="1"/>
  <c r="B536" i="4" s="1"/>
  <c r="R535" i="9"/>
  <c r="E538" i="2" s="1"/>
  <c r="A536" i="3" s="1"/>
  <c r="A536" i="4" s="1"/>
  <c r="C536" i="3"/>
  <c r="C536" i="4" s="1"/>
  <c r="O537" i="9"/>
  <c r="N538" i="9"/>
  <c r="K856" i="9"/>
  <c r="L855" i="9"/>
  <c r="M855" i="9" s="1"/>
  <c r="P537" i="9" l="1"/>
  <c r="C537" i="3"/>
  <c r="C537" i="4" s="1"/>
  <c r="O538" i="9"/>
  <c r="P538" i="9" s="1"/>
  <c r="N539" i="9"/>
  <c r="K857" i="9"/>
  <c r="L856" i="9"/>
  <c r="M856" i="9" s="1"/>
  <c r="T538" i="9" l="1"/>
  <c r="G541" i="2" s="1"/>
  <c r="S538" i="9"/>
  <c r="F541" i="2" s="1"/>
  <c r="B539" i="3" s="1"/>
  <c r="B539" i="4" s="1"/>
  <c r="R538" i="9"/>
  <c r="E541" i="2" s="1"/>
  <c r="A539" i="3" s="1"/>
  <c r="A539" i="4" s="1"/>
  <c r="R537" i="9"/>
  <c r="E540" i="2" s="1"/>
  <c r="A538" i="3" s="1"/>
  <c r="A538" i="4" s="1"/>
  <c r="S537" i="9"/>
  <c r="F540" i="2" s="1"/>
  <c r="B538" i="3" s="1"/>
  <c r="B538" i="4" s="1"/>
  <c r="T537" i="9"/>
  <c r="G540" i="2" s="1"/>
  <c r="C538" i="3" s="1"/>
  <c r="C538" i="4" s="1"/>
  <c r="O539" i="9"/>
  <c r="N540" i="9"/>
  <c r="K858" i="9"/>
  <c r="L857" i="9"/>
  <c r="M857" i="9" s="1"/>
  <c r="P539" i="9" l="1"/>
  <c r="T539" i="9" s="1"/>
  <c r="G542" i="2" s="1"/>
  <c r="C539" i="3"/>
  <c r="C539" i="4" s="1"/>
  <c r="N541" i="9"/>
  <c r="O540" i="9"/>
  <c r="P540" i="9" s="1"/>
  <c r="K859" i="9"/>
  <c r="L858" i="9"/>
  <c r="M858" i="9" s="1"/>
  <c r="T540" i="9" l="1"/>
  <c r="R540" i="9"/>
  <c r="E543" i="2" s="1"/>
  <c r="A541" i="3" s="1"/>
  <c r="A541" i="4" s="1"/>
  <c r="S540" i="9"/>
  <c r="F543" i="2" s="1"/>
  <c r="B541" i="3" s="1"/>
  <c r="B541" i="4" s="1"/>
  <c r="S539" i="9"/>
  <c r="F542" i="2" s="1"/>
  <c r="B540" i="3" s="1"/>
  <c r="B540" i="4" s="1"/>
  <c r="R539" i="9"/>
  <c r="E542" i="2" s="1"/>
  <c r="A540" i="3" s="1"/>
  <c r="A540" i="4" s="1"/>
  <c r="C540" i="3"/>
  <c r="C540" i="4" s="1"/>
  <c r="O541" i="9"/>
  <c r="N542" i="9"/>
  <c r="G543" i="2"/>
  <c r="K860" i="9"/>
  <c r="L859" i="9"/>
  <c r="M859" i="9" s="1"/>
  <c r="P541" i="9" l="1"/>
  <c r="C541" i="3"/>
  <c r="C541" i="4" s="1"/>
  <c r="N543" i="9"/>
  <c r="O542" i="9"/>
  <c r="P542" i="9" s="1"/>
  <c r="K861" i="9"/>
  <c r="L860" i="9"/>
  <c r="M860" i="9" s="1"/>
  <c r="S542" i="9" l="1"/>
  <c r="F545" i="2" s="1"/>
  <c r="B543" i="3" s="1"/>
  <c r="B543" i="4" s="1"/>
  <c r="R542" i="9"/>
  <c r="E545" i="2" s="1"/>
  <c r="A543" i="3" s="1"/>
  <c r="A543" i="4" s="1"/>
  <c r="T542" i="9"/>
  <c r="G545" i="2" s="1"/>
  <c r="R541" i="9"/>
  <c r="E544" i="2" s="1"/>
  <c r="A542" i="3" s="1"/>
  <c r="A542" i="4" s="1"/>
  <c r="S541" i="9"/>
  <c r="F544" i="2" s="1"/>
  <c r="B542" i="3" s="1"/>
  <c r="B542" i="4" s="1"/>
  <c r="T541" i="9"/>
  <c r="G544" i="2" s="1"/>
  <c r="C542" i="3" s="1"/>
  <c r="C542" i="4" s="1"/>
  <c r="O543" i="9"/>
  <c r="N544" i="9"/>
  <c r="K862" i="9"/>
  <c r="L861" i="9"/>
  <c r="M861" i="9" s="1"/>
  <c r="P543" i="9" l="1"/>
  <c r="C543" i="3"/>
  <c r="C543" i="4" s="1"/>
  <c r="N545" i="9"/>
  <c r="O544" i="9"/>
  <c r="P544" i="9" s="1"/>
  <c r="K863" i="9"/>
  <c r="L862" i="9"/>
  <c r="M862" i="9" s="1"/>
  <c r="S543" i="9" l="1"/>
  <c r="F546" i="2" s="1"/>
  <c r="B544" i="3" s="1"/>
  <c r="B544" i="4" s="1"/>
  <c r="R543" i="9"/>
  <c r="E546" i="2" s="1"/>
  <c r="A544" i="3" s="1"/>
  <c r="A544" i="4" s="1"/>
  <c r="S544" i="9"/>
  <c r="F547" i="2" s="1"/>
  <c r="B545" i="3" s="1"/>
  <c r="B545" i="4" s="1"/>
  <c r="R544" i="9"/>
  <c r="E547" i="2" s="1"/>
  <c r="A545" i="3" s="1"/>
  <c r="A545" i="4" s="1"/>
  <c r="T544" i="9"/>
  <c r="G547" i="2" s="1"/>
  <c r="T543" i="9"/>
  <c r="G546" i="2" s="1"/>
  <c r="C544" i="3" s="1"/>
  <c r="C544" i="4" s="1"/>
  <c r="O545" i="9"/>
  <c r="N546" i="9"/>
  <c r="K864" i="9"/>
  <c r="L863" i="9"/>
  <c r="M863" i="9" s="1"/>
  <c r="P545" i="9" l="1"/>
  <c r="T545" i="9" s="1"/>
  <c r="G548" i="2" s="1"/>
  <c r="C545" i="3"/>
  <c r="C545" i="4" s="1"/>
  <c r="N547" i="9"/>
  <c r="O546" i="9"/>
  <c r="P546" i="9" s="1"/>
  <c r="K865" i="9"/>
  <c r="L864" i="9"/>
  <c r="M864" i="9" s="1"/>
  <c r="R546" i="9" l="1"/>
  <c r="E549" i="2" s="1"/>
  <c r="A547" i="3" s="1"/>
  <c r="A547" i="4" s="1"/>
  <c r="S546" i="9"/>
  <c r="F549" i="2" s="1"/>
  <c r="B547" i="3" s="1"/>
  <c r="B547" i="4" s="1"/>
  <c r="T546" i="9"/>
  <c r="G549" i="2" s="1"/>
  <c r="S545" i="9"/>
  <c r="F548" i="2" s="1"/>
  <c r="B546" i="3" s="1"/>
  <c r="B546" i="4" s="1"/>
  <c r="R545" i="9"/>
  <c r="E548" i="2" s="1"/>
  <c r="A546" i="3" s="1"/>
  <c r="A546" i="4" s="1"/>
  <c r="C546" i="3"/>
  <c r="C546" i="4" s="1"/>
  <c r="O547" i="9"/>
  <c r="N548" i="9"/>
  <c r="K866" i="9"/>
  <c r="L865" i="9"/>
  <c r="M865" i="9" s="1"/>
  <c r="P547" i="9" l="1"/>
  <c r="C547" i="3"/>
  <c r="C547" i="4" s="1"/>
  <c r="N549" i="9"/>
  <c r="O548" i="9"/>
  <c r="P548" i="9" s="1"/>
  <c r="K867" i="9"/>
  <c r="L866" i="9"/>
  <c r="M866" i="9" s="1"/>
  <c r="R547" i="9" l="1"/>
  <c r="E550" i="2" s="1"/>
  <c r="A548" i="3" s="1"/>
  <c r="A548" i="4" s="1"/>
  <c r="S547" i="9"/>
  <c r="F550" i="2" s="1"/>
  <c r="B548" i="3" s="1"/>
  <c r="B548" i="4" s="1"/>
  <c r="S548" i="9"/>
  <c r="F551" i="2" s="1"/>
  <c r="B549" i="3" s="1"/>
  <c r="B549" i="4" s="1"/>
  <c r="R548" i="9"/>
  <c r="E551" i="2" s="1"/>
  <c r="A549" i="3" s="1"/>
  <c r="A549" i="4" s="1"/>
  <c r="T548" i="9"/>
  <c r="G551" i="2" s="1"/>
  <c r="T547" i="9"/>
  <c r="G550" i="2" s="1"/>
  <c r="C548" i="3" s="1"/>
  <c r="C548" i="4" s="1"/>
  <c r="O549" i="9"/>
  <c r="N550" i="9"/>
  <c r="K868" i="9"/>
  <c r="L867" i="9"/>
  <c r="M867" i="9" s="1"/>
  <c r="P549" i="9" l="1"/>
  <c r="C549" i="3"/>
  <c r="C549" i="4" s="1"/>
  <c r="O550" i="9"/>
  <c r="P550" i="9" s="1"/>
  <c r="N551" i="9"/>
  <c r="K869" i="9"/>
  <c r="L868" i="9"/>
  <c r="M868" i="9" s="1"/>
  <c r="T550" i="9" l="1"/>
  <c r="G553" i="2" s="1"/>
  <c r="R549" i="9"/>
  <c r="E552" i="2" s="1"/>
  <c r="A550" i="3" s="1"/>
  <c r="A550" i="4" s="1"/>
  <c r="S549" i="9"/>
  <c r="F552" i="2" s="1"/>
  <c r="B550" i="3" s="1"/>
  <c r="B550" i="4" s="1"/>
  <c r="R550" i="9"/>
  <c r="E553" i="2" s="1"/>
  <c r="A551" i="3" s="1"/>
  <c r="A551" i="4" s="1"/>
  <c r="S550" i="9"/>
  <c r="F553" i="2" s="1"/>
  <c r="B551" i="3" s="1"/>
  <c r="B551" i="4" s="1"/>
  <c r="T549" i="9"/>
  <c r="G552" i="2" s="1"/>
  <c r="C550" i="3" s="1"/>
  <c r="C550" i="4" s="1"/>
  <c r="O551" i="9"/>
  <c r="N552" i="9"/>
  <c r="K870" i="9"/>
  <c r="L869" i="9"/>
  <c r="M869" i="9" s="1"/>
  <c r="P551" i="9" l="1"/>
  <c r="C551" i="3"/>
  <c r="C551" i="4" s="1"/>
  <c r="N553" i="9"/>
  <c r="O552" i="9"/>
  <c r="P552" i="9" s="1"/>
  <c r="K871" i="9"/>
  <c r="L870" i="9"/>
  <c r="M870" i="9" s="1"/>
  <c r="R551" i="9" l="1"/>
  <c r="E554" i="2" s="1"/>
  <c r="A552" i="3" s="1"/>
  <c r="A552" i="4" s="1"/>
  <c r="S551" i="9"/>
  <c r="F554" i="2" s="1"/>
  <c r="B552" i="3" s="1"/>
  <c r="B552" i="4" s="1"/>
  <c r="S552" i="9"/>
  <c r="F555" i="2" s="1"/>
  <c r="B553" i="3" s="1"/>
  <c r="B553" i="4" s="1"/>
  <c r="R552" i="9"/>
  <c r="E555" i="2" s="1"/>
  <c r="A553" i="3" s="1"/>
  <c r="A553" i="4" s="1"/>
  <c r="T552" i="9"/>
  <c r="G555" i="2" s="1"/>
  <c r="T551" i="9"/>
  <c r="G554" i="2" s="1"/>
  <c r="C552" i="3" s="1"/>
  <c r="C552" i="4" s="1"/>
  <c r="O553" i="9"/>
  <c r="N554" i="9"/>
  <c r="K872" i="9"/>
  <c r="L871" i="9"/>
  <c r="M871" i="9" s="1"/>
  <c r="P553" i="9" l="1"/>
  <c r="T553" i="9" s="1"/>
  <c r="G556" i="2" s="1"/>
  <c r="C553" i="3"/>
  <c r="C553" i="4" s="1"/>
  <c r="N555" i="9"/>
  <c r="O554" i="9"/>
  <c r="P554" i="9" s="1"/>
  <c r="K873" i="9"/>
  <c r="L872" i="9"/>
  <c r="M872" i="9" s="1"/>
  <c r="T554" i="9" l="1"/>
  <c r="S554" i="9"/>
  <c r="F557" i="2" s="1"/>
  <c r="B555" i="3" s="1"/>
  <c r="B555" i="4" s="1"/>
  <c r="R554" i="9"/>
  <c r="E557" i="2" s="1"/>
  <c r="A555" i="3" s="1"/>
  <c r="A555" i="4" s="1"/>
  <c r="R553" i="9"/>
  <c r="E556" i="2" s="1"/>
  <c r="A554" i="3" s="1"/>
  <c r="A554" i="4" s="1"/>
  <c r="S553" i="9"/>
  <c r="F556" i="2" s="1"/>
  <c r="B554" i="3" s="1"/>
  <c r="B554" i="4" s="1"/>
  <c r="C554" i="3"/>
  <c r="C554" i="4" s="1"/>
  <c r="O555" i="9"/>
  <c r="N556" i="9"/>
  <c r="G557" i="2"/>
  <c r="K874" i="9"/>
  <c r="L873" i="9"/>
  <c r="M873" i="9" s="1"/>
  <c r="P555" i="9" l="1"/>
  <c r="S555" i="9" s="1"/>
  <c r="F558" i="2" s="1"/>
  <c r="B556" i="3" s="1"/>
  <c r="B556" i="4" s="1"/>
  <c r="C555" i="3"/>
  <c r="C555" i="4" s="1"/>
  <c r="O556" i="9"/>
  <c r="P556" i="9" s="1"/>
  <c r="N557" i="9"/>
  <c r="K875" i="9"/>
  <c r="L874" i="9"/>
  <c r="M874" i="9" s="1"/>
  <c r="T556" i="9" l="1"/>
  <c r="G559" i="2" s="1"/>
  <c r="R556" i="9"/>
  <c r="E559" i="2" s="1"/>
  <c r="A557" i="3" s="1"/>
  <c r="A557" i="4" s="1"/>
  <c r="S556" i="9"/>
  <c r="F559" i="2" s="1"/>
  <c r="B557" i="3" s="1"/>
  <c r="B557" i="4" s="1"/>
  <c r="T555" i="9"/>
  <c r="G558" i="2" s="1"/>
  <c r="C556" i="3" s="1"/>
  <c r="C556" i="4" s="1"/>
  <c r="R555" i="9"/>
  <c r="E558" i="2" s="1"/>
  <c r="A556" i="3" s="1"/>
  <c r="A556" i="4" s="1"/>
  <c r="N558" i="9"/>
  <c r="O557" i="9"/>
  <c r="K876" i="9"/>
  <c r="L875" i="9"/>
  <c r="M875" i="9" s="1"/>
  <c r="P557" i="9" l="1"/>
  <c r="C557" i="3"/>
  <c r="C557" i="4" s="1"/>
  <c r="O558" i="9"/>
  <c r="P558" i="9" s="1"/>
  <c r="N559" i="9"/>
  <c r="K877" i="9"/>
  <c r="L876" i="9"/>
  <c r="M876" i="9" s="1"/>
  <c r="S558" i="9" l="1"/>
  <c r="F561" i="2" s="1"/>
  <c r="B559" i="3" s="1"/>
  <c r="B559" i="4" s="1"/>
  <c r="R558" i="9"/>
  <c r="E561" i="2" s="1"/>
  <c r="A559" i="3" s="1"/>
  <c r="A559" i="4" s="1"/>
  <c r="T558" i="9"/>
  <c r="G561" i="2" s="1"/>
  <c r="R557" i="9"/>
  <c r="E560" i="2" s="1"/>
  <c r="A558" i="3" s="1"/>
  <c r="A558" i="4" s="1"/>
  <c r="S557" i="9"/>
  <c r="F560" i="2" s="1"/>
  <c r="B558" i="3" s="1"/>
  <c r="B558" i="4" s="1"/>
  <c r="T557" i="9"/>
  <c r="G560" i="2" s="1"/>
  <c r="C558" i="3" s="1"/>
  <c r="C558" i="4" s="1"/>
  <c r="N560" i="9"/>
  <c r="O559" i="9"/>
  <c r="K878" i="9"/>
  <c r="L877" i="9"/>
  <c r="M877" i="9" s="1"/>
  <c r="P559" i="9" l="1"/>
  <c r="C559" i="3"/>
  <c r="C559" i="4" s="1"/>
  <c r="O560" i="9"/>
  <c r="P560" i="9" s="1"/>
  <c r="N561" i="9"/>
  <c r="K879" i="9"/>
  <c r="L878" i="9"/>
  <c r="M878" i="9" s="1"/>
  <c r="T560" i="9" l="1"/>
  <c r="S559" i="9"/>
  <c r="F562" i="2" s="1"/>
  <c r="B560" i="3" s="1"/>
  <c r="B560" i="4" s="1"/>
  <c r="R559" i="9"/>
  <c r="E562" i="2" s="1"/>
  <c r="A560" i="3" s="1"/>
  <c r="A560" i="4" s="1"/>
  <c r="S560" i="9"/>
  <c r="F563" i="2" s="1"/>
  <c r="B561" i="3" s="1"/>
  <c r="B561" i="4" s="1"/>
  <c r="R560" i="9"/>
  <c r="E563" i="2" s="1"/>
  <c r="A561" i="3" s="1"/>
  <c r="A561" i="4" s="1"/>
  <c r="T559" i="9"/>
  <c r="G562" i="2" s="1"/>
  <c r="C560" i="3" s="1"/>
  <c r="C560" i="4" s="1"/>
  <c r="O561" i="9"/>
  <c r="N562" i="9"/>
  <c r="G563" i="2"/>
  <c r="K880" i="9"/>
  <c r="L879" i="9"/>
  <c r="M879" i="9" s="1"/>
  <c r="P561" i="9" l="1"/>
  <c r="C561" i="3"/>
  <c r="C561" i="4" s="1"/>
  <c r="N563" i="9"/>
  <c r="O562" i="9"/>
  <c r="P562" i="9" s="1"/>
  <c r="K881" i="9"/>
  <c r="L880" i="9"/>
  <c r="M880" i="9" s="1"/>
  <c r="S562" i="9" l="1"/>
  <c r="F565" i="2" s="1"/>
  <c r="B563" i="3" s="1"/>
  <c r="B563" i="4" s="1"/>
  <c r="R562" i="9"/>
  <c r="E565" i="2" s="1"/>
  <c r="A563" i="3" s="1"/>
  <c r="A563" i="4" s="1"/>
  <c r="T562" i="9"/>
  <c r="G565" i="2" s="1"/>
  <c r="S561" i="9"/>
  <c r="F564" i="2" s="1"/>
  <c r="B562" i="3" s="1"/>
  <c r="B562" i="4" s="1"/>
  <c r="R561" i="9"/>
  <c r="E564" i="2" s="1"/>
  <c r="A562" i="3" s="1"/>
  <c r="A562" i="4" s="1"/>
  <c r="T561" i="9"/>
  <c r="G564" i="2" s="1"/>
  <c r="C562" i="3" s="1"/>
  <c r="C562" i="4" s="1"/>
  <c r="N564" i="9"/>
  <c r="O563" i="9"/>
  <c r="K882" i="9"/>
  <c r="L881" i="9"/>
  <c r="M881" i="9" s="1"/>
  <c r="P563" i="9" l="1"/>
  <c r="C563" i="3"/>
  <c r="C563" i="4" s="1"/>
  <c r="O564" i="9"/>
  <c r="P564" i="9" s="1"/>
  <c r="N565" i="9"/>
  <c r="K883" i="9"/>
  <c r="L882" i="9"/>
  <c r="M882" i="9" s="1"/>
  <c r="R564" i="9" l="1"/>
  <c r="E567" i="2" s="1"/>
  <c r="A565" i="3" s="1"/>
  <c r="A565" i="4" s="1"/>
  <c r="S564" i="9"/>
  <c r="F567" i="2" s="1"/>
  <c r="B565" i="3" s="1"/>
  <c r="B565" i="4" s="1"/>
  <c r="T564" i="9"/>
  <c r="G567" i="2" s="1"/>
  <c r="S563" i="9"/>
  <c r="F566" i="2" s="1"/>
  <c r="B564" i="3" s="1"/>
  <c r="B564" i="4" s="1"/>
  <c r="R563" i="9"/>
  <c r="E566" i="2" s="1"/>
  <c r="A564" i="3" s="1"/>
  <c r="A564" i="4" s="1"/>
  <c r="T563" i="9"/>
  <c r="G566" i="2" s="1"/>
  <c r="C564" i="3" s="1"/>
  <c r="C564" i="4" s="1"/>
  <c r="O565" i="9"/>
  <c r="N566" i="9"/>
  <c r="K884" i="9"/>
  <c r="L883" i="9"/>
  <c r="M883" i="9" s="1"/>
  <c r="P565" i="9" l="1"/>
  <c r="C565" i="3"/>
  <c r="C565" i="4" s="1"/>
  <c r="O566" i="9"/>
  <c r="P566" i="9" s="1"/>
  <c r="N567" i="9"/>
  <c r="K885" i="9"/>
  <c r="L884" i="9"/>
  <c r="M884" i="9" s="1"/>
  <c r="T566" i="9" l="1"/>
  <c r="G569" i="2" s="1"/>
  <c r="R566" i="9"/>
  <c r="E569" i="2" s="1"/>
  <c r="A567" i="3" s="1"/>
  <c r="A567" i="4" s="1"/>
  <c r="S566" i="9"/>
  <c r="F569" i="2" s="1"/>
  <c r="B567" i="3" s="1"/>
  <c r="B567" i="4" s="1"/>
  <c r="R565" i="9"/>
  <c r="E568" i="2" s="1"/>
  <c r="A566" i="3" s="1"/>
  <c r="A566" i="4" s="1"/>
  <c r="S565" i="9"/>
  <c r="F568" i="2" s="1"/>
  <c r="B566" i="3" s="1"/>
  <c r="B566" i="4" s="1"/>
  <c r="T565" i="9"/>
  <c r="G568" i="2" s="1"/>
  <c r="C566" i="3" s="1"/>
  <c r="C566" i="4" s="1"/>
  <c r="N568" i="9"/>
  <c r="O567" i="9"/>
  <c r="K886" i="9"/>
  <c r="L885" i="9"/>
  <c r="M885" i="9" s="1"/>
  <c r="P567" i="9" l="1"/>
  <c r="C567" i="3"/>
  <c r="C567" i="4" s="1"/>
  <c r="N569" i="9"/>
  <c r="O568" i="9"/>
  <c r="P568" i="9" s="1"/>
  <c r="K887" i="9"/>
  <c r="L886" i="9"/>
  <c r="M886" i="9" s="1"/>
  <c r="R567" i="9" l="1"/>
  <c r="E570" i="2" s="1"/>
  <c r="A568" i="3" s="1"/>
  <c r="A568" i="4" s="1"/>
  <c r="S567" i="9"/>
  <c r="F570" i="2" s="1"/>
  <c r="B568" i="3" s="1"/>
  <c r="B568" i="4" s="1"/>
  <c r="R568" i="9"/>
  <c r="E571" i="2" s="1"/>
  <c r="A569" i="3" s="1"/>
  <c r="A569" i="4" s="1"/>
  <c r="S568" i="9"/>
  <c r="F571" i="2" s="1"/>
  <c r="B569" i="3" s="1"/>
  <c r="B569" i="4" s="1"/>
  <c r="T568" i="9"/>
  <c r="G571" i="2" s="1"/>
  <c r="T567" i="9"/>
  <c r="G570" i="2" s="1"/>
  <c r="C568" i="3" s="1"/>
  <c r="C568" i="4" s="1"/>
  <c r="N570" i="9"/>
  <c r="O569" i="9"/>
  <c r="K888" i="9"/>
  <c r="L887" i="9"/>
  <c r="M887" i="9" s="1"/>
  <c r="P569" i="9" l="1"/>
  <c r="T569" i="9" s="1"/>
  <c r="G572" i="2" s="1"/>
  <c r="C569" i="3"/>
  <c r="C569" i="4" s="1"/>
  <c r="O570" i="9"/>
  <c r="P570" i="9" s="1"/>
  <c r="N571" i="9"/>
  <c r="K889" i="9"/>
  <c r="L888" i="9"/>
  <c r="M888" i="9" s="1"/>
  <c r="T570" i="9" l="1"/>
  <c r="G573" i="2" s="1"/>
  <c r="R570" i="9"/>
  <c r="E573" i="2" s="1"/>
  <c r="A571" i="3" s="1"/>
  <c r="A571" i="4" s="1"/>
  <c r="S570" i="9"/>
  <c r="F573" i="2" s="1"/>
  <c r="B571" i="3" s="1"/>
  <c r="B571" i="4" s="1"/>
  <c r="R569" i="9"/>
  <c r="E572" i="2" s="1"/>
  <c r="A570" i="3" s="1"/>
  <c r="A570" i="4" s="1"/>
  <c r="S569" i="9"/>
  <c r="F572" i="2" s="1"/>
  <c r="B570" i="3" s="1"/>
  <c r="B570" i="4" s="1"/>
  <c r="C570" i="3"/>
  <c r="C570" i="4" s="1"/>
  <c r="N572" i="9"/>
  <c r="O571" i="9"/>
  <c r="K890" i="9"/>
  <c r="L889" i="9"/>
  <c r="M889" i="9" s="1"/>
  <c r="P571" i="9" l="1"/>
  <c r="T571" i="9" s="1"/>
  <c r="G574" i="2" s="1"/>
  <c r="C571" i="3"/>
  <c r="C571" i="4" s="1"/>
  <c r="N573" i="9"/>
  <c r="O572" i="9"/>
  <c r="P572" i="9" s="1"/>
  <c r="K891" i="9"/>
  <c r="L890" i="9"/>
  <c r="M890" i="9" s="1"/>
  <c r="S572" i="9" l="1"/>
  <c r="F575" i="2" s="1"/>
  <c r="B573" i="3" s="1"/>
  <c r="B573" i="4" s="1"/>
  <c r="R572" i="9"/>
  <c r="E575" i="2" s="1"/>
  <c r="A573" i="3" s="1"/>
  <c r="A573" i="4" s="1"/>
  <c r="T572" i="9"/>
  <c r="G575" i="2" s="1"/>
  <c r="R571" i="9"/>
  <c r="E574" i="2" s="1"/>
  <c r="A572" i="3" s="1"/>
  <c r="A572" i="4" s="1"/>
  <c r="S571" i="9"/>
  <c r="F574" i="2" s="1"/>
  <c r="B572" i="3" s="1"/>
  <c r="B572" i="4" s="1"/>
  <c r="C572" i="3"/>
  <c r="C572" i="4" s="1"/>
  <c r="N574" i="9"/>
  <c r="O573" i="9"/>
  <c r="K892" i="9"/>
  <c r="L891" i="9"/>
  <c r="M891" i="9" s="1"/>
  <c r="P573" i="9" l="1"/>
  <c r="C573" i="3"/>
  <c r="C573" i="4" s="1"/>
  <c r="O574" i="9"/>
  <c r="P574" i="9" s="1"/>
  <c r="N575" i="9"/>
  <c r="K893" i="9"/>
  <c r="L892" i="9"/>
  <c r="M892" i="9" s="1"/>
  <c r="T574" i="9" l="1"/>
  <c r="G577" i="2" s="1"/>
  <c r="R574" i="9"/>
  <c r="E577" i="2" s="1"/>
  <c r="A575" i="3" s="1"/>
  <c r="A575" i="4" s="1"/>
  <c r="S574" i="9"/>
  <c r="F577" i="2" s="1"/>
  <c r="B575" i="3" s="1"/>
  <c r="B575" i="4" s="1"/>
  <c r="R573" i="9"/>
  <c r="E576" i="2" s="1"/>
  <c r="A574" i="3" s="1"/>
  <c r="A574" i="4" s="1"/>
  <c r="S573" i="9"/>
  <c r="F576" i="2" s="1"/>
  <c r="B574" i="3" s="1"/>
  <c r="B574" i="4" s="1"/>
  <c r="T573" i="9"/>
  <c r="G576" i="2" s="1"/>
  <c r="C574" i="3" s="1"/>
  <c r="C574" i="4" s="1"/>
  <c r="N576" i="9"/>
  <c r="O575" i="9"/>
  <c r="K894" i="9"/>
  <c r="L893" i="9"/>
  <c r="M893" i="9" s="1"/>
  <c r="P575" i="9" l="1"/>
  <c r="C575" i="3"/>
  <c r="C575" i="4" s="1"/>
  <c r="O576" i="9"/>
  <c r="P576" i="9" s="1"/>
  <c r="N577" i="9"/>
  <c r="K895" i="9"/>
  <c r="L894" i="9"/>
  <c r="M894" i="9" s="1"/>
  <c r="R576" i="9" l="1"/>
  <c r="E579" i="2" s="1"/>
  <c r="A577" i="3" s="1"/>
  <c r="A577" i="4" s="1"/>
  <c r="S576" i="9"/>
  <c r="F579" i="2" s="1"/>
  <c r="B577" i="3" s="1"/>
  <c r="B577" i="4" s="1"/>
  <c r="T576" i="9"/>
  <c r="G579" i="2" s="1"/>
  <c r="R575" i="9"/>
  <c r="E578" i="2" s="1"/>
  <c r="A576" i="3" s="1"/>
  <c r="A576" i="4" s="1"/>
  <c r="S575" i="9"/>
  <c r="F578" i="2" s="1"/>
  <c r="B576" i="3" s="1"/>
  <c r="B576" i="4" s="1"/>
  <c r="T575" i="9"/>
  <c r="G578" i="2" s="1"/>
  <c r="C576" i="3" s="1"/>
  <c r="C576" i="4" s="1"/>
  <c r="O577" i="9"/>
  <c r="N578" i="9"/>
  <c r="K896" i="9"/>
  <c r="L895" i="9"/>
  <c r="M895" i="9" s="1"/>
  <c r="P577" i="9" l="1"/>
  <c r="C577" i="3"/>
  <c r="C577" i="4" s="1"/>
  <c r="O578" i="9"/>
  <c r="P578" i="9" s="1"/>
  <c r="N579" i="9"/>
  <c r="K897" i="9"/>
  <c r="L896" i="9"/>
  <c r="M896" i="9" s="1"/>
  <c r="T578" i="9" l="1"/>
  <c r="G581" i="2" s="1"/>
  <c r="R578" i="9"/>
  <c r="E581" i="2" s="1"/>
  <c r="A579" i="3" s="1"/>
  <c r="A579" i="4" s="1"/>
  <c r="S578" i="9"/>
  <c r="F581" i="2" s="1"/>
  <c r="B579" i="3" s="1"/>
  <c r="B579" i="4" s="1"/>
  <c r="T577" i="9"/>
  <c r="G580" i="2" s="1"/>
  <c r="C578" i="3" s="1"/>
  <c r="C578" i="4" s="1"/>
  <c r="R577" i="9"/>
  <c r="E580" i="2" s="1"/>
  <c r="A578" i="3" s="1"/>
  <c r="A578" i="4" s="1"/>
  <c r="S577" i="9"/>
  <c r="F580" i="2" s="1"/>
  <c r="B578" i="3" s="1"/>
  <c r="B578" i="4" s="1"/>
  <c r="O579" i="9"/>
  <c r="N580" i="9"/>
  <c r="K898" i="9"/>
  <c r="L897" i="9"/>
  <c r="M897" i="9" s="1"/>
  <c r="P579" i="9" l="1"/>
  <c r="C579" i="3"/>
  <c r="C579" i="4" s="1"/>
  <c r="O580" i="9"/>
  <c r="P580" i="9" s="1"/>
  <c r="N581" i="9"/>
  <c r="K899" i="9"/>
  <c r="L898" i="9"/>
  <c r="M898" i="9" s="1"/>
  <c r="T580" i="9" l="1"/>
  <c r="S580" i="9"/>
  <c r="F583" i="2" s="1"/>
  <c r="B581" i="3" s="1"/>
  <c r="B581" i="4" s="1"/>
  <c r="R580" i="9"/>
  <c r="E583" i="2" s="1"/>
  <c r="A581" i="3" s="1"/>
  <c r="A581" i="4" s="1"/>
  <c r="R579" i="9"/>
  <c r="E582" i="2" s="1"/>
  <c r="A580" i="3" s="1"/>
  <c r="A580" i="4" s="1"/>
  <c r="S579" i="9"/>
  <c r="F582" i="2" s="1"/>
  <c r="B580" i="3" s="1"/>
  <c r="B580" i="4" s="1"/>
  <c r="T579" i="9"/>
  <c r="G582" i="2" s="1"/>
  <c r="C580" i="3" s="1"/>
  <c r="C580" i="4" s="1"/>
  <c r="N582" i="9"/>
  <c r="O581" i="9"/>
  <c r="G583" i="2"/>
  <c r="K900" i="9"/>
  <c r="L899" i="9"/>
  <c r="M899" i="9" s="1"/>
  <c r="P581" i="9" l="1"/>
  <c r="C581" i="3"/>
  <c r="C581" i="4" s="1"/>
  <c r="N583" i="9"/>
  <c r="O582" i="9"/>
  <c r="P582" i="9" s="1"/>
  <c r="K901" i="9"/>
  <c r="L900" i="9"/>
  <c r="M900" i="9" s="1"/>
  <c r="T582" i="9" l="1"/>
  <c r="S582" i="9"/>
  <c r="F585" i="2" s="1"/>
  <c r="B583" i="3" s="1"/>
  <c r="B583" i="4" s="1"/>
  <c r="R582" i="9"/>
  <c r="E585" i="2" s="1"/>
  <c r="A583" i="3" s="1"/>
  <c r="A583" i="4" s="1"/>
  <c r="R581" i="9"/>
  <c r="E584" i="2" s="1"/>
  <c r="A582" i="3" s="1"/>
  <c r="A582" i="4" s="1"/>
  <c r="S581" i="9"/>
  <c r="F584" i="2" s="1"/>
  <c r="B582" i="3" s="1"/>
  <c r="B582" i="4" s="1"/>
  <c r="T581" i="9"/>
  <c r="G584" i="2" s="1"/>
  <c r="C582" i="3" s="1"/>
  <c r="C582" i="4" s="1"/>
  <c r="G585" i="2"/>
  <c r="N584" i="9"/>
  <c r="O583" i="9"/>
  <c r="K902" i="9"/>
  <c r="L901" i="9"/>
  <c r="M901" i="9" s="1"/>
  <c r="P583" i="9" l="1"/>
  <c r="S583" i="9" s="1"/>
  <c r="F586" i="2" s="1"/>
  <c r="B584" i="3" s="1"/>
  <c r="B584" i="4" s="1"/>
  <c r="C583" i="3"/>
  <c r="C583" i="4" s="1"/>
  <c r="O584" i="9"/>
  <c r="P584" i="9" s="1"/>
  <c r="N585" i="9"/>
  <c r="K903" i="9"/>
  <c r="L902" i="9"/>
  <c r="M902" i="9" s="1"/>
  <c r="T584" i="9" l="1"/>
  <c r="G587" i="2" s="1"/>
  <c r="S584" i="9"/>
  <c r="F587" i="2" s="1"/>
  <c r="B585" i="3" s="1"/>
  <c r="B585" i="4" s="1"/>
  <c r="R584" i="9"/>
  <c r="E587" i="2" s="1"/>
  <c r="A585" i="3" s="1"/>
  <c r="A585" i="4" s="1"/>
  <c r="R583" i="9"/>
  <c r="E586" i="2" s="1"/>
  <c r="A584" i="3" s="1"/>
  <c r="A584" i="4" s="1"/>
  <c r="T583" i="9"/>
  <c r="G586" i="2" s="1"/>
  <c r="C584" i="3" s="1"/>
  <c r="C584" i="4" s="1"/>
  <c r="O585" i="9"/>
  <c r="N586" i="9"/>
  <c r="K904" i="9"/>
  <c r="L903" i="9"/>
  <c r="M903" i="9" s="1"/>
  <c r="P585" i="9" l="1"/>
  <c r="T585" i="9" s="1"/>
  <c r="G588" i="2" s="1"/>
  <c r="C585" i="3"/>
  <c r="C585" i="4" s="1"/>
  <c r="N587" i="9"/>
  <c r="O586" i="9"/>
  <c r="P586" i="9" s="1"/>
  <c r="K905" i="9"/>
  <c r="L904" i="9"/>
  <c r="M904" i="9" s="1"/>
  <c r="S586" i="9" l="1"/>
  <c r="F589" i="2" s="1"/>
  <c r="B587" i="3" s="1"/>
  <c r="B587" i="4" s="1"/>
  <c r="R586" i="9"/>
  <c r="E589" i="2" s="1"/>
  <c r="A587" i="3" s="1"/>
  <c r="A587" i="4" s="1"/>
  <c r="S585" i="9"/>
  <c r="F588" i="2" s="1"/>
  <c r="B586" i="3" s="1"/>
  <c r="B586" i="4" s="1"/>
  <c r="R585" i="9"/>
  <c r="E588" i="2" s="1"/>
  <c r="A586" i="3" s="1"/>
  <c r="A586" i="4" s="1"/>
  <c r="T586" i="9"/>
  <c r="G589" i="2" s="1"/>
  <c r="C586" i="3"/>
  <c r="C586" i="4" s="1"/>
  <c r="O587" i="9"/>
  <c r="N588" i="9"/>
  <c r="K906" i="9"/>
  <c r="L905" i="9"/>
  <c r="M905" i="9" s="1"/>
  <c r="P587" i="9" l="1"/>
  <c r="T587" i="9" s="1"/>
  <c r="G590" i="2" s="1"/>
  <c r="C587" i="3"/>
  <c r="C587" i="4" s="1"/>
  <c r="O588" i="9"/>
  <c r="P588" i="9" s="1"/>
  <c r="N589" i="9"/>
  <c r="K907" i="9"/>
  <c r="L906" i="9"/>
  <c r="M906" i="9" s="1"/>
  <c r="T588" i="9" l="1"/>
  <c r="G591" i="2" s="1"/>
  <c r="R588" i="9"/>
  <c r="E591" i="2" s="1"/>
  <c r="A589" i="3" s="1"/>
  <c r="A589" i="4" s="1"/>
  <c r="S588" i="9"/>
  <c r="F591" i="2" s="1"/>
  <c r="B589" i="3" s="1"/>
  <c r="B589" i="4" s="1"/>
  <c r="S587" i="9"/>
  <c r="F590" i="2" s="1"/>
  <c r="B588" i="3" s="1"/>
  <c r="B588" i="4" s="1"/>
  <c r="R587" i="9"/>
  <c r="E590" i="2" s="1"/>
  <c r="A588" i="3" s="1"/>
  <c r="A588" i="4" s="1"/>
  <c r="C588" i="3"/>
  <c r="C588" i="4" s="1"/>
  <c r="O589" i="9"/>
  <c r="N590" i="9"/>
  <c r="K908" i="9"/>
  <c r="L907" i="9"/>
  <c r="M907" i="9" s="1"/>
  <c r="P589" i="9" l="1"/>
  <c r="C589" i="3"/>
  <c r="C589" i="4" s="1"/>
  <c r="O590" i="9"/>
  <c r="P590" i="9" s="1"/>
  <c r="N591" i="9"/>
  <c r="K909" i="9"/>
  <c r="L908" i="9"/>
  <c r="M908" i="9" s="1"/>
  <c r="T590" i="9" l="1"/>
  <c r="G593" i="2" s="1"/>
  <c r="R590" i="9"/>
  <c r="E593" i="2" s="1"/>
  <c r="A591" i="3" s="1"/>
  <c r="A591" i="4" s="1"/>
  <c r="S590" i="9"/>
  <c r="F593" i="2" s="1"/>
  <c r="B591" i="3" s="1"/>
  <c r="B591" i="4" s="1"/>
  <c r="S589" i="9"/>
  <c r="F592" i="2" s="1"/>
  <c r="B590" i="3" s="1"/>
  <c r="B590" i="4" s="1"/>
  <c r="R589" i="9"/>
  <c r="E592" i="2" s="1"/>
  <c r="A590" i="3" s="1"/>
  <c r="A590" i="4" s="1"/>
  <c r="T589" i="9"/>
  <c r="G592" i="2" s="1"/>
  <c r="C590" i="3" s="1"/>
  <c r="C590" i="4" s="1"/>
  <c r="O591" i="9"/>
  <c r="N592" i="9"/>
  <c r="K910" i="9"/>
  <c r="L909" i="9"/>
  <c r="M909" i="9" s="1"/>
  <c r="P591" i="9" l="1"/>
  <c r="C591" i="3"/>
  <c r="C591" i="4" s="1"/>
  <c r="O592" i="9"/>
  <c r="P592" i="9" s="1"/>
  <c r="N593" i="9"/>
  <c r="K911" i="9"/>
  <c r="L910" i="9"/>
  <c r="M910" i="9" s="1"/>
  <c r="T592" i="9" l="1"/>
  <c r="S591" i="9"/>
  <c r="F594" i="2" s="1"/>
  <c r="B592" i="3" s="1"/>
  <c r="B592" i="4" s="1"/>
  <c r="R591" i="9"/>
  <c r="E594" i="2" s="1"/>
  <c r="A592" i="3" s="1"/>
  <c r="A592" i="4" s="1"/>
  <c r="R592" i="9"/>
  <c r="E595" i="2" s="1"/>
  <c r="A593" i="3" s="1"/>
  <c r="A593" i="4" s="1"/>
  <c r="S592" i="9"/>
  <c r="F595" i="2" s="1"/>
  <c r="B593" i="3" s="1"/>
  <c r="B593" i="4" s="1"/>
  <c r="T591" i="9"/>
  <c r="G594" i="2" s="1"/>
  <c r="C592" i="3" s="1"/>
  <c r="C592" i="4" s="1"/>
  <c r="N594" i="9"/>
  <c r="O593" i="9"/>
  <c r="G595" i="2"/>
  <c r="K912" i="9"/>
  <c r="L911" i="9"/>
  <c r="M911" i="9" s="1"/>
  <c r="P593" i="9" l="1"/>
  <c r="C593" i="3"/>
  <c r="C593" i="4" s="1"/>
  <c r="N595" i="9"/>
  <c r="O594" i="9"/>
  <c r="P594" i="9" s="1"/>
  <c r="K913" i="9"/>
  <c r="L912" i="9"/>
  <c r="M912" i="9" s="1"/>
  <c r="S593" i="9" l="1"/>
  <c r="F596" i="2" s="1"/>
  <c r="B594" i="3" s="1"/>
  <c r="B594" i="4" s="1"/>
  <c r="R593" i="9"/>
  <c r="E596" i="2" s="1"/>
  <c r="A594" i="3" s="1"/>
  <c r="A594" i="4" s="1"/>
  <c r="T594" i="9"/>
  <c r="G597" i="2" s="1"/>
  <c r="S594" i="9"/>
  <c r="F597" i="2" s="1"/>
  <c r="B595" i="3" s="1"/>
  <c r="B595" i="4" s="1"/>
  <c r="R594" i="9"/>
  <c r="E597" i="2" s="1"/>
  <c r="A595" i="3" s="1"/>
  <c r="A595" i="4" s="1"/>
  <c r="T593" i="9"/>
  <c r="G596" i="2" s="1"/>
  <c r="C594" i="3" s="1"/>
  <c r="C594" i="4" s="1"/>
  <c r="O595" i="9"/>
  <c r="N596" i="9"/>
  <c r="K914" i="9"/>
  <c r="L913" i="9"/>
  <c r="M913" i="9" s="1"/>
  <c r="P595" i="9" l="1"/>
  <c r="C595" i="3"/>
  <c r="C595" i="4" s="1"/>
  <c r="N597" i="9"/>
  <c r="O596" i="9"/>
  <c r="P596" i="9" s="1"/>
  <c r="K915" i="9"/>
  <c r="L914" i="9"/>
  <c r="M914" i="9" s="1"/>
  <c r="R596" i="9" l="1"/>
  <c r="E599" i="2" s="1"/>
  <c r="A597" i="3" s="1"/>
  <c r="A597" i="4" s="1"/>
  <c r="S596" i="9"/>
  <c r="F599" i="2" s="1"/>
  <c r="B597" i="3" s="1"/>
  <c r="B597" i="4" s="1"/>
  <c r="T596" i="9"/>
  <c r="G599" i="2" s="1"/>
  <c r="S595" i="9"/>
  <c r="F598" i="2" s="1"/>
  <c r="B596" i="3" s="1"/>
  <c r="B596" i="4" s="1"/>
  <c r="R595" i="9"/>
  <c r="E598" i="2" s="1"/>
  <c r="A596" i="3" s="1"/>
  <c r="A596" i="4" s="1"/>
  <c r="T595" i="9"/>
  <c r="G598" i="2" s="1"/>
  <c r="C596" i="3" s="1"/>
  <c r="C596" i="4" s="1"/>
  <c r="N598" i="9"/>
  <c r="O597" i="9"/>
  <c r="K916" i="9"/>
  <c r="L915" i="9"/>
  <c r="M915" i="9" s="1"/>
  <c r="P597" i="9" l="1"/>
  <c r="T597" i="9" s="1"/>
  <c r="G600" i="2" s="1"/>
  <c r="C597" i="3"/>
  <c r="C597" i="4" s="1"/>
  <c r="N599" i="9"/>
  <c r="O598" i="9"/>
  <c r="P598" i="9" s="1"/>
  <c r="K917" i="9"/>
  <c r="L916" i="9"/>
  <c r="M916" i="9" s="1"/>
  <c r="T598" i="9" l="1"/>
  <c r="G601" i="2" s="1"/>
  <c r="R598" i="9"/>
  <c r="E601" i="2" s="1"/>
  <c r="A599" i="3" s="1"/>
  <c r="A599" i="4" s="1"/>
  <c r="S598" i="9"/>
  <c r="F601" i="2" s="1"/>
  <c r="B599" i="3" s="1"/>
  <c r="B599" i="4" s="1"/>
  <c r="R597" i="9"/>
  <c r="E600" i="2" s="1"/>
  <c r="A598" i="3" s="1"/>
  <c r="A598" i="4" s="1"/>
  <c r="S597" i="9"/>
  <c r="F600" i="2" s="1"/>
  <c r="B598" i="3" s="1"/>
  <c r="B598" i="4" s="1"/>
  <c r="C598" i="3"/>
  <c r="C598" i="4" s="1"/>
  <c r="N600" i="9"/>
  <c r="O599" i="9"/>
  <c r="K918" i="9"/>
  <c r="L917" i="9"/>
  <c r="M917" i="9" s="1"/>
  <c r="P599" i="9" l="1"/>
  <c r="T599" i="9" s="1"/>
  <c r="G602" i="2" s="1"/>
  <c r="C599" i="3"/>
  <c r="C599" i="4" s="1"/>
  <c r="N601" i="9"/>
  <c r="O600" i="9"/>
  <c r="P600" i="9" s="1"/>
  <c r="K919" i="9"/>
  <c r="L918" i="9"/>
  <c r="M918" i="9" s="1"/>
  <c r="R600" i="9" l="1"/>
  <c r="E603" i="2" s="1"/>
  <c r="A601" i="3" s="1"/>
  <c r="A601" i="4" s="1"/>
  <c r="S600" i="9"/>
  <c r="F603" i="2" s="1"/>
  <c r="B601" i="3" s="1"/>
  <c r="B601" i="4" s="1"/>
  <c r="S599" i="9"/>
  <c r="F602" i="2" s="1"/>
  <c r="B600" i="3" s="1"/>
  <c r="B600" i="4" s="1"/>
  <c r="R599" i="9"/>
  <c r="E602" i="2" s="1"/>
  <c r="A600" i="3" s="1"/>
  <c r="A600" i="4" s="1"/>
  <c r="T600" i="9"/>
  <c r="G603" i="2" s="1"/>
  <c r="C600" i="3"/>
  <c r="C600" i="4" s="1"/>
  <c r="N602" i="9"/>
  <c r="O601" i="9"/>
  <c r="K920" i="9"/>
  <c r="L919" i="9"/>
  <c r="M919" i="9" s="1"/>
  <c r="P601" i="9" l="1"/>
  <c r="C601" i="3"/>
  <c r="C601" i="4" s="1"/>
  <c r="O602" i="9"/>
  <c r="P602" i="9" s="1"/>
  <c r="N603" i="9"/>
  <c r="K921" i="9"/>
  <c r="L920" i="9"/>
  <c r="M920" i="9" s="1"/>
  <c r="T602" i="9" l="1"/>
  <c r="T601" i="9"/>
  <c r="G604" i="2" s="1"/>
  <c r="C602" i="3" s="1"/>
  <c r="C602" i="4" s="1"/>
  <c r="S601" i="9"/>
  <c r="F604" i="2" s="1"/>
  <c r="B602" i="3" s="1"/>
  <c r="B602" i="4" s="1"/>
  <c r="R601" i="9"/>
  <c r="E604" i="2" s="1"/>
  <c r="A602" i="3" s="1"/>
  <c r="A602" i="4" s="1"/>
  <c r="R602" i="9"/>
  <c r="E605" i="2" s="1"/>
  <c r="A603" i="3" s="1"/>
  <c r="A603" i="4" s="1"/>
  <c r="S602" i="9"/>
  <c r="F605" i="2" s="1"/>
  <c r="B603" i="3" s="1"/>
  <c r="B603" i="4" s="1"/>
  <c r="N604" i="9"/>
  <c r="O603" i="9"/>
  <c r="G605" i="2"/>
  <c r="K922" i="9"/>
  <c r="L921" i="9"/>
  <c r="M921" i="9" s="1"/>
  <c r="P603" i="9" l="1"/>
  <c r="S603" i="9" s="1"/>
  <c r="F606" i="2" s="1"/>
  <c r="B604" i="3" s="1"/>
  <c r="B604" i="4" s="1"/>
  <c r="C603" i="3"/>
  <c r="C603" i="4" s="1"/>
  <c r="O604" i="9"/>
  <c r="P604" i="9" s="1"/>
  <c r="N605" i="9"/>
  <c r="K923" i="9"/>
  <c r="L922" i="9"/>
  <c r="M922" i="9" s="1"/>
  <c r="T603" i="9" l="1"/>
  <c r="G606" i="2" s="1"/>
  <c r="T604" i="9"/>
  <c r="G607" i="2" s="1"/>
  <c r="S604" i="9"/>
  <c r="F607" i="2" s="1"/>
  <c r="B605" i="3" s="1"/>
  <c r="B605" i="4" s="1"/>
  <c r="R604" i="9"/>
  <c r="E607" i="2" s="1"/>
  <c r="A605" i="3" s="1"/>
  <c r="A605" i="4" s="1"/>
  <c r="R603" i="9"/>
  <c r="E606" i="2" s="1"/>
  <c r="A604" i="3" s="1"/>
  <c r="A604" i="4" s="1"/>
  <c r="C604" i="3"/>
  <c r="C604" i="4" s="1"/>
  <c r="N606" i="9"/>
  <c r="O605" i="9"/>
  <c r="K924" i="9"/>
  <c r="L923" i="9"/>
  <c r="M923" i="9" s="1"/>
  <c r="P605" i="9" l="1"/>
  <c r="C605" i="3"/>
  <c r="C605" i="4" s="1"/>
  <c r="N607" i="9"/>
  <c r="O606" i="9"/>
  <c r="P606" i="9" s="1"/>
  <c r="K925" i="9"/>
  <c r="L924" i="9"/>
  <c r="M924" i="9" s="1"/>
  <c r="T606" i="9" l="1"/>
  <c r="G609" i="2" s="1"/>
  <c r="S606" i="9"/>
  <c r="F609" i="2" s="1"/>
  <c r="B607" i="3" s="1"/>
  <c r="B607" i="4" s="1"/>
  <c r="R606" i="9"/>
  <c r="E609" i="2" s="1"/>
  <c r="A607" i="3" s="1"/>
  <c r="A607" i="4" s="1"/>
  <c r="R605" i="9"/>
  <c r="E608" i="2" s="1"/>
  <c r="A606" i="3" s="1"/>
  <c r="A606" i="4" s="1"/>
  <c r="S605" i="9"/>
  <c r="F608" i="2" s="1"/>
  <c r="B606" i="3" s="1"/>
  <c r="B606" i="4" s="1"/>
  <c r="T605" i="9"/>
  <c r="G608" i="2" s="1"/>
  <c r="C606" i="3" s="1"/>
  <c r="C606" i="4" s="1"/>
  <c r="N608" i="9"/>
  <c r="O607" i="9"/>
  <c r="K926" i="9"/>
  <c r="L925" i="9"/>
  <c r="M925" i="9" s="1"/>
  <c r="P607" i="9" l="1"/>
  <c r="S607" i="9" s="1"/>
  <c r="F610" i="2" s="1"/>
  <c r="B608" i="3" s="1"/>
  <c r="B608" i="4" s="1"/>
  <c r="C607" i="3"/>
  <c r="C607" i="4" s="1"/>
  <c r="O608" i="9"/>
  <c r="P608" i="9" s="1"/>
  <c r="N609" i="9"/>
  <c r="K927" i="9"/>
  <c r="L926" i="9"/>
  <c r="M926" i="9" s="1"/>
  <c r="T607" i="9" l="1"/>
  <c r="G610" i="2" s="1"/>
  <c r="C608" i="3" s="1"/>
  <c r="C608" i="4" s="1"/>
  <c r="R607" i="9"/>
  <c r="E610" i="2" s="1"/>
  <c r="A608" i="3" s="1"/>
  <c r="A608" i="4" s="1"/>
  <c r="R608" i="9"/>
  <c r="E611" i="2" s="1"/>
  <c r="A609" i="3" s="1"/>
  <c r="A609" i="4" s="1"/>
  <c r="S608" i="9"/>
  <c r="F611" i="2" s="1"/>
  <c r="B609" i="3" s="1"/>
  <c r="B609" i="4" s="1"/>
  <c r="T608" i="9"/>
  <c r="G611" i="2" s="1"/>
  <c r="O609" i="9"/>
  <c r="N610" i="9"/>
  <c r="K928" i="9"/>
  <c r="L927" i="9"/>
  <c r="M927" i="9" s="1"/>
  <c r="P609" i="9" l="1"/>
  <c r="T609" i="9" s="1"/>
  <c r="G612" i="2" s="1"/>
  <c r="C609" i="3"/>
  <c r="C609" i="4" s="1"/>
  <c r="O610" i="9"/>
  <c r="P610" i="9" s="1"/>
  <c r="N611" i="9"/>
  <c r="K929" i="9"/>
  <c r="L928" i="9"/>
  <c r="M928" i="9" s="1"/>
  <c r="T610" i="9" l="1"/>
  <c r="G613" i="2" s="1"/>
  <c r="S610" i="9"/>
  <c r="F613" i="2" s="1"/>
  <c r="B611" i="3" s="1"/>
  <c r="B611" i="4" s="1"/>
  <c r="R610" i="9"/>
  <c r="E613" i="2" s="1"/>
  <c r="A611" i="3" s="1"/>
  <c r="A611" i="4" s="1"/>
  <c r="R609" i="9"/>
  <c r="E612" i="2" s="1"/>
  <c r="A610" i="3" s="1"/>
  <c r="A610" i="4" s="1"/>
  <c r="S609" i="9"/>
  <c r="F612" i="2" s="1"/>
  <c r="B610" i="3" s="1"/>
  <c r="B610" i="4" s="1"/>
  <c r="C610" i="3"/>
  <c r="C610" i="4" s="1"/>
  <c r="O611" i="9"/>
  <c r="N612" i="9"/>
  <c r="K930" i="9"/>
  <c r="L929" i="9"/>
  <c r="M929" i="9" s="1"/>
  <c r="P611" i="9" l="1"/>
  <c r="C611" i="3"/>
  <c r="C611" i="4" s="1"/>
  <c r="N613" i="9"/>
  <c r="O612" i="9"/>
  <c r="P612" i="9" s="1"/>
  <c r="K931" i="9"/>
  <c r="L930" i="9"/>
  <c r="M930" i="9" s="1"/>
  <c r="S612" i="9" l="1"/>
  <c r="F615" i="2" s="1"/>
  <c r="B613" i="3" s="1"/>
  <c r="B613" i="4" s="1"/>
  <c r="R612" i="9"/>
  <c r="E615" i="2" s="1"/>
  <c r="A613" i="3" s="1"/>
  <c r="A613" i="4" s="1"/>
  <c r="T612" i="9"/>
  <c r="G615" i="2" s="1"/>
  <c r="S611" i="9"/>
  <c r="F614" i="2" s="1"/>
  <c r="B612" i="3" s="1"/>
  <c r="B612" i="4" s="1"/>
  <c r="R611" i="9"/>
  <c r="E614" i="2" s="1"/>
  <c r="A612" i="3" s="1"/>
  <c r="A612" i="4" s="1"/>
  <c r="T611" i="9"/>
  <c r="G614" i="2" s="1"/>
  <c r="C612" i="3" s="1"/>
  <c r="C612" i="4" s="1"/>
  <c r="N614" i="9"/>
  <c r="O613" i="9"/>
  <c r="K932" i="9"/>
  <c r="L931" i="9"/>
  <c r="M931" i="9" s="1"/>
  <c r="P613" i="9" l="1"/>
  <c r="T613" i="9" s="1"/>
  <c r="G616" i="2" s="1"/>
  <c r="C613" i="3"/>
  <c r="C613" i="4" s="1"/>
  <c r="O614" i="9"/>
  <c r="P614" i="9" s="1"/>
  <c r="N615" i="9"/>
  <c r="K933" i="9"/>
  <c r="L932" i="9"/>
  <c r="M932" i="9" s="1"/>
  <c r="T614" i="9" l="1"/>
  <c r="G617" i="2" s="1"/>
  <c r="S614" i="9"/>
  <c r="F617" i="2" s="1"/>
  <c r="B615" i="3" s="1"/>
  <c r="B615" i="4" s="1"/>
  <c r="R614" i="9"/>
  <c r="E617" i="2" s="1"/>
  <c r="A615" i="3" s="1"/>
  <c r="A615" i="4" s="1"/>
  <c r="R613" i="9"/>
  <c r="E616" i="2" s="1"/>
  <c r="A614" i="3" s="1"/>
  <c r="A614" i="4" s="1"/>
  <c r="S613" i="9"/>
  <c r="F616" i="2" s="1"/>
  <c r="B614" i="3" s="1"/>
  <c r="B614" i="4" s="1"/>
  <c r="C614" i="3"/>
  <c r="C614" i="4" s="1"/>
  <c r="O615" i="9"/>
  <c r="N616" i="9"/>
  <c r="K934" i="9"/>
  <c r="L933" i="9"/>
  <c r="M933" i="9" s="1"/>
  <c r="P615" i="9" l="1"/>
  <c r="C615" i="3"/>
  <c r="C615" i="4" s="1"/>
  <c r="N617" i="9"/>
  <c r="O616" i="9"/>
  <c r="P616" i="9" s="1"/>
  <c r="K935" i="9"/>
  <c r="L934" i="9"/>
  <c r="M934" i="9" s="1"/>
  <c r="S615" i="9" l="1"/>
  <c r="F618" i="2" s="1"/>
  <c r="B616" i="3" s="1"/>
  <c r="B616" i="4" s="1"/>
  <c r="R615" i="9"/>
  <c r="E618" i="2" s="1"/>
  <c r="A616" i="3" s="1"/>
  <c r="A616" i="4" s="1"/>
  <c r="R616" i="9"/>
  <c r="E619" i="2" s="1"/>
  <c r="A617" i="3" s="1"/>
  <c r="A617" i="4" s="1"/>
  <c r="S616" i="9"/>
  <c r="F619" i="2" s="1"/>
  <c r="B617" i="3" s="1"/>
  <c r="B617" i="4" s="1"/>
  <c r="T615" i="9"/>
  <c r="G618" i="2" s="1"/>
  <c r="C616" i="3" s="1"/>
  <c r="C616" i="4" s="1"/>
  <c r="T616" i="9"/>
  <c r="G619" i="2" s="1"/>
  <c r="N618" i="9"/>
  <c r="O617" i="9"/>
  <c r="K936" i="9"/>
  <c r="L935" i="9"/>
  <c r="M935" i="9" s="1"/>
  <c r="P617" i="9" l="1"/>
  <c r="C617" i="3"/>
  <c r="C617" i="4" s="1"/>
  <c r="O618" i="9"/>
  <c r="P618" i="9" s="1"/>
  <c r="N619" i="9"/>
  <c r="K937" i="9"/>
  <c r="L936" i="9"/>
  <c r="M936" i="9" s="1"/>
  <c r="T618" i="9" l="1"/>
  <c r="G621" i="2" s="1"/>
  <c r="R618" i="9"/>
  <c r="E621" i="2" s="1"/>
  <c r="A619" i="3" s="1"/>
  <c r="A619" i="4" s="1"/>
  <c r="S618" i="9"/>
  <c r="F621" i="2" s="1"/>
  <c r="B619" i="3" s="1"/>
  <c r="B619" i="4" s="1"/>
  <c r="S617" i="9"/>
  <c r="F620" i="2" s="1"/>
  <c r="B618" i="3" s="1"/>
  <c r="B618" i="4" s="1"/>
  <c r="R617" i="9"/>
  <c r="E620" i="2" s="1"/>
  <c r="A618" i="3" s="1"/>
  <c r="A618" i="4" s="1"/>
  <c r="T617" i="9"/>
  <c r="G620" i="2" s="1"/>
  <c r="C618" i="3" s="1"/>
  <c r="C618" i="4" s="1"/>
  <c r="N620" i="9"/>
  <c r="O619" i="9"/>
  <c r="K938" i="9"/>
  <c r="L937" i="9"/>
  <c r="M937" i="9" s="1"/>
  <c r="P619" i="9" l="1"/>
  <c r="T619" i="9" s="1"/>
  <c r="G622" i="2" s="1"/>
  <c r="C619" i="3"/>
  <c r="C619" i="4" s="1"/>
  <c r="O620" i="9"/>
  <c r="P620" i="9" s="1"/>
  <c r="N621" i="9"/>
  <c r="K939" i="9"/>
  <c r="L938" i="9"/>
  <c r="M938" i="9" s="1"/>
  <c r="T620" i="9" l="1"/>
  <c r="G623" i="2" s="1"/>
  <c r="S620" i="9"/>
  <c r="F623" i="2" s="1"/>
  <c r="B621" i="3" s="1"/>
  <c r="B621" i="4" s="1"/>
  <c r="R620" i="9"/>
  <c r="E623" i="2" s="1"/>
  <c r="A621" i="3" s="1"/>
  <c r="A621" i="4" s="1"/>
  <c r="S619" i="9"/>
  <c r="F622" i="2" s="1"/>
  <c r="B620" i="3" s="1"/>
  <c r="B620" i="4" s="1"/>
  <c r="R619" i="9"/>
  <c r="E622" i="2" s="1"/>
  <c r="A620" i="3" s="1"/>
  <c r="A620" i="4" s="1"/>
  <c r="C620" i="3"/>
  <c r="C620" i="4" s="1"/>
  <c r="N622" i="9"/>
  <c r="O621" i="9"/>
  <c r="K940" i="9"/>
  <c r="L939" i="9"/>
  <c r="M939" i="9" s="1"/>
  <c r="P621" i="9" l="1"/>
  <c r="C621" i="3"/>
  <c r="C621" i="4" s="1"/>
  <c r="N623" i="9"/>
  <c r="O622" i="9"/>
  <c r="P622" i="9" s="1"/>
  <c r="K941" i="9"/>
  <c r="L940" i="9"/>
  <c r="M940" i="9" s="1"/>
  <c r="T622" i="9" l="1"/>
  <c r="G625" i="2" s="1"/>
  <c r="R622" i="9"/>
  <c r="E625" i="2" s="1"/>
  <c r="A623" i="3" s="1"/>
  <c r="A623" i="4" s="1"/>
  <c r="S622" i="9"/>
  <c r="F625" i="2" s="1"/>
  <c r="B623" i="3" s="1"/>
  <c r="B623" i="4" s="1"/>
  <c r="R621" i="9"/>
  <c r="E624" i="2" s="1"/>
  <c r="A622" i="3" s="1"/>
  <c r="A622" i="4" s="1"/>
  <c r="S621" i="9"/>
  <c r="F624" i="2" s="1"/>
  <c r="B622" i="3" s="1"/>
  <c r="B622" i="4" s="1"/>
  <c r="T621" i="9"/>
  <c r="G624" i="2" s="1"/>
  <c r="C622" i="3" s="1"/>
  <c r="C622" i="4" s="1"/>
  <c r="N624" i="9"/>
  <c r="O623" i="9"/>
  <c r="K942" i="9"/>
  <c r="L941" i="9"/>
  <c r="M941" i="9" s="1"/>
  <c r="P623" i="9" l="1"/>
  <c r="C623" i="3"/>
  <c r="C623" i="4" s="1"/>
  <c r="O624" i="9"/>
  <c r="P624" i="9" s="1"/>
  <c r="N625" i="9"/>
  <c r="K943" i="9"/>
  <c r="L942" i="9"/>
  <c r="M942" i="9" s="1"/>
  <c r="T624" i="9" l="1"/>
  <c r="G627" i="2" s="1"/>
  <c r="S624" i="9"/>
  <c r="F627" i="2" s="1"/>
  <c r="B625" i="3" s="1"/>
  <c r="B625" i="4" s="1"/>
  <c r="R624" i="9"/>
  <c r="E627" i="2" s="1"/>
  <c r="A625" i="3" s="1"/>
  <c r="A625" i="4" s="1"/>
  <c r="S623" i="9"/>
  <c r="F626" i="2" s="1"/>
  <c r="B624" i="3" s="1"/>
  <c r="B624" i="4" s="1"/>
  <c r="R623" i="9"/>
  <c r="E626" i="2" s="1"/>
  <c r="A624" i="3" s="1"/>
  <c r="A624" i="4" s="1"/>
  <c r="T623" i="9"/>
  <c r="G626" i="2" s="1"/>
  <c r="C624" i="3" s="1"/>
  <c r="C624" i="4" s="1"/>
  <c r="N626" i="9"/>
  <c r="O625" i="9"/>
  <c r="K944" i="9"/>
  <c r="L943" i="9"/>
  <c r="M943" i="9" s="1"/>
  <c r="P625" i="9" l="1"/>
  <c r="T625" i="9" s="1"/>
  <c r="G628" i="2" s="1"/>
  <c r="C625" i="3"/>
  <c r="C625" i="4" s="1"/>
  <c r="N627" i="9"/>
  <c r="O626" i="9"/>
  <c r="P626" i="9" s="1"/>
  <c r="K945" i="9"/>
  <c r="L944" i="9"/>
  <c r="M944" i="9" s="1"/>
  <c r="T626" i="9" l="1"/>
  <c r="G629" i="2" s="1"/>
  <c r="S626" i="9"/>
  <c r="F629" i="2" s="1"/>
  <c r="B627" i="3" s="1"/>
  <c r="B627" i="4" s="1"/>
  <c r="R626" i="9"/>
  <c r="E629" i="2" s="1"/>
  <c r="A627" i="3" s="1"/>
  <c r="A627" i="4" s="1"/>
  <c r="S625" i="9"/>
  <c r="F628" i="2" s="1"/>
  <c r="B626" i="3" s="1"/>
  <c r="B626" i="4" s="1"/>
  <c r="R625" i="9"/>
  <c r="E628" i="2" s="1"/>
  <c r="A626" i="3" s="1"/>
  <c r="A626" i="4" s="1"/>
  <c r="C626" i="3"/>
  <c r="C626" i="4" s="1"/>
  <c r="N628" i="9"/>
  <c r="O627" i="9"/>
  <c r="K946" i="9"/>
  <c r="L945" i="9"/>
  <c r="M945" i="9" s="1"/>
  <c r="P627" i="9" l="1"/>
  <c r="T627" i="9" s="1"/>
  <c r="G630" i="2" s="1"/>
  <c r="C627" i="3"/>
  <c r="C627" i="4" s="1"/>
  <c r="N629" i="9"/>
  <c r="O628" i="9"/>
  <c r="P628" i="9" s="1"/>
  <c r="K947" i="9"/>
  <c r="L946" i="9"/>
  <c r="M946" i="9" s="1"/>
  <c r="R628" i="9" l="1"/>
  <c r="E631" i="2" s="1"/>
  <c r="A629" i="3" s="1"/>
  <c r="A629" i="4" s="1"/>
  <c r="S628" i="9"/>
  <c r="F631" i="2" s="1"/>
  <c r="B629" i="3" s="1"/>
  <c r="B629" i="4" s="1"/>
  <c r="T628" i="9"/>
  <c r="G631" i="2" s="1"/>
  <c r="S627" i="9"/>
  <c r="F630" i="2" s="1"/>
  <c r="B628" i="3" s="1"/>
  <c r="B628" i="4" s="1"/>
  <c r="R627" i="9"/>
  <c r="E630" i="2" s="1"/>
  <c r="A628" i="3" s="1"/>
  <c r="A628" i="4" s="1"/>
  <c r="C628" i="3"/>
  <c r="C628" i="4" s="1"/>
  <c r="O629" i="9"/>
  <c r="N630" i="9"/>
  <c r="K948" i="9"/>
  <c r="L947" i="9"/>
  <c r="M947" i="9" s="1"/>
  <c r="P629" i="9" l="1"/>
  <c r="T629" i="9" s="1"/>
  <c r="G632" i="2" s="1"/>
  <c r="C629" i="3"/>
  <c r="C629" i="4" s="1"/>
  <c r="O630" i="9"/>
  <c r="P630" i="9" s="1"/>
  <c r="N631" i="9"/>
  <c r="K949" i="9"/>
  <c r="L948" i="9"/>
  <c r="M948" i="9" s="1"/>
  <c r="T630" i="9" l="1"/>
  <c r="R629" i="9"/>
  <c r="E632" i="2" s="1"/>
  <c r="A630" i="3" s="1"/>
  <c r="A630" i="4" s="1"/>
  <c r="S629" i="9"/>
  <c r="F632" i="2" s="1"/>
  <c r="B630" i="3" s="1"/>
  <c r="B630" i="4" s="1"/>
  <c r="S630" i="9"/>
  <c r="F633" i="2" s="1"/>
  <c r="B631" i="3" s="1"/>
  <c r="B631" i="4" s="1"/>
  <c r="R630" i="9"/>
  <c r="E633" i="2" s="1"/>
  <c r="A631" i="3" s="1"/>
  <c r="A631" i="4" s="1"/>
  <c r="C630" i="3"/>
  <c r="C630" i="4" s="1"/>
  <c r="N632" i="9"/>
  <c r="O631" i="9"/>
  <c r="G633" i="2"/>
  <c r="K950" i="9"/>
  <c r="L949" i="9"/>
  <c r="M949" i="9" s="1"/>
  <c r="P631" i="9" l="1"/>
  <c r="T631" i="9" s="1"/>
  <c r="G634" i="2" s="1"/>
  <c r="C631" i="3"/>
  <c r="C631" i="4" s="1"/>
  <c r="O632" i="9"/>
  <c r="P632" i="9" s="1"/>
  <c r="N633" i="9"/>
  <c r="K951" i="9"/>
  <c r="L950" i="9"/>
  <c r="M950" i="9" s="1"/>
  <c r="R631" i="9" l="1"/>
  <c r="E634" i="2" s="1"/>
  <c r="A632" i="3" s="1"/>
  <c r="A632" i="4" s="1"/>
  <c r="S631" i="9"/>
  <c r="F634" i="2" s="1"/>
  <c r="B632" i="3" s="1"/>
  <c r="B632" i="4" s="1"/>
  <c r="T632" i="9"/>
  <c r="G635" i="2" s="1"/>
  <c r="S632" i="9"/>
  <c r="F635" i="2" s="1"/>
  <c r="B633" i="3" s="1"/>
  <c r="B633" i="4" s="1"/>
  <c r="R632" i="9"/>
  <c r="E635" i="2" s="1"/>
  <c r="A633" i="3" s="1"/>
  <c r="A633" i="4" s="1"/>
  <c r="C632" i="3"/>
  <c r="C632" i="4" s="1"/>
  <c r="N634" i="9"/>
  <c r="O633" i="9"/>
  <c r="K952" i="9"/>
  <c r="L951" i="9"/>
  <c r="M951" i="9" s="1"/>
  <c r="P633" i="9" l="1"/>
  <c r="T633" i="9" s="1"/>
  <c r="G636" i="2" s="1"/>
  <c r="C633" i="3"/>
  <c r="C633" i="4" s="1"/>
  <c r="N635" i="9"/>
  <c r="O634" i="9"/>
  <c r="P634" i="9" s="1"/>
  <c r="K953" i="9"/>
  <c r="L952" i="9"/>
  <c r="M952" i="9" s="1"/>
  <c r="R634" i="9" l="1"/>
  <c r="E637" i="2" s="1"/>
  <c r="A635" i="3" s="1"/>
  <c r="A635" i="4" s="1"/>
  <c r="S634" i="9"/>
  <c r="F637" i="2" s="1"/>
  <c r="B635" i="3" s="1"/>
  <c r="B635" i="4" s="1"/>
  <c r="T634" i="9"/>
  <c r="G637" i="2" s="1"/>
  <c r="S633" i="9"/>
  <c r="F636" i="2" s="1"/>
  <c r="B634" i="3" s="1"/>
  <c r="B634" i="4" s="1"/>
  <c r="R633" i="9"/>
  <c r="E636" i="2" s="1"/>
  <c r="A634" i="3" s="1"/>
  <c r="A634" i="4" s="1"/>
  <c r="C634" i="3"/>
  <c r="C634" i="4" s="1"/>
  <c r="O635" i="9"/>
  <c r="N636" i="9"/>
  <c r="K954" i="9"/>
  <c r="L953" i="9"/>
  <c r="M953" i="9" s="1"/>
  <c r="P635" i="9" l="1"/>
  <c r="C635" i="3"/>
  <c r="C635" i="4" s="1"/>
  <c r="N637" i="9"/>
  <c r="O636" i="9"/>
  <c r="P636" i="9" s="1"/>
  <c r="K955" i="9"/>
  <c r="L954" i="9"/>
  <c r="M954" i="9" s="1"/>
  <c r="R636" i="9" l="1"/>
  <c r="E639" i="2" s="1"/>
  <c r="A637" i="3" s="1"/>
  <c r="A637" i="4" s="1"/>
  <c r="S636" i="9"/>
  <c r="F639" i="2" s="1"/>
  <c r="B637" i="3" s="1"/>
  <c r="B637" i="4" s="1"/>
  <c r="S635" i="9"/>
  <c r="F638" i="2" s="1"/>
  <c r="B636" i="3" s="1"/>
  <c r="B636" i="4" s="1"/>
  <c r="R635" i="9"/>
  <c r="E638" i="2" s="1"/>
  <c r="A636" i="3" s="1"/>
  <c r="A636" i="4" s="1"/>
  <c r="T636" i="9"/>
  <c r="G639" i="2" s="1"/>
  <c r="T635" i="9"/>
  <c r="G638" i="2" s="1"/>
  <c r="C636" i="3" s="1"/>
  <c r="C636" i="4" s="1"/>
  <c r="N638" i="9"/>
  <c r="O637" i="9"/>
  <c r="K956" i="9"/>
  <c r="L955" i="9"/>
  <c r="M955" i="9" s="1"/>
  <c r="P637" i="9" l="1"/>
  <c r="C637" i="3"/>
  <c r="C637" i="4" s="1"/>
  <c r="N639" i="9"/>
  <c r="O638" i="9"/>
  <c r="P638" i="9" s="1"/>
  <c r="K957" i="9"/>
  <c r="L956" i="9"/>
  <c r="M956" i="9" s="1"/>
  <c r="R638" i="9" l="1"/>
  <c r="E641" i="2" s="1"/>
  <c r="A639" i="3" s="1"/>
  <c r="A639" i="4" s="1"/>
  <c r="S638" i="9"/>
  <c r="F641" i="2" s="1"/>
  <c r="B639" i="3" s="1"/>
  <c r="B639" i="4" s="1"/>
  <c r="T638" i="9"/>
  <c r="G641" i="2" s="1"/>
  <c r="R637" i="9"/>
  <c r="E640" i="2" s="1"/>
  <c r="A638" i="3" s="1"/>
  <c r="A638" i="4" s="1"/>
  <c r="S637" i="9"/>
  <c r="F640" i="2" s="1"/>
  <c r="B638" i="3" s="1"/>
  <c r="B638" i="4" s="1"/>
  <c r="T637" i="9"/>
  <c r="G640" i="2" s="1"/>
  <c r="C638" i="3" s="1"/>
  <c r="C638" i="4" s="1"/>
  <c r="N640" i="9"/>
  <c r="O639" i="9"/>
  <c r="K958" i="9"/>
  <c r="L957" i="9"/>
  <c r="M957" i="9" s="1"/>
  <c r="P639" i="9" l="1"/>
  <c r="C639" i="3"/>
  <c r="C639" i="4" s="1"/>
  <c r="N641" i="9"/>
  <c r="O640" i="9"/>
  <c r="P640" i="9" s="1"/>
  <c r="K959" i="9"/>
  <c r="L958" i="9"/>
  <c r="M958" i="9" s="1"/>
  <c r="S640" i="9" l="1"/>
  <c r="F643" i="2" s="1"/>
  <c r="B641" i="3" s="1"/>
  <c r="B641" i="4" s="1"/>
  <c r="R640" i="9"/>
  <c r="E643" i="2" s="1"/>
  <c r="A641" i="3" s="1"/>
  <c r="A641" i="4" s="1"/>
  <c r="S639" i="9"/>
  <c r="F642" i="2" s="1"/>
  <c r="B640" i="3" s="1"/>
  <c r="B640" i="4" s="1"/>
  <c r="R639" i="9"/>
  <c r="E642" i="2" s="1"/>
  <c r="A640" i="3" s="1"/>
  <c r="A640" i="4" s="1"/>
  <c r="T640" i="9"/>
  <c r="G643" i="2" s="1"/>
  <c r="T639" i="9"/>
  <c r="G642" i="2" s="1"/>
  <c r="C640" i="3" s="1"/>
  <c r="C640" i="4" s="1"/>
  <c r="O641" i="9"/>
  <c r="N642" i="9"/>
  <c r="K960" i="9"/>
  <c r="L959" i="9"/>
  <c r="M959" i="9" s="1"/>
  <c r="P641" i="9" l="1"/>
  <c r="C641" i="3"/>
  <c r="C641" i="4" s="1"/>
  <c r="N643" i="9"/>
  <c r="O642" i="9"/>
  <c r="P642" i="9" s="1"/>
  <c r="K961" i="9"/>
  <c r="L960" i="9"/>
  <c r="M960" i="9" s="1"/>
  <c r="T642" i="9" l="1"/>
  <c r="G645" i="2" s="1"/>
  <c r="R642" i="9"/>
  <c r="E645" i="2" s="1"/>
  <c r="A643" i="3" s="1"/>
  <c r="A643" i="4" s="1"/>
  <c r="S642" i="9"/>
  <c r="F645" i="2" s="1"/>
  <c r="B643" i="3" s="1"/>
  <c r="B643" i="4" s="1"/>
  <c r="S641" i="9"/>
  <c r="F644" i="2" s="1"/>
  <c r="B642" i="3" s="1"/>
  <c r="B642" i="4" s="1"/>
  <c r="R641" i="9"/>
  <c r="E644" i="2" s="1"/>
  <c r="A642" i="3" s="1"/>
  <c r="A642" i="4" s="1"/>
  <c r="T641" i="9"/>
  <c r="G644" i="2" s="1"/>
  <c r="C642" i="3" s="1"/>
  <c r="C642" i="4" s="1"/>
  <c r="N644" i="9"/>
  <c r="O643" i="9"/>
  <c r="K962" i="9"/>
  <c r="L961" i="9"/>
  <c r="M961" i="9" s="1"/>
  <c r="P643" i="9" l="1"/>
  <c r="C643" i="3"/>
  <c r="C643" i="4" s="1"/>
  <c r="O644" i="9"/>
  <c r="P644" i="9" s="1"/>
  <c r="N645" i="9"/>
  <c r="K963" i="9"/>
  <c r="L962" i="9"/>
  <c r="M962" i="9" s="1"/>
  <c r="T644" i="9" l="1"/>
  <c r="G647" i="2" s="1"/>
  <c r="S644" i="9"/>
  <c r="F647" i="2" s="1"/>
  <c r="B645" i="3" s="1"/>
  <c r="B645" i="4" s="1"/>
  <c r="R644" i="9"/>
  <c r="E647" i="2" s="1"/>
  <c r="A645" i="3" s="1"/>
  <c r="A645" i="4" s="1"/>
  <c r="S643" i="9"/>
  <c r="F646" i="2" s="1"/>
  <c r="B644" i="3" s="1"/>
  <c r="B644" i="4" s="1"/>
  <c r="R643" i="9"/>
  <c r="E646" i="2" s="1"/>
  <c r="A644" i="3" s="1"/>
  <c r="A644" i="4" s="1"/>
  <c r="T643" i="9"/>
  <c r="G646" i="2" s="1"/>
  <c r="C644" i="3" s="1"/>
  <c r="C644" i="4" s="1"/>
  <c r="N646" i="9"/>
  <c r="O645" i="9"/>
  <c r="K964" i="9"/>
  <c r="L963" i="9"/>
  <c r="M963" i="9" s="1"/>
  <c r="P645" i="9" l="1"/>
  <c r="C645" i="3"/>
  <c r="C645" i="4" s="1"/>
  <c r="O646" i="9"/>
  <c r="P646" i="9" s="1"/>
  <c r="N647" i="9"/>
  <c r="K965" i="9"/>
  <c r="L964" i="9"/>
  <c r="M964" i="9" s="1"/>
  <c r="S646" i="9" l="1"/>
  <c r="F649" i="2" s="1"/>
  <c r="B647" i="3" s="1"/>
  <c r="B647" i="4" s="1"/>
  <c r="R646" i="9"/>
  <c r="E649" i="2" s="1"/>
  <c r="A647" i="3" s="1"/>
  <c r="A647" i="4" s="1"/>
  <c r="T646" i="9"/>
  <c r="G649" i="2" s="1"/>
  <c r="R645" i="9"/>
  <c r="E648" i="2" s="1"/>
  <c r="A646" i="3" s="1"/>
  <c r="A646" i="4" s="1"/>
  <c r="S645" i="9"/>
  <c r="F648" i="2" s="1"/>
  <c r="B646" i="3" s="1"/>
  <c r="B646" i="4" s="1"/>
  <c r="T645" i="9"/>
  <c r="G648" i="2" s="1"/>
  <c r="C646" i="3" s="1"/>
  <c r="C646" i="4" s="1"/>
  <c r="N648" i="9"/>
  <c r="O647" i="9"/>
  <c r="K966" i="9"/>
  <c r="L965" i="9"/>
  <c r="M965" i="9" s="1"/>
  <c r="P647" i="9" l="1"/>
  <c r="T647" i="9" s="1"/>
  <c r="G650" i="2" s="1"/>
  <c r="C647" i="3"/>
  <c r="C647" i="4" s="1"/>
  <c r="N649" i="9"/>
  <c r="O648" i="9"/>
  <c r="P648" i="9" s="1"/>
  <c r="K967" i="9"/>
  <c r="L966" i="9"/>
  <c r="M966" i="9" s="1"/>
  <c r="T648" i="9" l="1"/>
  <c r="R647" i="9"/>
  <c r="E650" i="2" s="1"/>
  <c r="A648" i="3" s="1"/>
  <c r="A648" i="4" s="1"/>
  <c r="S647" i="9"/>
  <c r="F650" i="2" s="1"/>
  <c r="B648" i="3" s="1"/>
  <c r="B648" i="4" s="1"/>
  <c r="R648" i="9"/>
  <c r="E651" i="2" s="1"/>
  <c r="A649" i="3" s="1"/>
  <c r="A649" i="4" s="1"/>
  <c r="S648" i="9"/>
  <c r="F651" i="2" s="1"/>
  <c r="B649" i="3" s="1"/>
  <c r="B649" i="4" s="1"/>
  <c r="C648" i="3"/>
  <c r="C648" i="4" s="1"/>
  <c r="N650" i="9"/>
  <c r="O649" i="9"/>
  <c r="G651" i="2"/>
  <c r="K968" i="9"/>
  <c r="L967" i="9"/>
  <c r="M967" i="9" s="1"/>
  <c r="P649" i="9" l="1"/>
  <c r="S649" i="9" s="1"/>
  <c r="F652" i="2" s="1"/>
  <c r="B650" i="3" s="1"/>
  <c r="B650" i="4" s="1"/>
  <c r="C649" i="3"/>
  <c r="C649" i="4" s="1"/>
  <c r="O650" i="9"/>
  <c r="P650" i="9" s="1"/>
  <c r="N651" i="9"/>
  <c r="K969" i="9"/>
  <c r="L968" i="9"/>
  <c r="M968" i="9" s="1"/>
  <c r="R649" i="9" l="1"/>
  <c r="E652" i="2" s="1"/>
  <c r="A650" i="3" s="1"/>
  <c r="A650" i="4" s="1"/>
  <c r="R650" i="9"/>
  <c r="E653" i="2" s="1"/>
  <c r="A651" i="3" s="1"/>
  <c r="A651" i="4" s="1"/>
  <c r="S650" i="9"/>
  <c r="F653" i="2" s="1"/>
  <c r="B651" i="3" s="1"/>
  <c r="B651" i="4" s="1"/>
  <c r="T649" i="9"/>
  <c r="G652" i="2" s="1"/>
  <c r="C650" i="3" s="1"/>
  <c r="C650" i="4" s="1"/>
  <c r="T650" i="9"/>
  <c r="G653" i="2" s="1"/>
  <c r="N652" i="9"/>
  <c r="O651" i="9"/>
  <c r="K970" i="9"/>
  <c r="L969" i="9"/>
  <c r="M969" i="9" s="1"/>
  <c r="P651" i="9" l="1"/>
  <c r="C651" i="3"/>
  <c r="C651" i="4" s="1"/>
  <c r="N653" i="9"/>
  <c r="O652" i="9"/>
  <c r="P652" i="9" s="1"/>
  <c r="K971" i="9"/>
  <c r="L970" i="9"/>
  <c r="M970" i="9" s="1"/>
  <c r="R652" i="9" l="1"/>
  <c r="E655" i="2" s="1"/>
  <c r="A653" i="3" s="1"/>
  <c r="A653" i="4" s="1"/>
  <c r="S652" i="9"/>
  <c r="F655" i="2" s="1"/>
  <c r="B653" i="3" s="1"/>
  <c r="B653" i="4" s="1"/>
  <c r="T652" i="9"/>
  <c r="G655" i="2" s="1"/>
  <c r="S651" i="9"/>
  <c r="F654" i="2" s="1"/>
  <c r="B652" i="3" s="1"/>
  <c r="B652" i="4" s="1"/>
  <c r="R651" i="9"/>
  <c r="E654" i="2" s="1"/>
  <c r="A652" i="3" s="1"/>
  <c r="A652" i="4" s="1"/>
  <c r="T651" i="9"/>
  <c r="G654" i="2" s="1"/>
  <c r="C652" i="3" s="1"/>
  <c r="C652" i="4" s="1"/>
  <c r="O653" i="9"/>
  <c r="N654" i="9"/>
  <c r="K972" i="9"/>
  <c r="L971" i="9"/>
  <c r="M971" i="9" s="1"/>
  <c r="P653" i="9" l="1"/>
  <c r="C653" i="3"/>
  <c r="C653" i="4" s="1"/>
  <c r="N655" i="9"/>
  <c r="O654" i="9"/>
  <c r="P654" i="9" s="1"/>
  <c r="K973" i="9"/>
  <c r="L972" i="9"/>
  <c r="M972" i="9" s="1"/>
  <c r="S654" i="9" l="1"/>
  <c r="F657" i="2" s="1"/>
  <c r="B655" i="3" s="1"/>
  <c r="B655" i="4" s="1"/>
  <c r="R654" i="9"/>
  <c r="E657" i="2" s="1"/>
  <c r="A655" i="3" s="1"/>
  <c r="A655" i="4" s="1"/>
  <c r="T654" i="9"/>
  <c r="G657" i="2" s="1"/>
  <c r="R653" i="9"/>
  <c r="E656" i="2" s="1"/>
  <c r="A654" i="3" s="1"/>
  <c r="A654" i="4" s="1"/>
  <c r="S653" i="9"/>
  <c r="F656" i="2" s="1"/>
  <c r="B654" i="3" s="1"/>
  <c r="B654" i="4" s="1"/>
  <c r="T653" i="9"/>
  <c r="G656" i="2" s="1"/>
  <c r="C654" i="3" s="1"/>
  <c r="C654" i="4" s="1"/>
  <c r="O655" i="9"/>
  <c r="N656" i="9"/>
  <c r="K974" i="9"/>
  <c r="L973" i="9"/>
  <c r="M973" i="9" s="1"/>
  <c r="P655" i="9" l="1"/>
  <c r="T655" i="9" s="1"/>
  <c r="G658" i="2" s="1"/>
  <c r="C655" i="3"/>
  <c r="C655" i="4" s="1"/>
  <c r="N657" i="9"/>
  <c r="O656" i="9"/>
  <c r="P656" i="9" s="1"/>
  <c r="K975" i="9"/>
  <c r="L974" i="9"/>
  <c r="M974" i="9" s="1"/>
  <c r="R656" i="9" l="1"/>
  <c r="E659" i="2" s="1"/>
  <c r="A657" i="3" s="1"/>
  <c r="A657" i="4" s="1"/>
  <c r="S656" i="9"/>
  <c r="F659" i="2" s="1"/>
  <c r="B657" i="3" s="1"/>
  <c r="B657" i="4" s="1"/>
  <c r="T656" i="9"/>
  <c r="G659" i="2" s="1"/>
  <c r="S655" i="9"/>
  <c r="F658" i="2" s="1"/>
  <c r="B656" i="3" s="1"/>
  <c r="B656" i="4" s="1"/>
  <c r="R655" i="9"/>
  <c r="E658" i="2" s="1"/>
  <c r="A656" i="3" s="1"/>
  <c r="A656" i="4" s="1"/>
  <c r="C656" i="3"/>
  <c r="C656" i="4" s="1"/>
  <c r="O657" i="9"/>
  <c r="N658" i="9"/>
  <c r="K976" i="9"/>
  <c r="L975" i="9"/>
  <c r="M975" i="9" s="1"/>
  <c r="P657" i="9" l="1"/>
  <c r="C657" i="3"/>
  <c r="C657" i="4" s="1"/>
  <c r="N659" i="9"/>
  <c r="O658" i="9"/>
  <c r="P658" i="9" s="1"/>
  <c r="K977" i="9"/>
  <c r="L976" i="9"/>
  <c r="M976" i="9" s="1"/>
  <c r="T658" i="9" l="1"/>
  <c r="G661" i="2" s="1"/>
  <c r="S657" i="9"/>
  <c r="F660" i="2" s="1"/>
  <c r="B658" i="3" s="1"/>
  <c r="B658" i="4" s="1"/>
  <c r="R657" i="9"/>
  <c r="E660" i="2" s="1"/>
  <c r="A658" i="3" s="1"/>
  <c r="A658" i="4" s="1"/>
  <c r="S658" i="9"/>
  <c r="F661" i="2" s="1"/>
  <c r="B659" i="3" s="1"/>
  <c r="B659" i="4" s="1"/>
  <c r="R658" i="9"/>
  <c r="E661" i="2" s="1"/>
  <c r="A659" i="3" s="1"/>
  <c r="A659" i="4" s="1"/>
  <c r="T657" i="9"/>
  <c r="G660" i="2" s="1"/>
  <c r="C658" i="3" s="1"/>
  <c r="C658" i="4" s="1"/>
  <c r="N660" i="9"/>
  <c r="O659" i="9"/>
  <c r="K978" i="9"/>
  <c r="L977" i="9"/>
  <c r="M977" i="9" s="1"/>
  <c r="P659" i="9" l="1"/>
  <c r="C659" i="3"/>
  <c r="C659" i="4" s="1"/>
  <c r="O660" i="9"/>
  <c r="P660" i="9" s="1"/>
  <c r="N661" i="9"/>
  <c r="K979" i="9"/>
  <c r="L978" i="9"/>
  <c r="M978" i="9" s="1"/>
  <c r="T660" i="9" l="1"/>
  <c r="G663" i="2" s="1"/>
  <c r="S660" i="9"/>
  <c r="F663" i="2" s="1"/>
  <c r="B661" i="3" s="1"/>
  <c r="B661" i="4" s="1"/>
  <c r="R660" i="9"/>
  <c r="E663" i="2" s="1"/>
  <c r="A661" i="3" s="1"/>
  <c r="A661" i="4" s="1"/>
  <c r="S659" i="9"/>
  <c r="F662" i="2" s="1"/>
  <c r="B660" i="3" s="1"/>
  <c r="B660" i="4" s="1"/>
  <c r="R659" i="9"/>
  <c r="E662" i="2" s="1"/>
  <c r="A660" i="3" s="1"/>
  <c r="A660" i="4" s="1"/>
  <c r="T659" i="9"/>
  <c r="G662" i="2" s="1"/>
  <c r="C660" i="3" s="1"/>
  <c r="C660" i="4" s="1"/>
  <c r="N662" i="9"/>
  <c r="O661" i="9"/>
  <c r="K980" i="9"/>
  <c r="L979" i="9"/>
  <c r="M979" i="9" s="1"/>
  <c r="P661" i="9" l="1"/>
  <c r="T661" i="9" s="1"/>
  <c r="G664" i="2" s="1"/>
  <c r="C661" i="3"/>
  <c r="C661" i="4" s="1"/>
  <c r="O662" i="9"/>
  <c r="P662" i="9" s="1"/>
  <c r="N663" i="9"/>
  <c r="K981" i="9"/>
  <c r="L980" i="9"/>
  <c r="M980" i="9" s="1"/>
  <c r="T662" i="9" l="1"/>
  <c r="G665" i="2" s="1"/>
  <c r="R661" i="9"/>
  <c r="E664" i="2" s="1"/>
  <c r="A662" i="3" s="1"/>
  <c r="A662" i="4" s="1"/>
  <c r="S661" i="9"/>
  <c r="F664" i="2" s="1"/>
  <c r="B662" i="3" s="1"/>
  <c r="B662" i="4" s="1"/>
  <c r="S662" i="9"/>
  <c r="F665" i="2" s="1"/>
  <c r="B663" i="3" s="1"/>
  <c r="B663" i="4" s="1"/>
  <c r="R662" i="9"/>
  <c r="E665" i="2" s="1"/>
  <c r="A663" i="3" s="1"/>
  <c r="A663" i="4" s="1"/>
  <c r="C662" i="3"/>
  <c r="C662" i="4" s="1"/>
  <c r="N664" i="9"/>
  <c r="O663" i="9"/>
  <c r="K982" i="9"/>
  <c r="L981" i="9"/>
  <c r="M981" i="9" s="1"/>
  <c r="P663" i="9" l="1"/>
  <c r="T663" i="9" s="1"/>
  <c r="G666" i="2" s="1"/>
  <c r="C663" i="3"/>
  <c r="C663" i="4" s="1"/>
  <c r="O664" i="9"/>
  <c r="P664" i="9" s="1"/>
  <c r="N665" i="9"/>
  <c r="K983" i="9"/>
  <c r="L982" i="9"/>
  <c r="M982" i="9" s="1"/>
  <c r="T664" i="9" l="1"/>
  <c r="G667" i="2" s="1"/>
  <c r="S663" i="9"/>
  <c r="F666" i="2" s="1"/>
  <c r="B664" i="3" s="1"/>
  <c r="B664" i="4" s="1"/>
  <c r="R663" i="9"/>
  <c r="E666" i="2" s="1"/>
  <c r="A664" i="3" s="1"/>
  <c r="A664" i="4" s="1"/>
  <c r="R664" i="9"/>
  <c r="E667" i="2" s="1"/>
  <c r="A665" i="3" s="1"/>
  <c r="A665" i="4" s="1"/>
  <c r="S664" i="9"/>
  <c r="F667" i="2" s="1"/>
  <c r="B665" i="3" s="1"/>
  <c r="B665" i="4" s="1"/>
  <c r="C664" i="3"/>
  <c r="C664" i="4" s="1"/>
  <c r="N666" i="9"/>
  <c r="O665" i="9"/>
  <c r="K984" i="9"/>
  <c r="L983" i="9"/>
  <c r="M983" i="9" s="1"/>
  <c r="P665" i="9" l="1"/>
  <c r="C665" i="3"/>
  <c r="C665" i="4" s="1"/>
  <c r="O666" i="9"/>
  <c r="P666" i="9" s="1"/>
  <c r="N667" i="9"/>
  <c r="K985" i="9"/>
  <c r="L984" i="9"/>
  <c r="M984" i="9" s="1"/>
  <c r="T666" i="9" l="1"/>
  <c r="G669" i="2" s="1"/>
  <c r="S665" i="9"/>
  <c r="F668" i="2" s="1"/>
  <c r="B666" i="3" s="1"/>
  <c r="B666" i="4" s="1"/>
  <c r="R665" i="9"/>
  <c r="E668" i="2" s="1"/>
  <c r="A666" i="3" s="1"/>
  <c r="A666" i="4" s="1"/>
  <c r="R666" i="9"/>
  <c r="E669" i="2" s="1"/>
  <c r="A667" i="3" s="1"/>
  <c r="A667" i="4" s="1"/>
  <c r="S666" i="9"/>
  <c r="F669" i="2" s="1"/>
  <c r="B667" i="3" s="1"/>
  <c r="B667" i="4" s="1"/>
  <c r="T665" i="9"/>
  <c r="G668" i="2" s="1"/>
  <c r="C666" i="3" s="1"/>
  <c r="C666" i="4" s="1"/>
  <c r="N668" i="9"/>
  <c r="O667" i="9"/>
  <c r="K986" i="9"/>
  <c r="L985" i="9"/>
  <c r="M985" i="9" s="1"/>
  <c r="P667" i="9" l="1"/>
  <c r="C667" i="3"/>
  <c r="C667" i="4" s="1"/>
  <c r="N669" i="9"/>
  <c r="O668" i="9"/>
  <c r="P668" i="9" s="1"/>
  <c r="K987" i="9"/>
  <c r="L986" i="9"/>
  <c r="M986" i="9" s="1"/>
  <c r="T668" i="9" l="1"/>
  <c r="G671" i="2" s="1"/>
  <c r="R668" i="9"/>
  <c r="E671" i="2" s="1"/>
  <c r="A669" i="3" s="1"/>
  <c r="A669" i="4" s="1"/>
  <c r="S668" i="9"/>
  <c r="F671" i="2" s="1"/>
  <c r="B669" i="3" s="1"/>
  <c r="B669" i="4" s="1"/>
  <c r="R667" i="9"/>
  <c r="E670" i="2" s="1"/>
  <c r="A668" i="3" s="1"/>
  <c r="A668" i="4" s="1"/>
  <c r="S667" i="9"/>
  <c r="F670" i="2" s="1"/>
  <c r="B668" i="3" s="1"/>
  <c r="B668" i="4" s="1"/>
  <c r="T667" i="9"/>
  <c r="G670" i="2" s="1"/>
  <c r="C668" i="3" s="1"/>
  <c r="C668" i="4" s="1"/>
  <c r="N670" i="9"/>
  <c r="O669" i="9"/>
  <c r="K988" i="9"/>
  <c r="L987" i="9"/>
  <c r="M987" i="9" s="1"/>
  <c r="P669" i="9" l="1"/>
  <c r="S669" i="9" s="1"/>
  <c r="F672" i="2" s="1"/>
  <c r="B670" i="3" s="1"/>
  <c r="B670" i="4" s="1"/>
  <c r="C669" i="3"/>
  <c r="C669" i="4" s="1"/>
  <c r="O670" i="9"/>
  <c r="P670" i="9" s="1"/>
  <c r="N671" i="9"/>
  <c r="K989" i="9"/>
  <c r="L988" i="9"/>
  <c r="M988" i="9" s="1"/>
  <c r="R669" i="9" l="1"/>
  <c r="E672" i="2" s="1"/>
  <c r="A670" i="3" s="1"/>
  <c r="A670" i="4" s="1"/>
  <c r="T670" i="9"/>
  <c r="G673" i="2" s="1"/>
  <c r="S670" i="9"/>
  <c r="F673" i="2" s="1"/>
  <c r="B671" i="3" s="1"/>
  <c r="B671" i="4" s="1"/>
  <c r="R670" i="9"/>
  <c r="E673" i="2" s="1"/>
  <c r="A671" i="3" s="1"/>
  <c r="A671" i="4" s="1"/>
  <c r="T669" i="9"/>
  <c r="G672" i="2" s="1"/>
  <c r="C670" i="3" s="1"/>
  <c r="C670" i="4" s="1"/>
  <c r="O671" i="9"/>
  <c r="N672" i="9"/>
  <c r="K990" i="9"/>
  <c r="L989" i="9"/>
  <c r="M989" i="9" s="1"/>
  <c r="P671" i="9" l="1"/>
  <c r="T671" i="9" s="1"/>
  <c r="G674" i="2" s="1"/>
  <c r="C671" i="3"/>
  <c r="C671" i="4" s="1"/>
  <c r="N673" i="9"/>
  <c r="O672" i="9"/>
  <c r="P672" i="9" s="1"/>
  <c r="K991" i="9"/>
  <c r="L990" i="9"/>
  <c r="M990" i="9" s="1"/>
  <c r="R671" i="9" l="1"/>
  <c r="E674" i="2" s="1"/>
  <c r="A672" i="3" s="1"/>
  <c r="A672" i="4" s="1"/>
  <c r="S671" i="9"/>
  <c r="F674" i="2" s="1"/>
  <c r="B672" i="3" s="1"/>
  <c r="B672" i="4" s="1"/>
  <c r="R672" i="9"/>
  <c r="E675" i="2" s="1"/>
  <c r="A673" i="3" s="1"/>
  <c r="A673" i="4" s="1"/>
  <c r="S672" i="9"/>
  <c r="F675" i="2" s="1"/>
  <c r="B673" i="3" s="1"/>
  <c r="B673" i="4" s="1"/>
  <c r="T672" i="9"/>
  <c r="G675" i="2" s="1"/>
  <c r="C672" i="3"/>
  <c r="C672" i="4" s="1"/>
  <c r="N674" i="9"/>
  <c r="O673" i="9"/>
  <c r="K992" i="9"/>
  <c r="L991" i="9"/>
  <c r="M991" i="9" s="1"/>
  <c r="P673" i="9" l="1"/>
  <c r="T673" i="9" s="1"/>
  <c r="G676" i="2" s="1"/>
  <c r="C673" i="3"/>
  <c r="C673" i="4" s="1"/>
  <c r="N675" i="9"/>
  <c r="O674" i="9"/>
  <c r="P674" i="9" s="1"/>
  <c r="K993" i="9"/>
  <c r="L992" i="9"/>
  <c r="M992" i="9" s="1"/>
  <c r="T674" i="9" l="1"/>
  <c r="G677" i="2" s="1"/>
  <c r="R674" i="9"/>
  <c r="E677" i="2" s="1"/>
  <c r="A675" i="3" s="1"/>
  <c r="A675" i="4" s="1"/>
  <c r="S674" i="9"/>
  <c r="F677" i="2" s="1"/>
  <c r="B675" i="3" s="1"/>
  <c r="B675" i="4" s="1"/>
  <c r="R673" i="9"/>
  <c r="E676" i="2" s="1"/>
  <c r="A674" i="3" s="1"/>
  <c r="A674" i="4" s="1"/>
  <c r="S673" i="9"/>
  <c r="F676" i="2" s="1"/>
  <c r="B674" i="3" s="1"/>
  <c r="B674" i="4" s="1"/>
  <c r="C674" i="3"/>
  <c r="C674" i="4" s="1"/>
  <c r="O675" i="9"/>
  <c r="N676" i="9"/>
  <c r="K994" i="9"/>
  <c r="L993" i="9"/>
  <c r="M993" i="9" s="1"/>
  <c r="P675" i="9" l="1"/>
  <c r="C675" i="3"/>
  <c r="C675" i="4" s="1"/>
  <c r="N677" i="9"/>
  <c r="O676" i="9"/>
  <c r="P676" i="9" s="1"/>
  <c r="K995" i="9"/>
  <c r="L994" i="9"/>
  <c r="M994" i="9" s="1"/>
  <c r="T676" i="9" l="1"/>
  <c r="S676" i="9"/>
  <c r="F679" i="2" s="1"/>
  <c r="B677" i="3" s="1"/>
  <c r="B677" i="4" s="1"/>
  <c r="R676" i="9"/>
  <c r="E679" i="2" s="1"/>
  <c r="A677" i="3" s="1"/>
  <c r="A677" i="4" s="1"/>
  <c r="S675" i="9"/>
  <c r="F678" i="2" s="1"/>
  <c r="B676" i="3" s="1"/>
  <c r="B676" i="4" s="1"/>
  <c r="R675" i="9"/>
  <c r="E678" i="2" s="1"/>
  <c r="A676" i="3" s="1"/>
  <c r="A676" i="4" s="1"/>
  <c r="T675" i="9"/>
  <c r="G678" i="2" s="1"/>
  <c r="C676" i="3" s="1"/>
  <c r="C676" i="4" s="1"/>
  <c r="N678" i="9"/>
  <c r="G679" i="2"/>
  <c r="O677" i="9"/>
  <c r="K996" i="9"/>
  <c r="L995" i="9"/>
  <c r="M995" i="9" s="1"/>
  <c r="P677" i="9" l="1"/>
  <c r="C677" i="3"/>
  <c r="C677" i="4" s="1"/>
  <c r="O678" i="9"/>
  <c r="P678" i="9" s="1"/>
  <c r="N679" i="9"/>
  <c r="K997" i="9"/>
  <c r="L996" i="9"/>
  <c r="M996" i="9" s="1"/>
  <c r="T678" i="9" l="1"/>
  <c r="G681" i="2" s="1"/>
  <c r="R677" i="9"/>
  <c r="E680" i="2" s="1"/>
  <c r="A678" i="3" s="1"/>
  <c r="A678" i="4" s="1"/>
  <c r="S677" i="9"/>
  <c r="F680" i="2" s="1"/>
  <c r="B678" i="3" s="1"/>
  <c r="B678" i="4" s="1"/>
  <c r="R678" i="9"/>
  <c r="E681" i="2" s="1"/>
  <c r="A679" i="3" s="1"/>
  <c r="A679" i="4" s="1"/>
  <c r="S678" i="9"/>
  <c r="F681" i="2" s="1"/>
  <c r="B679" i="3" s="1"/>
  <c r="B679" i="4" s="1"/>
  <c r="T677" i="9"/>
  <c r="G680" i="2" s="1"/>
  <c r="C678" i="3" s="1"/>
  <c r="C678" i="4" s="1"/>
  <c r="N680" i="9"/>
  <c r="O679" i="9"/>
  <c r="K998" i="9"/>
  <c r="L997" i="9"/>
  <c r="M997" i="9" s="1"/>
  <c r="P679" i="9" l="1"/>
  <c r="C679" i="3"/>
  <c r="C679" i="4" s="1"/>
  <c r="O680" i="9"/>
  <c r="P680" i="9" s="1"/>
  <c r="N681" i="9"/>
  <c r="K999" i="9"/>
  <c r="L998" i="9"/>
  <c r="M998" i="9" s="1"/>
  <c r="T680" i="9" l="1"/>
  <c r="T679" i="9"/>
  <c r="G682" i="2" s="1"/>
  <c r="C680" i="3" s="1"/>
  <c r="C680" i="4" s="1"/>
  <c r="R679" i="9"/>
  <c r="E682" i="2" s="1"/>
  <c r="A680" i="3" s="1"/>
  <c r="A680" i="4" s="1"/>
  <c r="S679" i="9"/>
  <c r="F682" i="2" s="1"/>
  <c r="B680" i="3" s="1"/>
  <c r="B680" i="4" s="1"/>
  <c r="S680" i="9"/>
  <c r="F683" i="2" s="1"/>
  <c r="B681" i="3" s="1"/>
  <c r="B681" i="4" s="1"/>
  <c r="R680" i="9"/>
  <c r="E683" i="2" s="1"/>
  <c r="A681" i="3" s="1"/>
  <c r="A681" i="4" s="1"/>
  <c r="O681" i="9"/>
  <c r="G683" i="2"/>
  <c r="N682" i="9"/>
  <c r="K1000" i="9"/>
  <c r="L999" i="9"/>
  <c r="M999" i="9" s="1"/>
  <c r="P681" i="9" l="1"/>
  <c r="T681" i="9" s="1"/>
  <c r="G684" i="2" s="1"/>
  <c r="C681" i="3"/>
  <c r="C681" i="4" s="1"/>
  <c r="N683" i="9"/>
  <c r="O682" i="9"/>
  <c r="P682" i="9" s="1"/>
  <c r="K1001" i="9"/>
  <c r="L1000" i="9"/>
  <c r="M1000" i="9" s="1"/>
  <c r="S681" i="9" l="1"/>
  <c r="F684" i="2" s="1"/>
  <c r="B682" i="3" s="1"/>
  <c r="B682" i="4" s="1"/>
  <c r="R681" i="9"/>
  <c r="E684" i="2" s="1"/>
  <c r="A682" i="3" s="1"/>
  <c r="A682" i="4" s="1"/>
  <c r="R682" i="9"/>
  <c r="E685" i="2" s="1"/>
  <c r="A683" i="3" s="1"/>
  <c r="A683" i="4" s="1"/>
  <c r="S682" i="9"/>
  <c r="F685" i="2" s="1"/>
  <c r="B683" i="3" s="1"/>
  <c r="B683" i="4" s="1"/>
  <c r="T682" i="9"/>
  <c r="G685" i="2" s="1"/>
  <c r="C682" i="3"/>
  <c r="C682" i="4" s="1"/>
  <c r="N684" i="9"/>
  <c r="O683" i="9"/>
  <c r="K1002" i="9"/>
  <c r="L1001" i="9"/>
  <c r="M1001" i="9" s="1"/>
  <c r="P683" i="9" l="1"/>
  <c r="T683" i="9" s="1"/>
  <c r="G686" i="2" s="1"/>
  <c r="C683" i="3"/>
  <c r="C683" i="4" s="1"/>
  <c r="N685" i="9"/>
  <c r="O684" i="9"/>
  <c r="P684" i="9" s="1"/>
  <c r="K1003" i="9"/>
  <c r="L1002" i="9"/>
  <c r="M1002" i="9" s="1"/>
  <c r="R684" i="9" l="1"/>
  <c r="E687" i="2" s="1"/>
  <c r="A685" i="3" s="1"/>
  <c r="A685" i="4" s="1"/>
  <c r="S684" i="9"/>
  <c r="F687" i="2" s="1"/>
  <c r="B685" i="3" s="1"/>
  <c r="B685" i="4" s="1"/>
  <c r="T684" i="9"/>
  <c r="G687" i="2" s="1"/>
  <c r="R683" i="9"/>
  <c r="E686" i="2" s="1"/>
  <c r="A684" i="3" s="1"/>
  <c r="A684" i="4" s="1"/>
  <c r="S683" i="9"/>
  <c r="F686" i="2" s="1"/>
  <c r="B684" i="3" s="1"/>
  <c r="B684" i="4" s="1"/>
  <c r="C684" i="3"/>
  <c r="C684" i="4" s="1"/>
  <c r="N686" i="9"/>
  <c r="O685" i="9"/>
  <c r="K1004" i="9"/>
  <c r="L1003" i="9"/>
  <c r="M1003" i="9" s="1"/>
  <c r="P685" i="9" l="1"/>
  <c r="C685" i="3"/>
  <c r="C685" i="4" s="1"/>
  <c r="N687" i="9"/>
  <c r="O686" i="9"/>
  <c r="P686" i="9" s="1"/>
  <c r="K1005" i="9"/>
  <c r="L1004" i="9"/>
  <c r="M1004" i="9" s="1"/>
  <c r="R686" i="9" l="1"/>
  <c r="E689" i="2" s="1"/>
  <c r="A687" i="3" s="1"/>
  <c r="A687" i="4" s="1"/>
  <c r="S686" i="9"/>
  <c r="F689" i="2" s="1"/>
  <c r="B687" i="3" s="1"/>
  <c r="B687" i="4" s="1"/>
  <c r="R685" i="9"/>
  <c r="E688" i="2" s="1"/>
  <c r="A686" i="3" s="1"/>
  <c r="A686" i="4" s="1"/>
  <c r="S685" i="9"/>
  <c r="F688" i="2" s="1"/>
  <c r="B686" i="3" s="1"/>
  <c r="B686" i="4" s="1"/>
  <c r="T685" i="9"/>
  <c r="G688" i="2" s="1"/>
  <c r="C686" i="3" s="1"/>
  <c r="C686" i="4" s="1"/>
  <c r="T686" i="9"/>
  <c r="G689" i="2" s="1"/>
  <c r="N688" i="9"/>
  <c r="O687" i="9"/>
  <c r="K1006" i="9"/>
  <c r="L1005" i="9"/>
  <c r="M1005" i="9" s="1"/>
  <c r="P687" i="9" l="1"/>
  <c r="S687" i="9" s="1"/>
  <c r="F690" i="2" s="1"/>
  <c r="B688" i="3" s="1"/>
  <c r="B688" i="4" s="1"/>
  <c r="C687" i="3"/>
  <c r="C687" i="4" s="1"/>
  <c r="N689" i="9"/>
  <c r="O688" i="9"/>
  <c r="P688" i="9" s="1"/>
  <c r="K1007" i="9"/>
  <c r="L1006" i="9"/>
  <c r="M1006" i="9" s="1"/>
  <c r="T688" i="9" l="1"/>
  <c r="G691" i="2" s="1"/>
  <c r="S688" i="9"/>
  <c r="F691" i="2" s="1"/>
  <c r="B689" i="3" s="1"/>
  <c r="B689" i="4" s="1"/>
  <c r="R688" i="9"/>
  <c r="E691" i="2" s="1"/>
  <c r="A689" i="3" s="1"/>
  <c r="A689" i="4" s="1"/>
  <c r="T687" i="9"/>
  <c r="G690" i="2" s="1"/>
  <c r="C688" i="3" s="1"/>
  <c r="C688" i="4" s="1"/>
  <c r="R687" i="9"/>
  <c r="E690" i="2" s="1"/>
  <c r="A688" i="3" s="1"/>
  <c r="A688" i="4" s="1"/>
  <c r="N690" i="9"/>
  <c r="O689" i="9"/>
  <c r="K1008" i="9"/>
  <c r="L1007" i="9"/>
  <c r="M1007" i="9" s="1"/>
  <c r="P689" i="9" l="1"/>
  <c r="T689" i="9" s="1"/>
  <c r="G692" i="2" s="1"/>
  <c r="C689" i="3"/>
  <c r="C689" i="4" s="1"/>
  <c r="O690" i="9"/>
  <c r="P690" i="9" s="1"/>
  <c r="N691" i="9"/>
  <c r="K1009" i="9"/>
  <c r="L1008" i="9"/>
  <c r="M1008" i="9" s="1"/>
  <c r="S690" i="9" l="1"/>
  <c r="F693" i="2" s="1"/>
  <c r="B691" i="3" s="1"/>
  <c r="B691" i="4" s="1"/>
  <c r="R690" i="9"/>
  <c r="E693" i="2" s="1"/>
  <c r="A691" i="3" s="1"/>
  <c r="A691" i="4" s="1"/>
  <c r="T690" i="9"/>
  <c r="G693" i="2" s="1"/>
  <c r="S689" i="9"/>
  <c r="F692" i="2" s="1"/>
  <c r="B690" i="3" s="1"/>
  <c r="B690" i="4" s="1"/>
  <c r="R689" i="9"/>
  <c r="E692" i="2" s="1"/>
  <c r="A690" i="3" s="1"/>
  <c r="A690" i="4" s="1"/>
  <c r="C690" i="3"/>
  <c r="C690" i="4" s="1"/>
  <c r="N692" i="9"/>
  <c r="O691" i="9"/>
  <c r="K1010" i="9"/>
  <c r="L1009" i="9"/>
  <c r="M1009" i="9" s="1"/>
  <c r="P691" i="9" l="1"/>
  <c r="C691" i="3"/>
  <c r="C691" i="4" s="1"/>
  <c r="O692" i="9"/>
  <c r="P692" i="9" s="1"/>
  <c r="N693" i="9"/>
  <c r="K1011" i="9"/>
  <c r="L1010" i="9"/>
  <c r="M1010" i="9" s="1"/>
  <c r="S691" i="9" l="1"/>
  <c r="F694" i="2" s="1"/>
  <c r="B692" i="3" s="1"/>
  <c r="B692" i="4" s="1"/>
  <c r="R691" i="9"/>
  <c r="E694" i="2" s="1"/>
  <c r="A692" i="3" s="1"/>
  <c r="A692" i="4" s="1"/>
  <c r="T692" i="9"/>
  <c r="G695" i="2" s="1"/>
  <c r="R692" i="9"/>
  <c r="E695" i="2" s="1"/>
  <c r="A693" i="3" s="1"/>
  <c r="A693" i="4" s="1"/>
  <c r="S692" i="9"/>
  <c r="F695" i="2" s="1"/>
  <c r="B693" i="3" s="1"/>
  <c r="B693" i="4" s="1"/>
  <c r="T691" i="9"/>
  <c r="G694" i="2" s="1"/>
  <c r="C692" i="3" s="1"/>
  <c r="C692" i="4" s="1"/>
  <c r="N694" i="9"/>
  <c r="O693" i="9"/>
  <c r="K1012" i="9"/>
  <c r="L1011" i="9"/>
  <c r="M1011" i="9" s="1"/>
  <c r="P693" i="9" l="1"/>
  <c r="T693" i="9" s="1"/>
  <c r="G696" i="2" s="1"/>
  <c r="C693" i="3"/>
  <c r="C693" i="4" s="1"/>
  <c r="O694" i="9"/>
  <c r="P694" i="9" s="1"/>
  <c r="N695" i="9"/>
  <c r="K1013" i="9"/>
  <c r="L1012" i="9"/>
  <c r="M1012" i="9" s="1"/>
  <c r="T694" i="9" l="1"/>
  <c r="G697" i="2" s="1"/>
  <c r="S694" i="9"/>
  <c r="F697" i="2" s="1"/>
  <c r="B695" i="3" s="1"/>
  <c r="B695" i="4" s="1"/>
  <c r="R694" i="9"/>
  <c r="E697" i="2" s="1"/>
  <c r="A695" i="3" s="1"/>
  <c r="A695" i="4" s="1"/>
  <c r="R693" i="9"/>
  <c r="E696" i="2" s="1"/>
  <c r="A694" i="3" s="1"/>
  <c r="A694" i="4" s="1"/>
  <c r="S693" i="9"/>
  <c r="F696" i="2" s="1"/>
  <c r="B694" i="3" s="1"/>
  <c r="B694" i="4" s="1"/>
  <c r="C694" i="3"/>
  <c r="C694" i="4" s="1"/>
  <c r="O695" i="9"/>
  <c r="N696" i="9"/>
  <c r="K1014" i="9"/>
  <c r="L1013" i="9"/>
  <c r="M1013" i="9" s="1"/>
  <c r="P695" i="9" l="1"/>
  <c r="S695" i="9" s="1"/>
  <c r="F698" i="2" s="1"/>
  <c r="B696" i="3" s="1"/>
  <c r="B696" i="4" s="1"/>
  <c r="C695" i="3"/>
  <c r="C695" i="4" s="1"/>
  <c r="N697" i="9"/>
  <c r="O696" i="9"/>
  <c r="P696" i="9" s="1"/>
  <c r="K1015" i="9"/>
  <c r="L1014" i="9"/>
  <c r="M1014" i="9" s="1"/>
  <c r="S696" i="9" l="1"/>
  <c r="F699" i="2" s="1"/>
  <c r="B697" i="3" s="1"/>
  <c r="B697" i="4" s="1"/>
  <c r="R696" i="9"/>
  <c r="E699" i="2" s="1"/>
  <c r="A697" i="3" s="1"/>
  <c r="A697" i="4" s="1"/>
  <c r="T696" i="9"/>
  <c r="G699" i="2" s="1"/>
  <c r="T695" i="9"/>
  <c r="G698" i="2" s="1"/>
  <c r="C696" i="3" s="1"/>
  <c r="C696" i="4" s="1"/>
  <c r="R695" i="9"/>
  <c r="E698" i="2" s="1"/>
  <c r="A696" i="3" s="1"/>
  <c r="A696" i="4" s="1"/>
  <c r="N698" i="9"/>
  <c r="O697" i="9"/>
  <c r="K1016" i="9"/>
  <c r="L1015" i="9"/>
  <c r="M1015" i="9" s="1"/>
  <c r="P697" i="9" l="1"/>
  <c r="T697" i="9" s="1"/>
  <c r="G700" i="2" s="1"/>
  <c r="C697" i="3"/>
  <c r="C697" i="4" s="1"/>
  <c r="N699" i="9"/>
  <c r="O698" i="9"/>
  <c r="P698" i="9" s="1"/>
  <c r="K1017" i="9"/>
  <c r="L1016" i="9"/>
  <c r="M1016" i="9" s="1"/>
  <c r="R698" i="9" l="1"/>
  <c r="E701" i="2" s="1"/>
  <c r="A699" i="3" s="1"/>
  <c r="A699" i="4" s="1"/>
  <c r="S698" i="9"/>
  <c r="F701" i="2" s="1"/>
  <c r="B699" i="3" s="1"/>
  <c r="B699" i="4" s="1"/>
  <c r="T698" i="9"/>
  <c r="G701" i="2" s="1"/>
  <c r="S697" i="9"/>
  <c r="F700" i="2" s="1"/>
  <c r="B698" i="3" s="1"/>
  <c r="B698" i="4" s="1"/>
  <c r="R697" i="9"/>
  <c r="E700" i="2" s="1"/>
  <c r="A698" i="3" s="1"/>
  <c r="A698" i="4" s="1"/>
  <c r="C698" i="3"/>
  <c r="C698" i="4" s="1"/>
  <c r="N700" i="9"/>
  <c r="O699" i="9"/>
  <c r="K1018" i="9"/>
  <c r="L1017" i="9"/>
  <c r="M1017" i="9" s="1"/>
  <c r="P699" i="9" l="1"/>
  <c r="T699" i="9" s="1"/>
  <c r="G702" i="2" s="1"/>
  <c r="C699" i="3"/>
  <c r="C699" i="4" s="1"/>
  <c r="O700" i="9"/>
  <c r="P700" i="9" s="1"/>
  <c r="N701" i="9"/>
  <c r="K1019" i="9"/>
  <c r="L1018" i="9"/>
  <c r="M1018" i="9" s="1"/>
  <c r="T700" i="9" l="1"/>
  <c r="G703" i="2" s="1"/>
  <c r="R700" i="9"/>
  <c r="E703" i="2" s="1"/>
  <c r="A701" i="3" s="1"/>
  <c r="A701" i="4" s="1"/>
  <c r="S700" i="9"/>
  <c r="F703" i="2" s="1"/>
  <c r="B701" i="3" s="1"/>
  <c r="B701" i="4" s="1"/>
  <c r="R699" i="9"/>
  <c r="E702" i="2" s="1"/>
  <c r="A700" i="3" s="1"/>
  <c r="A700" i="4" s="1"/>
  <c r="S699" i="9"/>
  <c r="F702" i="2" s="1"/>
  <c r="B700" i="3" s="1"/>
  <c r="B700" i="4" s="1"/>
  <c r="C700" i="3"/>
  <c r="C700" i="4" s="1"/>
  <c r="N702" i="9"/>
  <c r="O701" i="9"/>
  <c r="K1020" i="9"/>
  <c r="L1019" i="9"/>
  <c r="M1019" i="9" s="1"/>
  <c r="P701" i="9" l="1"/>
  <c r="C701" i="3"/>
  <c r="C701" i="4" s="1"/>
  <c r="N703" i="9"/>
  <c r="O702" i="9"/>
  <c r="P702" i="9" s="1"/>
  <c r="K1021" i="9"/>
  <c r="L1020" i="9"/>
  <c r="M1020" i="9" s="1"/>
  <c r="T702" i="9" l="1"/>
  <c r="G705" i="2" s="1"/>
  <c r="R702" i="9"/>
  <c r="E705" i="2" s="1"/>
  <c r="A703" i="3" s="1"/>
  <c r="A703" i="4" s="1"/>
  <c r="S702" i="9"/>
  <c r="F705" i="2" s="1"/>
  <c r="B703" i="3" s="1"/>
  <c r="B703" i="4" s="1"/>
  <c r="R701" i="9"/>
  <c r="E704" i="2" s="1"/>
  <c r="A702" i="3" s="1"/>
  <c r="A702" i="4" s="1"/>
  <c r="S701" i="9"/>
  <c r="F704" i="2" s="1"/>
  <c r="B702" i="3" s="1"/>
  <c r="B702" i="4" s="1"/>
  <c r="T701" i="9"/>
  <c r="G704" i="2" s="1"/>
  <c r="C702" i="3" s="1"/>
  <c r="C702" i="4" s="1"/>
  <c r="O703" i="9"/>
  <c r="N704" i="9"/>
  <c r="K1022" i="9"/>
  <c r="L1021" i="9"/>
  <c r="M1021" i="9" s="1"/>
  <c r="P703" i="9" l="1"/>
  <c r="C703" i="3"/>
  <c r="C703" i="4" s="1"/>
  <c r="O704" i="9"/>
  <c r="P704" i="9" s="1"/>
  <c r="N705" i="9"/>
  <c r="K1023" i="9"/>
  <c r="L1022" i="9"/>
  <c r="M1022" i="9" s="1"/>
  <c r="T704" i="9" l="1"/>
  <c r="S704" i="9"/>
  <c r="F707" i="2" s="1"/>
  <c r="B705" i="3" s="1"/>
  <c r="B705" i="4" s="1"/>
  <c r="R704" i="9"/>
  <c r="E707" i="2" s="1"/>
  <c r="A705" i="3" s="1"/>
  <c r="A705" i="4" s="1"/>
  <c r="S703" i="9"/>
  <c r="F706" i="2" s="1"/>
  <c r="B704" i="3" s="1"/>
  <c r="B704" i="4" s="1"/>
  <c r="R703" i="9"/>
  <c r="E706" i="2" s="1"/>
  <c r="A704" i="3" s="1"/>
  <c r="A704" i="4" s="1"/>
  <c r="T703" i="9"/>
  <c r="G706" i="2" s="1"/>
  <c r="C704" i="3" s="1"/>
  <c r="C704" i="4" s="1"/>
  <c r="N706" i="9"/>
  <c r="G707" i="2"/>
  <c r="O705" i="9"/>
  <c r="K1024" i="9"/>
  <c r="L1023" i="9"/>
  <c r="M1023" i="9" s="1"/>
  <c r="P705" i="9" l="1"/>
  <c r="C705" i="3"/>
  <c r="C705" i="4" s="1"/>
  <c r="N707" i="9"/>
  <c r="O706" i="9"/>
  <c r="P706" i="9" s="1"/>
  <c r="K1025" i="9"/>
  <c r="L1024" i="9"/>
  <c r="M1024" i="9" s="1"/>
  <c r="T706" i="9" l="1"/>
  <c r="G709" i="2" s="1"/>
  <c r="R706" i="9"/>
  <c r="E709" i="2" s="1"/>
  <c r="A707" i="3" s="1"/>
  <c r="A707" i="4" s="1"/>
  <c r="S706" i="9"/>
  <c r="F709" i="2" s="1"/>
  <c r="B707" i="3" s="1"/>
  <c r="B707" i="4" s="1"/>
  <c r="R705" i="9"/>
  <c r="E708" i="2" s="1"/>
  <c r="A706" i="3" s="1"/>
  <c r="A706" i="4" s="1"/>
  <c r="S705" i="9"/>
  <c r="F708" i="2" s="1"/>
  <c r="B706" i="3" s="1"/>
  <c r="B706" i="4" s="1"/>
  <c r="T705" i="9"/>
  <c r="G708" i="2" s="1"/>
  <c r="C706" i="3" s="1"/>
  <c r="C706" i="4" s="1"/>
  <c r="N708" i="9"/>
  <c r="O707" i="9"/>
  <c r="K1026" i="9"/>
  <c r="L1025" i="9"/>
  <c r="M1025" i="9" s="1"/>
  <c r="P707" i="9" l="1"/>
  <c r="C707" i="3"/>
  <c r="C707" i="4" s="1"/>
  <c r="O708" i="9"/>
  <c r="P708" i="9" s="1"/>
  <c r="N709" i="9"/>
  <c r="K1027" i="9"/>
  <c r="L1026" i="9"/>
  <c r="M1026" i="9" s="1"/>
  <c r="T708" i="9" l="1"/>
  <c r="G711" i="2" s="1"/>
  <c r="S708" i="9"/>
  <c r="F711" i="2" s="1"/>
  <c r="B709" i="3" s="1"/>
  <c r="B709" i="4" s="1"/>
  <c r="R708" i="9"/>
  <c r="E711" i="2" s="1"/>
  <c r="A709" i="3" s="1"/>
  <c r="A709" i="4" s="1"/>
  <c r="S707" i="9"/>
  <c r="F710" i="2" s="1"/>
  <c r="B708" i="3" s="1"/>
  <c r="B708" i="4" s="1"/>
  <c r="R707" i="9"/>
  <c r="E710" i="2" s="1"/>
  <c r="A708" i="3" s="1"/>
  <c r="A708" i="4" s="1"/>
  <c r="T707" i="9"/>
  <c r="G710" i="2" s="1"/>
  <c r="C708" i="3" s="1"/>
  <c r="C708" i="4" s="1"/>
  <c r="N710" i="9"/>
  <c r="O709" i="9"/>
  <c r="K1028" i="9"/>
  <c r="L1027" i="9"/>
  <c r="M1027" i="9" s="1"/>
  <c r="P709" i="9" l="1"/>
  <c r="T709" i="9" s="1"/>
  <c r="G712" i="2" s="1"/>
  <c r="C709" i="3"/>
  <c r="C709" i="4" s="1"/>
  <c r="N711" i="9"/>
  <c r="O710" i="9"/>
  <c r="P710" i="9" s="1"/>
  <c r="K1029" i="9"/>
  <c r="L1028" i="9"/>
  <c r="M1028" i="9" s="1"/>
  <c r="T710" i="9" l="1"/>
  <c r="G713" i="2" s="1"/>
  <c r="R709" i="9"/>
  <c r="E712" i="2" s="1"/>
  <c r="A710" i="3" s="1"/>
  <c r="A710" i="4" s="1"/>
  <c r="S709" i="9"/>
  <c r="F712" i="2" s="1"/>
  <c r="B710" i="3" s="1"/>
  <c r="B710" i="4" s="1"/>
  <c r="S710" i="9"/>
  <c r="F713" i="2" s="1"/>
  <c r="B711" i="3" s="1"/>
  <c r="B711" i="4" s="1"/>
  <c r="R710" i="9"/>
  <c r="E713" i="2" s="1"/>
  <c r="A711" i="3" s="1"/>
  <c r="A711" i="4" s="1"/>
  <c r="C710" i="3"/>
  <c r="C710" i="4" s="1"/>
  <c r="N712" i="9"/>
  <c r="O711" i="9"/>
  <c r="K1030" i="9"/>
  <c r="L1029" i="9"/>
  <c r="M1029" i="9" s="1"/>
  <c r="P711" i="9" l="1"/>
  <c r="C711" i="3"/>
  <c r="C711" i="4" s="1"/>
  <c r="O712" i="9"/>
  <c r="P712" i="9" s="1"/>
  <c r="N713" i="9"/>
  <c r="K1031" i="9"/>
  <c r="L1030" i="9"/>
  <c r="M1030" i="9" s="1"/>
  <c r="T712" i="9" l="1"/>
  <c r="S711" i="9"/>
  <c r="F714" i="2" s="1"/>
  <c r="B712" i="3" s="1"/>
  <c r="B712" i="4" s="1"/>
  <c r="R711" i="9"/>
  <c r="E714" i="2" s="1"/>
  <c r="A712" i="3" s="1"/>
  <c r="A712" i="4" s="1"/>
  <c r="S712" i="9"/>
  <c r="F715" i="2" s="1"/>
  <c r="B713" i="3" s="1"/>
  <c r="B713" i="4" s="1"/>
  <c r="R712" i="9"/>
  <c r="E715" i="2" s="1"/>
  <c r="A713" i="3" s="1"/>
  <c r="A713" i="4" s="1"/>
  <c r="T711" i="9"/>
  <c r="G714" i="2" s="1"/>
  <c r="C712" i="3" s="1"/>
  <c r="C712" i="4" s="1"/>
  <c r="N714" i="9"/>
  <c r="O713" i="9"/>
  <c r="G715" i="2"/>
  <c r="K1032" i="9"/>
  <c r="L1031" i="9"/>
  <c r="M1031" i="9" s="1"/>
  <c r="P713" i="9" l="1"/>
  <c r="S713" i="9" s="1"/>
  <c r="F716" i="2" s="1"/>
  <c r="B714" i="3" s="1"/>
  <c r="B714" i="4" s="1"/>
  <c r="C713" i="3"/>
  <c r="C713" i="4" s="1"/>
  <c r="O714" i="9"/>
  <c r="P714" i="9" s="1"/>
  <c r="N715" i="9"/>
  <c r="K1033" i="9"/>
  <c r="L1032" i="9"/>
  <c r="M1032" i="9" s="1"/>
  <c r="T714" i="9" l="1"/>
  <c r="G717" i="2" s="1"/>
  <c r="T713" i="9"/>
  <c r="G716" i="2" s="1"/>
  <c r="C714" i="3" s="1"/>
  <c r="C714" i="4" s="1"/>
  <c r="R714" i="9"/>
  <c r="E717" i="2" s="1"/>
  <c r="A715" i="3" s="1"/>
  <c r="A715" i="4" s="1"/>
  <c r="S714" i="9"/>
  <c r="F717" i="2" s="1"/>
  <c r="B715" i="3" s="1"/>
  <c r="B715" i="4" s="1"/>
  <c r="R713" i="9"/>
  <c r="E716" i="2" s="1"/>
  <c r="A714" i="3" s="1"/>
  <c r="A714" i="4" s="1"/>
  <c r="N716" i="9"/>
  <c r="O715" i="9"/>
  <c r="K1034" i="9"/>
  <c r="L1033" i="9"/>
  <c r="M1033" i="9" s="1"/>
  <c r="P715" i="9" l="1"/>
  <c r="C715" i="3"/>
  <c r="C715" i="4" s="1"/>
  <c r="O716" i="9"/>
  <c r="P716" i="9" s="1"/>
  <c r="N717" i="9"/>
  <c r="K1035" i="9"/>
  <c r="L1034" i="9"/>
  <c r="M1034" i="9" s="1"/>
  <c r="T716" i="9" l="1"/>
  <c r="G719" i="2" s="1"/>
  <c r="S716" i="9"/>
  <c r="F719" i="2" s="1"/>
  <c r="B717" i="3" s="1"/>
  <c r="B717" i="4" s="1"/>
  <c r="R716" i="9"/>
  <c r="E719" i="2" s="1"/>
  <c r="A717" i="3" s="1"/>
  <c r="A717" i="4" s="1"/>
  <c r="S715" i="9"/>
  <c r="F718" i="2" s="1"/>
  <c r="B716" i="3" s="1"/>
  <c r="B716" i="4" s="1"/>
  <c r="R715" i="9"/>
  <c r="E718" i="2" s="1"/>
  <c r="A716" i="3" s="1"/>
  <c r="A716" i="4" s="1"/>
  <c r="T715" i="9"/>
  <c r="G718" i="2" s="1"/>
  <c r="C716" i="3" s="1"/>
  <c r="C716" i="4" s="1"/>
  <c r="N718" i="9"/>
  <c r="O717" i="9"/>
  <c r="K1036" i="9"/>
  <c r="L1035" i="9"/>
  <c r="M1035" i="9" s="1"/>
  <c r="P717" i="9" l="1"/>
  <c r="C717" i="3"/>
  <c r="C717" i="4" s="1"/>
  <c r="O718" i="9"/>
  <c r="P718" i="9" s="1"/>
  <c r="N719" i="9"/>
  <c r="K1037" i="9"/>
  <c r="L1036" i="9"/>
  <c r="M1036" i="9" s="1"/>
  <c r="R717" i="9" l="1"/>
  <c r="E720" i="2" s="1"/>
  <c r="A718" i="3" s="1"/>
  <c r="A718" i="4" s="1"/>
  <c r="S717" i="9"/>
  <c r="F720" i="2" s="1"/>
  <c r="B718" i="3" s="1"/>
  <c r="B718" i="4" s="1"/>
  <c r="R718" i="9"/>
  <c r="E721" i="2" s="1"/>
  <c r="A719" i="3" s="1"/>
  <c r="A719" i="4" s="1"/>
  <c r="S718" i="9"/>
  <c r="F721" i="2" s="1"/>
  <c r="B719" i="3" s="1"/>
  <c r="B719" i="4" s="1"/>
  <c r="T718" i="9"/>
  <c r="G721" i="2" s="1"/>
  <c r="T717" i="9"/>
  <c r="G720" i="2" s="1"/>
  <c r="C718" i="3" s="1"/>
  <c r="C718" i="4" s="1"/>
  <c r="N720" i="9"/>
  <c r="O719" i="9"/>
  <c r="K1038" i="9"/>
  <c r="L1037" i="9"/>
  <c r="M1037" i="9" s="1"/>
  <c r="P719" i="9" l="1"/>
  <c r="C719" i="3"/>
  <c r="C719" i="4" s="1"/>
  <c r="O720" i="9"/>
  <c r="P720" i="9" s="1"/>
  <c r="N721" i="9"/>
  <c r="K1039" i="9"/>
  <c r="L1038" i="9"/>
  <c r="M1038" i="9" s="1"/>
  <c r="R719" i="9" l="1"/>
  <c r="E722" i="2" s="1"/>
  <c r="A720" i="3" s="1"/>
  <c r="A720" i="4" s="1"/>
  <c r="S719" i="9"/>
  <c r="F722" i="2" s="1"/>
  <c r="B720" i="3" s="1"/>
  <c r="B720" i="4" s="1"/>
  <c r="R720" i="9"/>
  <c r="E723" i="2" s="1"/>
  <c r="A721" i="3" s="1"/>
  <c r="A721" i="4" s="1"/>
  <c r="S720" i="9"/>
  <c r="F723" i="2" s="1"/>
  <c r="B721" i="3" s="1"/>
  <c r="B721" i="4" s="1"/>
  <c r="T720" i="9"/>
  <c r="T719" i="9"/>
  <c r="G722" i="2" s="1"/>
  <c r="C720" i="3" s="1"/>
  <c r="C720" i="4" s="1"/>
  <c r="N722" i="9"/>
  <c r="O721" i="9"/>
  <c r="G723" i="2"/>
  <c r="K1040" i="9"/>
  <c r="L1039" i="9"/>
  <c r="M1039" i="9" s="1"/>
  <c r="P721" i="9" l="1"/>
  <c r="T721" i="9" s="1"/>
  <c r="G724" i="2" s="1"/>
  <c r="C721" i="3"/>
  <c r="C721" i="4" s="1"/>
  <c r="O722" i="9"/>
  <c r="P722" i="9" s="1"/>
  <c r="N723" i="9"/>
  <c r="K1041" i="9"/>
  <c r="L1040" i="9"/>
  <c r="M1040" i="9" s="1"/>
  <c r="R722" i="9" l="1"/>
  <c r="E725" i="2" s="1"/>
  <c r="A723" i="3" s="1"/>
  <c r="A723" i="4" s="1"/>
  <c r="S722" i="9"/>
  <c r="F725" i="2" s="1"/>
  <c r="B723" i="3" s="1"/>
  <c r="B723" i="4" s="1"/>
  <c r="T722" i="9"/>
  <c r="G725" i="2" s="1"/>
  <c r="R721" i="9"/>
  <c r="E724" i="2" s="1"/>
  <c r="A722" i="3" s="1"/>
  <c r="A722" i="4" s="1"/>
  <c r="S721" i="9"/>
  <c r="F724" i="2" s="1"/>
  <c r="B722" i="3" s="1"/>
  <c r="B722" i="4" s="1"/>
  <c r="C722" i="3"/>
  <c r="C722" i="4" s="1"/>
  <c r="N724" i="9"/>
  <c r="O723" i="9"/>
  <c r="K1042" i="9"/>
  <c r="L1041" i="9"/>
  <c r="M1041" i="9" s="1"/>
  <c r="P723" i="9" l="1"/>
  <c r="S723" i="9" s="1"/>
  <c r="F726" i="2" s="1"/>
  <c r="B724" i="3" s="1"/>
  <c r="B724" i="4" s="1"/>
  <c r="C723" i="3"/>
  <c r="C723" i="4" s="1"/>
  <c r="N725" i="9"/>
  <c r="O724" i="9"/>
  <c r="P724" i="9" s="1"/>
  <c r="K1043" i="9"/>
  <c r="L1042" i="9"/>
  <c r="M1042" i="9" s="1"/>
  <c r="T723" i="9" l="1"/>
  <c r="G726" i="2" s="1"/>
  <c r="C724" i="3" s="1"/>
  <c r="C724" i="4" s="1"/>
  <c r="R723" i="9"/>
  <c r="E726" i="2" s="1"/>
  <c r="A724" i="3" s="1"/>
  <c r="A724" i="4" s="1"/>
  <c r="R724" i="9"/>
  <c r="E727" i="2" s="1"/>
  <c r="A725" i="3" s="1"/>
  <c r="A725" i="4" s="1"/>
  <c r="S724" i="9"/>
  <c r="F727" i="2" s="1"/>
  <c r="B725" i="3" s="1"/>
  <c r="B725" i="4" s="1"/>
  <c r="T724" i="9"/>
  <c r="G727" i="2" s="1"/>
  <c r="N726" i="9"/>
  <c r="O725" i="9"/>
  <c r="K1044" i="9"/>
  <c r="L1043" i="9"/>
  <c r="M1043" i="9" s="1"/>
  <c r="P725" i="9" l="1"/>
  <c r="T725" i="9" s="1"/>
  <c r="G728" i="2" s="1"/>
  <c r="C725" i="3"/>
  <c r="C725" i="4" s="1"/>
  <c r="O726" i="9"/>
  <c r="P726" i="9" s="1"/>
  <c r="N727" i="9"/>
  <c r="K1045" i="9"/>
  <c r="L1044" i="9"/>
  <c r="M1044" i="9" s="1"/>
  <c r="T726" i="9" l="1"/>
  <c r="R725" i="9"/>
  <c r="E728" i="2" s="1"/>
  <c r="A726" i="3" s="1"/>
  <c r="A726" i="4" s="1"/>
  <c r="S725" i="9"/>
  <c r="F728" i="2" s="1"/>
  <c r="B726" i="3" s="1"/>
  <c r="B726" i="4" s="1"/>
  <c r="S726" i="9"/>
  <c r="F729" i="2" s="1"/>
  <c r="B727" i="3" s="1"/>
  <c r="B727" i="4" s="1"/>
  <c r="R726" i="9"/>
  <c r="E729" i="2" s="1"/>
  <c r="A727" i="3" s="1"/>
  <c r="A727" i="4" s="1"/>
  <c r="C726" i="3"/>
  <c r="C726" i="4" s="1"/>
  <c r="N728" i="9"/>
  <c r="O727" i="9"/>
  <c r="G729" i="2"/>
  <c r="K1046" i="9"/>
  <c r="L1045" i="9"/>
  <c r="M1045" i="9" s="1"/>
  <c r="P727" i="9" l="1"/>
  <c r="T727" i="9" s="1"/>
  <c r="G730" i="2" s="1"/>
  <c r="C727" i="3"/>
  <c r="C727" i="4" s="1"/>
  <c r="O728" i="9"/>
  <c r="P728" i="9" s="1"/>
  <c r="N729" i="9"/>
  <c r="K1047" i="9"/>
  <c r="L1046" i="9"/>
  <c r="M1046" i="9" s="1"/>
  <c r="S728" i="9" l="1"/>
  <c r="F731" i="2" s="1"/>
  <c r="B729" i="3" s="1"/>
  <c r="B729" i="4" s="1"/>
  <c r="R728" i="9"/>
  <c r="E731" i="2" s="1"/>
  <c r="A729" i="3" s="1"/>
  <c r="A729" i="4" s="1"/>
  <c r="R727" i="9"/>
  <c r="E730" i="2" s="1"/>
  <c r="A728" i="3" s="1"/>
  <c r="A728" i="4" s="1"/>
  <c r="S727" i="9"/>
  <c r="F730" i="2" s="1"/>
  <c r="B728" i="3" s="1"/>
  <c r="B728" i="4" s="1"/>
  <c r="T728" i="9"/>
  <c r="G731" i="2" s="1"/>
  <c r="C728" i="3"/>
  <c r="C728" i="4" s="1"/>
  <c r="N730" i="9"/>
  <c r="O729" i="9"/>
  <c r="K1048" i="9"/>
  <c r="L1047" i="9"/>
  <c r="M1047" i="9" s="1"/>
  <c r="P729" i="9" l="1"/>
  <c r="C729" i="3"/>
  <c r="C729" i="4" s="1"/>
  <c r="N731" i="9"/>
  <c r="O730" i="9"/>
  <c r="P730" i="9" s="1"/>
  <c r="K1049" i="9"/>
  <c r="L1048" i="9"/>
  <c r="M1048" i="9" s="1"/>
  <c r="R730" i="9" l="1"/>
  <c r="E733" i="2" s="1"/>
  <c r="A731" i="3" s="1"/>
  <c r="A731" i="4" s="1"/>
  <c r="S730" i="9"/>
  <c r="F733" i="2" s="1"/>
  <c r="B731" i="3" s="1"/>
  <c r="B731" i="4" s="1"/>
  <c r="T730" i="9"/>
  <c r="G733" i="2" s="1"/>
  <c r="R729" i="9"/>
  <c r="E732" i="2" s="1"/>
  <c r="A730" i="3" s="1"/>
  <c r="A730" i="4" s="1"/>
  <c r="S729" i="9"/>
  <c r="F732" i="2" s="1"/>
  <c r="B730" i="3" s="1"/>
  <c r="B730" i="4" s="1"/>
  <c r="T729" i="9"/>
  <c r="G732" i="2" s="1"/>
  <c r="C730" i="3" s="1"/>
  <c r="C730" i="4" s="1"/>
  <c r="O731" i="9"/>
  <c r="N732" i="9"/>
  <c r="K1050" i="9"/>
  <c r="L1049" i="9"/>
  <c r="M1049" i="9" s="1"/>
  <c r="P731" i="9" l="1"/>
  <c r="C731" i="3"/>
  <c r="C731" i="4" s="1"/>
  <c r="N733" i="9"/>
  <c r="O732" i="9"/>
  <c r="P732" i="9" s="1"/>
  <c r="K1051" i="9"/>
  <c r="L1050" i="9"/>
  <c r="M1050" i="9" s="1"/>
  <c r="T732" i="9" l="1"/>
  <c r="G735" i="2" s="1"/>
  <c r="R732" i="9"/>
  <c r="E735" i="2" s="1"/>
  <c r="A733" i="3" s="1"/>
  <c r="A733" i="4" s="1"/>
  <c r="S732" i="9"/>
  <c r="F735" i="2" s="1"/>
  <c r="B733" i="3" s="1"/>
  <c r="B733" i="4" s="1"/>
  <c r="S731" i="9"/>
  <c r="F734" i="2" s="1"/>
  <c r="B732" i="3" s="1"/>
  <c r="B732" i="4" s="1"/>
  <c r="R731" i="9"/>
  <c r="E734" i="2" s="1"/>
  <c r="A732" i="3" s="1"/>
  <c r="A732" i="4" s="1"/>
  <c r="T731" i="9"/>
  <c r="G734" i="2" s="1"/>
  <c r="C732" i="3" s="1"/>
  <c r="C732" i="4" s="1"/>
  <c r="O733" i="9"/>
  <c r="N734" i="9"/>
  <c r="K1052" i="9"/>
  <c r="L1051" i="9"/>
  <c r="M1051" i="9" s="1"/>
  <c r="P733" i="9" l="1"/>
  <c r="C733" i="3"/>
  <c r="C733" i="4" s="1"/>
  <c r="N735" i="9"/>
  <c r="O734" i="9"/>
  <c r="P734" i="9" s="1"/>
  <c r="K1053" i="9"/>
  <c r="L1052" i="9"/>
  <c r="M1052" i="9" s="1"/>
  <c r="T734" i="9" l="1"/>
  <c r="S733" i="9"/>
  <c r="F736" i="2" s="1"/>
  <c r="B734" i="3" s="1"/>
  <c r="B734" i="4" s="1"/>
  <c r="R733" i="9"/>
  <c r="E736" i="2" s="1"/>
  <c r="A734" i="3" s="1"/>
  <c r="A734" i="4" s="1"/>
  <c r="S734" i="9"/>
  <c r="F737" i="2" s="1"/>
  <c r="B735" i="3" s="1"/>
  <c r="B735" i="4" s="1"/>
  <c r="R734" i="9"/>
  <c r="E737" i="2" s="1"/>
  <c r="A735" i="3" s="1"/>
  <c r="A735" i="4" s="1"/>
  <c r="T733" i="9"/>
  <c r="G736" i="2" s="1"/>
  <c r="C734" i="3" s="1"/>
  <c r="C734" i="4" s="1"/>
  <c r="N736" i="9"/>
  <c r="G737" i="2"/>
  <c r="O735" i="9"/>
  <c r="K1054" i="9"/>
  <c r="L1053" i="9"/>
  <c r="M1053" i="9" s="1"/>
  <c r="P735" i="9" l="1"/>
  <c r="T735" i="9" s="1"/>
  <c r="G738" i="2" s="1"/>
  <c r="C735" i="3"/>
  <c r="C735" i="4" s="1"/>
  <c r="O736" i="9"/>
  <c r="P736" i="9" s="1"/>
  <c r="N737" i="9"/>
  <c r="K1055" i="9"/>
  <c r="L1054" i="9"/>
  <c r="M1054" i="9" s="1"/>
  <c r="T736" i="9" l="1"/>
  <c r="G739" i="2" s="1"/>
  <c r="R736" i="9"/>
  <c r="E739" i="2" s="1"/>
  <c r="A737" i="3" s="1"/>
  <c r="A737" i="4" s="1"/>
  <c r="S736" i="9"/>
  <c r="F739" i="2" s="1"/>
  <c r="B737" i="3" s="1"/>
  <c r="B737" i="4" s="1"/>
  <c r="S735" i="9"/>
  <c r="F738" i="2" s="1"/>
  <c r="B736" i="3" s="1"/>
  <c r="B736" i="4" s="1"/>
  <c r="R735" i="9"/>
  <c r="E738" i="2" s="1"/>
  <c r="A736" i="3" s="1"/>
  <c r="A736" i="4" s="1"/>
  <c r="C736" i="3"/>
  <c r="C736" i="4" s="1"/>
  <c r="N738" i="9"/>
  <c r="O737" i="9"/>
  <c r="K1056" i="9"/>
  <c r="L1055" i="9"/>
  <c r="M1055" i="9" s="1"/>
  <c r="P737" i="9" l="1"/>
  <c r="C737" i="3"/>
  <c r="C737" i="4" s="1"/>
  <c r="N739" i="9"/>
  <c r="O738" i="9"/>
  <c r="P738" i="9" s="1"/>
  <c r="K1057" i="9"/>
  <c r="L1056" i="9"/>
  <c r="M1056" i="9" s="1"/>
  <c r="S737" i="9" l="1"/>
  <c r="F740" i="2" s="1"/>
  <c r="B738" i="3" s="1"/>
  <c r="B738" i="4" s="1"/>
  <c r="R737" i="9"/>
  <c r="E740" i="2" s="1"/>
  <c r="A738" i="3" s="1"/>
  <c r="A738" i="4" s="1"/>
  <c r="T738" i="9"/>
  <c r="G741" i="2" s="1"/>
  <c r="R738" i="9"/>
  <c r="E741" i="2" s="1"/>
  <c r="A739" i="3" s="1"/>
  <c r="A739" i="4" s="1"/>
  <c r="S738" i="9"/>
  <c r="F741" i="2" s="1"/>
  <c r="B739" i="3" s="1"/>
  <c r="B739" i="4" s="1"/>
  <c r="T737" i="9"/>
  <c r="G740" i="2" s="1"/>
  <c r="C738" i="3" s="1"/>
  <c r="C738" i="4" s="1"/>
  <c r="N740" i="9"/>
  <c r="O739" i="9"/>
  <c r="K1058" i="9"/>
  <c r="L1057" i="9"/>
  <c r="M1057" i="9" s="1"/>
  <c r="P739" i="9" l="1"/>
  <c r="T739" i="9" s="1"/>
  <c r="G742" i="2" s="1"/>
  <c r="C739" i="3"/>
  <c r="C739" i="4" s="1"/>
  <c r="N741" i="9"/>
  <c r="O740" i="9"/>
  <c r="P740" i="9" s="1"/>
  <c r="K1059" i="9"/>
  <c r="L1058" i="9"/>
  <c r="M1058" i="9" s="1"/>
  <c r="T740" i="9" l="1"/>
  <c r="G743" i="2" s="1"/>
  <c r="R739" i="9"/>
  <c r="E742" i="2" s="1"/>
  <c r="A740" i="3" s="1"/>
  <c r="A740" i="4" s="1"/>
  <c r="S739" i="9"/>
  <c r="F742" i="2" s="1"/>
  <c r="B740" i="3" s="1"/>
  <c r="B740" i="4" s="1"/>
  <c r="R740" i="9"/>
  <c r="E743" i="2" s="1"/>
  <c r="A741" i="3" s="1"/>
  <c r="A741" i="4" s="1"/>
  <c r="S740" i="9"/>
  <c r="F743" i="2" s="1"/>
  <c r="B741" i="3" s="1"/>
  <c r="B741" i="4" s="1"/>
  <c r="C740" i="3"/>
  <c r="C740" i="4" s="1"/>
  <c r="N742" i="9"/>
  <c r="O741" i="9"/>
  <c r="K1060" i="9"/>
  <c r="L1059" i="9"/>
  <c r="M1059" i="9" s="1"/>
  <c r="P741" i="9" l="1"/>
  <c r="C741" i="3"/>
  <c r="C741" i="4" s="1"/>
  <c r="N743" i="9"/>
  <c r="O742" i="9"/>
  <c r="P742" i="9" s="1"/>
  <c r="K1061" i="9"/>
  <c r="L1060" i="9"/>
  <c r="M1060" i="9" s="1"/>
  <c r="R741" i="9" l="1"/>
  <c r="E744" i="2" s="1"/>
  <c r="A742" i="3" s="1"/>
  <c r="A742" i="4" s="1"/>
  <c r="S741" i="9"/>
  <c r="F744" i="2" s="1"/>
  <c r="B742" i="3" s="1"/>
  <c r="B742" i="4" s="1"/>
  <c r="S742" i="9"/>
  <c r="F745" i="2" s="1"/>
  <c r="B743" i="3" s="1"/>
  <c r="B743" i="4" s="1"/>
  <c r="R742" i="9"/>
  <c r="E745" i="2" s="1"/>
  <c r="A743" i="3" s="1"/>
  <c r="A743" i="4" s="1"/>
  <c r="T742" i="9"/>
  <c r="G745" i="2" s="1"/>
  <c r="T741" i="9"/>
  <c r="G744" i="2" s="1"/>
  <c r="C742" i="3" s="1"/>
  <c r="C742" i="4" s="1"/>
  <c r="O743" i="9"/>
  <c r="N744" i="9"/>
  <c r="K1062" i="9"/>
  <c r="L1061" i="9"/>
  <c r="M1061" i="9" s="1"/>
  <c r="P743" i="9" l="1"/>
  <c r="C743" i="3"/>
  <c r="C743" i="4" s="1"/>
  <c r="N745" i="9"/>
  <c r="O744" i="9"/>
  <c r="P744" i="9" s="1"/>
  <c r="K1063" i="9"/>
  <c r="L1062" i="9"/>
  <c r="M1062" i="9" s="1"/>
  <c r="R743" i="9" l="1"/>
  <c r="E746" i="2" s="1"/>
  <c r="A744" i="3" s="1"/>
  <c r="A744" i="4" s="1"/>
  <c r="S743" i="9"/>
  <c r="F746" i="2" s="1"/>
  <c r="B744" i="3" s="1"/>
  <c r="B744" i="4" s="1"/>
  <c r="T744" i="9"/>
  <c r="G747" i="2" s="1"/>
  <c r="S744" i="9"/>
  <c r="F747" i="2" s="1"/>
  <c r="B745" i="3" s="1"/>
  <c r="B745" i="4" s="1"/>
  <c r="R744" i="9"/>
  <c r="E747" i="2" s="1"/>
  <c r="A745" i="3" s="1"/>
  <c r="A745" i="4" s="1"/>
  <c r="T743" i="9"/>
  <c r="G746" i="2" s="1"/>
  <c r="C744" i="3" s="1"/>
  <c r="C744" i="4" s="1"/>
  <c r="O745" i="9"/>
  <c r="N746" i="9"/>
  <c r="K1064" i="9"/>
  <c r="L1063" i="9"/>
  <c r="M1063" i="9" s="1"/>
  <c r="P745" i="9" l="1"/>
  <c r="C745" i="3"/>
  <c r="C745" i="4" s="1"/>
  <c r="O746" i="9"/>
  <c r="P746" i="9" s="1"/>
  <c r="N747" i="9"/>
  <c r="K1065" i="9"/>
  <c r="L1064" i="9"/>
  <c r="M1064" i="9" s="1"/>
  <c r="R746" i="9" l="1"/>
  <c r="E749" i="2" s="1"/>
  <c r="A747" i="3" s="1"/>
  <c r="A747" i="4" s="1"/>
  <c r="S746" i="9"/>
  <c r="F749" i="2" s="1"/>
  <c r="B747" i="3" s="1"/>
  <c r="B747" i="4" s="1"/>
  <c r="T746" i="9"/>
  <c r="G749" i="2" s="1"/>
  <c r="S745" i="9"/>
  <c r="F748" i="2" s="1"/>
  <c r="B746" i="3" s="1"/>
  <c r="B746" i="4" s="1"/>
  <c r="R745" i="9"/>
  <c r="E748" i="2" s="1"/>
  <c r="A746" i="3" s="1"/>
  <c r="A746" i="4" s="1"/>
  <c r="T745" i="9"/>
  <c r="G748" i="2" s="1"/>
  <c r="C746" i="3" s="1"/>
  <c r="C746" i="4" s="1"/>
  <c r="N748" i="9"/>
  <c r="O747" i="9"/>
  <c r="K1066" i="9"/>
  <c r="L1065" i="9"/>
  <c r="M1065" i="9" s="1"/>
  <c r="P747" i="9" l="1"/>
  <c r="T747" i="9" s="1"/>
  <c r="G750" i="2" s="1"/>
  <c r="C747" i="3"/>
  <c r="C747" i="4" s="1"/>
  <c r="O748" i="9"/>
  <c r="P748" i="9" s="1"/>
  <c r="N749" i="9"/>
  <c r="K1067" i="9"/>
  <c r="L1066" i="9"/>
  <c r="M1066" i="9" s="1"/>
  <c r="R748" i="9" l="1"/>
  <c r="E751" i="2" s="1"/>
  <c r="A749" i="3" s="1"/>
  <c r="A749" i="4" s="1"/>
  <c r="S748" i="9"/>
  <c r="F751" i="2" s="1"/>
  <c r="B749" i="3" s="1"/>
  <c r="B749" i="4" s="1"/>
  <c r="T748" i="9"/>
  <c r="G751" i="2" s="1"/>
  <c r="S747" i="9"/>
  <c r="F750" i="2" s="1"/>
  <c r="B748" i="3" s="1"/>
  <c r="B748" i="4" s="1"/>
  <c r="R747" i="9"/>
  <c r="E750" i="2" s="1"/>
  <c r="A748" i="3" s="1"/>
  <c r="A748" i="4" s="1"/>
  <c r="C748" i="3"/>
  <c r="C748" i="4" s="1"/>
  <c r="O749" i="9"/>
  <c r="N750" i="9"/>
  <c r="K1068" i="9"/>
  <c r="L1067" i="9"/>
  <c r="M1067" i="9" s="1"/>
  <c r="P749" i="9" l="1"/>
  <c r="T749" i="9" s="1"/>
  <c r="G752" i="2" s="1"/>
  <c r="C749" i="3"/>
  <c r="C749" i="4" s="1"/>
  <c r="O750" i="9"/>
  <c r="P750" i="9" s="1"/>
  <c r="N751" i="9"/>
  <c r="K1069" i="9"/>
  <c r="L1068" i="9"/>
  <c r="M1068" i="9" s="1"/>
  <c r="T750" i="9" l="1"/>
  <c r="G753" i="2" s="1"/>
  <c r="R750" i="9"/>
  <c r="E753" i="2" s="1"/>
  <c r="A751" i="3" s="1"/>
  <c r="A751" i="4" s="1"/>
  <c r="S750" i="9"/>
  <c r="F753" i="2" s="1"/>
  <c r="B751" i="3" s="1"/>
  <c r="B751" i="4" s="1"/>
  <c r="R749" i="9"/>
  <c r="E752" i="2" s="1"/>
  <c r="A750" i="3" s="1"/>
  <c r="A750" i="4" s="1"/>
  <c r="S749" i="9"/>
  <c r="F752" i="2" s="1"/>
  <c r="B750" i="3" s="1"/>
  <c r="B750" i="4" s="1"/>
  <c r="C750" i="3"/>
  <c r="C750" i="4" s="1"/>
  <c r="N752" i="9"/>
  <c r="O751" i="9"/>
  <c r="K1070" i="9"/>
  <c r="L1069" i="9"/>
  <c r="M1069" i="9" s="1"/>
  <c r="P751" i="9" l="1"/>
  <c r="T751" i="9" s="1"/>
  <c r="G754" i="2" s="1"/>
  <c r="C751" i="3"/>
  <c r="C751" i="4" s="1"/>
  <c r="N753" i="9"/>
  <c r="O752" i="9"/>
  <c r="P752" i="9" s="1"/>
  <c r="K1071" i="9"/>
  <c r="L1070" i="9"/>
  <c r="M1070" i="9" s="1"/>
  <c r="T752" i="9" l="1"/>
  <c r="S751" i="9"/>
  <c r="F754" i="2" s="1"/>
  <c r="B752" i="3" s="1"/>
  <c r="B752" i="4" s="1"/>
  <c r="R751" i="9"/>
  <c r="E754" i="2" s="1"/>
  <c r="A752" i="3" s="1"/>
  <c r="A752" i="4" s="1"/>
  <c r="R752" i="9"/>
  <c r="E755" i="2" s="1"/>
  <c r="A753" i="3" s="1"/>
  <c r="A753" i="4" s="1"/>
  <c r="S752" i="9"/>
  <c r="F755" i="2" s="1"/>
  <c r="B753" i="3" s="1"/>
  <c r="B753" i="4" s="1"/>
  <c r="C752" i="3"/>
  <c r="C752" i="4" s="1"/>
  <c r="N754" i="9"/>
  <c r="O753" i="9"/>
  <c r="G755" i="2"/>
  <c r="K1072" i="9"/>
  <c r="L1071" i="9"/>
  <c r="M1071" i="9" s="1"/>
  <c r="P753" i="9" l="1"/>
  <c r="T753" i="9" s="1"/>
  <c r="G756" i="2" s="1"/>
  <c r="C753" i="3"/>
  <c r="C753" i="4" s="1"/>
  <c r="O754" i="9"/>
  <c r="P754" i="9" s="1"/>
  <c r="N755" i="9"/>
  <c r="K1073" i="9"/>
  <c r="L1072" i="9"/>
  <c r="M1072" i="9" s="1"/>
  <c r="T754" i="9" l="1"/>
  <c r="S754" i="9"/>
  <c r="F757" i="2" s="1"/>
  <c r="B755" i="3" s="1"/>
  <c r="B755" i="4" s="1"/>
  <c r="R754" i="9"/>
  <c r="E757" i="2" s="1"/>
  <c r="A755" i="3" s="1"/>
  <c r="A755" i="4" s="1"/>
  <c r="S753" i="9"/>
  <c r="F756" i="2" s="1"/>
  <c r="B754" i="3" s="1"/>
  <c r="B754" i="4" s="1"/>
  <c r="R753" i="9"/>
  <c r="E756" i="2" s="1"/>
  <c r="A754" i="3" s="1"/>
  <c r="A754" i="4" s="1"/>
  <c r="C754" i="3"/>
  <c r="C754" i="4" s="1"/>
  <c r="O755" i="9"/>
  <c r="N756" i="9"/>
  <c r="G757" i="2"/>
  <c r="K1074" i="9"/>
  <c r="L1073" i="9"/>
  <c r="M1073" i="9" s="1"/>
  <c r="P755" i="9" l="1"/>
  <c r="T755" i="9" s="1"/>
  <c r="G758" i="2" s="1"/>
  <c r="C755" i="3"/>
  <c r="C755" i="4" s="1"/>
  <c r="N757" i="9"/>
  <c r="O756" i="9"/>
  <c r="P756" i="9" s="1"/>
  <c r="K1075" i="9"/>
  <c r="L1074" i="9"/>
  <c r="M1074" i="9" s="1"/>
  <c r="R756" i="9" l="1"/>
  <c r="E759" i="2" s="1"/>
  <c r="A757" i="3" s="1"/>
  <c r="A757" i="4" s="1"/>
  <c r="S756" i="9"/>
  <c r="F759" i="2" s="1"/>
  <c r="B757" i="3" s="1"/>
  <c r="B757" i="4" s="1"/>
  <c r="S755" i="9"/>
  <c r="F758" i="2" s="1"/>
  <c r="B756" i="3" s="1"/>
  <c r="B756" i="4" s="1"/>
  <c r="R755" i="9"/>
  <c r="E758" i="2" s="1"/>
  <c r="A756" i="3" s="1"/>
  <c r="A756" i="4" s="1"/>
  <c r="T756" i="9"/>
  <c r="G759" i="2" s="1"/>
  <c r="C756" i="3"/>
  <c r="C756" i="4" s="1"/>
  <c r="N758" i="9"/>
  <c r="O757" i="9"/>
  <c r="K1076" i="9"/>
  <c r="L1075" i="9"/>
  <c r="M1075" i="9" s="1"/>
  <c r="P757" i="9" l="1"/>
  <c r="S757" i="9" s="1"/>
  <c r="F760" i="2" s="1"/>
  <c r="B758" i="3" s="1"/>
  <c r="B758" i="4" s="1"/>
  <c r="C757" i="3"/>
  <c r="C757" i="4" s="1"/>
  <c r="O758" i="9"/>
  <c r="P758" i="9" s="1"/>
  <c r="N759" i="9"/>
  <c r="K1077" i="9"/>
  <c r="L1076" i="9"/>
  <c r="M1076" i="9" s="1"/>
  <c r="R757" i="9" l="1"/>
  <c r="E760" i="2" s="1"/>
  <c r="A758" i="3" s="1"/>
  <c r="A758" i="4" s="1"/>
  <c r="T758" i="9"/>
  <c r="G761" i="2" s="1"/>
  <c r="T757" i="9"/>
  <c r="G760" i="2" s="1"/>
  <c r="C758" i="3" s="1"/>
  <c r="C758" i="4" s="1"/>
  <c r="S758" i="9"/>
  <c r="F761" i="2" s="1"/>
  <c r="B759" i="3" s="1"/>
  <c r="B759" i="4" s="1"/>
  <c r="R758" i="9"/>
  <c r="E761" i="2" s="1"/>
  <c r="A759" i="3" s="1"/>
  <c r="A759" i="4" s="1"/>
  <c r="N760" i="9"/>
  <c r="O759" i="9"/>
  <c r="K1078" i="9"/>
  <c r="L1077" i="9"/>
  <c r="M1077" i="9" s="1"/>
  <c r="P759" i="9" l="1"/>
  <c r="T759" i="9" s="1"/>
  <c r="G762" i="2" s="1"/>
  <c r="C759" i="3"/>
  <c r="C759" i="4" s="1"/>
  <c r="O760" i="9"/>
  <c r="P760" i="9" s="1"/>
  <c r="N761" i="9"/>
  <c r="K1079" i="9"/>
  <c r="L1078" i="9"/>
  <c r="M1078" i="9" s="1"/>
  <c r="S760" i="9" l="1"/>
  <c r="F763" i="2" s="1"/>
  <c r="B761" i="3" s="1"/>
  <c r="B761" i="4" s="1"/>
  <c r="R760" i="9"/>
  <c r="E763" i="2" s="1"/>
  <c r="A761" i="3" s="1"/>
  <c r="A761" i="4" s="1"/>
  <c r="R759" i="9"/>
  <c r="E762" i="2" s="1"/>
  <c r="A760" i="3" s="1"/>
  <c r="A760" i="4" s="1"/>
  <c r="S759" i="9"/>
  <c r="F762" i="2" s="1"/>
  <c r="B760" i="3" s="1"/>
  <c r="B760" i="4" s="1"/>
  <c r="T760" i="9"/>
  <c r="G763" i="2" s="1"/>
  <c r="C760" i="3"/>
  <c r="C760" i="4" s="1"/>
  <c r="N762" i="9"/>
  <c r="O761" i="9"/>
  <c r="K1080" i="9"/>
  <c r="L1079" i="9"/>
  <c r="M1079" i="9" s="1"/>
  <c r="P761" i="9" l="1"/>
  <c r="C761" i="3"/>
  <c r="C761" i="4" s="1"/>
  <c r="O762" i="9"/>
  <c r="P762" i="9" s="1"/>
  <c r="N763" i="9"/>
  <c r="K1081" i="9"/>
  <c r="L1080" i="9"/>
  <c r="M1080" i="9" s="1"/>
  <c r="R762" i="9" l="1"/>
  <c r="E765" i="2" s="1"/>
  <c r="A763" i="3" s="1"/>
  <c r="A763" i="4" s="1"/>
  <c r="S762" i="9"/>
  <c r="F765" i="2" s="1"/>
  <c r="B763" i="3" s="1"/>
  <c r="B763" i="4" s="1"/>
  <c r="T762" i="9"/>
  <c r="G765" i="2" s="1"/>
  <c r="R761" i="9"/>
  <c r="E764" i="2" s="1"/>
  <c r="A762" i="3" s="1"/>
  <c r="A762" i="4" s="1"/>
  <c r="S761" i="9"/>
  <c r="F764" i="2" s="1"/>
  <c r="B762" i="3" s="1"/>
  <c r="B762" i="4" s="1"/>
  <c r="T761" i="9"/>
  <c r="G764" i="2" s="1"/>
  <c r="C762" i="3" s="1"/>
  <c r="C762" i="4" s="1"/>
  <c r="N764" i="9"/>
  <c r="O763" i="9"/>
  <c r="K1082" i="9"/>
  <c r="L1081" i="9"/>
  <c r="M1081" i="9" s="1"/>
  <c r="P763" i="9" l="1"/>
  <c r="T763" i="9" s="1"/>
  <c r="G766" i="2" s="1"/>
  <c r="C763" i="3"/>
  <c r="C763" i="4" s="1"/>
  <c r="N765" i="9"/>
  <c r="O764" i="9"/>
  <c r="P764" i="9" s="1"/>
  <c r="K1083" i="9"/>
  <c r="L1082" i="9"/>
  <c r="M1082" i="9" s="1"/>
  <c r="T764" i="9" l="1"/>
  <c r="G767" i="2" s="1"/>
  <c r="R763" i="9"/>
  <c r="E766" i="2" s="1"/>
  <c r="A764" i="3" s="1"/>
  <c r="A764" i="4" s="1"/>
  <c r="S763" i="9"/>
  <c r="F766" i="2" s="1"/>
  <c r="B764" i="3" s="1"/>
  <c r="B764" i="4" s="1"/>
  <c r="R764" i="9"/>
  <c r="E767" i="2" s="1"/>
  <c r="A765" i="3" s="1"/>
  <c r="A765" i="4" s="1"/>
  <c r="S764" i="9"/>
  <c r="F767" i="2" s="1"/>
  <c r="B765" i="3" s="1"/>
  <c r="B765" i="4" s="1"/>
  <c r="C764" i="3"/>
  <c r="C764" i="4" s="1"/>
  <c r="O765" i="9"/>
  <c r="N766" i="9"/>
  <c r="K1084" i="9"/>
  <c r="L1083" i="9"/>
  <c r="M1083" i="9" s="1"/>
  <c r="P765" i="9" l="1"/>
  <c r="C765" i="3"/>
  <c r="C765" i="4" s="1"/>
  <c r="O766" i="9"/>
  <c r="P766" i="9" s="1"/>
  <c r="N767" i="9"/>
  <c r="K1085" i="9"/>
  <c r="L1084" i="9"/>
  <c r="M1084" i="9" s="1"/>
  <c r="R766" i="9" l="1"/>
  <c r="E769" i="2" s="1"/>
  <c r="A767" i="3" s="1"/>
  <c r="A767" i="4" s="1"/>
  <c r="S766" i="9"/>
  <c r="F769" i="2" s="1"/>
  <c r="B767" i="3" s="1"/>
  <c r="B767" i="4" s="1"/>
  <c r="S765" i="9"/>
  <c r="F768" i="2" s="1"/>
  <c r="B766" i="3" s="1"/>
  <c r="B766" i="4" s="1"/>
  <c r="R765" i="9"/>
  <c r="E768" i="2" s="1"/>
  <c r="A766" i="3" s="1"/>
  <c r="A766" i="4" s="1"/>
  <c r="T766" i="9"/>
  <c r="G769" i="2" s="1"/>
  <c r="T765" i="9"/>
  <c r="G768" i="2" s="1"/>
  <c r="C766" i="3" s="1"/>
  <c r="C766" i="4" s="1"/>
  <c r="N768" i="9"/>
  <c r="O767" i="9"/>
  <c r="K1086" i="9"/>
  <c r="L1085" i="9"/>
  <c r="M1085" i="9" s="1"/>
  <c r="P767" i="9" l="1"/>
  <c r="S767" i="9" s="1"/>
  <c r="F770" i="2" s="1"/>
  <c r="B768" i="3" s="1"/>
  <c r="B768" i="4" s="1"/>
  <c r="C767" i="3"/>
  <c r="C767" i="4" s="1"/>
  <c r="N769" i="9"/>
  <c r="O768" i="9"/>
  <c r="P768" i="9" s="1"/>
  <c r="K1087" i="9"/>
  <c r="L1086" i="9"/>
  <c r="M1086" i="9" s="1"/>
  <c r="R767" i="9" l="1"/>
  <c r="E770" i="2" s="1"/>
  <c r="A768" i="3" s="1"/>
  <c r="A768" i="4" s="1"/>
  <c r="T767" i="9"/>
  <c r="G770" i="2" s="1"/>
  <c r="C768" i="3" s="1"/>
  <c r="C768" i="4" s="1"/>
  <c r="T768" i="9"/>
  <c r="G771" i="2" s="1"/>
  <c r="S768" i="9"/>
  <c r="F771" i="2" s="1"/>
  <c r="B769" i="3" s="1"/>
  <c r="B769" i="4" s="1"/>
  <c r="R768" i="9"/>
  <c r="E771" i="2" s="1"/>
  <c r="A769" i="3" s="1"/>
  <c r="A769" i="4" s="1"/>
  <c r="N770" i="9"/>
  <c r="O769" i="9"/>
  <c r="K1088" i="9"/>
  <c r="L1087" i="9"/>
  <c r="M1087" i="9" s="1"/>
  <c r="P769" i="9" l="1"/>
  <c r="T769" i="9" s="1"/>
  <c r="G772" i="2" s="1"/>
  <c r="C769" i="3"/>
  <c r="C769" i="4" s="1"/>
  <c r="N771" i="9"/>
  <c r="O770" i="9"/>
  <c r="P770" i="9" s="1"/>
  <c r="K1089" i="9"/>
  <c r="L1088" i="9"/>
  <c r="M1088" i="9" s="1"/>
  <c r="S769" i="9" l="1"/>
  <c r="F772" i="2" s="1"/>
  <c r="B770" i="3" s="1"/>
  <c r="B770" i="4" s="1"/>
  <c r="R769" i="9"/>
  <c r="E772" i="2" s="1"/>
  <c r="A770" i="3" s="1"/>
  <c r="A770" i="4" s="1"/>
  <c r="T770" i="9"/>
  <c r="G773" i="2" s="1"/>
  <c r="R770" i="9"/>
  <c r="E773" i="2" s="1"/>
  <c r="A771" i="3" s="1"/>
  <c r="A771" i="4" s="1"/>
  <c r="S770" i="9"/>
  <c r="F773" i="2" s="1"/>
  <c r="B771" i="3" s="1"/>
  <c r="B771" i="4" s="1"/>
  <c r="C770" i="3"/>
  <c r="C770" i="4" s="1"/>
  <c r="O771" i="9"/>
  <c r="N772" i="9"/>
  <c r="K1090" i="9"/>
  <c r="L1089" i="9"/>
  <c r="M1089" i="9" s="1"/>
  <c r="P771" i="9" l="1"/>
  <c r="C771" i="3"/>
  <c r="C771" i="4" s="1"/>
  <c r="N773" i="9"/>
  <c r="O772" i="9"/>
  <c r="P772" i="9" s="1"/>
  <c r="K1091" i="9"/>
  <c r="L1090" i="9"/>
  <c r="M1090" i="9" s="1"/>
  <c r="T772" i="9" l="1"/>
  <c r="G775" i="2" s="1"/>
  <c r="R771" i="9"/>
  <c r="E774" i="2" s="1"/>
  <c r="A772" i="3" s="1"/>
  <c r="A772" i="4" s="1"/>
  <c r="S771" i="9"/>
  <c r="F774" i="2" s="1"/>
  <c r="B772" i="3" s="1"/>
  <c r="B772" i="4" s="1"/>
  <c r="R772" i="9"/>
  <c r="E775" i="2" s="1"/>
  <c r="A773" i="3" s="1"/>
  <c r="A773" i="4" s="1"/>
  <c r="S772" i="9"/>
  <c r="F775" i="2" s="1"/>
  <c r="B773" i="3" s="1"/>
  <c r="B773" i="4" s="1"/>
  <c r="T771" i="9"/>
  <c r="G774" i="2" s="1"/>
  <c r="C772" i="3" s="1"/>
  <c r="C772" i="4" s="1"/>
  <c r="O773" i="9"/>
  <c r="N774" i="9"/>
  <c r="K1092" i="9"/>
  <c r="L1091" i="9"/>
  <c r="M1091" i="9" s="1"/>
  <c r="P773" i="9" l="1"/>
  <c r="T773" i="9" s="1"/>
  <c r="G776" i="2" s="1"/>
  <c r="C773" i="3"/>
  <c r="C773" i="4" s="1"/>
  <c r="O774" i="9"/>
  <c r="P774" i="9" s="1"/>
  <c r="N775" i="9"/>
  <c r="K1093" i="9"/>
  <c r="L1092" i="9"/>
  <c r="M1092" i="9" s="1"/>
  <c r="S774" i="9" l="1"/>
  <c r="F777" i="2" s="1"/>
  <c r="B775" i="3" s="1"/>
  <c r="B775" i="4" s="1"/>
  <c r="R774" i="9"/>
  <c r="E777" i="2" s="1"/>
  <c r="A775" i="3" s="1"/>
  <c r="A775" i="4" s="1"/>
  <c r="T774" i="9"/>
  <c r="S773" i="9"/>
  <c r="F776" i="2" s="1"/>
  <c r="B774" i="3" s="1"/>
  <c r="B774" i="4" s="1"/>
  <c r="R773" i="9"/>
  <c r="E776" i="2" s="1"/>
  <c r="A774" i="3" s="1"/>
  <c r="A774" i="4" s="1"/>
  <c r="C774" i="3"/>
  <c r="C774" i="4" s="1"/>
  <c r="G777" i="2"/>
  <c r="N776" i="9"/>
  <c r="O775" i="9"/>
  <c r="K1094" i="9"/>
  <c r="L1093" i="9"/>
  <c r="M1093" i="9" s="1"/>
  <c r="P775" i="9" l="1"/>
  <c r="C775" i="3"/>
  <c r="C775" i="4" s="1"/>
  <c r="N777" i="9"/>
  <c r="O776" i="9"/>
  <c r="P776" i="9" s="1"/>
  <c r="K1095" i="9"/>
  <c r="L1094" i="9"/>
  <c r="M1094" i="9" s="1"/>
  <c r="T776" i="9" l="1"/>
  <c r="G779" i="2" s="1"/>
  <c r="S776" i="9"/>
  <c r="F779" i="2" s="1"/>
  <c r="B777" i="3" s="1"/>
  <c r="B777" i="4" s="1"/>
  <c r="R776" i="9"/>
  <c r="E779" i="2" s="1"/>
  <c r="A777" i="3" s="1"/>
  <c r="A777" i="4" s="1"/>
  <c r="R775" i="9"/>
  <c r="E778" i="2" s="1"/>
  <c r="A776" i="3" s="1"/>
  <c r="A776" i="4" s="1"/>
  <c r="S775" i="9"/>
  <c r="F778" i="2" s="1"/>
  <c r="B776" i="3" s="1"/>
  <c r="B776" i="4" s="1"/>
  <c r="T775" i="9"/>
  <c r="G778" i="2" s="1"/>
  <c r="C776" i="3" s="1"/>
  <c r="C776" i="4" s="1"/>
  <c r="N778" i="9"/>
  <c r="O777" i="9"/>
  <c r="K1096" i="9"/>
  <c r="L1095" i="9"/>
  <c r="M1095" i="9" s="1"/>
  <c r="P777" i="9" l="1"/>
  <c r="C777" i="3"/>
  <c r="C777" i="4" s="1"/>
  <c r="O778" i="9"/>
  <c r="P778" i="9" s="1"/>
  <c r="N779" i="9"/>
  <c r="K1097" i="9"/>
  <c r="L1096" i="9"/>
  <c r="M1096" i="9" s="1"/>
  <c r="S778" i="9" l="1"/>
  <c r="F781" i="2" s="1"/>
  <c r="B779" i="3" s="1"/>
  <c r="B779" i="4" s="1"/>
  <c r="R778" i="9"/>
  <c r="E781" i="2" s="1"/>
  <c r="A779" i="3" s="1"/>
  <c r="A779" i="4" s="1"/>
  <c r="T778" i="9"/>
  <c r="G781" i="2" s="1"/>
  <c r="S777" i="9"/>
  <c r="F780" i="2" s="1"/>
  <c r="B778" i="3" s="1"/>
  <c r="B778" i="4" s="1"/>
  <c r="R777" i="9"/>
  <c r="E780" i="2" s="1"/>
  <c r="A778" i="3" s="1"/>
  <c r="A778" i="4" s="1"/>
  <c r="T777" i="9"/>
  <c r="G780" i="2" s="1"/>
  <c r="C778" i="3" s="1"/>
  <c r="C778" i="4" s="1"/>
  <c r="O779" i="9"/>
  <c r="N780" i="9"/>
  <c r="K1098" i="9"/>
  <c r="L1097" i="9"/>
  <c r="M1097" i="9" s="1"/>
  <c r="P779" i="9" l="1"/>
  <c r="S779" i="9" s="1"/>
  <c r="F782" i="2" s="1"/>
  <c r="B780" i="3" s="1"/>
  <c r="B780" i="4" s="1"/>
  <c r="C779" i="3"/>
  <c r="C779" i="4" s="1"/>
  <c r="N781" i="9"/>
  <c r="O780" i="9"/>
  <c r="P780" i="9" s="1"/>
  <c r="K1099" i="9"/>
  <c r="L1098" i="9"/>
  <c r="M1098" i="9" s="1"/>
  <c r="T779" i="9" l="1"/>
  <c r="G782" i="2" s="1"/>
  <c r="R779" i="9"/>
  <c r="E782" i="2" s="1"/>
  <c r="A780" i="3" s="1"/>
  <c r="A780" i="4" s="1"/>
  <c r="S780" i="9"/>
  <c r="F783" i="2" s="1"/>
  <c r="B781" i="3" s="1"/>
  <c r="B781" i="4" s="1"/>
  <c r="R780" i="9"/>
  <c r="E783" i="2" s="1"/>
  <c r="A781" i="3" s="1"/>
  <c r="A781" i="4" s="1"/>
  <c r="T780" i="9"/>
  <c r="G783" i="2" s="1"/>
  <c r="C780" i="3"/>
  <c r="C780" i="4" s="1"/>
  <c r="N782" i="9"/>
  <c r="O781" i="9"/>
  <c r="K1100" i="9"/>
  <c r="L1099" i="9"/>
  <c r="M1099" i="9" s="1"/>
  <c r="P781" i="9" l="1"/>
  <c r="T781" i="9" s="1"/>
  <c r="G784" i="2" s="1"/>
  <c r="C781" i="3"/>
  <c r="C781" i="4" s="1"/>
  <c r="N783" i="9"/>
  <c r="O782" i="9"/>
  <c r="P782" i="9" s="1"/>
  <c r="K1101" i="9"/>
  <c r="L1100" i="9"/>
  <c r="M1100" i="9" s="1"/>
  <c r="T782" i="9" l="1"/>
  <c r="R781" i="9"/>
  <c r="E784" i="2" s="1"/>
  <c r="A782" i="3" s="1"/>
  <c r="A782" i="4" s="1"/>
  <c r="S781" i="9"/>
  <c r="F784" i="2" s="1"/>
  <c r="B782" i="3" s="1"/>
  <c r="B782" i="4" s="1"/>
  <c r="S782" i="9"/>
  <c r="F785" i="2" s="1"/>
  <c r="B783" i="3" s="1"/>
  <c r="B783" i="4" s="1"/>
  <c r="R782" i="9"/>
  <c r="E785" i="2" s="1"/>
  <c r="A783" i="3" s="1"/>
  <c r="A783" i="4" s="1"/>
  <c r="C782" i="3"/>
  <c r="C782" i="4" s="1"/>
  <c r="O783" i="9"/>
  <c r="G785" i="2"/>
  <c r="N784" i="9"/>
  <c r="K1102" i="9"/>
  <c r="L1101" i="9"/>
  <c r="M1101" i="9" s="1"/>
  <c r="P783" i="9" l="1"/>
  <c r="T783" i="9" s="1"/>
  <c r="G786" i="2" s="1"/>
  <c r="C783" i="3"/>
  <c r="C783" i="4" s="1"/>
  <c r="O784" i="9"/>
  <c r="P784" i="9" s="1"/>
  <c r="N785" i="9"/>
  <c r="K1103" i="9"/>
  <c r="L1102" i="9"/>
  <c r="M1102" i="9" s="1"/>
  <c r="T784" i="9" l="1"/>
  <c r="G787" i="2" s="1"/>
  <c r="S784" i="9"/>
  <c r="F787" i="2" s="1"/>
  <c r="B785" i="3" s="1"/>
  <c r="B785" i="4" s="1"/>
  <c r="R784" i="9"/>
  <c r="E787" i="2" s="1"/>
  <c r="A785" i="3" s="1"/>
  <c r="A785" i="4" s="1"/>
  <c r="R783" i="9"/>
  <c r="E786" i="2" s="1"/>
  <c r="A784" i="3" s="1"/>
  <c r="A784" i="4" s="1"/>
  <c r="S783" i="9"/>
  <c r="F786" i="2" s="1"/>
  <c r="B784" i="3" s="1"/>
  <c r="B784" i="4" s="1"/>
  <c r="C784" i="3"/>
  <c r="C784" i="4" s="1"/>
  <c r="N786" i="9"/>
  <c r="O785" i="9"/>
  <c r="K1104" i="9"/>
  <c r="L1103" i="9"/>
  <c r="M1103" i="9" s="1"/>
  <c r="P785" i="9" l="1"/>
  <c r="C785" i="3"/>
  <c r="C785" i="4" s="1"/>
  <c r="N787" i="9"/>
  <c r="O786" i="9"/>
  <c r="P786" i="9" s="1"/>
  <c r="K1105" i="9"/>
  <c r="L1104" i="9"/>
  <c r="M1104" i="9" s="1"/>
  <c r="R786" i="9" l="1"/>
  <c r="E789" i="2" s="1"/>
  <c r="A787" i="3" s="1"/>
  <c r="A787" i="4" s="1"/>
  <c r="S786" i="9"/>
  <c r="F789" i="2" s="1"/>
  <c r="B787" i="3" s="1"/>
  <c r="B787" i="4" s="1"/>
  <c r="R785" i="9"/>
  <c r="E788" i="2" s="1"/>
  <c r="A786" i="3" s="1"/>
  <c r="A786" i="4" s="1"/>
  <c r="S785" i="9"/>
  <c r="F788" i="2" s="1"/>
  <c r="B786" i="3" s="1"/>
  <c r="B786" i="4" s="1"/>
  <c r="T786" i="9"/>
  <c r="G789" i="2" s="1"/>
  <c r="T785" i="9"/>
  <c r="G788" i="2" s="1"/>
  <c r="C786" i="3" s="1"/>
  <c r="C786" i="4" s="1"/>
  <c r="N788" i="9"/>
  <c r="O787" i="9"/>
  <c r="K1106" i="9"/>
  <c r="L1105" i="9"/>
  <c r="M1105" i="9" s="1"/>
  <c r="P787" i="9" l="1"/>
  <c r="T787" i="9" s="1"/>
  <c r="G790" i="2" s="1"/>
  <c r="C787" i="3"/>
  <c r="C787" i="4" s="1"/>
  <c r="N789" i="9"/>
  <c r="O788" i="9"/>
  <c r="P788" i="9" s="1"/>
  <c r="K1107" i="9"/>
  <c r="L1106" i="9"/>
  <c r="M1106" i="9" s="1"/>
  <c r="T788" i="9" l="1"/>
  <c r="G791" i="2" s="1"/>
  <c r="S787" i="9"/>
  <c r="F790" i="2" s="1"/>
  <c r="B788" i="3" s="1"/>
  <c r="B788" i="4" s="1"/>
  <c r="R787" i="9"/>
  <c r="E790" i="2" s="1"/>
  <c r="A788" i="3" s="1"/>
  <c r="A788" i="4" s="1"/>
  <c r="S788" i="9"/>
  <c r="F791" i="2" s="1"/>
  <c r="B789" i="3" s="1"/>
  <c r="B789" i="4" s="1"/>
  <c r="R788" i="9"/>
  <c r="E791" i="2" s="1"/>
  <c r="A789" i="3" s="1"/>
  <c r="A789" i="4" s="1"/>
  <c r="C788" i="3"/>
  <c r="C788" i="4" s="1"/>
  <c r="N790" i="9"/>
  <c r="O789" i="9"/>
  <c r="K1108" i="9"/>
  <c r="L1107" i="9"/>
  <c r="M1107" i="9" s="1"/>
  <c r="P789" i="9" l="1"/>
  <c r="C789" i="3"/>
  <c r="C789" i="4" s="1"/>
  <c r="N791" i="9"/>
  <c r="O790" i="9"/>
  <c r="P790" i="9" s="1"/>
  <c r="K1109" i="9"/>
  <c r="L1108" i="9"/>
  <c r="M1108" i="9" s="1"/>
  <c r="T790" i="9" l="1"/>
  <c r="S790" i="9"/>
  <c r="F793" i="2" s="1"/>
  <c r="B791" i="3" s="1"/>
  <c r="B791" i="4" s="1"/>
  <c r="R790" i="9"/>
  <c r="E793" i="2" s="1"/>
  <c r="A791" i="3" s="1"/>
  <c r="A791" i="4" s="1"/>
  <c r="R789" i="9"/>
  <c r="E792" i="2" s="1"/>
  <c r="A790" i="3" s="1"/>
  <c r="A790" i="4" s="1"/>
  <c r="S789" i="9"/>
  <c r="F792" i="2" s="1"/>
  <c r="B790" i="3" s="1"/>
  <c r="B790" i="4" s="1"/>
  <c r="T789" i="9"/>
  <c r="G792" i="2" s="1"/>
  <c r="C790" i="3" s="1"/>
  <c r="C790" i="4" s="1"/>
  <c r="N792" i="9"/>
  <c r="O791" i="9"/>
  <c r="G793" i="2"/>
  <c r="K1110" i="9"/>
  <c r="L1109" i="9"/>
  <c r="M1109" i="9" s="1"/>
  <c r="P791" i="9" l="1"/>
  <c r="T791" i="9" s="1"/>
  <c r="G794" i="2" s="1"/>
  <c r="C791" i="3"/>
  <c r="C791" i="4" s="1"/>
  <c r="N793" i="9"/>
  <c r="O792" i="9"/>
  <c r="P792" i="9" s="1"/>
  <c r="L1110" i="9"/>
  <c r="M1110" i="9" s="1"/>
  <c r="K1111" i="9"/>
  <c r="T792" i="9" l="1"/>
  <c r="R791" i="9"/>
  <c r="E794" i="2" s="1"/>
  <c r="A792" i="3" s="1"/>
  <c r="A792" i="4" s="1"/>
  <c r="S791" i="9"/>
  <c r="F794" i="2" s="1"/>
  <c r="B792" i="3" s="1"/>
  <c r="B792" i="4" s="1"/>
  <c r="S792" i="9"/>
  <c r="F795" i="2" s="1"/>
  <c r="B793" i="3" s="1"/>
  <c r="B793" i="4" s="1"/>
  <c r="R792" i="9"/>
  <c r="E795" i="2" s="1"/>
  <c r="A793" i="3" s="1"/>
  <c r="A793" i="4" s="1"/>
  <c r="C792" i="3"/>
  <c r="C792" i="4" s="1"/>
  <c r="N794" i="9"/>
  <c r="O793" i="9"/>
  <c r="G795" i="2"/>
  <c r="L1111" i="9"/>
  <c r="M1111" i="9" s="1"/>
  <c r="K1112" i="9"/>
  <c r="P793" i="9" l="1"/>
  <c r="C793" i="3"/>
  <c r="C793" i="4" s="1"/>
  <c r="N795" i="9"/>
  <c r="O794" i="9"/>
  <c r="P794" i="9" s="1"/>
  <c r="L1112" i="9"/>
  <c r="M1112" i="9" s="1"/>
  <c r="K1113" i="9"/>
  <c r="T794" i="9" l="1"/>
  <c r="G797" i="2" s="1"/>
  <c r="S793" i="9"/>
  <c r="F796" i="2" s="1"/>
  <c r="B794" i="3" s="1"/>
  <c r="B794" i="4" s="1"/>
  <c r="R793" i="9"/>
  <c r="E796" i="2" s="1"/>
  <c r="A794" i="3" s="1"/>
  <c r="A794" i="4" s="1"/>
  <c r="S794" i="9"/>
  <c r="F797" i="2" s="1"/>
  <c r="B795" i="3" s="1"/>
  <c r="B795" i="4" s="1"/>
  <c r="R794" i="9"/>
  <c r="E797" i="2" s="1"/>
  <c r="A795" i="3" s="1"/>
  <c r="A795" i="4" s="1"/>
  <c r="T793" i="9"/>
  <c r="G796" i="2" s="1"/>
  <c r="C794" i="3" s="1"/>
  <c r="C794" i="4" s="1"/>
  <c r="O795" i="9"/>
  <c r="N796" i="9"/>
  <c r="L1113" i="9"/>
  <c r="M1113" i="9" s="1"/>
  <c r="K1114" i="9"/>
  <c r="P795" i="9" l="1"/>
  <c r="S795" i="9" s="1"/>
  <c r="F798" i="2" s="1"/>
  <c r="B796" i="3" s="1"/>
  <c r="B796" i="4" s="1"/>
  <c r="C795" i="3"/>
  <c r="C795" i="4" s="1"/>
  <c r="O796" i="9"/>
  <c r="P796" i="9" s="1"/>
  <c r="N797" i="9"/>
  <c r="L1114" i="9"/>
  <c r="M1114" i="9" s="1"/>
  <c r="K1115" i="9"/>
  <c r="T796" i="9" l="1"/>
  <c r="G799" i="2" s="1"/>
  <c r="T795" i="9"/>
  <c r="G798" i="2" s="1"/>
  <c r="C796" i="3" s="1"/>
  <c r="C796" i="4" s="1"/>
  <c r="S796" i="9"/>
  <c r="F799" i="2" s="1"/>
  <c r="B797" i="3" s="1"/>
  <c r="B797" i="4" s="1"/>
  <c r="R796" i="9"/>
  <c r="E799" i="2" s="1"/>
  <c r="A797" i="3" s="1"/>
  <c r="A797" i="4" s="1"/>
  <c r="R795" i="9"/>
  <c r="E798" i="2" s="1"/>
  <c r="A796" i="3" s="1"/>
  <c r="A796" i="4" s="1"/>
  <c r="O797" i="9"/>
  <c r="N798" i="9"/>
  <c r="L1115" i="9"/>
  <c r="M1115" i="9" s="1"/>
  <c r="K1116" i="9"/>
  <c r="P797" i="9" l="1"/>
  <c r="C797" i="3"/>
  <c r="C797" i="4" s="1"/>
  <c r="N799" i="9"/>
  <c r="O798" i="9"/>
  <c r="P798" i="9" s="1"/>
  <c r="L1116" i="9"/>
  <c r="M1116" i="9" s="1"/>
  <c r="K1117" i="9"/>
  <c r="T798" i="9" l="1"/>
  <c r="R798" i="9"/>
  <c r="E801" i="2" s="1"/>
  <c r="A799" i="3" s="1"/>
  <c r="A799" i="4" s="1"/>
  <c r="S798" i="9"/>
  <c r="F801" i="2" s="1"/>
  <c r="B799" i="3" s="1"/>
  <c r="B799" i="4" s="1"/>
  <c r="S797" i="9"/>
  <c r="F800" i="2" s="1"/>
  <c r="B798" i="3" s="1"/>
  <c r="B798" i="4" s="1"/>
  <c r="R797" i="9"/>
  <c r="E800" i="2" s="1"/>
  <c r="A798" i="3" s="1"/>
  <c r="A798" i="4" s="1"/>
  <c r="T797" i="9"/>
  <c r="G800" i="2" s="1"/>
  <c r="C798" i="3" s="1"/>
  <c r="C798" i="4" s="1"/>
  <c r="N800" i="9"/>
  <c r="O799" i="9"/>
  <c r="G801" i="2"/>
  <c r="L1117" i="9"/>
  <c r="M1117" i="9" s="1"/>
  <c r="K1118" i="9"/>
  <c r="P799" i="9" l="1"/>
  <c r="C799" i="3"/>
  <c r="C799" i="4" s="1"/>
  <c r="O800" i="9"/>
  <c r="P800" i="9" s="1"/>
  <c r="N801" i="9"/>
  <c r="L1118" i="9"/>
  <c r="M1118" i="9" s="1"/>
  <c r="K1119" i="9"/>
  <c r="R799" i="9" l="1"/>
  <c r="E802" i="2" s="1"/>
  <c r="A800" i="3" s="1"/>
  <c r="A800" i="4" s="1"/>
  <c r="S799" i="9"/>
  <c r="F802" i="2" s="1"/>
  <c r="B800" i="3" s="1"/>
  <c r="B800" i="4" s="1"/>
  <c r="S800" i="9"/>
  <c r="F803" i="2" s="1"/>
  <c r="B801" i="3" s="1"/>
  <c r="B801" i="4" s="1"/>
  <c r="R800" i="9"/>
  <c r="E803" i="2" s="1"/>
  <c r="A801" i="3" s="1"/>
  <c r="A801" i="4" s="1"/>
  <c r="T799" i="9"/>
  <c r="G802" i="2" s="1"/>
  <c r="C800" i="3" s="1"/>
  <c r="C800" i="4" s="1"/>
  <c r="T800" i="9"/>
  <c r="G803" i="2" s="1"/>
  <c r="N802" i="9"/>
  <c r="O801" i="9"/>
  <c r="L1119" i="9"/>
  <c r="M1119" i="9" s="1"/>
  <c r="K1120" i="9"/>
  <c r="P801" i="9" l="1"/>
  <c r="C801" i="3"/>
  <c r="C801" i="4" s="1"/>
  <c r="N803" i="9"/>
  <c r="O802" i="9"/>
  <c r="P802" i="9" s="1"/>
  <c r="L1120" i="9"/>
  <c r="M1120" i="9" s="1"/>
  <c r="K1121" i="9"/>
  <c r="R801" i="9" l="1"/>
  <c r="E804" i="2" s="1"/>
  <c r="A802" i="3" s="1"/>
  <c r="A802" i="4" s="1"/>
  <c r="S801" i="9"/>
  <c r="F804" i="2" s="1"/>
  <c r="B802" i="3" s="1"/>
  <c r="B802" i="4" s="1"/>
  <c r="T802" i="9"/>
  <c r="G805" i="2" s="1"/>
  <c r="R802" i="9"/>
  <c r="E805" i="2" s="1"/>
  <c r="A803" i="3" s="1"/>
  <c r="A803" i="4" s="1"/>
  <c r="S802" i="9"/>
  <c r="F805" i="2" s="1"/>
  <c r="B803" i="3" s="1"/>
  <c r="B803" i="4" s="1"/>
  <c r="T801" i="9"/>
  <c r="G804" i="2" s="1"/>
  <c r="C802" i="3" s="1"/>
  <c r="C802" i="4" s="1"/>
  <c r="N804" i="9"/>
  <c r="O803" i="9"/>
  <c r="L1121" i="9"/>
  <c r="M1121" i="9" s="1"/>
  <c r="K1122" i="9"/>
  <c r="P803" i="9" l="1"/>
  <c r="C803" i="3"/>
  <c r="C803" i="4" s="1"/>
  <c r="N805" i="9"/>
  <c r="O804" i="9"/>
  <c r="P804" i="9" s="1"/>
  <c r="L1122" i="9"/>
  <c r="M1122" i="9" s="1"/>
  <c r="K1123" i="9"/>
  <c r="R804" i="9" l="1"/>
  <c r="E807" i="2" s="1"/>
  <c r="A805" i="3" s="1"/>
  <c r="A805" i="4" s="1"/>
  <c r="S804" i="9"/>
  <c r="F807" i="2" s="1"/>
  <c r="B805" i="3" s="1"/>
  <c r="B805" i="4" s="1"/>
  <c r="T804" i="9"/>
  <c r="G807" i="2" s="1"/>
  <c r="R803" i="9"/>
  <c r="E806" i="2" s="1"/>
  <c r="A804" i="3" s="1"/>
  <c r="A804" i="4" s="1"/>
  <c r="S803" i="9"/>
  <c r="F806" i="2" s="1"/>
  <c r="B804" i="3" s="1"/>
  <c r="B804" i="4" s="1"/>
  <c r="T803" i="9"/>
  <c r="G806" i="2" s="1"/>
  <c r="C804" i="3" s="1"/>
  <c r="C804" i="4" s="1"/>
  <c r="N806" i="9"/>
  <c r="O805" i="9"/>
  <c r="L1123" i="9"/>
  <c r="M1123" i="9" s="1"/>
  <c r="K1124" i="9"/>
  <c r="P805" i="9" l="1"/>
  <c r="T805" i="9" s="1"/>
  <c r="G808" i="2" s="1"/>
  <c r="C805" i="3"/>
  <c r="C805" i="4" s="1"/>
  <c r="O806" i="9"/>
  <c r="P806" i="9" s="1"/>
  <c r="N807" i="9"/>
  <c r="L1124" i="9"/>
  <c r="M1124" i="9" s="1"/>
  <c r="K1125" i="9"/>
  <c r="S806" i="9" l="1"/>
  <c r="F809" i="2" s="1"/>
  <c r="B807" i="3" s="1"/>
  <c r="B807" i="4" s="1"/>
  <c r="R806" i="9"/>
  <c r="E809" i="2" s="1"/>
  <c r="A807" i="3" s="1"/>
  <c r="A807" i="4" s="1"/>
  <c r="T806" i="9"/>
  <c r="G809" i="2" s="1"/>
  <c r="R805" i="9"/>
  <c r="E808" i="2" s="1"/>
  <c r="A806" i="3" s="1"/>
  <c r="A806" i="4" s="1"/>
  <c r="S805" i="9"/>
  <c r="F808" i="2" s="1"/>
  <c r="B806" i="3" s="1"/>
  <c r="B806" i="4" s="1"/>
  <c r="C806" i="3"/>
  <c r="C806" i="4" s="1"/>
  <c r="N808" i="9"/>
  <c r="O807" i="9"/>
  <c r="L1125" i="9"/>
  <c r="M1125" i="9" s="1"/>
  <c r="K1126" i="9"/>
  <c r="P807" i="9" l="1"/>
  <c r="T807" i="9" s="1"/>
  <c r="G810" i="2" s="1"/>
  <c r="C807" i="3"/>
  <c r="C807" i="4" s="1"/>
  <c r="O808" i="9"/>
  <c r="P808" i="9" s="1"/>
  <c r="N809" i="9"/>
  <c r="L1126" i="9"/>
  <c r="M1126" i="9" s="1"/>
  <c r="K1127" i="9"/>
  <c r="R808" i="9" l="1"/>
  <c r="E811" i="2" s="1"/>
  <c r="A809" i="3" s="1"/>
  <c r="A809" i="4" s="1"/>
  <c r="S808" i="9"/>
  <c r="F811" i="2" s="1"/>
  <c r="B809" i="3" s="1"/>
  <c r="B809" i="4" s="1"/>
  <c r="R807" i="9"/>
  <c r="E810" i="2" s="1"/>
  <c r="A808" i="3" s="1"/>
  <c r="A808" i="4" s="1"/>
  <c r="S807" i="9"/>
  <c r="F810" i="2" s="1"/>
  <c r="B808" i="3" s="1"/>
  <c r="B808" i="4" s="1"/>
  <c r="T808" i="9"/>
  <c r="G811" i="2" s="1"/>
  <c r="C808" i="3"/>
  <c r="C808" i="4" s="1"/>
  <c r="N810" i="9"/>
  <c r="O809" i="9"/>
  <c r="L1127" i="9"/>
  <c r="M1127" i="9" s="1"/>
  <c r="K1128" i="9"/>
  <c r="P809" i="9" l="1"/>
  <c r="C809" i="3"/>
  <c r="C809" i="4" s="1"/>
  <c r="O810" i="9"/>
  <c r="P810" i="9" s="1"/>
  <c r="N811" i="9"/>
  <c r="L1128" i="9"/>
  <c r="M1128" i="9" s="1"/>
  <c r="K1129" i="9"/>
  <c r="R810" i="9" l="1"/>
  <c r="E813" i="2" s="1"/>
  <c r="A811" i="3" s="1"/>
  <c r="A811" i="4" s="1"/>
  <c r="S810" i="9"/>
  <c r="F813" i="2" s="1"/>
  <c r="B811" i="3" s="1"/>
  <c r="B811" i="4" s="1"/>
  <c r="T810" i="9"/>
  <c r="S809" i="9"/>
  <c r="F812" i="2" s="1"/>
  <c r="B810" i="3" s="1"/>
  <c r="B810" i="4" s="1"/>
  <c r="R809" i="9"/>
  <c r="E812" i="2" s="1"/>
  <c r="A810" i="3" s="1"/>
  <c r="A810" i="4" s="1"/>
  <c r="T809" i="9"/>
  <c r="G812" i="2" s="1"/>
  <c r="C810" i="3" s="1"/>
  <c r="C810" i="4" s="1"/>
  <c r="G813" i="2"/>
  <c r="O811" i="9"/>
  <c r="N812" i="9"/>
  <c r="L1129" i="9"/>
  <c r="M1129" i="9" s="1"/>
  <c r="K1130" i="9"/>
  <c r="P811" i="9" l="1"/>
  <c r="S811" i="9" s="1"/>
  <c r="F814" i="2" s="1"/>
  <c r="B812" i="3" s="1"/>
  <c r="B812" i="4" s="1"/>
  <c r="C811" i="3"/>
  <c r="C811" i="4" s="1"/>
  <c r="N813" i="9"/>
  <c r="O812" i="9"/>
  <c r="P812" i="9" s="1"/>
  <c r="L1130" i="9"/>
  <c r="M1130" i="9" s="1"/>
  <c r="K1131" i="9"/>
  <c r="R811" i="9" l="1"/>
  <c r="E814" i="2" s="1"/>
  <c r="A812" i="3" s="1"/>
  <c r="A812" i="4" s="1"/>
  <c r="S812" i="9"/>
  <c r="F815" i="2" s="1"/>
  <c r="B813" i="3" s="1"/>
  <c r="B813" i="4" s="1"/>
  <c r="R812" i="9"/>
  <c r="E815" i="2" s="1"/>
  <c r="A813" i="3" s="1"/>
  <c r="A813" i="4" s="1"/>
  <c r="T812" i="9"/>
  <c r="G815" i="2" s="1"/>
  <c r="T811" i="9"/>
  <c r="G814" i="2" s="1"/>
  <c r="C812" i="3" s="1"/>
  <c r="C812" i="4" s="1"/>
  <c r="N814" i="9"/>
  <c r="O813" i="9"/>
  <c r="L1131" i="9"/>
  <c r="M1131" i="9" s="1"/>
  <c r="K1132" i="9"/>
  <c r="P813" i="9" l="1"/>
  <c r="T813" i="9" s="1"/>
  <c r="G816" i="2" s="1"/>
  <c r="C813" i="3"/>
  <c r="C813" i="4" s="1"/>
  <c r="N815" i="9"/>
  <c r="O814" i="9"/>
  <c r="P814" i="9" s="1"/>
  <c r="L1132" i="9"/>
  <c r="M1132" i="9" s="1"/>
  <c r="K1133" i="9"/>
  <c r="T814" i="9" l="1"/>
  <c r="S813" i="9"/>
  <c r="F816" i="2" s="1"/>
  <c r="B814" i="3" s="1"/>
  <c r="B814" i="4" s="1"/>
  <c r="R813" i="9"/>
  <c r="E816" i="2" s="1"/>
  <c r="A814" i="3" s="1"/>
  <c r="A814" i="4" s="1"/>
  <c r="S814" i="9"/>
  <c r="F817" i="2" s="1"/>
  <c r="B815" i="3" s="1"/>
  <c r="B815" i="4" s="1"/>
  <c r="R814" i="9"/>
  <c r="E817" i="2" s="1"/>
  <c r="A815" i="3" s="1"/>
  <c r="A815" i="4" s="1"/>
  <c r="C814" i="3"/>
  <c r="C814" i="4" s="1"/>
  <c r="N816" i="9"/>
  <c r="G817" i="2"/>
  <c r="O815" i="9"/>
  <c r="L1133" i="9"/>
  <c r="M1133" i="9" s="1"/>
  <c r="K1134" i="9"/>
  <c r="P815" i="9" l="1"/>
  <c r="S815" i="9" s="1"/>
  <c r="F818" i="2" s="1"/>
  <c r="B816" i="3" s="1"/>
  <c r="B816" i="4" s="1"/>
  <c r="C815" i="3"/>
  <c r="C815" i="4" s="1"/>
  <c r="O816" i="9"/>
  <c r="P816" i="9" s="1"/>
  <c r="N817" i="9"/>
  <c r="L1134" i="9"/>
  <c r="M1134" i="9" s="1"/>
  <c r="K1135" i="9"/>
  <c r="R815" i="9" l="1"/>
  <c r="E818" i="2" s="1"/>
  <c r="A816" i="3" s="1"/>
  <c r="A816" i="4" s="1"/>
  <c r="T816" i="9"/>
  <c r="G819" i="2" s="1"/>
  <c r="T815" i="9"/>
  <c r="G818" i="2" s="1"/>
  <c r="C816" i="3" s="1"/>
  <c r="C816" i="4" s="1"/>
  <c r="R816" i="9"/>
  <c r="E819" i="2" s="1"/>
  <c r="A817" i="3" s="1"/>
  <c r="A817" i="4" s="1"/>
  <c r="S816" i="9"/>
  <c r="F819" i="2" s="1"/>
  <c r="B817" i="3" s="1"/>
  <c r="B817" i="4" s="1"/>
  <c r="N818" i="9"/>
  <c r="O817" i="9"/>
  <c r="L1135" i="9"/>
  <c r="M1135" i="9" s="1"/>
  <c r="K1136" i="9"/>
  <c r="P817" i="9" l="1"/>
  <c r="T817" i="9" s="1"/>
  <c r="G820" i="2" s="1"/>
  <c r="C817" i="3"/>
  <c r="C817" i="4" s="1"/>
  <c r="N819" i="9"/>
  <c r="O818" i="9"/>
  <c r="P818" i="9" s="1"/>
  <c r="L1136" i="9"/>
  <c r="M1136" i="9" s="1"/>
  <c r="K1137" i="9"/>
  <c r="S817" i="9" l="1"/>
  <c r="F820" i="2" s="1"/>
  <c r="B818" i="3" s="1"/>
  <c r="B818" i="4" s="1"/>
  <c r="R817" i="9"/>
  <c r="E820" i="2" s="1"/>
  <c r="A818" i="3" s="1"/>
  <c r="A818" i="4" s="1"/>
  <c r="S818" i="9"/>
  <c r="F821" i="2" s="1"/>
  <c r="B819" i="3" s="1"/>
  <c r="B819" i="4" s="1"/>
  <c r="R818" i="9"/>
  <c r="E821" i="2" s="1"/>
  <c r="A819" i="3" s="1"/>
  <c r="A819" i="4" s="1"/>
  <c r="T818" i="9"/>
  <c r="G821" i="2" s="1"/>
  <c r="C818" i="3"/>
  <c r="C818" i="4" s="1"/>
  <c r="N820" i="9"/>
  <c r="O819" i="9"/>
  <c r="L1137" i="9"/>
  <c r="M1137" i="9" s="1"/>
  <c r="K1138" i="9"/>
  <c r="P819" i="9" l="1"/>
  <c r="T819" i="9" s="1"/>
  <c r="G822" i="2" s="1"/>
  <c r="C819" i="3"/>
  <c r="C819" i="4" s="1"/>
  <c r="N821" i="9"/>
  <c r="O820" i="9"/>
  <c r="P820" i="9" s="1"/>
  <c r="L1138" i="9"/>
  <c r="M1138" i="9" s="1"/>
  <c r="K1139" i="9"/>
  <c r="R820" i="9" l="1"/>
  <c r="E823" i="2" s="1"/>
  <c r="A821" i="3" s="1"/>
  <c r="A821" i="4" s="1"/>
  <c r="S820" i="9"/>
  <c r="F823" i="2" s="1"/>
  <c r="B821" i="3" s="1"/>
  <c r="B821" i="4" s="1"/>
  <c r="S819" i="9"/>
  <c r="F822" i="2" s="1"/>
  <c r="B820" i="3" s="1"/>
  <c r="B820" i="4" s="1"/>
  <c r="R819" i="9"/>
  <c r="E822" i="2" s="1"/>
  <c r="A820" i="3" s="1"/>
  <c r="A820" i="4" s="1"/>
  <c r="T820" i="9"/>
  <c r="G823" i="2" s="1"/>
  <c r="C820" i="3"/>
  <c r="C820" i="4" s="1"/>
  <c r="N822" i="9"/>
  <c r="O821" i="9"/>
  <c r="L1139" i="9"/>
  <c r="M1139" i="9" s="1"/>
  <c r="K1140" i="9"/>
  <c r="P821" i="9" l="1"/>
  <c r="T821" i="9" s="1"/>
  <c r="G824" i="2" s="1"/>
  <c r="C821" i="3"/>
  <c r="C821" i="4" s="1"/>
  <c r="N823" i="9"/>
  <c r="O822" i="9"/>
  <c r="P822" i="9" s="1"/>
  <c r="L1140" i="9"/>
  <c r="M1140" i="9" s="1"/>
  <c r="K1141" i="9"/>
  <c r="R822" i="9" l="1"/>
  <c r="E825" i="2" s="1"/>
  <c r="A823" i="3" s="1"/>
  <c r="A823" i="4" s="1"/>
  <c r="S822" i="9"/>
  <c r="F825" i="2" s="1"/>
  <c r="B823" i="3" s="1"/>
  <c r="B823" i="4" s="1"/>
  <c r="T822" i="9"/>
  <c r="G825" i="2" s="1"/>
  <c r="R821" i="9"/>
  <c r="E824" i="2" s="1"/>
  <c r="A822" i="3" s="1"/>
  <c r="A822" i="4" s="1"/>
  <c r="S821" i="9"/>
  <c r="F824" i="2" s="1"/>
  <c r="B822" i="3" s="1"/>
  <c r="B822" i="4" s="1"/>
  <c r="C822" i="3"/>
  <c r="C822" i="4" s="1"/>
  <c r="N824" i="9"/>
  <c r="O823" i="9"/>
  <c r="L1141" i="9"/>
  <c r="M1141" i="9" s="1"/>
  <c r="K1142" i="9"/>
  <c r="P823" i="9" l="1"/>
  <c r="T823" i="9" s="1"/>
  <c r="G826" i="2" s="1"/>
  <c r="C823" i="3"/>
  <c r="C823" i="4" s="1"/>
  <c r="O824" i="9"/>
  <c r="P824" i="9" s="1"/>
  <c r="N825" i="9"/>
  <c r="L1142" i="9"/>
  <c r="M1142" i="9" s="1"/>
  <c r="K1143" i="9"/>
  <c r="R824" i="9" l="1"/>
  <c r="E827" i="2" s="1"/>
  <c r="A825" i="3" s="1"/>
  <c r="A825" i="4" s="1"/>
  <c r="S824" i="9"/>
  <c r="F827" i="2" s="1"/>
  <c r="B825" i="3" s="1"/>
  <c r="B825" i="4" s="1"/>
  <c r="S823" i="9"/>
  <c r="F826" i="2" s="1"/>
  <c r="B824" i="3" s="1"/>
  <c r="B824" i="4" s="1"/>
  <c r="R823" i="9"/>
  <c r="E826" i="2" s="1"/>
  <c r="A824" i="3" s="1"/>
  <c r="A824" i="4" s="1"/>
  <c r="T824" i="9"/>
  <c r="G827" i="2" s="1"/>
  <c r="C824" i="3"/>
  <c r="C824" i="4" s="1"/>
  <c r="O825" i="9"/>
  <c r="N826" i="9"/>
  <c r="L1143" i="9"/>
  <c r="M1143" i="9" s="1"/>
  <c r="K1144" i="9"/>
  <c r="P825" i="9" l="1"/>
  <c r="T825" i="9" s="1"/>
  <c r="G828" i="2" s="1"/>
  <c r="C825" i="3"/>
  <c r="C825" i="4" s="1"/>
  <c r="O826" i="9"/>
  <c r="P826" i="9" s="1"/>
  <c r="N827" i="9"/>
  <c r="L1144" i="9"/>
  <c r="M1144" i="9" s="1"/>
  <c r="K1145" i="9"/>
  <c r="R826" i="9" l="1"/>
  <c r="E829" i="2" s="1"/>
  <c r="A827" i="3" s="1"/>
  <c r="A827" i="4" s="1"/>
  <c r="S826" i="9"/>
  <c r="F829" i="2" s="1"/>
  <c r="B827" i="3" s="1"/>
  <c r="B827" i="4" s="1"/>
  <c r="T826" i="9"/>
  <c r="G829" i="2" s="1"/>
  <c r="R825" i="9"/>
  <c r="E828" i="2" s="1"/>
  <c r="A826" i="3" s="1"/>
  <c r="A826" i="4" s="1"/>
  <c r="S825" i="9"/>
  <c r="F828" i="2" s="1"/>
  <c r="B826" i="3" s="1"/>
  <c r="B826" i="4" s="1"/>
  <c r="C826" i="3"/>
  <c r="C826" i="4" s="1"/>
  <c r="N828" i="9"/>
  <c r="O827" i="9"/>
  <c r="L1145" i="9"/>
  <c r="M1145" i="9" s="1"/>
  <c r="K1146" i="9"/>
  <c r="P827" i="9" l="1"/>
  <c r="C827" i="3"/>
  <c r="C827" i="4" s="1"/>
  <c r="O828" i="9"/>
  <c r="P828" i="9" s="1"/>
  <c r="N829" i="9"/>
  <c r="L1146" i="9"/>
  <c r="M1146" i="9" s="1"/>
  <c r="K1147" i="9"/>
  <c r="S827" i="9" l="1"/>
  <c r="F830" i="2" s="1"/>
  <c r="B828" i="3" s="1"/>
  <c r="B828" i="4" s="1"/>
  <c r="R827" i="9"/>
  <c r="E830" i="2" s="1"/>
  <c r="A828" i="3" s="1"/>
  <c r="A828" i="4" s="1"/>
  <c r="T828" i="9"/>
  <c r="G831" i="2" s="1"/>
  <c r="S828" i="9"/>
  <c r="F831" i="2" s="1"/>
  <c r="B829" i="3" s="1"/>
  <c r="B829" i="4" s="1"/>
  <c r="R828" i="9"/>
  <c r="E831" i="2" s="1"/>
  <c r="A829" i="3" s="1"/>
  <c r="A829" i="4" s="1"/>
  <c r="T827" i="9"/>
  <c r="G830" i="2" s="1"/>
  <c r="C828" i="3" s="1"/>
  <c r="C828" i="4" s="1"/>
  <c r="N830" i="9"/>
  <c r="O829" i="9"/>
  <c r="L1147" i="9"/>
  <c r="M1147" i="9" s="1"/>
  <c r="K1148" i="9"/>
  <c r="P829" i="9" l="1"/>
  <c r="S829" i="9" s="1"/>
  <c r="F832" i="2" s="1"/>
  <c r="B830" i="3" s="1"/>
  <c r="B830" i="4" s="1"/>
  <c r="C829" i="3"/>
  <c r="C829" i="4" s="1"/>
  <c r="O830" i="9"/>
  <c r="P830" i="9" s="1"/>
  <c r="N831" i="9"/>
  <c r="L1148" i="9"/>
  <c r="M1148" i="9" s="1"/>
  <c r="K1149" i="9"/>
  <c r="T830" i="9" l="1"/>
  <c r="G833" i="2" s="1"/>
  <c r="T829" i="9"/>
  <c r="G832" i="2" s="1"/>
  <c r="C830" i="3" s="1"/>
  <c r="C830" i="4" s="1"/>
  <c r="S830" i="9"/>
  <c r="F833" i="2" s="1"/>
  <c r="B831" i="3" s="1"/>
  <c r="B831" i="4" s="1"/>
  <c r="R830" i="9"/>
  <c r="E833" i="2" s="1"/>
  <c r="A831" i="3" s="1"/>
  <c r="A831" i="4" s="1"/>
  <c r="R829" i="9"/>
  <c r="E832" i="2" s="1"/>
  <c r="A830" i="3" s="1"/>
  <c r="A830" i="4" s="1"/>
  <c r="O831" i="9"/>
  <c r="N832" i="9"/>
  <c r="L1149" i="9"/>
  <c r="M1149" i="9" s="1"/>
  <c r="K1150" i="9"/>
  <c r="P831" i="9" l="1"/>
  <c r="C831" i="3"/>
  <c r="C831" i="4" s="1"/>
  <c r="N833" i="9"/>
  <c r="O832" i="9"/>
  <c r="P832" i="9" s="1"/>
  <c r="L1150" i="9"/>
  <c r="M1150" i="9" s="1"/>
  <c r="K1151" i="9"/>
  <c r="T832" i="9" l="1"/>
  <c r="R831" i="9"/>
  <c r="E834" i="2" s="1"/>
  <c r="A832" i="3" s="1"/>
  <c r="A832" i="4" s="1"/>
  <c r="S831" i="9"/>
  <c r="F834" i="2" s="1"/>
  <c r="B832" i="3" s="1"/>
  <c r="B832" i="4" s="1"/>
  <c r="R832" i="9"/>
  <c r="E835" i="2" s="1"/>
  <c r="A833" i="3" s="1"/>
  <c r="A833" i="4" s="1"/>
  <c r="S832" i="9"/>
  <c r="F835" i="2" s="1"/>
  <c r="B833" i="3" s="1"/>
  <c r="B833" i="4" s="1"/>
  <c r="T831" i="9"/>
  <c r="G834" i="2" s="1"/>
  <c r="C832" i="3" s="1"/>
  <c r="C832" i="4" s="1"/>
  <c r="N834" i="9"/>
  <c r="O833" i="9"/>
  <c r="G835" i="2"/>
  <c r="L1151" i="9"/>
  <c r="M1151" i="9" s="1"/>
  <c r="K1152" i="9"/>
  <c r="P833" i="9" l="1"/>
  <c r="T833" i="9" s="1"/>
  <c r="G836" i="2" s="1"/>
  <c r="C833" i="3"/>
  <c r="C833" i="4" s="1"/>
  <c r="O834" i="9"/>
  <c r="P834" i="9" s="1"/>
  <c r="N835" i="9"/>
  <c r="L1152" i="9"/>
  <c r="M1152" i="9" s="1"/>
  <c r="K1153" i="9"/>
  <c r="R833" i="9" l="1"/>
  <c r="E836" i="2" s="1"/>
  <c r="A834" i="3" s="1"/>
  <c r="A834" i="4" s="1"/>
  <c r="S833" i="9"/>
  <c r="F836" i="2" s="1"/>
  <c r="B834" i="3" s="1"/>
  <c r="B834" i="4" s="1"/>
  <c r="T834" i="9"/>
  <c r="G837" i="2" s="1"/>
  <c r="S834" i="9"/>
  <c r="F837" i="2" s="1"/>
  <c r="B835" i="3" s="1"/>
  <c r="B835" i="4" s="1"/>
  <c r="R834" i="9"/>
  <c r="E837" i="2" s="1"/>
  <c r="A835" i="3" s="1"/>
  <c r="A835" i="4" s="1"/>
  <c r="C834" i="3"/>
  <c r="C834" i="4" s="1"/>
  <c r="N836" i="9"/>
  <c r="O835" i="9"/>
  <c r="L1153" i="9"/>
  <c r="M1153" i="9" s="1"/>
  <c r="K1154" i="9"/>
  <c r="P835" i="9" l="1"/>
  <c r="T835" i="9" s="1"/>
  <c r="G838" i="2" s="1"/>
  <c r="C835" i="3"/>
  <c r="C835" i="4" s="1"/>
  <c r="N837" i="9"/>
  <c r="O836" i="9"/>
  <c r="P836" i="9" s="1"/>
  <c r="L1154" i="9"/>
  <c r="M1154" i="9" s="1"/>
  <c r="K1155" i="9"/>
  <c r="R836" i="9" l="1"/>
  <c r="E839" i="2" s="1"/>
  <c r="A837" i="3" s="1"/>
  <c r="A837" i="4" s="1"/>
  <c r="S836" i="9"/>
  <c r="F839" i="2" s="1"/>
  <c r="B837" i="3" s="1"/>
  <c r="B837" i="4" s="1"/>
  <c r="S835" i="9"/>
  <c r="F838" i="2" s="1"/>
  <c r="B836" i="3" s="1"/>
  <c r="B836" i="4" s="1"/>
  <c r="R835" i="9"/>
  <c r="E838" i="2" s="1"/>
  <c r="A836" i="3" s="1"/>
  <c r="A836" i="4" s="1"/>
  <c r="T836" i="9"/>
  <c r="G839" i="2" s="1"/>
  <c r="C836" i="3"/>
  <c r="C836" i="4" s="1"/>
  <c r="N838" i="9"/>
  <c r="O837" i="9"/>
  <c r="L1155" i="9"/>
  <c r="M1155" i="9" s="1"/>
  <c r="K1156" i="9"/>
  <c r="P837" i="9" l="1"/>
  <c r="C837" i="3"/>
  <c r="C837" i="4" s="1"/>
  <c r="O838" i="9"/>
  <c r="P838" i="9" s="1"/>
  <c r="N839" i="9"/>
  <c r="L1156" i="9"/>
  <c r="M1156" i="9" s="1"/>
  <c r="K1157" i="9"/>
  <c r="S838" i="9" l="1"/>
  <c r="F841" i="2" s="1"/>
  <c r="B839" i="3" s="1"/>
  <c r="B839" i="4" s="1"/>
  <c r="R838" i="9"/>
  <c r="E841" i="2" s="1"/>
  <c r="A839" i="3" s="1"/>
  <c r="A839" i="4" s="1"/>
  <c r="T838" i="9"/>
  <c r="G841" i="2" s="1"/>
  <c r="R837" i="9"/>
  <c r="E840" i="2" s="1"/>
  <c r="A838" i="3" s="1"/>
  <c r="A838" i="4" s="1"/>
  <c r="S837" i="9"/>
  <c r="F840" i="2" s="1"/>
  <c r="B838" i="3" s="1"/>
  <c r="B838" i="4" s="1"/>
  <c r="T837" i="9"/>
  <c r="G840" i="2" s="1"/>
  <c r="C838" i="3" s="1"/>
  <c r="C838" i="4" s="1"/>
  <c r="N840" i="9"/>
  <c r="O839" i="9"/>
  <c r="L1157" i="9"/>
  <c r="M1157" i="9" s="1"/>
  <c r="K1158" i="9"/>
  <c r="P839" i="9" l="1"/>
  <c r="T839" i="9" s="1"/>
  <c r="G842" i="2" s="1"/>
  <c r="C839" i="3"/>
  <c r="C839" i="4" s="1"/>
  <c r="O840" i="9"/>
  <c r="P840" i="9" s="1"/>
  <c r="N841" i="9"/>
  <c r="L1158" i="9"/>
  <c r="M1158" i="9" s="1"/>
  <c r="K1159" i="9"/>
  <c r="S840" i="9" l="1"/>
  <c r="F843" i="2" s="1"/>
  <c r="B841" i="3" s="1"/>
  <c r="B841" i="4" s="1"/>
  <c r="R840" i="9"/>
  <c r="E843" i="2" s="1"/>
  <c r="A841" i="3" s="1"/>
  <c r="A841" i="4" s="1"/>
  <c r="S839" i="9"/>
  <c r="F842" i="2" s="1"/>
  <c r="B840" i="3" s="1"/>
  <c r="B840" i="4" s="1"/>
  <c r="R839" i="9"/>
  <c r="E842" i="2" s="1"/>
  <c r="A840" i="3" s="1"/>
  <c r="A840" i="4" s="1"/>
  <c r="T840" i="9"/>
  <c r="G843" i="2" s="1"/>
  <c r="C840" i="3"/>
  <c r="C840" i="4" s="1"/>
  <c r="N842" i="9"/>
  <c r="O841" i="9"/>
  <c r="L1159" i="9"/>
  <c r="M1159" i="9" s="1"/>
  <c r="K1160" i="9"/>
  <c r="P841" i="9" l="1"/>
  <c r="T841" i="9" s="1"/>
  <c r="G844" i="2" s="1"/>
  <c r="C841" i="3"/>
  <c r="C841" i="4" s="1"/>
  <c r="O842" i="9"/>
  <c r="P842" i="9" s="1"/>
  <c r="N843" i="9"/>
  <c r="L1160" i="9"/>
  <c r="M1160" i="9" s="1"/>
  <c r="K1161" i="9"/>
  <c r="T842" i="9" l="1"/>
  <c r="R842" i="9"/>
  <c r="E845" i="2" s="1"/>
  <c r="A843" i="3" s="1"/>
  <c r="A843" i="4" s="1"/>
  <c r="S842" i="9"/>
  <c r="F845" i="2" s="1"/>
  <c r="B843" i="3" s="1"/>
  <c r="B843" i="4" s="1"/>
  <c r="R841" i="9"/>
  <c r="E844" i="2" s="1"/>
  <c r="A842" i="3" s="1"/>
  <c r="A842" i="4" s="1"/>
  <c r="S841" i="9"/>
  <c r="F844" i="2" s="1"/>
  <c r="B842" i="3" s="1"/>
  <c r="B842" i="4" s="1"/>
  <c r="C842" i="3"/>
  <c r="C842" i="4" s="1"/>
  <c r="N844" i="9"/>
  <c r="O843" i="9"/>
  <c r="G845" i="2"/>
  <c r="L1161" i="9"/>
  <c r="M1161" i="9" s="1"/>
  <c r="K1162" i="9"/>
  <c r="P843" i="9" l="1"/>
  <c r="T843" i="9" s="1"/>
  <c r="G846" i="2" s="1"/>
  <c r="C843" i="3"/>
  <c r="C843" i="4" s="1"/>
  <c r="N845" i="9"/>
  <c r="O844" i="9"/>
  <c r="P844" i="9" s="1"/>
  <c r="L1162" i="9"/>
  <c r="M1162" i="9" s="1"/>
  <c r="K1163" i="9"/>
  <c r="T844" i="9" l="1"/>
  <c r="G847" i="2" s="1"/>
  <c r="S843" i="9"/>
  <c r="F846" i="2" s="1"/>
  <c r="B844" i="3" s="1"/>
  <c r="B844" i="4" s="1"/>
  <c r="R843" i="9"/>
  <c r="E846" i="2" s="1"/>
  <c r="A844" i="3" s="1"/>
  <c r="A844" i="4" s="1"/>
  <c r="S844" i="9"/>
  <c r="F847" i="2" s="1"/>
  <c r="B845" i="3" s="1"/>
  <c r="B845" i="4" s="1"/>
  <c r="R844" i="9"/>
  <c r="E847" i="2" s="1"/>
  <c r="A845" i="3" s="1"/>
  <c r="A845" i="4" s="1"/>
  <c r="C844" i="3"/>
  <c r="C844" i="4" s="1"/>
  <c r="N846" i="9"/>
  <c r="O845" i="9"/>
  <c r="L1163" i="9"/>
  <c r="M1163" i="9" s="1"/>
  <c r="K1164" i="9"/>
  <c r="P845" i="9" l="1"/>
  <c r="T845" i="9" s="1"/>
  <c r="G848" i="2" s="1"/>
  <c r="C845" i="3"/>
  <c r="C845" i="4" s="1"/>
  <c r="O846" i="9"/>
  <c r="P846" i="9" s="1"/>
  <c r="N847" i="9"/>
  <c r="L1164" i="9"/>
  <c r="M1164" i="9" s="1"/>
  <c r="K1165" i="9"/>
  <c r="T846" i="9" l="1"/>
  <c r="R846" i="9"/>
  <c r="E849" i="2" s="1"/>
  <c r="A847" i="3" s="1"/>
  <c r="A847" i="4" s="1"/>
  <c r="S846" i="9"/>
  <c r="F849" i="2" s="1"/>
  <c r="B847" i="3" s="1"/>
  <c r="B847" i="4" s="1"/>
  <c r="R845" i="9"/>
  <c r="E848" i="2" s="1"/>
  <c r="A846" i="3" s="1"/>
  <c r="A846" i="4" s="1"/>
  <c r="S845" i="9"/>
  <c r="F848" i="2" s="1"/>
  <c r="B846" i="3" s="1"/>
  <c r="B846" i="4" s="1"/>
  <c r="C846" i="3"/>
  <c r="C846" i="4" s="1"/>
  <c r="N848" i="9"/>
  <c r="O847" i="9"/>
  <c r="G849" i="2"/>
  <c r="L1165" i="9"/>
  <c r="M1165" i="9" s="1"/>
  <c r="K1166" i="9"/>
  <c r="P847" i="9" l="1"/>
  <c r="T847" i="9" s="1"/>
  <c r="G850" i="2" s="1"/>
  <c r="C847" i="3"/>
  <c r="C847" i="4" s="1"/>
  <c r="N849" i="9"/>
  <c r="O848" i="9"/>
  <c r="P848" i="9" s="1"/>
  <c r="L1166" i="9"/>
  <c r="M1166" i="9" s="1"/>
  <c r="K1167" i="9"/>
  <c r="T848" i="9" l="1"/>
  <c r="G851" i="2" s="1"/>
  <c r="R848" i="9"/>
  <c r="E851" i="2" s="1"/>
  <c r="A849" i="3" s="1"/>
  <c r="A849" i="4" s="1"/>
  <c r="S848" i="9"/>
  <c r="F851" i="2" s="1"/>
  <c r="B849" i="3" s="1"/>
  <c r="B849" i="4" s="1"/>
  <c r="R847" i="9"/>
  <c r="E850" i="2" s="1"/>
  <c r="A848" i="3" s="1"/>
  <c r="A848" i="4" s="1"/>
  <c r="S847" i="9"/>
  <c r="F850" i="2" s="1"/>
  <c r="B848" i="3" s="1"/>
  <c r="B848" i="4" s="1"/>
  <c r="C848" i="3"/>
  <c r="C848" i="4" s="1"/>
  <c r="N850" i="9"/>
  <c r="O849" i="9"/>
  <c r="L1167" i="9"/>
  <c r="M1167" i="9" s="1"/>
  <c r="K1168" i="9"/>
  <c r="P849" i="9" l="1"/>
  <c r="C849" i="3"/>
  <c r="C849" i="4" s="1"/>
  <c r="N851" i="9"/>
  <c r="O850" i="9"/>
  <c r="P850" i="9" s="1"/>
  <c r="L1168" i="9"/>
  <c r="M1168" i="9" s="1"/>
  <c r="K1169" i="9"/>
  <c r="S850" i="9" l="1"/>
  <c r="F853" i="2" s="1"/>
  <c r="B851" i="3" s="1"/>
  <c r="B851" i="4" s="1"/>
  <c r="R850" i="9"/>
  <c r="E853" i="2" s="1"/>
  <c r="A851" i="3" s="1"/>
  <c r="A851" i="4" s="1"/>
  <c r="T850" i="9"/>
  <c r="G853" i="2" s="1"/>
  <c r="S849" i="9"/>
  <c r="F852" i="2" s="1"/>
  <c r="B850" i="3" s="1"/>
  <c r="B850" i="4" s="1"/>
  <c r="R849" i="9"/>
  <c r="E852" i="2" s="1"/>
  <c r="A850" i="3" s="1"/>
  <c r="A850" i="4" s="1"/>
  <c r="T849" i="9"/>
  <c r="G852" i="2" s="1"/>
  <c r="C850" i="3" s="1"/>
  <c r="C850" i="4" s="1"/>
  <c r="O851" i="9"/>
  <c r="N852" i="9"/>
  <c r="L1169" i="9"/>
  <c r="M1169" i="9" s="1"/>
  <c r="K1170" i="9"/>
  <c r="P851" i="9" l="1"/>
  <c r="C851" i="3"/>
  <c r="C851" i="4" s="1"/>
  <c r="N853" i="9"/>
  <c r="O852" i="9"/>
  <c r="P852" i="9" s="1"/>
  <c r="L1170" i="9"/>
  <c r="M1170" i="9" s="1"/>
  <c r="K1171" i="9"/>
  <c r="T852" i="9" l="1"/>
  <c r="S851" i="9"/>
  <c r="F854" i="2" s="1"/>
  <c r="B852" i="3" s="1"/>
  <c r="B852" i="4" s="1"/>
  <c r="R851" i="9"/>
  <c r="E854" i="2" s="1"/>
  <c r="A852" i="3" s="1"/>
  <c r="A852" i="4" s="1"/>
  <c r="R852" i="9"/>
  <c r="E855" i="2" s="1"/>
  <c r="A853" i="3" s="1"/>
  <c r="A853" i="4" s="1"/>
  <c r="S852" i="9"/>
  <c r="F855" i="2" s="1"/>
  <c r="B853" i="3" s="1"/>
  <c r="B853" i="4" s="1"/>
  <c r="T851" i="9"/>
  <c r="G854" i="2" s="1"/>
  <c r="C852" i="3" s="1"/>
  <c r="C852" i="4" s="1"/>
  <c r="N854" i="9"/>
  <c r="O853" i="9"/>
  <c r="G855" i="2"/>
  <c r="L1171" i="9"/>
  <c r="M1171" i="9" s="1"/>
  <c r="K1172" i="9"/>
  <c r="P853" i="9" l="1"/>
  <c r="C853" i="3"/>
  <c r="C853" i="4" s="1"/>
  <c r="O854" i="9"/>
  <c r="P854" i="9" s="1"/>
  <c r="N855" i="9"/>
  <c r="L1172" i="9"/>
  <c r="M1172" i="9" s="1"/>
  <c r="K1173" i="9"/>
  <c r="T854" i="9" l="1"/>
  <c r="G857" i="2" s="1"/>
  <c r="R853" i="9"/>
  <c r="E856" i="2" s="1"/>
  <c r="A854" i="3" s="1"/>
  <c r="A854" i="4" s="1"/>
  <c r="S853" i="9"/>
  <c r="F856" i="2" s="1"/>
  <c r="B854" i="3" s="1"/>
  <c r="B854" i="4" s="1"/>
  <c r="S854" i="9"/>
  <c r="F857" i="2" s="1"/>
  <c r="B855" i="3" s="1"/>
  <c r="B855" i="4" s="1"/>
  <c r="R854" i="9"/>
  <c r="E857" i="2" s="1"/>
  <c r="A855" i="3" s="1"/>
  <c r="A855" i="4" s="1"/>
  <c r="T853" i="9"/>
  <c r="G856" i="2" s="1"/>
  <c r="C854" i="3" s="1"/>
  <c r="C854" i="4" s="1"/>
  <c r="N856" i="9"/>
  <c r="O855" i="9"/>
  <c r="L1173" i="9"/>
  <c r="M1173" i="9" s="1"/>
  <c r="K1174" i="9"/>
  <c r="P855" i="9" l="1"/>
  <c r="T855" i="9" s="1"/>
  <c r="G858" i="2" s="1"/>
  <c r="C855" i="3"/>
  <c r="C855" i="4" s="1"/>
  <c r="N857" i="9"/>
  <c r="O856" i="9"/>
  <c r="P856" i="9" s="1"/>
  <c r="L1174" i="9"/>
  <c r="M1174" i="9" s="1"/>
  <c r="K1175" i="9"/>
  <c r="T856" i="9" l="1"/>
  <c r="G859" i="2" s="1"/>
  <c r="R855" i="9"/>
  <c r="E858" i="2" s="1"/>
  <c r="A856" i="3" s="1"/>
  <c r="A856" i="4" s="1"/>
  <c r="S855" i="9"/>
  <c r="F858" i="2" s="1"/>
  <c r="B856" i="3" s="1"/>
  <c r="B856" i="4" s="1"/>
  <c r="R856" i="9"/>
  <c r="E859" i="2" s="1"/>
  <c r="A857" i="3" s="1"/>
  <c r="A857" i="4" s="1"/>
  <c r="S856" i="9"/>
  <c r="F859" i="2" s="1"/>
  <c r="B857" i="3" s="1"/>
  <c r="B857" i="4" s="1"/>
  <c r="C856" i="3"/>
  <c r="C856" i="4" s="1"/>
  <c r="O857" i="9"/>
  <c r="N858" i="9"/>
  <c r="L1175" i="9"/>
  <c r="M1175" i="9" s="1"/>
  <c r="K1176" i="9"/>
  <c r="P857" i="9" l="1"/>
  <c r="C857" i="3"/>
  <c r="C857" i="4" s="1"/>
  <c r="N859" i="9"/>
  <c r="O858" i="9"/>
  <c r="P858" i="9" s="1"/>
  <c r="L1176" i="9"/>
  <c r="M1176" i="9" s="1"/>
  <c r="K1177" i="9"/>
  <c r="T858" i="9" l="1"/>
  <c r="R858" i="9"/>
  <c r="E861" i="2" s="1"/>
  <c r="A859" i="3" s="1"/>
  <c r="A859" i="4" s="1"/>
  <c r="S858" i="9"/>
  <c r="F861" i="2" s="1"/>
  <c r="B859" i="3" s="1"/>
  <c r="B859" i="4" s="1"/>
  <c r="T857" i="9"/>
  <c r="G860" i="2" s="1"/>
  <c r="C858" i="3" s="1"/>
  <c r="C858" i="4" s="1"/>
  <c r="S857" i="9"/>
  <c r="F860" i="2" s="1"/>
  <c r="B858" i="3" s="1"/>
  <c r="B858" i="4" s="1"/>
  <c r="R857" i="9"/>
  <c r="E860" i="2" s="1"/>
  <c r="A858" i="3" s="1"/>
  <c r="A858" i="4" s="1"/>
  <c r="N860" i="9"/>
  <c r="O859" i="9"/>
  <c r="G861" i="2"/>
  <c r="L1177" i="9"/>
  <c r="M1177" i="9" s="1"/>
  <c r="K1178" i="9"/>
  <c r="P859" i="9" l="1"/>
  <c r="C859" i="3"/>
  <c r="C859" i="4" s="1"/>
  <c r="O860" i="9"/>
  <c r="P860" i="9" s="1"/>
  <c r="N861" i="9"/>
  <c r="L1178" i="9"/>
  <c r="M1178" i="9" s="1"/>
  <c r="K1179" i="9"/>
  <c r="S860" i="9" l="1"/>
  <c r="F863" i="2" s="1"/>
  <c r="B861" i="3" s="1"/>
  <c r="B861" i="4" s="1"/>
  <c r="R860" i="9"/>
  <c r="E863" i="2" s="1"/>
  <c r="A861" i="3" s="1"/>
  <c r="A861" i="4" s="1"/>
  <c r="T859" i="9"/>
  <c r="G862" i="2" s="1"/>
  <c r="C860" i="3" s="1"/>
  <c r="C860" i="4" s="1"/>
  <c r="S859" i="9"/>
  <c r="F862" i="2" s="1"/>
  <c r="B860" i="3" s="1"/>
  <c r="B860" i="4" s="1"/>
  <c r="R859" i="9"/>
  <c r="E862" i="2" s="1"/>
  <c r="A860" i="3" s="1"/>
  <c r="A860" i="4" s="1"/>
  <c r="T860" i="9"/>
  <c r="G863" i="2" s="1"/>
  <c r="O861" i="9"/>
  <c r="N862" i="9"/>
  <c r="L1179" i="9"/>
  <c r="M1179" i="9" s="1"/>
  <c r="K1180" i="9"/>
  <c r="P861" i="9" l="1"/>
  <c r="C861" i="3"/>
  <c r="C861" i="4" s="1"/>
  <c r="N863" i="9"/>
  <c r="O862" i="9"/>
  <c r="P862" i="9" s="1"/>
  <c r="L1180" i="9"/>
  <c r="M1180" i="9" s="1"/>
  <c r="K1181" i="9"/>
  <c r="T861" i="9" l="1"/>
  <c r="G864" i="2" s="1"/>
  <c r="S861" i="9"/>
  <c r="F864" i="2" s="1"/>
  <c r="B862" i="3" s="1"/>
  <c r="B862" i="4" s="1"/>
  <c r="R861" i="9"/>
  <c r="E864" i="2" s="1"/>
  <c r="A862" i="3" s="1"/>
  <c r="A862" i="4" s="1"/>
  <c r="T862" i="9"/>
  <c r="G865" i="2" s="1"/>
  <c r="S862" i="9"/>
  <c r="F865" i="2" s="1"/>
  <c r="B863" i="3" s="1"/>
  <c r="B863" i="4" s="1"/>
  <c r="R862" i="9"/>
  <c r="E865" i="2" s="1"/>
  <c r="A863" i="3" s="1"/>
  <c r="A863" i="4" s="1"/>
  <c r="C862" i="3"/>
  <c r="C862" i="4" s="1"/>
  <c r="O863" i="9"/>
  <c r="N864" i="9"/>
  <c r="L1181" i="9"/>
  <c r="M1181" i="9" s="1"/>
  <c r="K1182" i="9"/>
  <c r="P863" i="9" l="1"/>
  <c r="C863" i="3"/>
  <c r="C863" i="4" s="1"/>
  <c r="O864" i="9"/>
  <c r="P864" i="9" s="1"/>
  <c r="N865" i="9"/>
  <c r="L1182" i="9"/>
  <c r="M1182" i="9" s="1"/>
  <c r="K1183" i="9"/>
  <c r="T864" i="9" l="1"/>
  <c r="S863" i="9"/>
  <c r="F866" i="2" s="1"/>
  <c r="B864" i="3" s="1"/>
  <c r="B864" i="4" s="1"/>
  <c r="R863" i="9"/>
  <c r="E866" i="2" s="1"/>
  <c r="A864" i="3" s="1"/>
  <c r="A864" i="4" s="1"/>
  <c r="S864" i="9"/>
  <c r="F867" i="2" s="1"/>
  <c r="B865" i="3" s="1"/>
  <c r="B865" i="4" s="1"/>
  <c r="R864" i="9"/>
  <c r="E867" i="2" s="1"/>
  <c r="A865" i="3" s="1"/>
  <c r="A865" i="4" s="1"/>
  <c r="T863" i="9"/>
  <c r="G866" i="2" s="1"/>
  <c r="C864" i="3" s="1"/>
  <c r="C864" i="4" s="1"/>
  <c r="N866" i="9"/>
  <c r="O865" i="9"/>
  <c r="G867" i="2"/>
  <c r="L1183" i="9"/>
  <c r="M1183" i="9" s="1"/>
  <c r="K1184" i="9"/>
  <c r="P865" i="9" l="1"/>
  <c r="T865" i="9" s="1"/>
  <c r="G868" i="2" s="1"/>
  <c r="C865" i="3"/>
  <c r="C865" i="4" s="1"/>
  <c r="O866" i="9"/>
  <c r="P866" i="9" s="1"/>
  <c r="N867" i="9"/>
  <c r="L1184" i="9"/>
  <c r="M1184" i="9" s="1"/>
  <c r="K1185" i="9"/>
  <c r="T866" i="9" l="1"/>
  <c r="S866" i="9"/>
  <c r="F869" i="2" s="1"/>
  <c r="B867" i="3" s="1"/>
  <c r="B867" i="4" s="1"/>
  <c r="R866" i="9"/>
  <c r="E869" i="2" s="1"/>
  <c r="A867" i="3" s="1"/>
  <c r="A867" i="4" s="1"/>
  <c r="S865" i="9"/>
  <c r="F868" i="2" s="1"/>
  <c r="B866" i="3" s="1"/>
  <c r="B866" i="4" s="1"/>
  <c r="R865" i="9"/>
  <c r="E868" i="2" s="1"/>
  <c r="A866" i="3" s="1"/>
  <c r="A866" i="4" s="1"/>
  <c r="C866" i="3"/>
  <c r="C866" i="4" s="1"/>
  <c r="N868" i="9"/>
  <c r="O867" i="9"/>
  <c r="G869" i="2"/>
  <c r="L1185" i="9"/>
  <c r="M1185" i="9" s="1"/>
  <c r="K1186" i="9"/>
  <c r="P867" i="9" l="1"/>
  <c r="T867" i="9" s="1"/>
  <c r="G870" i="2" s="1"/>
  <c r="C867" i="3"/>
  <c r="C867" i="4" s="1"/>
  <c r="O868" i="9"/>
  <c r="P868" i="9" s="1"/>
  <c r="N869" i="9"/>
  <c r="L1186" i="9"/>
  <c r="M1186" i="9" s="1"/>
  <c r="K1187" i="9"/>
  <c r="R868" i="9" l="1"/>
  <c r="E871" i="2" s="1"/>
  <c r="A869" i="3" s="1"/>
  <c r="A869" i="4" s="1"/>
  <c r="S868" i="9"/>
  <c r="F871" i="2" s="1"/>
  <c r="B869" i="3" s="1"/>
  <c r="B869" i="4" s="1"/>
  <c r="S867" i="9"/>
  <c r="F870" i="2" s="1"/>
  <c r="B868" i="3" s="1"/>
  <c r="B868" i="4" s="1"/>
  <c r="R867" i="9"/>
  <c r="E870" i="2" s="1"/>
  <c r="A868" i="3" s="1"/>
  <c r="A868" i="4" s="1"/>
  <c r="T868" i="9"/>
  <c r="G871" i="2" s="1"/>
  <c r="C868" i="3"/>
  <c r="C868" i="4" s="1"/>
  <c r="N870" i="9"/>
  <c r="O869" i="9"/>
  <c r="L1187" i="9"/>
  <c r="M1187" i="9" s="1"/>
  <c r="K1188" i="9"/>
  <c r="P869" i="9" l="1"/>
  <c r="C869" i="3"/>
  <c r="C869" i="4" s="1"/>
  <c r="O870" i="9"/>
  <c r="P870" i="9" s="1"/>
  <c r="N871" i="9"/>
  <c r="L1188" i="9"/>
  <c r="M1188" i="9" s="1"/>
  <c r="K1189" i="9"/>
  <c r="R869" i="9" l="1"/>
  <c r="E872" i="2" s="1"/>
  <c r="A870" i="3" s="1"/>
  <c r="A870" i="4" s="1"/>
  <c r="S869" i="9"/>
  <c r="F872" i="2" s="1"/>
  <c r="B870" i="3" s="1"/>
  <c r="B870" i="4" s="1"/>
  <c r="R870" i="9"/>
  <c r="E873" i="2" s="1"/>
  <c r="A871" i="3" s="1"/>
  <c r="A871" i="4" s="1"/>
  <c r="S870" i="9"/>
  <c r="F873" i="2" s="1"/>
  <c r="B871" i="3" s="1"/>
  <c r="B871" i="4" s="1"/>
  <c r="T869" i="9"/>
  <c r="G872" i="2" s="1"/>
  <c r="C870" i="3" s="1"/>
  <c r="C870" i="4" s="1"/>
  <c r="T870" i="9"/>
  <c r="G873" i="2" s="1"/>
  <c r="N872" i="9"/>
  <c r="O871" i="9"/>
  <c r="L1189" i="9"/>
  <c r="M1189" i="9" s="1"/>
  <c r="K1190" i="9"/>
  <c r="P871" i="9" l="1"/>
  <c r="T871" i="9" s="1"/>
  <c r="G874" i="2" s="1"/>
  <c r="C871" i="3"/>
  <c r="C871" i="4" s="1"/>
  <c r="N873" i="9"/>
  <c r="O872" i="9"/>
  <c r="P872" i="9" s="1"/>
  <c r="L1190" i="9"/>
  <c r="M1190" i="9" s="1"/>
  <c r="K1191" i="9"/>
  <c r="T872" i="9" l="1"/>
  <c r="S871" i="9"/>
  <c r="F874" i="2" s="1"/>
  <c r="B872" i="3" s="1"/>
  <c r="B872" i="4" s="1"/>
  <c r="R871" i="9"/>
  <c r="E874" i="2" s="1"/>
  <c r="A872" i="3" s="1"/>
  <c r="A872" i="4" s="1"/>
  <c r="S872" i="9"/>
  <c r="F875" i="2" s="1"/>
  <c r="B873" i="3" s="1"/>
  <c r="B873" i="4" s="1"/>
  <c r="R872" i="9"/>
  <c r="E875" i="2" s="1"/>
  <c r="A873" i="3" s="1"/>
  <c r="A873" i="4" s="1"/>
  <c r="C872" i="3"/>
  <c r="C872" i="4" s="1"/>
  <c r="N874" i="9"/>
  <c r="O873" i="9"/>
  <c r="G875" i="2"/>
  <c r="L1191" i="9"/>
  <c r="M1191" i="9" s="1"/>
  <c r="K1192" i="9"/>
  <c r="P873" i="9" l="1"/>
  <c r="C873" i="3"/>
  <c r="C873" i="4" s="1"/>
  <c r="O874" i="9"/>
  <c r="P874" i="9" s="1"/>
  <c r="N875" i="9"/>
  <c r="L1192" i="9"/>
  <c r="M1192" i="9" s="1"/>
  <c r="K1193" i="9"/>
  <c r="T874" i="9" l="1"/>
  <c r="G877" i="2" s="1"/>
  <c r="R874" i="9"/>
  <c r="E877" i="2" s="1"/>
  <c r="A875" i="3" s="1"/>
  <c r="A875" i="4" s="1"/>
  <c r="S874" i="9"/>
  <c r="F877" i="2" s="1"/>
  <c r="B875" i="3" s="1"/>
  <c r="B875" i="4" s="1"/>
  <c r="S873" i="9"/>
  <c r="F876" i="2" s="1"/>
  <c r="B874" i="3" s="1"/>
  <c r="B874" i="4" s="1"/>
  <c r="R873" i="9"/>
  <c r="E876" i="2" s="1"/>
  <c r="A874" i="3" s="1"/>
  <c r="A874" i="4" s="1"/>
  <c r="T873" i="9"/>
  <c r="G876" i="2" s="1"/>
  <c r="C874" i="3" s="1"/>
  <c r="C874" i="4" s="1"/>
  <c r="N876" i="9"/>
  <c r="O875" i="9"/>
  <c r="L1193" i="9"/>
  <c r="M1193" i="9" s="1"/>
  <c r="K1194" i="9"/>
  <c r="P875" i="9" l="1"/>
  <c r="C875" i="3"/>
  <c r="C875" i="4" s="1"/>
  <c r="O876" i="9"/>
  <c r="P876" i="9" s="1"/>
  <c r="N877" i="9"/>
  <c r="L1194" i="9"/>
  <c r="M1194" i="9" s="1"/>
  <c r="K1195" i="9"/>
  <c r="S876" i="9" l="1"/>
  <c r="F879" i="2" s="1"/>
  <c r="B877" i="3" s="1"/>
  <c r="B877" i="4" s="1"/>
  <c r="R876" i="9"/>
  <c r="E879" i="2" s="1"/>
  <c r="A877" i="3" s="1"/>
  <c r="A877" i="4" s="1"/>
  <c r="T875" i="9"/>
  <c r="G878" i="2" s="1"/>
  <c r="C876" i="3" s="1"/>
  <c r="C876" i="4" s="1"/>
  <c r="S875" i="9"/>
  <c r="F878" i="2" s="1"/>
  <c r="B876" i="3" s="1"/>
  <c r="B876" i="4" s="1"/>
  <c r="R875" i="9"/>
  <c r="E878" i="2" s="1"/>
  <c r="A876" i="3" s="1"/>
  <c r="A876" i="4" s="1"/>
  <c r="T876" i="9"/>
  <c r="G879" i="2" s="1"/>
  <c r="N878" i="9"/>
  <c r="O877" i="9"/>
  <c r="L1195" i="9"/>
  <c r="M1195" i="9" s="1"/>
  <c r="K1196" i="9"/>
  <c r="P877" i="9" l="1"/>
  <c r="C877" i="3"/>
  <c r="C877" i="4" s="1"/>
  <c r="O878" i="9"/>
  <c r="P878" i="9" s="1"/>
  <c r="N879" i="9"/>
  <c r="L1196" i="9"/>
  <c r="M1196" i="9" s="1"/>
  <c r="K1197" i="9"/>
  <c r="T878" i="9" l="1"/>
  <c r="R878" i="9"/>
  <c r="E881" i="2" s="1"/>
  <c r="A879" i="3" s="1"/>
  <c r="A879" i="4" s="1"/>
  <c r="S878" i="9"/>
  <c r="F881" i="2" s="1"/>
  <c r="B879" i="3" s="1"/>
  <c r="B879" i="4" s="1"/>
  <c r="R877" i="9"/>
  <c r="E880" i="2" s="1"/>
  <c r="A878" i="3" s="1"/>
  <c r="A878" i="4" s="1"/>
  <c r="S877" i="9"/>
  <c r="F880" i="2" s="1"/>
  <c r="B878" i="3" s="1"/>
  <c r="B878" i="4" s="1"/>
  <c r="T877" i="9"/>
  <c r="G880" i="2" s="1"/>
  <c r="C878" i="3" s="1"/>
  <c r="C878" i="4" s="1"/>
  <c r="N880" i="9"/>
  <c r="O879" i="9"/>
  <c r="G881" i="2"/>
  <c r="L1197" i="9"/>
  <c r="M1197" i="9" s="1"/>
  <c r="K1198" i="9"/>
  <c r="P879" i="9" l="1"/>
  <c r="T879" i="9" s="1"/>
  <c r="G882" i="2" s="1"/>
  <c r="C879" i="3"/>
  <c r="C879" i="4" s="1"/>
  <c r="O880" i="9"/>
  <c r="P880" i="9" s="1"/>
  <c r="N881" i="9"/>
  <c r="L1198" i="9"/>
  <c r="M1198" i="9" s="1"/>
  <c r="K1199" i="9"/>
  <c r="T880" i="9" l="1"/>
  <c r="G883" i="2" s="1"/>
  <c r="S880" i="9"/>
  <c r="F883" i="2" s="1"/>
  <c r="B881" i="3" s="1"/>
  <c r="B881" i="4" s="1"/>
  <c r="R880" i="9"/>
  <c r="E883" i="2" s="1"/>
  <c r="A881" i="3" s="1"/>
  <c r="A881" i="4" s="1"/>
  <c r="S879" i="9"/>
  <c r="F882" i="2" s="1"/>
  <c r="B880" i="3" s="1"/>
  <c r="B880" i="4" s="1"/>
  <c r="R879" i="9"/>
  <c r="E882" i="2" s="1"/>
  <c r="A880" i="3" s="1"/>
  <c r="A880" i="4" s="1"/>
  <c r="C880" i="3"/>
  <c r="C880" i="4" s="1"/>
  <c r="N882" i="9"/>
  <c r="O881" i="9"/>
  <c r="L1199" i="9"/>
  <c r="M1199" i="9" s="1"/>
  <c r="K1200" i="9"/>
  <c r="P881" i="9" l="1"/>
  <c r="C881" i="3"/>
  <c r="C881" i="4" s="1"/>
  <c r="O882" i="9"/>
  <c r="P882" i="9" s="1"/>
  <c r="N883" i="9"/>
  <c r="L1200" i="9"/>
  <c r="M1200" i="9" s="1"/>
  <c r="K1201" i="9"/>
  <c r="S881" i="9" l="1"/>
  <c r="F884" i="2" s="1"/>
  <c r="B882" i="3" s="1"/>
  <c r="B882" i="4" s="1"/>
  <c r="R881" i="9"/>
  <c r="E884" i="2" s="1"/>
  <c r="A882" i="3" s="1"/>
  <c r="A882" i="4" s="1"/>
  <c r="T882" i="9"/>
  <c r="G885" i="2" s="1"/>
  <c r="S882" i="9"/>
  <c r="F885" i="2" s="1"/>
  <c r="B883" i="3" s="1"/>
  <c r="B883" i="4" s="1"/>
  <c r="R882" i="9"/>
  <c r="E885" i="2" s="1"/>
  <c r="A883" i="3" s="1"/>
  <c r="A883" i="4" s="1"/>
  <c r="T881" i="9"/>
  <c r="G884" i="2" s="1"/>
  <c r="C882" i="3" s="1"/>
  <c r="C882" i="4" s="1"/>
  <c r="N884" i="9"/>
  <c r="O883" i="9"/>
  <c r="L1201" i="9"/>
  <c r="M1201" i="9" s="1"/>
  <c r="K1202" i="9"/>
  <c r="P883" i="9" l="1"/>
  <c r="T883" i="9" s="1"/>
  <c r="G886" i="2" s="1"/>
  <c r="C883" i="3"/>
  <c r="C883" i="4" s="1"/>
  <c r="O884" i="9"/>
  <c r="P884" i="9" s="1"/>
  <c r="N885" i="9"/>
  <c r="L1202" i="9"/>
  <c r="M1202" i="9" s="1"/>
  <c r="K1203" i="9"/>
  <c r="T884" i="9" l="1"/>
  <c r="G887" i="2" s="1"/>
  <c r="S883" i="9"/>
  <c r="F886" i="2" s="1"/>
  <c r="B884" i="3" s="1"/>
  <c r="B884" i="4" s="1"/>
  <c r="R883" i="9"/>
  <c r="E886" i="2" s="1"/>
  <c r="A884" i="3" s="1"/>
  <c r="A884" i="4" s="1"/>
  <c r="R884" i="9"/>
  <c r="E887" i="2" s="1"/>
  <c r="A885" i="3" s="1"/>
  <c r="A885" i="4" s="1"/>
  <c r="S884" i="9"/>
  <c r="F887" i="2" s="1"/>
  <c r="B885" i="3" s="1"/>
  <c r="B885" i="4" s="1"/>
  <c r="C884" i="3"/>
  <c r="C884" i="4" s="1"/>
  <c r="N886" i="9"/>
  <c r="O885" i="9"/>
  <c r="L1203" i="9"/>
  <c r="M1203" i="9" s="1"/>
  <c r="K1204" i="9"/>
  <c r="P885" i="9" l="1"/>
  <c r="T885" i="9" s="1"/>
  <c r="G888" i="2" s="1"/>
  <c r="C885" i="3"/>
  <c r="C885" i="4" s="1"/>
  <c r="N887" i="9"/>
  <c r="O886" i="9"/>
  <c r="P886" i="9" s="1"/>
  <c r="L1204" i="9"/>
  <c r="M1204" i="9" s="1"/>
  <c r="K1205" i="9"/>
  <c r="T886" i="9" l="1"/>
  <c r="G889" i="2" s="1"/>
  <c r="S886" i="9"/>
  <c r="F889" i="2" s="1"/>
  <c r="B887" i="3" s="1"/>
  <c r="B887" i="4" s="1"/>
  <c r="R886" i="9"/>
  <c r="E889" i="2" s="1"/>
  <c r="A887" i="3" s="1"/>
  <c r="A887" i="4" s="1"/>
  <c r="R885" i="9"/>
  <c r="E888" i="2" s="1"/>
  <c r="A886" i="3" s="1"/>
  <c r="A886" i="4" s="1"/>
  <c r="S885" i="9"/>
  <c r="F888" i="2" s="1"/>
  <c r="B886" i="3" s="1"/>
  <c r="B886" i="4" s="1"/>
  <c r="C886" i="3"/>
  <c r="C886" i="4" s="1"/>
  <c r="N888" i="9"/>
  <c r="O887" i="9"/>
  <c r="L1205" i="9"/>
  <c r="M1205" i="9" s="1"/>
  <c r="K1206" i="9"/>
  <c r="P887" i="9" l="1"/>
  <c r="C887" i="3"/>
  <c r="C887" i="4" s="1"/>
  <c r="O888" i="9"/>
  <c r="P888" i="9" s="1"/>
  <c r="N889" i="9"/>
  <c r="L1206" i="9"/>
  <c r="M1206" i="9" s="1"/>
  <c r="K1207" i="9"/>
  <c r="S888" i="9" l="1"/>
  <c r="F891" i="2" s="1"/>
  <c r="B889" i="3" s="1"/>
  <c r="B889" i="4" s="1"/>
  <c r="R888" i="9"/>
  <c r="E891" i="2" s="1"/>
  <c r="A889" i="3" s="1"/>
  <c r="A889" i="4" s="1"/>
  <c r="R887" i="9"/>
  <c r="E890" i="2" s="1"/>
  <c r="A888" i="3" s="1"/>
  <c r="A888" i="4" s="1"/>
  <c r="S887" i="9"/>
  <c r="F890" i="2" s="1"/>
  <c r="B888" i="3" s="1"/>
  <c r="B888" i="4" s="1"/>
  <c r="T888" i="9"/>
  <c r="G891" i="2" s="1"/>
  <c r="T887" i="9"/>
  <c r="G890" i="2" s="1"/>
  <c r="C888" i="3" s="1"/>
  <c r="C888" i="4" s="1"/>
  <c r="N890" i="9"/>
  <c r="O889" i="9"/>
  <c r="L1207" i="9"/>
  <c r="M1207" i="9" s="1"/>
  <c r="K1208" i="9"/>
  <c r="P889" i="9" l="1"/>
  <c r="C889" i="3"/>
  <c r="C889" i="4" s="1"/>
  <c r="O890" i="9"/>
  <c r="P890" i="9" s="1"/>
  <c r="N891" i="9"/>
  <c r="L1208" i="9"/>
  <c r="M1208" i="9" s="1"/>
  <c r="K1209" i="9"/>
  <c r="R890" i="9" l="1"/>
  <c r="E893" i="2" s="1"/>
  <c r="A891" i="3" s="1"/>
  <c r="A891" i="4" s="1"/>
  <c r="S890" i="9"/>
  <c r="F893" i="2" s="1"/>
  <c r="B891" i="3" s="1"/>
  <c r="B891" i="4" s="1"/>
  <c r="S889" i="9"/>
  <c r="F892" i="2" s="1"/>
  <c r="B890" i="3" s="1"/>
  <c r="B890" i="4" s="1"/>
  <c r="R889" i="9"/>
  <c r="E892" i="2" s="1"/>
  <c r="A890" i="3" s="1"/>
  <c r="A890" i="4" s="1"/>
  <c r="T890" i="9"/>
  <c r="G893" i="2" s="1"/>
  <c r="T889" i="9"/>
  <c r="G892" i="2" s="1"/>
  <c r="C890" i="3" s="1"/>
  <c r="C890" i="4" s="1"/>
  <c r="N892" i="9"/>
  <c r="O891" i="9"/>
  <c r="L1209" i="9"/>
  <c r="M1209" i="9" s="1"/>
  <c r="K1210" i="9"/>
  <c r="P891" i="9" l="1"/>
  <c r="C891" i="3"/>
  <c r="C891" i="4" s="1"/>
  <c r="O892" i="9"/>
  <c r="P892" i="9" s="1"/>
  <c r="N893" i="9"/>
  <c r="L1210" i="9"/>
  <c r="M1210" i="9" s="1"/>
  <c r="K1211" i="9"/>
  <c r="R891" i="9" l="1"/>
  <c r="E894" i="2" s="1"/>
  <c r="A892" i="3" s="1"/>
  <c r="A892" i="4" s="1"/>
  <c r="S891" i="9"/>
  <c r="F894" i="2" s="1"/>
  <c r="B892" i="3" s="1"/>
  <c r="B892" i="4" s="1"/>
  <c r="T892" i="9"/>
  <c r="G895" i="2" s="1"/>
  <c r="S892" i="9"/>
  <c r="F895" i="2" s="1"/>
  <c r="B893" i="3" s="1"/>
  <c r="B893" i="4" s="1"/>
  <c r="R892" i="9"/>
  <c r="E895" i="2" s="1"/>
  <c r="A893" i="3" s="1"/>
  <c r="A893" i="4" s="1"/>
  <c r="T891" i="9"/>
  <c r="G894" i="2" s="1"/>
  <c r="C892" i="3" s="1"/>
  <c r="C892" i="4" s="1"/>
  <c r="N894" i="9"/>
  <c r="O893" i="9"/>
  <c r="L1211" i="9"/>
  <c r="M1211" i="9" s="1"/>
  <c r="K1212" i="9"/>
  <c r="P893" i="9" l="1"/>
  <c r="C893" i="3"/>
  <c r="C893" i="4" s="1"/>
  <c r="O894" i="9"/>
  <c r="P894" i="9" s="1"/>
  <c r="N895" i="9"/>
  <c r="L1212" i="9"/>
  <c r="M1212" i="9" s="1"/>
  <c r="K1213" i="9"/>
  <c r="R894" i="9" l="1"/>
  <c r="E897" i="2" s="1"/>
  <c r="A895" i="3" s="1"/>
  <c r="A895" i="4" s="1"/>
  <c r="S894" i="9"/>
  <c r="F897" i="2" s="1"/>
  <c r="B895" i="3" s="1"/>
  <c r="B895" i="4" s="1"/>
  <c r="R893" i="9"/>
  <c r="E896" i="2" s="1"/>
  <c r="A894" i="3" s="1"/>
  <c r="A894" i="4" s="1"/>
  <c r="S893" i="9"/>
  <c r="F896" i="2" s="1"/>
  <c r="B894" i="3" s="1"/>
  <c r="B894" i="4" s="1"/>
  <c r="T894" i="9"/>
  <c r="G897" i="2" s="1"/>
  <c r="T893" i="9"/>
  <c r="G896" i="2" s="1"/>
  <c r="C894" i="3" s="1"/>
  <c r="C894" i="4" s="1"/>
  <c r="N896" i="9"/>
  <c r="O895" i="9"/>
  <c r="L1213" i="9"/>
  <c r="M1213" i="9" s="1"/>
  <c r="K1214" i="9"/>
  <c r="P895" i="9" l="1"/>
  <c r="S895" i="9" s="1"/>
  <c r="F898" i="2" s="1"/>
  <c r="B896" i="3" s="1"/>
  <c r="B896" i="4" s="1"/>
  <c r="C895" i="3"/>
  <c r="C895" i="4" s="1"/>
  <c r="O896" i="9"/>
  <c r="P896" i="9" s="1"/>
  <c r="N897" i="9"/>
  <c r="L1214" i="9"/>
  <c r="M1214" i="9" s="1"/>
  <c r="K1215" i="9"/>
  <c r="R895" i="9" l="1"/>
  <c r="E898" i="2" s="1"/>
  <c r="A896" i="3" s="1"/>
  <c r="A896" i="4" s="1"/>
  <c r="T895" i="9"/>
  <c r="G898" i="2" s="1"/>
  <c r="C896" i="3" s="1"/>
  <c r="C896" i="4" s="1"/>
  <c r="S896" i="9"/>
  <c r="F899" i="2" s="1"/>
  <c r="B897" i="3" s="1"/>
  <c r="B897" i="4" s="1"/>
  <c r="R896" i="9"/>
  <c r="E899" i="2" s="1"/>
  <c r="A897" i="3" s="1"/>
  <c r="A897" i="4" s="1"/>
  <c r="T896" i="9"/>
  <c r="G899" i="2" s="1"/>
  <c r="N898" i="9"/>
  <c r="O897" i="9"/>
  <c r="L1215" i="9"/>
  <c r="M1215" i="9" s="1"/>
  <c r="K1216" i="9"/>
  <c r="P897" i="9" l="1"/>
  <c r="T897" i="9" s="1"/>
  <c r="G900" i="2" s="1"/>
  <c r="C897" i="3"/>
  <c r="C897" i="4" s="1"/>
  <c r="O898" i="9"/>
  <c r="P898" i="9" s="1"/>
  <c r="N899" i="9"/>
  <c r="L1216" i="9"/>
  <c r="M1216" i="9" s="1"/>
  <c r="K1217" i="9"/>
  <c r="T898" i="9" l="1"/>
  <c r="G901" i="2" s="1"/>
  <c r="S898" i="9"/>
  <c r="F901" i="2" s="1"/>
  <c r="B899" i="3" s="1"/>
  <c r="B899" i="4" s="1"/>
  <c r="R898" i="9"/>
  <c r="E901" i="2" s="1"/>
  <c r="A899" i="3" s="1"/>
  <c r="A899" i="4" s="1"/>
  <c r="S897" i="9"/>
  <c r="F900" i="2" s="1"/>
  <c r="B898" i="3" s="1"/>
  <c r="B898" i="4" s="1"/>
  <c r="R897" i="9"/>
  <c r="E900" i="2" s="1"/>
  <c r="A898" i="3" s="1"/>
  <c r="A898" i="4" s="1"/>
  <c r="C898" i="3"/>
  <c r="C898" i="4" s="1"/>
  <c r="N900" i="9"/>
  <c r="O899" i="9"/>
  <c r="L1217" i="9"/>
  <c r="M1217" i="9" s="1"/>
  <c r="K1218" i="9"/>
  <c r="P899" i="9" l="1"/>
  <c r="T899" i="9" s="1"/>
  <c r="G902" i="2" s="1"/>
  <c r="C899" i="3"/>
  <c r="C899" i="4" s="1"/>
  <c r="O900" i="9"/>
  <c r="P900" i="9" s="1"/>
  <c r="N901" i="9"/>
  <c r="L1218" i="9"/>
  <c r="M1218" i="9" s="1"/>
  <c r="K1219" i="9"/>
  <c r="T900" i="9" l="1"/>
  <c r="S899" i="9"/>
  <c r="F902" i="2" s="1"/>
  <c r="B900" i="3" s="1"/>
  <c r="B900" i="4" s="1"/>
  <c r="R899" i="9"/>
  <c r="E902" i="2" s="1"/>
  <c r="A900" i="3" s="1"/>
  <c r="A900" i="4" s="1"/>
  <c r="R900" i="9"/>
  <c r="E903" i="2" s="1"/>
  <c r="A901" i="3" s="1"/>
  <c r="A901" i="4" s="1"/>
  <c r="S900" i="9"/>
  <c r="F903" i="2" s="1"/>
  <c r="B901" i="3" s="1"/>
  <c r="B901" i="4" s="1"/>
  <c r="C900" i="3"/>
  <c r="C900" i="4" s="1"/>
  <c r="N902" i="9"/>
  <c r="O901" i="9"/>
  <c r="G903" i="2"/>
  <c r="L1219" i="9"/>
  <c r="M1219" i="9" s="1"/>
  <c r="K1220" i="9"/>
  <c r="P901" i="9" l="1"/>
  <c r="C901" i="3"/>
  <c r="C901" i="4" s="1"/>
  <c r="N903" i="9"/>
  <c r="O902" i="9"/>
  <c r="P902" i="9" s="1"/>
  <c r="L1220" i="9"/>
  <c r="M1220" i="9" s="1"/>
  <c r="K1221" i="9"/>
  <c r="S902" i="9" l="1"/>
  <c r="F905" i="2" s="1"/>
  <c r="B903" i="3" s="1"/>
  <c r="B903" i="4" s="1"/>
  <c r="R902" i="9"/>
  <c r="E905" i="2" s="1"/>
  <c r="A903" i="3" s="1"/>
  <c r="A903" i="4" s="1"/>
  <c r="T902" i="9"/>
  <c r="G905" i="2" s="1"/>
  <c r="R901" i="9"/>
  <c r="E904" i="2" s="1"/>
  <c r="A902" i="3" s="1"/>
  <c r="A902" i="4" s="1"/>
  <c r="S901" i="9"/>
  <c r="F904" i="2" s="1"/>
  <c r="B902" i="3" s="1"/>
  <c r="B902" i="4" s="1"/>
  <c r="T901" i="9"/>
  <c r="G904" i="2" s="1"/>
  <c r="C902" i="3" s="1"/>
  <c r="C902" i="4" s="1"/>
  <c r="O903" i="9"/>
  <c r="N904" i="9"/>
  <c r="L1221" i="9"/>
  <c r="M1221" i="9" s="1"/>
  <c r="K1222" i="9"/>
  <c r="P903" i="9" l="1"/>
  <c r="C903" i="3"/>
  <c r="C903" i="4" s="1"/>
  <c r="N905" i="9"/>
  <c r="O904" i="9"/>
  <c r="P904" i="9" s="1"/>
  <c r="L1222" i="9"/>
  <c r="M1222" i="9" s="1"/>
  <c r="K1223" i="9"/>
  <c r="S903" i="9" l="1"/>
  <c r="F906" i="2" s="1"/>
  <c r="B904" i="3" s="1"/>
  <c r="B904" i="4" s="1"/>
  <c r="R903" i="9"/>
  <c r="E906" i="2" s="1"/>
  <c r="A904" i="3" s="1"/>
  <c r="A904" i="4" s="1"/>
  <c r="S904" i="9"/>
  <c r="F907" i="2" s="1"/>
  <c r="B905" i="3" s="1"/>
  <c r="B905" i="4" s="1"/>
  <c r="R904" i="9"/>
  <c r="E907" i="2" s="1"/>
  <c r="A905" i="3" s="1"/>
  <c r="A905" i="4" s="1"/>
  <c r="T904" i="9"/>
  <c r="G907" i="2" s="1"/>
  <c r="T903" i="9"/>
  <c r="G906" i="2" s="1"/>
  <c r="C904" i="3" s="1"/>
  <c r="C904" i="4" s="1"/>
  <c r="N906" i="9"/>
  <c r="O905" i="9"/>
  <c r="L1223" i="9"/>
  <c r="M1223" i="9" s="1"/>
  <c r="K1224" i="9"/>
  <c r="P905" i="9" l="1"/>
  <c r="T905" i="9" s="1"/>
  <c r="G908" i="2" s="1"/>
  <c r="C905" i="3"/>
  <c r="C905" i="4" s="1"/>
  <c r="N907" i="9"/>
  <c r="O906" i="9"/>
  <c r="P906" i="9" s="1"/>
  <c r="L1224" i="9"/>
  <c r="M1224" i="9" s="1"/>
  <c r="K1225" i="9"/>
  <c r="R906" i="9" l="1"/>
  <c r="E909" i="2" s="1"/>
  <c r="A907" i="3" s="1"/>
  <c r="A907" i="4" s="1"/>
  <c r="S906" i="9"/>
  <c r="F909" i="2" s="1"/>
  <c r="B907" i="3" s="1"/>
  <c r="B907" i="4" s="1"/>
  <c r="S905" i="9"/>
  <c r="F908" i="2" s="1"/>
  <c r="B906" i="3" s="1"/>
  <c r="B906" i="4" s="1"/>
  <c r="R905" i="9"/>
  <c r="E908" i="2" s="1"/>
  <c r="A906" i="3" s="1"/>
  <c r="A906" i="4" s="1"/>
  <c r="T906" i="9"/>
  <c r="G909" i="2" s="1"/>
  <c r="C906" i="3"/>
  <c r="C906" i="4" s="1"/>
  <c r="O907" i="9"/>
  <c r="N908" i="9"/>
  <c r="L1225" i="9"/>
  <c r="M1225" i="9" s="1"/>
  <c r="K1226" i="9"/>
  <c r="P907" i="9" l="1"/>
  <c r="T907" i="9" s="1"/>
  <c r="G910" i="2" s="1"/>
  <c r="C907" i="3"/>
  <c r="C907" i="4" s="1"/>
  <c r="O908" i="9"/>
  <c r="P908" i="9" s="1"/>
  <c r="N909" i="9"/>
  <c r="L1226" i="9"/>
  <c r="M1226" i="9" s="1"/>
  <c r="K1227" i="9"/>
  <c r="R908" i="9" l="1"/>
  <c r="E911" i="2" s="1"/>
  <c r="A909" i="3" s="1"/>
  <c r="A909" i="4" s="1"/>
  <c r="S908" i="9"/>
  <c r="F911" i="2" s="1"/>
  <c r="B909" i="3" s="1"/>
  <c r="B909" i="4" s="1"/>
  <c r="T908" i="9"/>
  <c r="G911" i="2" s="1"/>
  <c r="S907" i="9"/>
  <c r="F910" i="2" s="1"/>
  <c r="B908" i="3" s="1"/>
  <c r="B908" i="4" s="1"/>
  <c r="R907" i="9"/>
  <c r="E910" i="2" s="1"/>
  <c r="A908" i="3" s="1"/>
  <c r="A908" i="4" s="1"/>
  <c r="C908" i="3"/>
  <c r="C908" i="4" s="1"/>
  <c r="N910" i="9"/>
  <c r="O909" i="9"/>
  <c r="L1227" i="9"/>
  <c r="M1227" i="9" s="1"/>
  <c r="K1228" i="9"/>
  <c r="P909" i="9" l="1"/>
  <c r="T909" i="9" s="1"/>
  <c r="G912" i="2" s="1"/>
  <c r="C909" i="3"/>
  <c r="C909" i="4" s="1"/>
  <c r="O910" i="9"/>
  <c r="P910" i="9" s="1"/>
  <c r="N911" i="9"/>
  <c r="L1228" i="9"/>
  <c r="M1228" i="9" s="1"/>
  <c r="K1229" i="9"/>
  <c r="R910" i="9" l="1"/>
  <c r="E913" i="2" s="1"/>
  <c r="A911" i="3" s="1"/>
  <c r="A911" i="4" s="1"/>
  <c r="S910" i="9"/>
  <c r="F913" i="2" s="1"/>
  <c r="B911" i="3" s="1"/>
  <c r="B911" i="4" s="1"/>
  <c r="S909" i="9"/>
  <c r="F912" i="2" s="1"/>
  <c r="B910" i="3" s="1"/>
  <c r="B910" i="4" s="1"/>
  <c r="R909" i="9"/>
  <c r="E912" i="2" s="1"/>
  <c r="A910" i="3" s="1"/>
  <c r="A910" i="4" s="1"/>
  <c r="T910" i="9"/>
  <c r="G913" i="2" s="1"/>
  <c r="C910" i="3"/>
  <c r="C910" i="4" s="1"/>
  <c r="N912" i="9"/>
  <c r="O911" i="9"/>
  <c r="L1229" i="9"/>
  <c r="M1229" i="9" s="1"/>
  <c r="K1230" i="9"/>
  <c r="P911" i="9" l="1"/>
  <c r="C911" i="3"/>
  <c r="C911" i="4" s="1"/>
  <c r="N913" i="9"/>
  <c r="O912" i="9"/>
  <c r="P912" i="9" s="1"/>
  <c r="L1230" i="9"/>
  <c r="M1230" i="9" s="1"/>
  <c r="K1231" i="9"/>
  <c r="T912" i="9" l="1"/>
  <c r="G915" i="2" s="1"/>
  <c r="R911" i="9"/>
  <c r="E914" i="2" s="1"/>
  <c r="A912" i="3" s="1"/>
  <c r="A912" i="4" s="1"/>
  <c r="S911" i="9"/>
  <c r="F914" i="2" s="1"/>
  <c r="B912" i="3" s="1"/>
  <c r="B912" i="4" s="1"/>
  <c r="S912" i="9"/>
  <c r="F915" i="2" s="1"/>
  <c r="B913" i="3" s="1"/>
  <c r="B913" i="4" s="1"/>
  <c r="R912" i="9"/>
  <c r="E915" i="2" s="1"/>
  <c r="A913" i="3" s="1"/>
  <c r="A913" i="4" s="1"/>
  <c r="T911" i="9"/>
  <c r="G914" i="2" s="1"/>
  <c r="C912" i="3" s="1"/>
  <c r="C912" i="4" s="1"/>
  <c r="O913" i="9"/>
  <c r="N914" i="9"/>
  <c r="L1231" i="9"/>
  <c r="M1231" i="9" s="1"/>
  <c r="K1232" i="9"/>
  <c r="P913" i="9" l="1"/>
  <c r="C913" i="3"/>
  <c r="C913" i="4" s="1"/>
  <c r="O914" i="9"/>
  <c r="P914" i="9" s="1"/>
  <c r="N915" i="9"/>
  <c r="L1232" i="9"/>
  <c r="M1232" i="9" s="1"/>
  <c r="K1233" i="9"/>
  <c r="R914" i="9" l="1"/>
  <c r="E917" i="2" s="1"/>
  <c r="A915" i="3" s="1"/>
  <c r="A915" i="4" s="1"/>
  <c r="S914" i="9"/>
  <c r="F917" i="2" s="1"/>
  <c r="B915" i="3" s="1"/>
  <c r="B915" i="4" s="1"/>
  <c r="S913" i="9"/>
  <c r="F916" i="2" s="1"/>
  <c r="B914" i="3" s="1"/>
  <c r="B914" i="4" s="1"/>
  <c r="R913" i="9"/>
  <c r="E916" i="2" s="1"/>
  <c r="A914" i="3" s="1"/>
  <c r="A914" i="4" s="1"/>
  <c r="T914" i="9"/>
  <c r="T913" i="9"/>
  <c r="G916" i="2" s="1"/>
  <c r="C914" i="3" s="1"/>
  <c r="C914" i="4" s="1"/>
  <c r="N916" i="9"/>
  <c r="O915" i="9"/>
  <c r="G917" i="2"/>
  <c r="L1233" i="9"/>
  <c r="M1233" i="9" s="1"/>
  <c r="K1234" i="9"/>
  <c r="P915" i="9" l="1"/>
  <c r="T915" i="9" s="1"/>
  <c r="G918" i="2" s="1"/>
  <c r="C915" i="3"/>
  <c r="C915" i="4" s="1"/>
  <c r="O916" i="9"/>
  <c r="P916" i="9" s="1"/>
  <c r="N917" i="9"/>
  <c r="L1234" i="9"/>
  <c r="M1234" i="9" s="1"/>
  <c r="K1235" i="9"/>
  <c r="T916" i="9" l="1"/>
  <c r="S915" i="9"/>
  <c r="F918" i="2" s="1"/>
  <c r="B916" i="3" s="1"/>
  <c r="B916" i="4" s="1"/>
  <c r="R915" i="9"/>
  <c r="E918" i="2" s="1"/>
  <c r="A916" i="3" s="1"/>
  <c r="A916" i="4" s="1"/>
  <c r="R916" i="9"/>
  <c r="E919" i="2" s="1"/>
  <c r="A917" i="3" s="1"/>
  <c r="A917" i="4" s="1"/>
  <c r="S916" i="9"/>
  <c r="F919" i="2" s="1"/>
  <c r="B917" i="3" s="1"/>
  <c r="B917" i="4" s="1"/>
  <c r="C916" i="3"/>
  <c r="C916" i="4" s="1"/>
  <c r="N918" i="9"/>
  <c r="O917" i="9"/>
  <c r="G919" i="2"/>
  <c r="L1235" i="9"/>
  <c r="M1235" i="9" s="1"/>
  <c r="K1236" i="9"/>
  <c r="P917" i="9" l="1"/>
  <c r="T917" i="9" s="1"/>
  <c r="G920" i="2" s="1"/>
  <c r="C917" i="3"/>
  <c r="C917" i="4" s="1"/>
  <c r="N919" i="9"/>
  <c r="O918" i="9"/>
  <c r="P918" i="9" s="1"/>
  <c r="L1236" i="9"/>
  <c r="M1236" i="9" s="1"/>
  <c r="K1237" i="9"/>
  <c r="T918" i="9" l="1"/>
  <c r="G921" i="2" s="1"/>
  <c r="R918" i="9"/>
  <c r="E921" i="2" s="1"/>
  <c r="A919" i="3" s="1"/>
  <c r="A919" i="4" s="1"/>
  <c r="S918" i="9"/>
  <c r="F921" i="2" s="1"/>
  <c r="B919" i="3" s="1"/>
  <c r="B919" i="4" s="1"/>
  <c r="R917" i="9"/>
  <c r="E920" i="2" s="1"/>
  <c r="A918" i="3" s="1"/>
  <c r="A918" i="4" s="1"/>
  <c r="S917" i="9"/>
  <c r="F920" i="2" s="1"/>
  <c r="B918" i="3" s="1"/>
  <c r="B918" i="4" s="1"/>
  <c r="C918" i="3"/>
  <c r="C918" i="4" s="1"/>
  <c r="N920" i="9"/>
  <c r="O919" i="9"/>
  <c r="L1237" i="9"/>
  <c r="M1237" i="9" s="1"/>
  <c r="K1238" i="9"/>
  <c r="P919" i="9" l="1"/>
  <c r="T919" i="9" s="1"/>
  <c r="G922" i="2" s="1"/>
  <c r="C919" i="3"/>
  <c r="C919" i="4" s="1"/>
  <c r="N921" i="9"/>
  <c r="O920" i="9"/>
  <c r="P920" i="9" s="1"/>
  <c r="L1238" i="9"/>
  <c r="M1238" i="9" s="1"/>
  <c r="K1239" i="9"/>
  <c r="T920" i="9" l="1"/>
  <c r="S920" i="9"/>
  <c r="F923" i="2" s="1"/>
  <c r="B921" i="3" s="1"/>
  <c r="B921" i="4" s="1"/>
  <c r="R920" i="9"/>
  <c r="E923" i="2" s="1"/>
  <c r="A921" i="3" s="1"/>
  <c r="A921" i="4" s="1"/>
  <c r="S919" i="9"/>
  <c r="F922" i="2" s="1"/>
  <c r="B920" i="3" s="1"/>
  <c r="B920" i="4" s="1"/>
  <c r="R919" i="9"/>
  <c r="E922" i="2" s="1"/>
  <c r="A920" i="3" s="1"/>
  <c r="A920" i="4" s="1"/>
  <c r="C920" i="3"/>
  <c r="C920" i="4" s="1"/>
  <c r="N922" i="9"/>
  <c r="O921" i="9"/>
  <c r="G923" i="2"/>
  <c r="L1239" i="9"/>
  <c r="M1239" i="9" s="1"/>
  <c r="K1240" i="9"/>
  <c r="P921" i="9" l="1"/>
  <c r="T921" i="9" s="1"/>
  <c r="G924" i="2" s="1"/>
  <c r="C921" i="3"/>
  <c r="C921" i="4" s="1"/>
  <c r="N923" i="9"/>
  <c r="O922" i="9"/>
  <c r="P922" i="9" s="1"/>
  <c r="L1240" i="9"/>
  <c r="M1240" i="9" s="1"/>
  <c r="K1241" i="9"/>
  <c r="T922" i="9" l="1"/>
  <c r="G925" i="2" s="1"/>
  <c r="R921" i="9"/>
  <c r="E924" i="2" s="1"/>
  <c r="A922" i="3" s="1"/>
  <c r="A922" i="4" s="1"/>
  <c r="S921" i="9"/>
  <c r="F924" i="2" s="1"/>
  <c r="B922" i="3" s="1"/>
  <c r="B922" i="4" s="1"/>
  <c r="R922" i="9"/>
  <c r="E925" i="2" s="1"/>
  <c r="A923" i="3" s="1"/>
  <c r="A923" i="4" s="1"/>
  <c r="S922" i="9"/>
  <c r="F925" i="2" s="1"/>
  <c r="B923" i="3" s="1"/>
  <c r="B923" i="4" s="1"/>
  <c r="C922" i="3"/>
  <c r="C922" i="4" s="1"/>
  <c r="O923" i="9"/>
  <c r="N924" i="9"/>
  <c r="L1241" i="9"/>
  <c r="M1241" i="9" s="1"/>
  <c r="K1242" i="9"/>
  <c r="P923" i="9" l="1"/>
  <c r="T923" i="9" s="1"/>
  <c r="G926" i="2" s="1"/>
  <c r="C923" i="3"/>
  <c r="C923" i="4" s="1"/>
  <c r="N925" i="9"/>
  <c r="O924" i="9"/>
  <c r="P924" i="9" s="1"/>
  <c r="L1242" i="9"/>
  <c r="M1242" i="9" s="1"/>
  <c r="K1243" i="9"/>
  <c r="T924" i="9" l="1"/>
  <c r="G927" i="2" s="1"/>
  <c r="S924" i="9"/>
  <c r="F927" i="2" s="1"/>
  <c r="B925" i="3" s="1"/>
  <c r="B925" i="4" s="1"/>
  <c r="R924" i="9"/>
  <c r="E927" i="2" s="1"/>
  <c r="A925" i="3" s="1"/>
  <c r="A925" i="4" s="1"/>
  <c r="S923" i="9"/>
  <c r="F926" i="2" s="1"/>
  <c r="B924" i="3" s="1"/>
  <c r="B924" i="4" s="1"/>
  <c r="R923" i="9"/>
  <c r="E926" i="2" s="1"/>
  <c r="A924" i="3" s="1"/>
  <c r="A924" i="4" s="1"/>
  <c r="C924" i="3"/>
  <c r="C924" i="4" s="1"/>
  <c r="N926" i="9"/>
  <c r="O925" i="9"/>
  <c r="L1243" i="9"/>
  <c r="M1243" i="9" s="1"/>
  <c r="K1244" i="9"/>
  <c r="P925" i="9" l="1"/>
  <c r="T925" i="9" s="1"/>
  <c r="G928" i="2" s="1"/>
  <c r="C925" i="3"/>
  <c r="C925" i="4" s="1"/>
  <c r="O926" i="9"/>
  <c r="P926" i="9" s="1"/>
  <c r="N927" i="9"/>
  <c r="L1244" i="9"/>
  <c r="M1244" i="9" s="1"/>
  <c r="K1245" i="9"/>
  <c r="S926" i="9" l="1"/>
  <c r="F929" i="2" s="1"/>
  <c r="B927" i="3" s="1"/>
  <c r="B927" i="4" s="1"/>
  <c r="R926" i="9"/>
  <c r="E929" i="2" s="1"/>
  <c r="A927" i="3" s="1"/>
  <c r="A927" i="4" s="1"/>
  <c r="S925" i="9"/>
  <c r="F928" i="2" s="1"/>
  <c r="B926" i="3" s="1"/>
  <c r="B926" i="4" s="1"/>
  <c r="R925" i="9"/>
  <c r="E928" i="2" s="1"/>
  <c r="A926" i="3" s="1"/>
  <c r="A926" i="4" s="1"/>
  <c r="T926" i="9"/>
  <c r="G929" i="2" s="1"/>
  <c r="C926" i="3"/>
  <c r="C926" i="4" s="1"/>
  <c r="N928" i="9"/>
  <c r="O927" i="9"/>
  <c r="L1245" i="9"/>
  <c r="M1245" i="9" s="1"/>
  <c r="K1246" i="9"/>
  <c r="P927" i="9" l="1"/>
  <c r="T927" i="9" s="1"/>
  <c r="G930" i="2" s="1"/>
  <c r="C927" i="3"/>
  <c r="C927" i="4" s="1"/>
  <c r="O928" i="9"/>
  <c r="P928" i="9" s="1"/>
  <c r="N929" i="9"/>
  <c r="L1246" i="9"/>
  <c r="M1246" i="9" s="1"/>
  <c r="K1247" i="9"/>
  <c r="T928" i="9" l="1"/>
  <c r="R927" i="9"/>
  <c r="E930" i="2" s="1"/>
  <c r="A928" i="3" s="1"/>
  <c r="A928" i="4" s="1"/>
  <c r="S927" i="9"/>
  <c r="F930" i="2" s="1"/>
  <c r="B928" i="3" s="1"/>
  <c r="B928" i="4" s="1"/>
  <c r="S928" i="9"/>
  <c r="F931" i="2" s="1"/>
  <c r="B929" i="3" s="1"/>
  <c r="B929" i="4" s="1"/>
  <c r="R928" i="9"/>
  <c r="E931" i="2" s="1"/>
  <c r="A929" i="3" s="1"/>
  <c r="A929" i="4" s="1"/>
  <c r="C928" i="3"/>
  <c r="C928" i="4" s="1"/>
  <c r="N930" i="9"/>
  <c r="O929" i="9"/>
  <c r="G931" i="2"/>
  <c r="L1247" i="9"/>
  <c r="M1247" i="9" s="1"/>
  <c r="K1248" i="9"/>
  <c r="P929" i="9" l="1"/>
  <c r="C929" i="3"/>
  <c r="C929" i="4" s="1"/>
  <c r="O930" i="9"/>
  <c r="P930" i="9" s="1"/>
  <c r="N931" i="9"/>
  <c r="L1248" i="9"/>
  <c r="M1248" i="9" s="1"/>
  <c r="K1249" i="9"/>
  <c r="T930" i="9" l="1"/>
  <c r="R930" i="9"/>
  <c r="E933" i="2" s="1"/>
  <c r="A931" i="3" s="1"/>
  <c r="A931" i="4" s="1"/>
  <c r="S930" i="9"/>
  <c r="F933" i="2" s="1"/>
  <c r="B931" i="3" s="1"/>
  <c r="B931" i="4" s="1"/>
  <c r="S929" i="9"/>
  <c r="F932" i="2" s="1"/>
  <c r="B930" i="3" s="1"/>
  <c r="B930" i="4" s="1"/>
  <c r="R929" i="9"/>
  <c r="E932" i="2" s="1"/>
  <c r="A930" i="3" s="1"/>
  <c r="A930" i="4" s="1"/>
  <c r="T929" i="9"/>
  <c r="G932" i="2" s="1"/>
  <c r="C930" i="3" s="1"/>
  <c r="C930" i="4" s="1"/>
  <c r="N932" i="9"/>
  <c r="O931" i="9"/>
  <c r="G933" i="2"/>
  <c r="L1249" i="9"/>
  <c r="M1249" i="9" s="1"/>
  <c r="K1250" i="9"/>
  <c r="P931" i="9" l="1"/>
  <c r="T931" i="9" s="1"/>
  <c r="G934" i="2" s="1"/>
  <c r="C931" i="3"/>
  <c r="C931" i="4" s="1"/>
  <c r="O932" i="9"/>
  <c r="P932" i="9" s="1"/>
  <c r="N933" i="9"/>
  <c r="L1250" i="9"/>
  <c r="M1250" i="9" s="1"/>
  <c r="K1251" i="9"/>
  <c r="T932" i="9" l="1"/>
  <c r="G935" i="2" s="1"/>
  <c r="S932" i="9"/>
  <c r="F935" i="2" s="1"/>
  <c r="B933" i="3" s="1"/>
  <c r="B933" i="4" s="1"/>
  <c r="R932" i="9"/>
  <c r="E935" i="2" s="1"/>
  <c r="A933" i="3" s="1"/>
  <c r="A933" i="4" s="1"/>
  <c r="S931" i="9"/>
  <c r="F934" i="2" s="1"/>
  <c r="B932" i="3" s="1"/>
  <c r="B932" i="4" s="1"/>
  <c r="R931" i="9"/>
  <c r="E934" i="2" s="1"/>
  <c r="A932" i="3" s="1"/>
  <c r="A932" i="4" s="1"/>
  <c r="C932" i="3"/>
  <c r="C932" i="4" s="1"/>
  <c r="O933" i="9"/>
  <c r="N934" i="9"/>
  <c r="L1251" i="9"/>
  <c r="M1251" i="9" s="1"/>
  <c r="K1252" i="9"/>
  <c r="P933" i="9" l="1"/>
  <c r="T933" i="9" s="1"/>
  <c r="G936" i="2" s="1"/>
  <c r="C933" i="3"/>
  <c r="C933" i="4" s="1"/>
  <c r="N935" i="9"/>
  <c r="O934" i="9"/>
  <c r="P934" i="9" s="1"/>
  <c r="L1252" i="9"/>
  <c r="M1252" i="9" s="1"/>
  <c r="K1253" i="9"/>
  <c r="R934" i="9" l="1"/>
  <c r="E937" i="2" s="1"/>
  <c r="A935" i="3" s="1"/>
  <c r="A935" i="4" s="1"/>
  <c r="S934" i="9"/>
  <c r="F937" i="2" s="1"/>
  <c r="B935" i="3" s="1"/>
  <c r="B935" i="4" s="1"/>
  <c r="T934" i="9"/>
  <c r="G937" i="2" s="1"/>
  <c r="R933" i="9"/>
  <c r="E936" i="2" s="1"/>
  <c r="A934" i="3" s="1"/>
  <c r="A934" i="4" s="1"/>
  <c r="S933" i="9"/>
  <c r="F936" i="2" s="1"/>
  <c r="B934" i="3" s="1"/>
  <c r="B934" i="4" s="1"/>
  <c r="C934" i="3"/>
  <c r="C934" i="4" s="1"/>
  <c r="N936" i="9"/>
  <c r="O935" i="9"/>
  <c r="L1253" i="9"/>
  <c r="M1253" i="9" s="1"/>
  <c r="K1254" i="9"/>
  <c r="P935" i="9" l="1"/>
  <c r="T935" i="9" s="1"/>
  <c r="G938" i="2" s="1"/>
  <c r="C935" i="3"/>
  <c r="C935" i="4" s="1"/>
  <c r="O936" i="9"/>
  <c r="P936" i="9" s="1"/>
  <c r="N937" i="9"/>
  <c r="L1254" i="9"/>
  <c r="M1254" i="9" s="1"/>
  <c r="K1255" i="9"/>
  <c r="T936" i="9" l="1"/>
  <c r="G939" i="2" s="1"/>
  <c r="R936" i="9"/>
  <c r="E939" i="2" s="1"/>
  <c r="A937" i="3" s="1"/>
  <c r="A937" i="4" s="1"/>
  <c r="S936" i="9"/>
  <c r="F939" i="2" s="1"/>
  <c r="B937" i="3" s="1"/>
  <c r="B937" i="4" s="1"/>
  <c r="R935" i="9"/>
  <c r="E938" i="2" s="1"/>
  <c r="A936" i="3" s="1"/>
  <c r="A936" i="4" s="1"/>
  <c r="S935" i="9"/>
  <c r="F938" i="2" s="1"/>
  <c r="B936" i="3" s="1"/>
  <c r="B936" i="4" s="1"/>
  <c r="C936" i="3"/>
  <c r="C936" i="4" s="1"/>
  <c r="N938" i="9"/>
  <c r="O937" i="9"/>
  <c r="L1255" i="9"/>
  <c r="M1255" i="9" s="1"/>
  <c r="K1256" i="9"/>
  <c r="P937" i="9" l="1"/>
  <c r="T937" i="9" s="1"/>
  <c r="G940" i="2" s="1"/>
  <c r="C937" i="3"/>
  <c r="C937" i="4" s="1"/>
  <c r="O938" i="9"/>
  <c r="P938" i="9" s="1"/>
  <c r="N939" i="9"/>
  <c r="L1256" i="9"/>
  <c r="M1256" i="9" s="1"/>
  <c r="K1257" i="9"/>
  <c r="R938" i="9" l="1"/>
  <c r="E941" i="2" s="1"/>
  <c r="A939" i="3" s="1"/>
  <c r="A939" i="4" s="1"/>
  <c r="S938" i="9"/>
  <c r="F941" i="2" s="1"/>
  <c r="B939" i="3" s="1"/>
  <c r="B939" i="4" s="1"/>
  <c r="R937" i="9"/>
  <c r="E940" i="2" s="1"/>
  <c r="A938" i="3" s="1"/>
  <c r="A938" i="4" s="1"/>
  <c r="S937" i="9"/>
  <c r="F940" i="2" s="1"/>
  <c r="B938" i="3" s="1"/>
  <c r="B938" i="4" s="1"/>
  <c r="T938" i="9"/>
  <c r="G941" i="2" s="1"/>
  <c r="C938" i="3"/>
  <c r="C938" i="4" s="1"/>
  <c r="N940" i="9"/>
  <c r="O939" i="9"/>
  <c r="L1257" i="9"/>
  <c r="M1257" i="9" s="1"/>
  <c r="K1258" i="9"/>
  <c r="P939" i="9" l="1"/>
  <c r="T939" i="9" s="1"/>
  <c r="G942" i="2" s="1"/>
  <c r="C939" i="3"/>
  <c r="C939" i="4" s="1"/>
  <c r="N941" i="9"/>
  <c r="O940" i="9"/>
  <c r="P940" i="9" s="1"/>
  <c r="L1258" i="9"/>
  <c r="M1258" i="9" s="1"/>
  <c r="K1259" i="9"/>
  <c r="T940" i="9" l="1"/>
  <c r="G943" i="2" s="1"/>
  <c r="R939" i="9"/>
  <c r="E942" i="2" s="1"/>
  <c r="A940" i="3" s="1"/>
  <c r="A940" i="4" s="1"/>
  <c r="S939" i="9"/>
  <c r="F942" i="2" s="1"/>
  <c r="B940" i="3" s="1"/>
  <c r="B940" i="4" s="1"/>
  <c r="S940" i="9"/>
  <c r="F943" i="2" s="1"/>
  <c r="B941" i="3" s="1"/>
  <c r="B941" i="4" s="1"/>
  <c r="R940" i="9"/>
  <c r="E943" i="2" s="1"/>
  <c r="A941" i="3" s="1"/>
  <c r="A941" i="4" s="1"/>
  <c r="C940" i="3"/>
  <c r="C940" i="4" s="1"/>
  <c r="N942" i="9"/>
  <c r="O941" i="9"/>
  <c r="L1259" i="9"/>
  <c r="M1259" i="9" s="1"/>
  <c r="K1260" i="9"/>
  <c r="P941" i="9" l="1"/>
  <c r="C941" i="3"/>
  <c r="C941" i="4" s="1"/>
  <c r="N943" i="9"/>
  <c r="O942" i="9"/>
  <c r="P942" i="9" s="1"/>
  <c r="L1260" i="9"/>
  <c r="M1260" i="9" s="1"/>
  <c r="K1261" i="9"/>
  <c r="T942" i="9" l="1"/>
  <c r="R942" i="9"/>
  <c r="E945" i="2" s="1"/>
  <c r="A943" i="3" s="1"/>
  <c r="A943" i="4" s="1"/>
  <c r="S942" i="9"/>
  <c r="F945" i="2" s="1"/>
  <c r="B943" i="3" s="1"/>
  <c r="B943" i="4" s="1"/>
  <c r="R941" i="9"/>
  <c r="E944" i="2" s="1"/>
  <c r="A942" i="3" s="1"/>
  <c r="A942" i="4" s="1"/>
  <c r="S941" i="9"/>
  <c r="F944" i="2" s="1"/>
  <c r="B942" i="3" s="1"/>
  <c r="B942" i="4" s="1"/>
  <c r="T941" i="9"/>
  <c r="G944" i="2" s="1"/>
  <c r="C942" i="3" s="1"/>
  <c r="C942" i="4" s="1"/>
  <c r="N944" i="9"/>
  <c r="O943" i="9"/>
  <c r="G945" i="2"/>
  <c r="L1261" i="9"/>
  <c r="M1261" i="9" s="1"/>
  <c r="K1262" i="9"/>
  <c r="P943" i="9" l="1"/>
  <c r="T943" i="9" s="1"/>
  <c r="G946" i="2" s="1"/>
  <c r="C943" i="3"/>
  <c r="C943" i="4" s="1"/>
  <c r="O944" i="9"/>
  <c r="P944" i="9" s="1"/>
  <c r="N945" i="9"/>
  <c r="L1262" i="9"/>
  <c r="M1262" i="9" s="1"/>
  <c r="K1263" i="9"/>
  <c r="S944" i="9" l="1"/>
  <c r="F947" i="2" s="1"/>
  <c r="B945" i="3" s="1"/>
  <c r="B945" i="4" s="1"/>
  <c r="R944" i="9"/>
  <c r="E947" i="2" s="1"/>
  <c r="A945" i="3" s="1"/>
  <c r="A945" i="4" s="1"/>
  <c r="S943" i="9"/>
  <c r="F946" i="2" s="1"/>
  <c r="B944" i="3" s="1"/>
  <c r="B944" i="4" s="1"/>
  <c r="R943" i="9"/>
  <c r="E946" i="2" s="1"/>
  <c r="A944" i="3" s="1"/>
  <c r="A944" i="4" s="1"/>
  <c r="T944" i="9"/>
  <c r="G947" i="2" s="1"/>
  <c r="C944" i="3"/>
  <c r="C944" i="4" s="1"/>
  <c r="O945" i="9"/>
  <c r="N946" i="9"/>
  <c r="L1263" i="9"/>
  <c r="M1263" i="9" s="1"/>
  <c r="K1264" i="9"/>
  <c r="P945" i="9" l="1"/>
  <c r="T945" i="9" s="1"/>
  <c r="G948" i="2" s="1"/>
  <c r="C945" i="3"/>
  <c r="C945" i="4" s="1"/>
  <c r="N947" i="9"/>
  <c r="O946" i="9"/>
  <c r="P946" i="9" s="1"/>
  <c r="L1264" i="9"/>
  <c r="M1264" i="9" s="1"/>
  <c r="K1265" i="9"/>
  <c r="R945" i="9" l="1"/>
  <c r="E948" i="2" s="1"/>
  <c r="A946" i="3" s="1"/>
  <c r="A946" i="4" s="1"/>
  <c r="S945" i="9"/>
  <c r="F948" i="2" s="1"/>
  <c r="B946" i="3" s="1"/>
  <c r="B946" i="4" s="1"/>
  <c r="T946" i="9"/>
  <c r="G949" i="2" s="1"/>
  <c r="S946" i="9"/>
  <c r="F949" i="2" s="1"/>
  <c r="B947" i="3" s="1"/>
  <c r="B947" i="4" s="1"/>
  <c r="R946" i="9"/>
  <c r="E949" i="2" s="1"/>
  <c r="A947" i="3" s="1"/>
  <c r="A947" i="4" s="1"/>
  <c r="C946" i="3"/>
  <c r="C946" i="4" s="1"/>
  <c r="N948" i="9"/>
  <c r="O947" i="9"/>
  <c r="L1265" i="9"/>
  <c r="M1265" i="9" s="1"/>
  <c r="K1266" i="9"/>
  <c r="P947" i="9" l="1"/>
  <c r="T947" i="9" s="1"/>
  <c r="G950" i="2" s="1"/>
  <c r="C947" i="3"/>
  <c r="C947" i="4" s="1"/>
  <c r="O948" i="9"/>
  <c r="P948" i="9" s="1"/>
  <c r="N949" i="9"/>
  <c r="L1266" i="9"/>
  <c r="M1266" i="9" s="1"/>
  <c r="K1267" i="9"/>
  <c r="S947" i="9" l="1"/>
  <c r="F950" i="2" s="1"/>
  <c r="B948" i="3" s="1"/>
  <c r="B948" i="4" s="1"/>
  <c r="R947" i="9"/>
  <c r="E950" i="2" s="1"/>
  <c r="A948" i="3" s="1"/>
  <c r="A948" i="4" s="1"/>
  <c r="S948" i="9"/>
  <c r="F951" i="2" s="1"/>
  <c r="B949" i="3" s="1"/>
  <c r="B949" i="4" s="1"/>
  <c r="R948" i="9"/>
  <c r="E951" i="2" s="1"/>
  <c r="A949" i="3" s="1"/>
  <c r="A949" i="4" s="1"/>
  <c r="T948" i="9"/>
  <c r="G951" i="2" s="1"/>
  <c r="C948" i="3"/>
  <c r="C948" i="4" s="1"/>
  <c r="O949" i="9"/>
  <c r="N950" i="9"/>
  <c r="L1267" i="9"/>
  <c r="M1267" i="9" s="1"/>
  <c r="K1268" i="9"/>
  <c r="P949" i="9" l="1"/>
  <c r="T949" i="9" s="1"/>
  <c r="G952" i="2" s="1"/>
  <c r="C949" i="3"/>
  <c r="C949" i="4" s="1"/>
  <c r="N951" i="9"/>
  <c r="O950" i="9"/>
  <c r="P950" i="9" s="1"/>
  <c r="L1268" i="9"/>
  <c r="M1268" i="9" s="1"/>
  <c r="K1269" i="9"/>
  <c r="S950" i="9" l="1"/>
  <c r="F953" i="2" s="1"/>
  <c r="B951" i="3" s="1"/>
  <c r="B951" i="4" s="1"/>
  <c r="R950" i="9"/>
  <c r="E953" i="2" s="1"/>
  <c r="A951" i="3" s="1"/>
  <c r="A951" i="4" s="1"/>
  <c r="T950" i="9"/>
  <c r="G953" i="2" s="1"/>
  <c r="R949" i="9"/>
  <c r="E952" i="2" s="1"/>
  <c r="A950" i="3" s="1"/>
  <c r="A950" i="4" s="1"/>
  <c r="S949" i="9"/>
  <c r="F952" i="2" s="1"/>
  <c r="B950" i="3" s="1"/>
  <c r="B950" i="4" s="1"/>
  <c r="C950" i="3"/>
  <c r="C950" i="4" s="1"/>
  <c r="N952" i="9"/>
  <c r="O951" i="9"/>
  <c r="L1269" i="9"/>
  <c r="M1269" i="9" s="1"/>
  <c r="K1270" i="9"/>
  <c r="P951" i="9" l="1"/>
  <c r="C951" i="3"/>
  <c r="C951" i="4" s="1"/>
  <c r="O952" i="9"/>
  <c r="P952" i="9" s="1"/>
  <c r="N953" i="9"/>
  <c r="L1270" i="9"/>
  <c r="M1270" i="9" s="1"/>
  <c r="K1271" i="9"/>
  <c r="R951" i="9" l="1"/>
  <c r="E954" i="2" s="1"/>
  <c r="A952" i="3" s="1"/>
  <c r="A952" i="4" s="1"/>
  <c r="S951" i="9"/>
  <c r="F954" i="2" s="1"/>
  <c r="B952" i="3" s="1"/>
  <c r="B952" i="4" s="1"/>
  <c r="S952" i="9"/>
  <c r="F955" i="2" s="1"/>
  <c r="B953" i="3" s="1"/>
  <c r="B953" i="4" s="1"/>
  <c r="R952" i="9"/>
  <c r="E955" i="2" s="1"/>
  <c r="A953" i="3" s="1"/>
  <c r="A953" i="4" s="1"/>
  <c r="T952" i="9"/>
  <c r="G955" i="2" s="1"/>
  <c r="T951" i="9"/>
  <c r="G954" i="2" s="1"/>
  <c r="C952" i="3" s="1"/>
  <c r="C952" i="4" s="1"/>
  <c r="N954" i="9"/>
  <c r="O953" i="9"/>
  <c r="L1271" i="9"/>
  <c r="M1271" i="9" s="1"/>
  <c r="K1272" i="9"/>
  <c r="P953" i="9" l="1"/>
  <c r="T953" i="9" s="1"/>
  <c r="G956" i="2" s="1"/>
  <c r="C953" i="3"/>
  <c r="C953" i="4" s="1"/>
  <c r="N955" i="9"/>
  <c r="O954" i="9"/>
  <c r="P954" i="9" s="1"/>
  <c r="L1272" i="9"/>
  <c r="M1272" i="9" s="1"/>
  <c r="K1273" i="9"/>
  <c r="T954" i="9" l="1"/>
  <c r="G957" i="2" s="1"/>
  <c r="R953" i="9"/>
  <c r="E956" i="2" s="1"/>
  <c r="A954" i="3" s="1"/>
  <c r="A954" i="4" s="1"/>
  <c r="S953" i="9"/>
  <c r="F956" i="2" s="1"/>
  <c r="B954" i="3" s="1"/>
  <c r="B954" i="4" s="1"/>
  <c r="R954" i="9"/>
  <c r="E957" i="2" s="1"/>
  <c r="A955" i="3" s="1"/>
  <c r="A955" i="4" s="1"/>
  <c r="S954" i="9"/>
  <c r="F957" i="2" s="1"/>
  <c r="B955" i="3" s="1"/>
  <c r="B955" i="4" s="1"/>
  <c r="C954" i="3"/>
  <c r="C954" i="4" s="1"/>
  <c r="O955" i="9"/>
  <c r="N956" i="9"/>
  <c r="L1273" i="9"/>
  <c r="M1273" i="9" s="1"/>
  <c r="K1274" i="9"/>
  <c r="P955" i="9" l="1"/>
  <c r="C955" i="3"/>
  <c r="C955" i="4" s="1"/>
  <c r="O956" i="9"/>
  <c r="P956" i="9" s="1"/>
  <c r="N957" i="9"/>
  <c r="L1274" i="9"/>
  <c r="M1274" i="9" s="1"/>
  <c r="K1275" i="9"/>
  <c r="R955" i="9" l="1"/>
  <c r="E958" i="2" s="1"/>
  <c r="A956" i="3" s="1"/>
  <c r="A956" i="4" s="1"/>
  <c r="S955" i="9"/>
  <c r="F958" i="2" s="1"/>
  <c r="B956" i="3" s="1"/>
  <c r="B956" i="4" s="1"/>
  <c r="S956" i="9"/>
  <c r="F959" i="2" s="1"/>
  <c r="B957" i="3" s="1"/>
  <c r="B957" i="4" s="1"/>
  <c r="R956" i="9"/>
  <c r="E959" i="2" s="1"/>
  <c r="A957" i="3" s="1"/>
  <c r="A957" i="4" s="1"/>
  <c r="T956" i="9"/>
  <c r="G959" i="2" s="1"/>
  <c r="T955" i="9"/>
  <c r="G958" i="2" s="1"/>
  <c r="C956" i="3" s="1"/>
  <c r="C956" i="4" s="1"/>
  <c r="N958" i="9"/>
  <c r="O957" i="9"/>
  <c r="L1275" i="9"/>
  <c r="M1275" i="9" s="1"/>
  <c r="K1276" i="9"/>
  <c r="P957" i="9" l="1"/>
  <c r="T957" i="9" s="1"/>
  <c r="G960" i="2" s="1"/>
  <c r="C957" i="3"/>
  <c r="C957" i="4" s="1"/>
  <c r="N959" i="9"/>
  <c r="O958" i="9"/>
  <c r="P958" i="9" s="1"/>
  <c r="L1276" i="9"/>
  <c r="M1276" i="9" s="1"/>
  <c r="K1277" i="9"/>
  <c r="S957" i="9" l="1"/>
  <c r="F960" i="2" s="1"/>
  <c r="B958" i="3" s="1"/>
  <c r="B958" i="4" s="1"/>
  <c r="R957" i="9"/>
  <c r="E960" i="2" s="1"/>
  <c r="A958" i="3" s="1"/>
  <c r="A958" i="4" s="1"/>
  <c r="T958" i="9"/>
  <c r="G961" i="2" s="1"/>
  <c r="R958" i="9"/>
  <c r="E961" i="2" s="1"/>
  <c r="A959" i="3" s="1"/>
  <c r="A959" i="4" s="1"/>
  <c r="S958" i="9"/>
  <c r="F961" i="2" s="1"/>
  <c r="B959" i="3" s="1"/>
  <c r="B959" i="4" s="1"/>
  <c r="C958" i="3"/>
  <c r="C958" i="4" s="1"/>
  <c r="O959" i="9"/>
  <c r="N960" i="9"/>
  <c r="L1277" i="9"/>
  <c r="M1277" i="9" s="1"/>
  <c r="K1278" i="9"/>
  <c r="P959" i="9" l="1"/>
  <c r="C959" i="3"/>
  <c r="C959" i="4" s="1"/>
  <c r="N961" i="9"/>
  <c r="O960" i="9"/>
  <c r="P960" i="9" s="1"/>
  <c r="L1278" i="9"/>
  <c r="M1278" i="9" s="1"/>
  <c r="K1279" i="9"/>
  <c r="R960" i="9" l="1"/>
  <c r="E963" i="2" s="1"/>
  <c r="A961" i="3" s="1"/>
  <c r="A961" i="4" s="1"/>
  <c r="S960" i="9"/>
  <c r="F963" i="2" s="1"/>
  <c r="B961" i="3" s="1"/>
  <c r="B961" i="4" s="1"/>
  <c r="T960" i="9"/>
  <c r="G963" i="2" s="1"/>
  <c r="T959" i="9"/>
  <c r="G962" i="2" s="1"/>
  <c r="C960" i="3" s="1"/>
  <c r="C960" i="4" s="1"/>
  <c r="R959" i="9"/>
  <c r="E962" i="2" s="1"/>
  <c r="A960" i="3" s="1"/>
  <c r="A960" i="4" s="1"/>
  <c r="S959" i="9"/>
  <c r="F962" i="2" s="1"/>
  <c r="B960" i="3" s="1"/>
  <c r="B960" i="4" s="1"/>
  <c r="N962" i="9"/>
  <c r="O961" i="9"/>
  <c r="L1279" i="9"/>
  <c r="M1279" i="9" s="1"/>
  <c r="K1280" i="9"/>
  <c r="P961" i="9" l="1"/>
  <c r="T961" i="9" s="1"/>
  <c r="G964" i="2" s="1"/>
  <c r="C961" i="3"/>
  <c r="C961" i="4" s="1"/>
  <c r="N963" i="9"/>
  <c r="O962" i="9"/>
  <c r="P962" i="9" s="1"/>
  <c r="L1280" i="9"/>
  <c r="M1280" i="9" s="1"/>
  <c r="K1281" i="9"/>
  <c r="S961" i="9" l="1"/>
  <c r="F964" i="2" s="1"/>
  <c r="B962" i="3" s="1"/>
  <c r="B962" i="4" s="1"/>
  <c r="R961" i="9"/>
  <c r="E964" i="2" s="1"/>
  <c r="A962" i="3" s="1"/>
  <c r="A962" i="4" s="1"/>
  <c r="T962" i="9"/>
  <c r="G965" i="2" s="1"/>
  <c r="R962" i="9"/>
  <c r="E965" i="2" s="1"/>
  <c r="A963" i="3" s="1"/>
  <c r="A963" i="4" s="1"/>
  <c r="S962" i="9"/>
  <c r="F965" i="2" s="1"/>
  <c r="B963" i="3" s="1"/>
  <c r="B963" i="4" s="1"/>
  <c r="C962" i="3"/>
  <c r="C962" i="4" s="1"/>
  <c r="N964" i="9"/>
  <c r="O963" i="9"/>
  <c r="L1281" i="9"/>
  <c r="M1281" i="9" s="1"/>
  <c r="K1282" i="9"/>
  <c r="P963" i="9" l="1"/>
  <c r="T963" i="9" s="1"/>
  <c r="G966" i="2" s="1"/>
  <c r="C963" i="3"/>
  <c r="C963" i="4" s="1"/>
  <c r="O964" i="9"/>
  <c r="P964" i="9" s="1"/>
  <c r="N965" i="9"/>
  <c r="L1282" i="9"/>
  <c r="M1282" i="9" s="1"/>
  <c r="K1283" i="9"/>
  <c r="T964" i="9" l="1"/>
  <c r="G967" i="2" s="1"/>
  <c r="R964" i="9"/>
  <c r="E967" i="2" s="1"/>
  <c r="A965" i="3" s="1"/>
  <c r="A965" i="4" s="1"/>
  <c r="S964" i="9"/>
  <c r="F967" i="2" s="1"/>
  <c r="B965" i="3" s="1"/>
  <c r="B965" i="4" s="1"/>
  <c r="S963" i="9"/>
  <c r="F966" i="2" s="1"/>
  <c r="B964" i="3" s="1"/>
  <c r="B964" i="4" s="1"/>
  <c r="R963" i="9"/>
  <c r="E966" i="2" s="1"/>
  <c r="A964" i="3" s="1"/>
  <c r="A964" i="4" s="1"/>
  <c r="C964" i="3"/>
  <c r="C964" i="4" s="1"/>
  <c r="O965" i="9"/>
  <c r="N966" i="9"/>
  <c r="L1283" i="9"/>
  <c r="M1283" i="9" s="1"/>
  <c r="K1284" i="9"/>
  <c r="P965" i="9" l="1"/>
  <c r="T965" i="9" s="1"/>
  <c r="G968" i="2" s="1"/>
  <c r="C965" i="3"/>
  <c r="C965" i="4" s="1"/>
  <c r="O966" i="9"/>
  <c r="P966" i="9" s="1"/>
  <c r="N967" i="9"/>
  <c r="L1284" i="9"/>
  <c r="M1284" i="9" s="1"/>
  <c r="K1285" i="9"/>
  <c r="S966" i="9" l="1"/>
  <c r="F969" i="2" s="1"/>
  <c r="B967" i="3" s="1"/>
  <c r="B967" i="4" s="1"/>
  <c r="R966" i="9"/>
  <c r="E969" i="2" s="1"/>
  <c r="A967" i="3" s="1"/>
  <c r="A967" i="4" s="1"/>
  <c r="T966" i="9"/>
  <c r="G969" i="2" s="1"/>
  <c r="R965" i="9"/>
  <c r="E968" i="2" s="1"/>
  <c r="A966" i="3" s="1"/>
  <c r="A966" i="4" s="1"/>
  <c r="S965" i="9"/>
  <c r="F968" i="2" s="1"/>
  <c r="B966" i="3" s="1"/>
  <c r="B966" i="4" s="1"/>
  <c r="C966" i="3"/>
  <c r="C966" i="4" s="1"/>
  <c r="N968" i="9"/>
  <c r="O967" i="9"/>
  <c r="L1285" i="9"/>
  <c r="M1285" i="9" s="1"/>
  <c r="K1286" i="9"/>
  <c r="P967" i="9" l="1"/>
  <c r="C967" i="3"/>
  <c r="C967" i="4" s="1"/>
  <c r="O968" i="9"/>
  <c r="P968" i="9" s="1"/>
  <c r="N969" i="9"/>
  <c r="L1286" i="9"/>
  <c r="M1286" i="9" s="1"/>
  <c r="K1287" i="9"/>
  <c r="S968" i="9" l="1"/>
  <c r="F971" i="2" s="1"/>
  <c r="B969" i="3" s="1"/>
  <c r="B969" i="4" s="1"/>
  <c r="R968" i="9"/>
  <c r="E971" i="2" s="1"/>
  <c r="A969" i="3" s="1"/>
  <c r="A969" i="4" s="1"/>
  <c r="S967" i="9"/>
  <c r="F970" i="2" s="1"/>
  <c r="B968" i="3" s="1"/>
  <c r="B968" i="4" s="1"/>
  <c r="R967" i="9"/>
  <c r="E970" i="2" s="1"/>
  <c r="A968" i="3" s="1"/>
  <c r="A968" i="4" s="1"/>
  <c r="T968" i="9"/>
  <c r="G971" i="2" s="1"/>
  <c r="T967" i="9"/>
  <c r="G970" i="2" s="1"/>
  <c r="C968" i="3" s="1"/>
  <c r="C968" i="4" s="1"/>
  <c r="N970" i="9"/>
  <c r="O969" i="9"/>
  <c r="L1287" i="9"/>
  <c r="M1287" i="9" s="1"/>
  <c r="K1288" i="9"/>
  <c r="P969" i="9" l="1"/>
  <c r="T969" i="9" s="1"/>
  <c r="G972" i="2" s="1"/>
  <c r="C969" i="3"/>
  <c r="C969" i="4" s="1"/>
  <c r="N971" i="9"/>
  <c r="O970" i="9"/>
  <c r="P970" i="9" s="1"/>
  <c r="L1288" i="9"/>
  <c r="M1288" i="9" s="1"/>
  <c r="K1289" i="9"/>
  <c r="T970" i="9" l="1"/>
  <c r="G973" i="2" s="1"/>
  <c r="R970" i="9"/>
  <c r="E973" i="2" s="1"/>
  <c r="A971" i="3" s="1"/>
  <c r="A971" i="4" s="1"/>
  <c r="S970" i="9"/>
  <c r="F973" i="2" s="1"/>
  <c r="B971" i="3" s="1"/>
  <c r="B971" i="4" s="1"/>
  <c r="S969" i="9"/>
  <c r="F972" i="2" s="1"/>
  <c r="B970" i="3" s="1"/>
  <c r="B970" i="4" s="1"/>
  <c r="R969" i="9"/>
  <c r="E972" i="2" s="1"/>
  <c r="A970" i="3" s="1"/>
  <c r="A970" i="4" s="1"/>
  <c r="C970" i="3"/>
  <c r="C970" i="4" s="1"/>
  <c r="N972" i="9"/>
  <c r="O971" i="9"/>
  <c r="L1289" i="9"/>
  <c r="M1289" i="9" s="1"/>
  <c r="K1290" i="9"/>
  <c r="P971" i="9" l="1"/>
  <c r="T971" i="9" s="1"/>
  <c r="G974" i="2" s="1"/>
  <c r="C971" i="3"/>
  <c r="C971" i="4" s="1"/>
  <c r="O972" i="9"/>
  <c r="P972" i="9" s="1"/>
  <c r="N973" i="9"/>
  <c r="L1290" i="9"/>
  <c r="M1290" i="9" s="1"/>
  <c r="K1291" i="9"/>
  <c r="R972" i="9" l="1"/>
  <c r="E975" i="2" s="1"/>
  <c r="A973" i="3" s="1"/>
  <c r="A973" i="4" s="1"/>
  <c r="S972" i="9"/>
  <c r="F975" i="2" s="1"/>
  <c r="B973" i="3" s="1"/>
  <c r="B973" i="4" s="1"/>
  <c r="R971" i="9"/>
  <c r="E974" i="2" s="1"/>
  <c r="A972" i="3" s="1"/>
  <c r="A972" i="4" s="1"/>
  <c r="S971" i="9"/>
  <c r="F974" i="2" s="1"/>
  <c r="B972" i="3" s="1"/>
  <c r="B972" i="4" s="1"/>
  <c r="T972" i="9"/>
  <c r="G975" i="2" s="1"/>
  <c r="C972" i="3"/>
  <c r="C972" i="4" s="1"/>
  <c r="N974" i="9"/>
  <c r="O973" i="9"/>
  <c r="L1291" i="9"/>
  <c r="M1291" i="9" s="1"/>
  <c r="K1292" i="9"/>
  <c r="P973" i="9" l="1"/>
  <c r="C973" i="3"/>
  <c r="C973" i="4" s="1"/>
  <c r="O974" i="9"/>
  <c r="P974" i="9" s="1"/>
  <c r="N975" i="9"/>
  <c r="L1292" i="9"/>
  <c r="M1292" i="9" s="1"/>
  <c r="K1293" i="9"/>
  <c r="T974" i="9" l="1"/>
  <c r="G977" i="2" s="1"/>
  <c r="T973" i="9"/>
  <c r="G976" i="2" s="1"/>
  <c r="C974" i="3" s="1"/>
  <c r="C974" i="4" s="1"/>
  <c r="R973" i="9"/>
  <c r="E976" i="2" s="1"/>
  <c r="A974" i="3" s="1"/>
  <c r="A974" i="4" s="1"/>
  <c r="S973" i="9"/>
  <c r="F976" i="2" s="1"/>
  <c r="B974" i="3" s="1"/>
  <c r="B974" i="4" s="1"/>
  <c r="S974" i="9"/>
  <c r="F977" i="2" s="1"/>
  <c r="B975" i="3" s="1"/>
  <c r="B975" i="4" s="1"/>
  <c r="R974" i="9"/>
  <c r="E977" i="2" s="1"/>
  <c r="A975" i="3" s="1"/>
  <c r="A975" i="4" s="1"/>
  <c r="N976" i="9"/>
  <c r="O975" i="9"/>
  <c r="L1293" i="9"/>
  <c r="M1293" i="9" s="1"/>
  <c r="K1294" i="9"/>
  <c r="P975" i="9" l="1"/>
  <c r="C975" i="3"/>
  <c r="C975" i="4" s="1"/>
  <c r="O976" i="9"/>
  <c r="P976" i="9" s="1"/>
  <c r="N977" i="9"/>
  <c r="L1294" i="9"/>
  <c r="M1294" i="9" s="1"/>
  <c r="K1295" i="9"/>
  <c r="S976" i="9" l="1"/>
  <c r="F979" i="2" s="1"/>
  <c r="B977" i="3" s="1"/>
  <c r="B977" i="4" s="1"/>
  <c r="R976" i="9"/>
  <c r="E979" i="2" s="1"/>
  <c r="A977" i="3" s="1"/>
  <c r="A977" i="4" s="1"/>
  <c r="R975" i="9"/>
  <c r="E978" i="2" s="1"/>
  <c r="A976" i="3" s="1"/>
  <c r="A976" i="4" s="1"/>
  <c r="S975" i="9"/>
  <c r="F978" i="2" s="1"/>
  <c r="B976" i="3" s="1"/>
  <c r="B976" i="4" s="1"/>
  <c r="T976" i="9"/>
  <c r="G979" i="2" s="1"/>
  <c r="T975" i="9"/>
  <c r="G978" i="2" s="1"/>
  <c r="C976" i="3" s="1"/>
  <c r="C976" i="4" s="1"/>
  <c r="N978" i="9"/>
  <c r="O977" i="9"/>
  <c r="L1295" i="9"/>
  <c r="M1295" i="9" s="1"/>
  <c r="K1296" i="9"/>
  <c r="P977" i="9" l="1"/>
  <c r="C977" i="3"/>
  <c r="C977" i="4" s="1"/>
  <c r="N979" i="9"/>
  <c r="O978" i="9"/>
  <c r="P978" i="9" s="1"/>
  <c r="L1296" i="9"/>
  <c r="M1296" i="9" s="1"/>
  <c r="K1297" i="9"/>
  <c r="R977" i="9" l="1"/>
  <c r="E980" i="2" s="1"/>
  <c r="A978" i="3" s="1"/>
  <c r="A978" i="4" s="1"/>
  <c r="S977" i="9"/>
  <c r="F980" i="2" s="1"/>
  <c r="B978" i="3" s="1"/>
  <c r="B978" i="4" s="1"/>
  <c r="T978" i="9"/>
  <c r="G981" i="2" s="1"/>
  <c r="R978" i="9"/>
  <c r="E981" i="2" s="1"/>
  <c r="A979" i="3" s="1"/>
  <c r="A979" i="4" s="1"/>
  <c r="S978" i="9"/>
  <c r="F981" i="2" s="1"/>
  <c r="B979" i="3" s="1"/>
  <c r="B979" i="4" s="1"/>
  <c r="T977" i="9"/>
  <c r="G980" i="2" s="1"/>
  <c r="C978" i="3" s="1"/>
  <c r="C978" i="4" s="1"/>
  <c r="O979" i="9"/>
  <c r="N980" i="9"/>
  <c r="L1297" i="9"/>
  <c r="M1297" i="9" s="1"/>
  <c r="K1298" i="9"/>
  <c r="P979" i="9" l="1"/>
  <c r="C979" i="3"/>
  <c r="C979" i="4" s="1"/>
  <c r="N981" i="9"/>
  <c r="O980" i="9"/>
  <c r="P980" i="9" s="1"/>
  <c r="L1298" i="9"/>
  <c r="M1298" i="9" s="1"/>
  <c r="K1299" i="9"/>
  <c r="T980" i="9" l="1"/>
  <c r="G983" i="2" s="1"/>
  <c r="S979" i="9"/>
  <c r="F982" i="2" s="1"/>
  <c r="B980" i="3" s="1"/>
  <c r="B980" i="4" s="1"/>
  <c r="R979" i="9"/>
  <c r="E982" i="2" s="1"/>
  <c r="A980" i="3" s="1"/>
  <c r="A980" i="4" s="1"/>
  <c r="R980" i="9"/>
  <c r="E983" i="2" s="1"/>
  <c r="A981" i="3" s="1"/>
  <c r="A981" i="4" s="1"/>
  <c r="S980" i="9"/>
  <c r="F983" i="2" s="1"/>
  <c r="B981" i="3" s="1"/>
  <c r="B981" i="4" s="1"/>
  <c r="T979" i="9"/>
  <c r="G982" i="2" s="1"/>
  <c r="C980" i="3" s="1"/>
  <c r="C980" i="4" s="1"/>
  <c r="O981" i="9"/>
  <c r="N982" i="9"/>
  <c r="L1299" i="9"/>
  <c r="M1299" i="9" s="1"/>
  <c r="K1300" i="9"/>
  <c r="P981" i="9" l="1"/>
  <c r="T981" i="9" s="1"/>
  <c r="G984" i="2" s="1"/>
  <c r="C981" i="3"/>
  <c r="C981" i="4" s="1"/>
  <c r="O982" i="9"/>
  <c r="P982" i="9" s="1"/>
  <c r="N983" i="9"/>
  <c r="L1300" i="9"/>
  <c r="M1300" i="9" s="1"/>
  <c r="K1301" i="9"/>
  <c r="S982" i="9" l="1"/>
  <c r="F985" i="2" s="1"/>
  <c r="B983" i="3" s="1"/>
  <c r="B983" i="4" s="1"/>
  <c r="R982" i="9"/>
  <c r="E985" i="2" s="1"/>
  <c r="A983" i="3" s="1"/>
  <c r="A983" i="4" s="1"/>
  <c r="T982" i="9"/>
  <c r="G985" i="2" s="1"/>
  <c r="R981" i="9"/>
  <c r="E984" i="2" s="1"/>
  <c r="A982" i="3" s="1"/>
  <c r="A982" i="4" s="1"/>
  <c r="S981" i="9"/>
  <c r="F984" i="2" s="1"/>
  <c r="B982" i="3" s="1"/>
  <c r="B982" i="4" s="1"/>
  <c r="C982" i="3"/>
  <c r="C982" i="4" s="1"/>
  <c r="N984" i="9"/>
  <c r="O983" i="9"/>
  <c r="L1301" i="9"/>
  <c r="M1301" i="9" s="1"/>
  <c r="K1302" i="9"/>
  <c r="P983" i="9" l="1"/>
  <c r="S983" i="9" s="1"/>
  <c r="F986" i="2" s="1"/>
  <c r="B984" i="3" s="1"/>
  <c r="B984" i="4" s="1"/>
  <c r="C983" i="3"/>
  <c r="C983" i="4" s="1"/>
  <c r="O984" i="9"/>
  <c r="P984" i="9" s="1"/>
  <c r="N985" i="9"/>
  <c r="L1302" i="9"/>
  <c r="M1302" i="9" s="1"/>
  <c r="K1303" i="9"/>
  <c r="T983" i="9" l="1"/>
  <c r="G986" i="2" s="1"/>
  <c r="C984" i="3" s="1"/>
  <c r="C984" i="4" s="1"/>
  <c r="T984" i="9"/>
  <c r="G987" i="2" s="1"/>
  <c r="R983" i="9"/>
  <c r="E986" i="2" s="1"/>
  <c r="A984" i="3" s="1"/>
  <c r="A984" i="4" s="1"/>
  <c r="S984" i="9"/>
  <c r="F987" i="2" s="1"/>
  <c r="B985" i="3" s="1"/>
  <c r="B985" i="4" s="1"/>
  <c r="R984" i="9"/>
  <c r="E987" i="2" s="1"/>
  <c r="A985" i="3" s="1"/>
  <c r="A985" i="4" s="1"/>
  <c r="N986" i="9"/>
  <c r="O985" i="9"/>
  <c r="L1303" i="9"/>
  <c r="M1303" i="9" s="1"/>
  <c r="K1304" i="9"/>
  <c r="P985" i="9" l="1"/>
  <c r="C985" i="3"/>
  <c r="C985" i="4" s="1"/>
  <c r="N987" i="9"/>
  <c r="O986" i="9"/>
  <c r="P986" i="9" s="1"/>
  <c r="L1304" i="9"/>
  <c r="M1304" i="9" s="1"/>
  <c r="K1305" i="9"/>
  <c r="R986" i="9" l="1"/>
  <c r="E989" i="2" s="1"/>
  <c r="A987" i="3" s="1"/>
  <c r="A987" i="4" s="1"/>
  <c r="S986" i="9"/>
  <c r="F989" i="2" s="1"/>
  <c r="B987" i="3" s="1"/>
  <c r="B987" i="4" s="1"/>
  <c r="T986" i="9"/>
  <c r="G989" i="2" s="1"/>
  <c r="R985" i="9"/>
  <c r="E988" i="2" s="1"/>
  <c r="A986" i="3" s="1"/>
  <c r="A986" i="4" s="1"/>
  <c r="S985" i="9"/>
  <c r="F988" i="2" s="1"/>
  <c r="B986" i="3" s="1"/>
  <c r="B986" i="4" s="1"/>
  <c r="T985" i="9"/>
  <c r="G988" i="2" s="1"/>
  <c r="C986" i="3" s="1"/>
  <c r="C986" i="4" s="1"/>
  <c r="N988" i="9"/>
  <c r="O987" i="9"/>
  <c r="L1305" i="9"/>
  <c r="M1305" i="9" s="1"/>
  <c r="K1306" i="9"/>
  <c r="P987" i="9" l="1"/>
  <c r="T987" i="9" s="1"/>
  <c r="G990" i="2" s="1"/>
  <c r="C987" i="3"/>
  <c r="C987" i="4" s="1"/>
  <c r="N989" i="9"/>
  <c r="O988" i="9"/>
  <c r="P988" i="9" s="1"/>
  <c r="L1306" i="9"/>
  <c r="M1306" i="9" s="1"/>
  <c r="K1307" i="9"/>
  <c r="T988" i="9" l="1"/>
  <c r="G991" i="2" s="1"/>
  <c r="S988" i="9"/>
  <c r="F991" i="2" s="1"/>
  <c r="B989" i="3" s="1"/>
  <c r="B989" i="4" s="1"/>
  <c r="R988" i="9"/>
  <c r="E991" i="2" s="1"/>
  <c r="A989" i="3" s="1"/>
  <c r="A989" i="4" s="1"/>
  <c r="R987" i="9"/>
  <c r="E990" i="2" s="1"/>
  <c r="A988" i="3" s="1"/>
  <c r="A988" i="4" s="1"/>
  <c r="S987" i="9"/>
  <c r="F990" i="2" s="1"/>
  <c r="B988" i="3" s="1"/>
  <c r="B988" i="4" s="1"/>
  <c r="C988" i="3"/>
  <c r="C988" i="4" s="1"/>
  <c r="N990" i="9"/>
  <c r="O989" i="9"/>
  <c r="L1307" i="9"/>
  <c r="M1307" i="9" s="1"/>
  <c r="K1308" i="9"/>
  <c r="P989" i="9" l="1"/>
  <c r="T989" i="9" s="1"/>
  <c r="G992" i="2" s="1"/>
  <c r="C989" i="3"/>
  <c r="C989" i="4" s="1"/>
  <c r="N991" i="9"/>
  <c r="O990" i="9"/>
  <c r="P990" i="9" s="1"/>
  <c r="L1308" i="9"/>
  <c r="M1308" i="9" s="1"/>
  <c r="K1309" i="9"/>
  <c r="R990" i="9" l="1"/>
  <c r="E993" i="2" s="1"/>
  <c r="A991" i="3" s="1"/>
  <c r="A991" i="4" s="1"/>
  <c r="S990" i="9"/>
  <c r="F993" i="2" s="1"/>
  <c r="B991" i="3" s="1"/>
  <c r="B991" i="4" s="1"/>
  <c r="S989" i="9"/>
  <c r="F992" i="2" s="1"/>
  <c r="B990" i="3" s="1"/>
  <c r="B990" i="4" s="1"/>
  <c r="R989" i="9"/>
  <c r="E992" i="2" s="1"/>
  <c r="A990" i="3" s="1"/>
  <c r="A990" i="4" s="1"/>
  <c r="T990" i="9"/>
  <c r="G993" i="2" s="1"/>
  <c r="C990" i="3"/>
  <c r="C990" i="4" s="1"/>
  <c r="N992" i="9"/>
  <c r="O991" i="9"/>
  <c r="L1309" i="9"/>
  <c r="M1309" i="9" s="1"/>
  <c r="K1310" i="9"/>
  <c r="P991" i="9" l="1"/>
  <c r="T991" i="9" s="1"/>
  <c r="G994" i="2" s="1"/>
  <c r="C991" i="3"/>
  <c r="C991" i="4" s="1"/>
  <c r="O992" i="9"/>
  <c r="P992" i="9" s="1"/>
  <c r="N993" i="9"/>
  <c r="L1310" i="9"/>
  <c r="M1310" i="9" s="1"/>
  <c r="K1311" i="9"/>
  <c r="S991" i="9" l="1"/>
  <c r="F994" i="2" s="1"/>
  <c r="B992" i="3" s="1"/>
  <c r="B992" i="4" s="1"/>
  <c r="R991" i="9"/>
  <c r="E994" i="2" s="1"/>
  <c r="A992" i="3" s="1"/>
  <c r="A992" i="4" s="1"/>
  <c r="R992" i="9"/>
  <c r="E995" i="2" s="1"/>
  <c r="A993" i="3" s="1"/>
  <c r="A993" i="4" s="1"/>
  <c r="S992" i="9"/>
  <c r="F995" i="2" s="1"/>
  <c r="B993" i="3" s="1"/>
  <c r="B993" i="4" s="1"/>
  <c r="T992" i="9"/>
  <c r="G995" i="2" s="1"/>
  <c r="C992" i="3"/>
  <c r="C992" i="4" s="1"/>
  <c r="N994" i="9"/>
  <c r="O993" i="9"/>
  <c r="L1311" i="9"/>
  <c r="M1311" i="9" s="1"/>
  <c r="K1312" i="9"/>
  <c r="P993" i="9" l="1"/>
  <c r="C993" i="3"/>
  <c r="C993" i="4" s="1"/>
  <c r="N995" i="9"/>
  <c r="O994" i="9"/>
  <c r="P994" i="9" s="1"/>
  <c r="L1312" i="9"/>
  <c r="M1312" i="9" s="1"/>
  <c r="K1313" i="9"/>
  <c r="S993" i="9" l="1"/>
  <c r="F996" i="2" s="1"/>
  <c r="B994" i="3" s="1"/>
  <c r="B994" i="4" s="1"/>
  <c r="R993" i="9"/>
  <c r="E996" i="2" s="1"/>
  <c r="A994" i="3" s="1"/>
  <c r="A994" i="4" s="1"/>
  <c r="T994" i="9"/>
  <c r="G997" i="2" s="1"/>
  <c r="R994" i="9"/>
  <c r="E997" i="2" s="1"/>
  <c r="A995" i="3" s="1"/>
  <c r="A995" i="4" s="1"/>
  <c r="S994" i="9"/>
  <c r="F997" i="2" s="1"/>
  <c r="B995" i="3" s="1"/>
  <c r="B995" i="4" s="1"/>
  <c r="T993" i="9"/>
  <c r="G996" i="2" s="1"/>
  <c r="C994" i="3" s="1"/>
  <c r="C994" i="4" s="1"/>
  <c r="N996" i="9"/>
  <c r="O995" i="9"/>
  <c r="L1313" i="9"/>
  <c r="M1313" i="9" s="1"/>
  <c r="K1314" i="9"/>
  <c r="P995" i="9" l="1"/>
  <c r="C995" i="3"/>
  <c r="C995" i="4" s="1"/>
  <c r="O996" i="9"/>
  <c r="P996" i="9" s="1"/>
  <c r="N997" i="9"/>
  <c r="L1314" i="9"/>
  <c r="M1314" i="9" s="1"/>
  <c r="K1315" i="9"/>
  <c r="R996" i="9" l="1"/>
  <c r="E999" i="2" s="1"/>
  <c r="A997" i="3" s="1"/>
  <c r="A997" i="4" s="1"/>
  <c r="S996" i="9"/>
  <c r="F999" i="2" s="1"/>
  <c r="B997" i="3" s="1"/>
  <c r="B997" i="4" s="1"/>
  <c r="S995" i="9"/>
  <c r="F998" i="2" s="1"/>
  <c r="B996" i="3" s="1"/>
  <c r="B996" i="4" s="1"/>
  <c r="R995" i="9"/>
  <c r="E998" i="2" s="1"/>
  <c r="A996" i="3" s="1"/>
  <c r="A996" i="4" s="1"/>
  <c r="T996" i="9"/>
  <c r="G999" i="2" s="1"/>
  <c r="T995" i="9"/>
  <c r="G998" i="2" s="1"/>
  <c r="C996" i="3" s="1"/>
  <c r="C996" i="4" s="1"/>
  <c r="O997" i="9"/>
  <c r="N998" i="9"/>
  <c r="L1315" i="9"/>
  <c r="M1315" i="9" s="1"/>
  <c r="K1316" i="9"/>
  <c r="P997" i="9" l="1"/>
  <c r="C997" i="3"/>
  <c r="C997" i="4" s="1"/>
  <c r="N999" i="9"/>
  <c r="O998" i="9"/>
  <c r="P998" i="9" s="1"/>
  <c r="L1316" i="9"/>
  <c r="M1316" i="9" s="1"/>
  <c r="K1317" i="9"/>
  <c r="R997" i="9" l="1"/>
  <c r="E1000" i="2" s="1"/>
  <c r="A998" i="3" s="1"/>
  <c r="A998" i="4" s="1"/>
  <c r="S997" i="9"/>
  <c r="F1000" i="2" s="1"/>
  <c r="B998" i="3" s="1"/>
  <c r="B998" i="4" s="1"/>
  <c r="S998" i="9"/>
  <c r="F1001" i="2" s="1"/>
  <c r="B999" i="3" s="1"/>
  <c r="B999" i="4" s="1"/>
  <c r="R998" i="9"/>
  <c r="E1001" i="2" s="1"/>
  <c r="A999" i="3" s="1"/>
  <c r="A999" i="4" s="1"/>
  <c r="T998" i="9"/>
  <c r="G1001" i="2" s="1"/>
  <c r="T997" i="9"/>
  <c r="G1000" i="2" s="1"/>
  <c r="C998" i="3" s="1"/>
  <c r="C998" i="4" s="1"/>
  <c r="N1000" i="9"/>
  <c r="O999" i="9"/>
  <c r="L1317" i="9"/>
  <c r="M1317" i="9" s="1"/>
  <c r="K1318" i="9"/>
  <c r="P999" i="9" l="1"/>
  <c r="T999" i="9" s="1"/>
  <c r="G1002" i="2" s="1"/>
  <c r="C999" i="3"/>
  <c r="C999" i="4" s="1"/>
  <c r="N1001" i="9"/>
  <c r="O1000" i="9"/>
  <c r="P1000" i="9" s="1"/>
  <c r="L1318" i="9"/>
  <c r="M1318" i="9" s="1"/>
  <c r="K1319" i="9"/>
  <c r="T1000" i="9" l="1"/>
  <c r="G1003" i="2" s="1"/>
  <c r="S999" i="9"/>
  <c r="F1002" i="2" s="1"/>
  <c r="B1000" i="3" s="1"/>
  <c r="B1000" i="4" s="1"/>
  <c r="R999" i="9"/>
  <c r="E1002" i="2" s="1"/>
  <c r="A1000" i="3" s="1"/>
  <c r="A1000" i="4" s="1"/>
  <c r="R1000" i="9"/>
  <c r="E1003" i="2" s="1"/>
  <c r="A1001" i="3" s="1"/>
  <c r="S1000" i="9"/>
  <c r="F1003" i="2" s="1"/>
  <c r="B1001" i="3" s="1"/>
  <c r="C1000" i="3"/>
  <c r="C1000" i="4" s="1"/>
  <c r="N1002" i="9"/>
  <c r="O1001" i="9"/>
  <c r="P1001" i="9" s="1"/>
  <c r="L1319" i="9"/>
  <c r="M1319" i="9" s="1"/>
  <c r="K1320" i="9"/>
  <c r="T1001" i="9" l="1"/>
  <c r="S1001" i="9"/>
  <c r="R1001" i="9"/>
  <c r="C1001" i="3"/>
  <c r="N1003" i="9"/>
  <c r="O1002" i="9"/>
  <c r="P1002" i="9" s="1"/>
  <c r="L1320" i="9"/>
  <c r="M1320" i="9" s="1"/>
  <c r="K1321" i="9"/>
  <c r="T1002" i="9" l="1"/>
  <c r="S1002" i="9"/>
  <c r="R1002" i="9"/>
  <c r="N1004" i="9"/>
  <c r="O1003" i="9"/>
  <c r="P1003" i="9" s="1"/>
  <c r="L1321" i="9"/>
  <c r="M1321" i="9" s="1"/>
  <c r="K1322" i="9"/>
  <c r="T1003" i="9" l="1"/>
  <c r="S1003" i="9"/>
  <c r="R1003" i="9"/>
  <c r="N1005" i="9"/>
  <c r="O1004" i="9"/>
  <c r="P1004" i="9" s="1"/>
  <c r="L1322" i="9"/>
  <c r="M1322" i="9" s="1"/>
  <c r="K1323" i="9"/>
  <c r="S1004" i="9" l="1"/>
  <c r="R1004" i="9"/>
  <c r="T1004" i="9"/>
  <c r="O1005" i="9"/>
  <c r="P1005" i="9" s="1"/>
  <c r="N1006" i="9"/>
  <c r="L1323" i="9"/>
  <c r="M1323" i="9" s="1"/>
  <c r="K1324" i="9"/>
  <c r="T1005" i="9" l="1"/>
  <c r="R1005" i="9"/>
  <c r="S1005" i="9"/>
  <c r="O1006" i="9"/>
  <c r="P1006" i="9" s="1"/>
  <c r="N1007" i="9"/>
  <c r="L1324" i="9"/>
  <c r="M1324" i="9" s="1"/>
  <c r="K1325" i="9"/>
  <c r="T1006" i="9" l="1"/>
  <c r="R1006" i="9"/>
  <c r="S1006" i="9"/>
  <c r="N1008" i="9"/>
  <c r="O1007" i="9"/>
  <c r="P1007" i="9" s="1"/>
  <c r="L1325" i="9"/>
  <c r="M1325" i="9" s="1"/>
  <c r="K1326" i="9"/>
  <c r="T1007" i="9" l="1"/>
  <c r="R1007" i="9"/>
  <c r="S1007" i="9"/>
  <c r="N1009" i="9"/>
  <c r="O1008" i="9"/>
  <c r="P1008" i="9" s="1"/>
  <c r="L1326" i="9"/>
  <c r="M1326" i="9" s="1"/>
  <c r="K1327" i="9"/>
  <c r="R1008" i="9" l="1"/>
  <c r="S1008" i="9"/>
  <c r="T1008" i="9"/>
  <c r="N1010" i="9"/>
  <c r="O1009" i="9"/>
  <c r="P1009" i="9" s="1"/>
  <c r="L1327" i="9"/>
  <c r="M1327" i="9" s="1"/>
  <c r="K1328" i="9"/>
  <c r="R1009" i="9" l="1"/>
  <c r="S1009" i="9"/>
  <c r="T1009" i="9"/>
  <c r="O1010" i="9"/>
  <c r="P1010" i="9" s="1"/>
  <c r="N1011" i="9"/>
  <c r="L1328" i="9"/>
  <c r="M1328" i="9" s="1"/>
  <c r="K1329" i="9"/>
  <c r="T1010" i="9" l="1"/>
  <c r="S1010" i="9"/>
  <c r="R1010" i="9"/>
  <c r="N1012" i="9"/>
  <c r="O1011" i="9"/>
  <c r="P1011" i="9" s="1"/>
  <c r="L1329" i="9"/>
  <c r="M1329" i="9" s="1"/>
  <c r="K1330" i="9"/>
  <c r="S1011" i="9" l="1"/>
  <c r="R1011" i="9"/>
  <c r="T1011" i="9"/>
  <c r="N1013" i="9"/>
  <c r="O1012" i="9"/>
  <c r="P1012" i="9" s="1"/>
  <c r="L1330" i="9"/>
  <c r="M1330" i="9" s="1"/>
  <c r="K1331" i="9"/>
  <c r="S1012" i="9" l="1"/>
  <c r="R1012" i="9"/>
  <c r="T1012" i="9"/>
  <c r="O1013" i="9"/>
  <c r="P1013" i="9" s="1"/>
  <c r="N1014" i="9"/>
  <c r="L1331" i="9"/>
  <c r="M1331" i="9" s="1"/>
  <c r="K1332" i="9"/>
  <c r="T1013" i="9" l="1"/>
  <c r="R1013" i="9"/>
  <c r="S1013" i="9"/>
  <c r="O1014" i="9"/>
  <c r="P1014" i="9" s="1"/>
  <c r="N1015" i="9"/>
  <c r="L1332" i="9"/>
  <c r="M1332" i="9" s="1"/>
  <c r="K1333" i="9"/>
  <c r="T1014" i="9" l="1"/>
  <c r="S1014" i="9"/>
  <c r="R1014" i="9"/>
  <c r="N1016" i="9"/>
  <c r="O1015" i="9"/>
  <c r="L1333" i="9"/>
  <c r="M1333" i="9" s="1"/>
  <c r="K1334" i="9"/>
  <c r="P1015" i="9" l="1"/>
  <c r="S1015" i="9" s="1"/>
  <c r="O1016" i="9"/>
  <c r="P1016" i="9" s="1"/>
  <c r="N1017" i="9"/>
  <c r="L1334" i="9"/>
  <c r="M1334" i="9" s="1"/>
  <c r="K1335" i="9"/>
  <c r="R1015" i="9" l="1"/>
  <c r="T1016" i="9"/>
  <c r="T1015" i="9"/>
  <c r="R1016" i="9"/>
  <c r="S1016" i="9"/>
  <c r="O1017" i="9"/>
  <c r="P1017" i="9" s="1"/>
  <c r="N1018" i="9"/>
  <c r="L1335" i="9"/>
  <c r="M1335" i="9" s="1"/>
  <c r="K1336" i="9"/>
  <c r="T1017" i="9" l="1"/>
  <c r="R1017" i="9"/>
  <c r="S1017" i="9"/>
  <c r="N1019" i="9"/>
  <c r="O1018" i="9"/>
  <c r="P1018" i="9" s="1"/>
  <c r="L1336" i="9"/>
  <c r="M1336" i="9" s="1"/>
  <c r="K1337" i="9"/>
  <c r="T1018" i="9" l="1"/>
  <c r="R1018" i="9"/>
  <c r="S1018" i="9"/>
  <c r="N1020" i="9"/>
  <c r="O1019" i="9"/>
  <c r="L1337" i="9"/>
  <c r="M1337" i="9" s="1"/>
  <c r="K1338" i="9"/>
  <c r="P1019" i="9" l="1"/>
  <c r="S1019" i="9" s="1"/>
  <c r="O1020" i="9"/>
  <c r="P1020" i="9" s="1"/>
  <c r="N1021" i="9"/>
  <c r="L1338" i="9"/>
  <c r="M1338" i="9" s="1"/>
  <c r="K1339" i="9"/>
  <c r="T1020" i="9" l="1"/>
  <c r="S1020" i="9"/>
  <c r="R1020" i="9"/>
  <c r="R1019" i="9"/>
  <c r="T1019" i="9"/>
  <c r="N1022" i="9"/>
  <c r="O1021" i="9"/>
  <c r="P1021" i="9" s="1"/>
  <c r="L1339" i="9"/>
  <c r="M1339" i="9" s="1"/>
  <c r="K1340" i="9"/>
  <c r="R1021" i="9" l="1"/>
  <c r="S1021" i="9"/>
  <c r="T1021" i="9"/>
  <c r="O1022" i="9"/>
  <c r="P1022" i="9" s="1"/>
  <c r="N1023" i="9"/>
  <c r="L1340" i="9"/>
  <c r="M1340" i="9" s="1"/>
  <c r="K1341" i="9"/>
  <c r="T1022" i="9" l="1"/>
  <c r="R1022" i="9"/>
  <c r="S1022" i="9"/>
  <c r="N1024" i="9"/>
  <c r="O1023" i="9"/>
  <c r="P1023" i="9" s="1"/>
  <c r="L1341" i="9"/>
  <c r="M1341" i="9" s="1"/>
  <c r="K1342" i="9"/>
  <c r="T1023" i="9" l="1"/>
  <c r="R1023" i="9"/>
  <c r="S1023" i="9"/>
  <c r="O1024" i="9"/>
  <c r="P1024" i="9" s="1"/>
  <c r="N1025" i="9"/>
  <c r="L1342" i="9"/>
  <c r="M1342" i="9" s="1"/>
  <c r="K1343" i="9"/>
  <c r="R1024" i="9" l="1"/>
  <c r="S1024" i="9"/>
  <c r="T1024" i="9"/>
  <c r="N1026" i="9"/>
  <c r="O1025" i="9"/>
  <c r="P1025" i="9" s="1"/>
  <c r="L1343" i="9"/>
  <c r="M1343" i="9" s="1"/>
  <c r="K1344" i="9"/>
  <c r="T1025" i="9" l="1"/>
  <c r="S1025" i="9"/>
  <c r="R1025" i="9"/>
  <c r="O1026" i="9"/>
  <c r="P1026" i="9" s="1"/>
  <c r="N1027" i="9"/>
  <c r="L1344" i="9"/>
  <c r="M1344" i="9" s="1"/>
  <c r="K1345" i="9"/>
  <c r="T1026" i="9" l="1"/>
  <c r="R1026" i="9"/>
  <c r="S1026" i="9"/>
  <c r="N1028" i="9"/>
  <c r="O1027" i="9"/>
  <c r="P1027" i="9" s="1"/>
  <c r="L1345" i="9"/>
  <c r="M1345" i="9" s="1"/>
  <c r="K1346" i="9"/>
  <c r="S1027" i="9" l="1"/>
  <c r="R1027" i="9"/>
  <c r="T1027" i="9"/>
  <c r="N1029" i="9"/>
  <c r="O1028" i="9"/>
  <c r="P1028" i="9" s="1"/>
  <c r="L1346" i="9"/>
  <c r="M1346" i="9" s="1"/>
  <c r="K1347" i="9"/>
  <c r="R1028" i="9" l="1"/>
  <c r="S1028" i="9"/>
  <c r="T1028" i="9"/>
  <c r="O1029" i="9"/>
  <c r="P1029" i="9" s="1"/>
  <c r="N1030" i="9"/>
  <c r="L1347" i="9"/>
  <c r="M1347" i="9" s="1"/>
  <c r="K1348" i="9"/>
  <c r="T1029" i="9" l="1"/>
  <c r="R1029" i="9"/>
  <c r="S1029" i="9"/>
  <c r="N1031" i="9"/>
  <c r="O1030" i="9"/>
  <c r="P1030" i="9" s="1"/>
  <c r="L1348" i="9"/>
  <c r="M1348" i="9" s="1"/>
  <c r="K1349" i="9"/>
  <c r="S1030" i="9" l="1"/>
  <c r="R1030" i="9"/>
  <c r="T1030" i="9"/>
  <c r="N1032" i="9"/>
  <c r="O1031" i="9"/>
  <c r="P1031" i="9" s="1"/>
  <c r="L1349" i="9"/>
  <c r="M1349" i="9" s="1"/>
  <c r="K1350" i="9"/>
  <c r="R1031" i="9" l="1"/>
  <c r="S1031" i="9"/>
  <c r="T1031" i="9"/>
  <c r="O1032" i="9"/>
  <c r="P1032" i="9" s="1"/>
  <c r="N1033" i="9"/>
  <c r="L1350" i="9"/>
  <c r="M1350" i="9" s="1"/>
  <c r="K1351" i="9"/>
  <c r="T1032" i="9" l="1"/>
  <c r="R1032" i="9"/>
  <c r="S1032" i="9"/>
  <c r="N1034" i="9"/>
  <c r="O1033" i="9"/>
  <c r="L1351" i="9"/>
  <c r="M1351" i="9" s="1"/>
  <c r="K1352" i="9"/>
  <c r="P1033" i="9" l="1"/>
  <c r="S1033" i="9" s="1"/>
  <c r="O1034" i="9"/>
  <c r="P1034" i="9" s="1"/>
  <c r="N1035" i="9"/>
  <c r="L1352" i="9"/>
  <c r="M1352" i="9" s="1"/>
  <c r="K1353" i="9"/>
  <c r="T1034" i="9" l="1"/>
  <c r="T1033" i="9"/>
  <c r="R1034" i="9"/>
  <c r="S1034" i="9"/>
  <c r="R1033" i="9"/>
  <c r="O1035" i="9"/>
  <c r="P1035" i="9" s="1"/>
  <c r="N1036" i="9"/>
  <c r="L1353" i="9"/>
  <c r="M1353" i="9" s="1"/>
  <c r="K1354" i="9"/>
  <c r="T1035" i="9" l="1"/>
  <c r="R1035" i="9"/>
  <c r="S1035" i="9"/>
  <c r="O1036" i="9"/>
  <c r="P1036" i="9" s="1"/>
  <c r="N1037" i="9"/>
  <c r="L1354" i="9"/>
  <c r="M1354" i="9" s="1"/>
  <c r="K1355" i="9"/>
  <c r="T1036" i="9" l="1"/>
  <c r="R1036" i="9"/>
  <c r="S1036" i="9"/>
  <c r="N1038" i="9"/>
  <c r="O1037" i="9"/>
  <c r="P1037" i="9" s="1"/>
  <c r="L1355" i="9"/>
  <c r="M1355" i="9" s="1"/>
  <c r="K1356" i="9"/>
  <c r="T1037" i="9" l="1"/>
  <c r="R1037" i="9"/>
  <c r="S1037" i="9"/>
  <c r="N1039" i="9"/>
  <c r="O1038" i="9"/>
  <c r="P1038" i="9" s="1"/>
  <c r="L1356" i="9"/>
  <c r="M1356" i="9" s="1"/>
  <c r="K1357" i="9"/>
  <c r="R1038" i="9" l="1"/>
  <c r="S1038" i="9"/>
  <c r="T1038" i="9"/>
  <c r="O1039" i="9"/>
  <c r="P1039" i="9" s="1"/>
  <c r="N1040" i="9"/>
  <c r="L1357" i="9"/>
  <c r="M1357" i="9" s="1"/>
  <c r="K1358" i="9"/>
  <c r="T1039" i="9" l="1"/>
  <c r="S1039" i="9"/>
  <c r="R1039" i="9"/>
  <c r="N1041" i="9"/>
  <c r="O1040" i="9"/>
  <c r="P1040" i="9" s="1"/>
  <c r="L1358" i="9"/>
  <c r="M1358" i="9" s="1"/>
  <c r="K1359" i="9"/>
  <c r="S1040" i="9" l="1"/>
  <c r="R1040" i="9"/>
  <c r="T1040" i="9"/>
  <c r="O1041" i="9"/>
  <c r="P1041" i="9" s="1"/>
  <c r="N1042" i="9"/>
  <c r="L1359" i="9"/>
  <c r="M1359" i="9" s="1"/>
  <c r="K1360" i="9"/>
  <c r="T1041" i="9" l="1"/>
  <c r="R1041" i="9"/>
  <c r="S1041" i="9"/>
  <c r="N1043" i="9"/>
  <c r="O1042" i="9"/>
  <c r="P1042" i="9" s="1"/>
  <c r="L1360" i="9"/>
  <c r="M1360" i="9" s="1"/>
  <c r="K1361" i="9"/>
  <c r="R1042" i="9" l="1"/>
  <c r="S1042" i="9"/>
  <c r="T1042" i="9"/>
  <c r="N1044" i="9"/>
  <c r="O1043" i="9"/>
  <c r="P1043" i="9" s="1"/>
  <c r="L1361" i="9"/>
  <c r="M1361" i="9" s="1"/>
  <c r="K1362" i="9"/>
  <c r="R1043" i="9" l="1"/>
  <c r="S1043" i="9"/>
  <c r="T1043" i="9"/>
  <c r="O1044" i="9"/>
  <c r="P1044" i="9" s="1"/>
  <c r="N1045" i="9"/>
  <c r="L1362" i="9"/>
  <c r="M1362" i="9" s="1"/>
  <c r="K1363" i="9"/>
  <c r="T1044" i="9" l="1"/>
  <c r="R1044" i="9"/>
  <c r="S1044" i="9"/>
  <c r="O1045" i="9"/>
  <c r="P1045" i="9" s="1"/>
  <c r="N1046" i="9"/>
  <c r="L1363" i="9"/>
  <c r="M1363" i="9" s="1"/>
  <c r="K1364" i="9"/>
  <c r="R1045" i="9" l="1"/>
  <c r="S1045" i="9"/>
  <c r="T1045" i="9"/>
  <c r="N1047" i="9"/>
  <c r="O1046" i="9"/>
  <c r="P1046" i="9" s="1"/>
  <c r="L1364" i="9"/>
  <c r="M1364" i="9" s="1"/>
  <c r="K1365" i="9"/>
  <c r="R1046" i="9" l="1"/>
  <c r="S1046" i="9"/>
  <c r="T1046" i="9"/>
  <c r="O1047" i="9"/>
  <c r="P1047" i="9" s="1"/>
  <c r="N1048" i="9"/>
  <c r="L1365" i="9"/>
  <c r="M1365" i="9" s="1"/>
  <c r="K1366" i="9"/>
  <c r="T1047" i="9" l="1"/>
  <c r="R1047" i="9"/>
  <c r="S1047" i="9"/>
  <c r="N1049" i="9"/>
  <c r="O1048" i="9"/>
  <c r="P1048" i="9" s="1"/>
  <c r="L1366" i="9"/>
  <c r="M1366" i="9" s="1"/>
  <c r="K1367" i="9"/>
  <c r="R1048" i="9" l="1"/>
  <c r="S1048" i="9"/>
  <c r="T1048" i="9"/>
  <c r="N1050" i="9"/>
  <c r="O1049" i="9"/>
  <c r="P1049" i="9" s="1"/>
  <c r="L1367" i="9"/>
  <c r="M1367" i="9" s="1"/>
  <c r="K1368" i="9"/>
  <c r="R1049" i="9" l="1"/>
  <c r="S1049" i="9"/>
  <c r="T1049" i="9"/>
  <c r="O1050" i="9"/>
  <c r="P1050" i="9" s="1"/>
  <c r="N1051" i="9"/>
  <c r="K1369" i="9"/>
  <c r="L1368" i="9"/>
  <c r="M1368" i="9" s="1"/>
  <c r="T1050" i="9" l="1"/>
  <c r="R1050" i="9"/>
  <c r="S1050" i="9"/>
  <c r="N1052" i="9"/>
  <c r="O1051" i="9"/>
  <c r="P1051" i="9" s="1"/>
  <c r="L1369" i="9"/>
  <c r="M1369" i="9" s="1"/>
  <c r="K1370" i="9"/>
  <c r="T1051" i="9" l="1"/>
  <c r="S1051" i="9"/>
  <c r="R1051" i="9"/>
  <c r="O1052" i="9"/>
  <c r="P1052" i="9" s="1"/>
  <c r="N1053" i="9"/>
  <c r="L1370" i="9"/>
  <c r="M1370" i="9" s="1"/>
  <c r="K1371" i="9"/>
  <c r="T1052" i="9" l="1"/>
  <c r="S1052" i="9"/>
  <c r="R1052" i="9"/>
  <c r="N1054" i="9"/>
  <c r="O1053" i="9"/>
  <c r="P1053" i="9" s="1"/>
  <c r="L1371" i="9"/>
  <c r="M1371" i="9" s="1"/>
  <c r="K1372" i="9"/>
  <c r="R1053" i="9" l="1"/>
  <c r="S1053" i="9"/>
  <c r="T1053" i="9"/>
  <c r="N1055" i="9"/>
  <c r="O1054" i="9"/>
  <c r="P1054" i="9" s="1"/>
  <c r="K1373" i="9"/>
  <c r="L1372" i="9"/>
  <c r="M1372" i="9" s="1"/>
  <c r="S1054" i="9" l="1"/>
  <c r="R1054" i="9"/>
  <c r="T1054" i="9"/>
  <c r="N1056" i="9"/>
  <c r="O1055" i="9"/>
  <c r="P1055" i="9" s="1"/>
  <c r="L1373" i="9"/>
  <c r="M1373" i="9" s="1"/>
  <c r="K1374" i="9"/>
  <c r="T1055" i="9" l="1"/>
  <c r="R1055" i="9"/>
  <c r="S1055" i="9"/>
  <c r="O1056" i="9"/>
  <c r="P1056" i="9" s="1"/>
  <c r="N1057" i="9"/>
  <c r="L1374" i="9"/>
  <c r="M1374" i="9" s="1"/>
  <c r="K1375" i="9"/>
  <c r="T1056" i="9" l="1"/>
  <c r="S1056" i="9"/>
  <c r="R1056" i="9"/>
  <c r="N1058" i="9"/>
  <c r="O1057" i="9"/>
  <c r="P1057" i="9" s="1"/>
  <c r="K1376" i="9"/>
  <c r="L1375" i="9"/>
  <c r="M1375" i="9" s="1"/>
  <c r="R1057" i="9" l="1"/>
  <c r="S1057" i="9"/>
  <c r="T1057" i="9"/>
  <c r="N1059" i="9"/>
  <c r="O1058" i="9"/>
  <c r="P1058" i="9" s="1"/>
  <c r="K1377" i="9"/>
  <c r="L1376" i="9"/>
  <c r="M1376" i="9" s="1"/>
  <c r="T1058" i="9" l="1"/>
  <c r="R1058" i="9"/>
  <c r="S1058" i="9"/>
  <c r="O1059" i="9"/>
  <c r="P1059" i="9" s="1"/>
  <c r="N1060" i="9"/>
  <c r="L1377" i="9"/>
  <c r="M1377" i="9" s="1"/>
  <c r="K1378" i="9"/>
  <c r="T1059" i="9" l="1"/>
  <c r="S1059" i="9"/>
  <c r="R1059" i="9"/>
  <c r="O1060" i="9"/>
  <c r="P1060" i="9" s="1"/>
  <c r="N1061" i="9"/>
  <c r="L1378" i="9"/>
  <c r="M1378" i="9" s="1"/>
  <c r="K1379" i="9"/>
  <c r="T1060" i="9" l="1"/>
  <c r="S1060" i="9"/>
  <c r="R1060" i="9"/>
  <c r="N1062" i="9"/>
  <c r="O1061" i="9"/>
  <c r="P1061" i="9" s="1"/>
  <c r="K1380" i="9"/>
  <c r="L1379" i="9"/>
  <c r="M1379" i="9" s="1"/>
  <c r="R1061" i="9" l="1"/>
  <c r="S1061" i="9"/>
  <c r="T1061" i="9"/>
  <c r="O1062" i="9"/>
  <c r="P1062" i="9" s="1"/>
  <c r="N1063" i="9"/>
  <c r="L1380" i="9"/>
  <c r="M1380" i="9" s="1"/>
  <c r="K1381" i="9"/>
  <c r="T1062" i="9" l="1"/>
  <c r="R1062" i="9"/>
  <c r="S1062" i="9"/>
  <c r="N1064" i="9"/>
  <c r="O1063" i="9"/>
  <c r="P1063" i="9" s="1"/>
  <c r="K1382" i="9"/>
  <c r="L1381" i="9"/>
  <c r="M1381" i="9" s="1"/>
  <c r="T1063" i="9" l="1"/>
  <c r="R1063" i="9"/>
  <c r="S1063" i="9"/>
  <c r="O1064" i="9"/>
  <c r="P1064" i="9" s="1"/>
  <c r="N1065" i="9"/>
  <c r="L1382" i="9"/>
  <c r="M1382" i="9" s="1"/>
  <c r="K1383" i="9"/>
  <c r="S1064" i="9" l="1"/>
  <c r="R1064" i="9"/>
  <c r="T1064" i="9"/>
  <c r="N1066" i="9"/>
  <c r="O1065" i="9"/>
  <c r="P1065" i="9" s="1"/>
  <c r="L1383" i="9"/>
  <c r="M1383" i="9" s="1"/>
  <c r="K1384" i="9"/>
  <c r="S1065" i="9" l="1"/>
  <c r="R1065" i="9"/>
  <c r="T1065" i="9"/>
  <c r="O1066" i="9"/>
  <c r="P1066" i="9" s="1"/>
  <c r="N1067" i="9"/>
  <c r="K1385" i="9"/>
  <c r="L1384" i="9"/>
  <c r="M1384" i="9" s="1"/>
  <c r="T1066" i="9" l="1"/>
  <c r="R1066" i="9"/>
  <c r="S1066" i="9"/>
  <c r="N1068" i="9"/>
  <c r="O1067" i="9"/>
  <c r="K1386" i="9"/>
  <c r="L1385" i="9"/>
  <c r="M1385" i="9" s="1"/>
  <c r="P1067" i="9" l="1"/>
  <c r="S1067" i="9" s="1"/>
  <c r="N1069" i="9"/>
  <c r="O1068" i="9"/>
  <c r="P1068" i="9" s="1"/>
  <c r="L1386" i="9"/>
  <c r="M1386" i="9" s="1"/>
  <c r="K1387" i="9"/>
  <c r="R1067" i="9" l="1"/>
  <c r="T1068" i="9"/>
  <c r="R1068" i="9"/>
  <c r="S1068" i="9"/>
  <c r="T1067" i="9"/>
  <c r="O1069" i="9"/>
  <c r="P1069" i="9" s="1"/>
  <c r="N1070" i="9"/>
  <c r="L1387" i="9"/>
  <c r="M1387" i="9" s="1"/>
  <c r="K1388" i="9"/>
  <c r="T1069" i="9" l="1"/>
  <c r="R1069" i="9"/>
  <c r="S1069" i="9"/>
  <c r="N1071" i="9"/>
  <c r="O1070" i="9"/>
  <c r="P1070" i="9" s="1"/>
  <c r="K1389" i="9"/>
  <c r="L1388" i="9"/>
  <c r="M1388" i="9" s="1"/>
  <c r="T1070" i="9" l="1"/>
  <c r="R1070" i="9"/>
  <c r="S1070" i="9"/>
  <c r="N1072" i="9"/>
  <c r="O1071" i="9"/>
  <c r="P1071" i="9" s="1"/>
  <c r="L1389" i="9"/>
  <c r="M1389" i="9" s="1"/>
  <c r="K1390" i="9"/>
  <c r="T1071" i="9" l="1"/>
  <c r="S1071" i="9"/>
  <c r="R1071" i="9"/>
  <c r="O1072" i="9"/>
  <c r="P1072" i="9" s="1"/>
  <c r="N1073" i="9"/>
  <c r="L1390" i="9"/>
  <c r="M1390" i="9" s="1"/>
  <c r="K1391" i="9"/>
  <c r="S1072" i="9" l="1"/>
  <c r="R1072" i="9"/>
  <c r="T1072" i="9"/>
  <c r="N1074" i="9"/>
  <c r="O1073" i="9"/>
  <c r="P1073" i="9" s="1"/>
  <c r="K1392" i="9"/>
  <c r="L1391" i="9"/>
  <c r="M1391" i="9" s="1"/>
  <c r="R1073" i="9" l="1"/>
  <c r="S1073" i="9"/>
  <c r="T1073" i="9"/>
  <c r="O1074" i="9"/>
  <c r="P1074" i="9" s="1"/>
  <c r="N1075" i="9"/>
  <c r="L1392" i="9"/>
  <c r="M1392" i="9" s="1"/>
  <c r="K1393" i="9"/>
  <c r="T1074" i="9" l="1"/>
  <c r="R1074" i="9"/>
  <c r="S1074" i="9"/>
  <c r="N1076" i="9"/>
  <c r="O1075" i="9"/>
  <c r="P1075" i="9" s="1"/>
  <c r="L1393" i="9"/>
  <c r="M1393" i="9" s="1"/>
  <c r="K1394" i="9"/>
  <c r="T1075" i="9" l="1"/>
  <c r="S1075" i="9"/>
  <c r="R1075" i="9"/>
  <c r="O1076" i="9"/>
  <c r="P1076" i="9" s="1"/>
  <c r="N1077" i="9"/>
  <c r="L1394" i="9"/>
  <c r="M1394" i="9" s="1"/>
  <c r="K1395" i="9"/>
  <c r="T1076" i="9" l="1"/>
  <c r="S1076" i="9"/>
  <c r="R1076" i="9"/>
  <c r="N1078" i="9"/>
  <c r="O1077" i="9"/>
  <c r="P1077" i="9" s="1"/>
  <c r="K1396" i="9"/>
  <c r="L1395" i="9"/>
  <c r="M1395" i="9" s="1"/>
  <c r="R1077" i="9" l="1"/>
  <c r="S1077" i="9"/>
  <c r="T1077" i="9"/>
  <c r="N1079" i="9"/>
  <c r="O1078" i="9"/>
  <c r="P1078" i="9" s="1"/>
  <c r="L1396" i="9"/>
  <c r="M1396" i="9" s="1"/>
  <c r="K1397" i="9"/>
  <c r="R1078" i="9" l="1"/>
  <c r="S1078" i="9"/>
  <c r="T1078" i="9"/>
  <c r="O1079" i="9"/>
  <c r="P1079" i="9" s="1"/>
  <c r="N1080" i="9"/>
  <c r="L1397" i="9"/>
  <c r="M1397" i="9" s="1"/>
  <c r="K1398" i="9"/>
  <c r="R1079" i="9" l="1"/>
  <c r="S1079" i="9"/>
  <c r="T1079" i="9"/>
  <c r="N1081" i="9"/>
  <c r="O1080" i="9"/>
  <c r="P1080" i="9" s="1"/>
  <c r="L1398" i="9"/>
  <c r="M1398" i="9" s="1"/>
  <c r="K1399" i="9"/>
  <c r="S1080" i="9" l="1"/>
  <c r="R1080" i="9"/>
  <c r="T1080" i="9"/>
  <c r="N1082" i="9"/>
  <c r="O1081" i="9"/>
  <c r="P1081" i="9" s="1"/>
  <c r="K1400" i="9"/>
  <c r="L1399" i="9"/>
  <c r="M1399" i="9" s="1"/>
  <c r="R1081" i="9" l="1"/>
  <c r="S1081" i="9"/>
  <c r="T1081" i="9"/>
  <c r="N1083" i="9"/>
  <c r="O1082" i="9"/>
  <c r="P1082" i="9" s="1"/>
  <c r="L1400" i="9"/>
  <c r="M1400" i="9" s="1"/>
  <c r="K1401" i="9"/>
  <c r="T1082" i="9" l="1"/>
  <c r="R1082" i="9"/>
  <c r="S1082" i="9"/>
  <c r="O1083" i="9"/>
  <c r="N1084" i="9"/>
  <c r="L1401" i="9"/>
  <c r="M1401" i="9" s="1"/>
  <c r="K1402" i="9"/>
  <c r="P1083" i="9" l="1"/>
  <c r="S1083" i="9" s="1"/>
  <c r="O1084" i="9"/>
  <c r="P1084" i="9" s="1"/>
  <c r="N1085" i="9"/>
  <c r="L1402" i="9"/>
  <c r="M1402" i="9" s="1"/>
  <c r="K1403" i="9"/>
  <c r="R1083" i="9" l="1"/>
  <c r="T1084" i="9"/>
  <c r="T1083" i="9"/>
  <c r="R1084" i="9"/>
  <c r="S1084" i="9"/>
  <c r="O1085" i="9"/>
  <c r="P1085" i="9" s="1"/>
  <c r="N1086" i="9"/>
  <c r="K1404" i="9"/>
  <c r="L1403" i="9"/>
  <c r="M1403" i="9" s="1"/>
  <c r="T1085" i="9" l="1"/>
  <c r="S1085" i="9"/>
  <c r="R1085" i="9"/>
  <c r="O1086" i="9"/>
  <c r="P1086" i="9" s="1"/>
  <c r="N1087" i="9"/>
  <c r="L1404" i="9"/>
  <c r="M1404" i="9" s="1"/>
  <c r="K1405" i="9"/>
  <c r="T1086" i="9" l="1"/>
  <c r="R1086" i="9"/>
  <c r="S1086" i="9"/>
  <c r="N1088" i="9"/>
  <c r="O1087" i="9"/>
  <c r="P1087" i="9" s="1"/>
  <c r="L1405" i="9"/>
  <c r="M1405" i="9" s="1"/>
  <c r="K1406" i="9"/>
  <c r="T1087" i="9" l="1"/>
  <c r="R1087" i="9"/>
  <c r="S1087" i="9"/>
  <c r="O1088" i="9"/>
  <c r="P1088" i="9" s="1"/>
  <c r="N1089" i="9"/>
  <c r="L1406" i="9"/>
  <c r="M1406" i="9" s="1"/>
  <c r="K1407" i="9"/>
  <c r="T1088" i="9" l="1"/>
  <c r="R1088" i="9"/>
  <c r="S1088" i="9"/>
  <c r="N1090" i="9"/>
  <c r="O1089" i="9"/>
  <c r="P1089" i="9" s="1"/>
  <c r="L1407" i="9"/>
  <c r="M1407" i="9" s="1"/>
  <c r="K1408" i="9"/>
  <c r="R1089" i="9" l="1"/>
  <c r="S1089" i="9"/>
  <c r="T1089" i="9"/>
  <c r="N1091" i="9"/>
  <c r="O1090" i="9"/>
  <c r="P1090" i="9" s="1"/>
  <c r="L1408" i="9"/>
  <c r="M1408" i="9" s="1"/>
  <c r="K1409" i="9"/>
  <c r="S1090" i="9" l="1"/>
  <c r="R1090" i="9"/>
  <c r="T1090" i="9"/>
  <c r="N1092" i="9"/>
  <c r="O1091" i="9"/>
  <c r="P1091" i="9" s="1"/>
  <c r="K1410" i="9"/>
  <c r="L1409" i="9"/>
  <c r="M1409" i="9" s="1"/>
  <c r="R1091" i="9" l="1"/>
  <c r="S1091" i="9"/>
  <c r="T1091" i="9"/>
  <c r="N1093" i="9"/>
  <c r="O1092" i="9"/>
  <c r="P1092" i="9" s="1"/>
  <c r="L1410" i="9"/>
  <c r="M1410" i="9" s="1"/>
  <c r="K1411" i="9"/>
  <c r="T1092" i="9" l="1"/>
  <c r="S1092" i="9"/>
  <c r="R1092" i="9"/>
  <c r="N1094" i="9"/>
  <c r="O1093" i="9"/>
  <c r="P1093" i="9" s="1"/>
  <c r="L1411" i="9"/>
  <c r="M1411" i="9" s="1"/>
  <c r="K1412" i="9"/>
  <c r="R1093" i="9" l="1"/>
  <c r="S1093" i="9"/>
  <c r="T1093" i="9"/>
  <c r="O1094" i="9"/>
  <c r="P1094" i="9" s="1"/>
  <c r="N1095" i="9"/>
  <c r="K1413" i="9"/>
  <c r="L1412" i="9"/>
  <c r="M1412" i="9" s="1"/>
  <c r="T1094" i="9" l="1"/>
  <c r="R1094" i="9"/>
  <c r="S1094" i="9"/>
  <c r="N1096" i="9"/>
  <c r="O1095" i="9"/>
  <c r="P1095" i="9" s="1"/>
  <c r="K1414" i="9"/>
  <c r="L1413" i="9"/>
  <c r="M1413" i="9" s="1"/>
  <c r="T1095" i="9" l="1"/>
  <c r="S1095" i="9"/>
  <c r="R1095" i="9"/>
  <c r="N1097" i="9"/>
  <c r="O1096" i="9"/>
  <c r="P1096" i="9" s="1"/>
  <c r="L1414" i="9"/>
  <c r="M1414" i="9" s="1"/>
  <c r="K1415" i="9"/>
  <c r="T1096" i="9" l="1"/>
  <c r="R1096" i="9"/>
  <c r="S1096" i="9"/>
  <c r="N1098" i="9"/>
  <c r="O1097" i="9"/>
  <c r="P1097" i="9" s="1"/>
  <c r="L1415" i="9"/>
  <c r="M1415" i="9" s="1"/>
  <c r="K1416" i="9"/>
  <c r="T1097" i="9" l="1"/>
  <c r="R1097" i="9"/>
  <c r="S1097" i="9"/>
  <c r="O1098" i="9"/>
  <c r="P1098" i="9" s="1"/>
  <c r="N1099" i="9"/>
  <c r="K1417" i="9"/>
  <c r="L1416" i="9"/>
  <c r="M1416" i="9" s="1"/>
  <c r="T1098" i="9" l="1"/>
  <c r="R1098" i="9"/>
  <c r="S1098" i="9"/>
  <c r="N1100" i="9"/>
  <c r="O1099" i="9"/>
  <c r="P1099" i="9" s="1"/>
  <c r="L1417" i="9"/>
  <c r="M1417" i="9" s="1"/>
  <c r="K1418" i="9"/>
  <c r="T1099" i="9" l="1"/>
  <c r="S1099" i="9"/>
  <c r="R1099" i="9"/>
  <c r="N1101" i="9"/>
  <c r="O1100" i="9"/>
  <c r="P1100" i="9" s="1"/>
  <c r="K1419" i="9"/>
  <c r="L1418" i="9"/>
  <c r="M1418" i="9" s="1"/>
  <c r="S1100" i="9" l="1"/>
  <c r="R1100" i="9"/>
  <c r="T1100" i="9"/>
  <c r="N1102" i="9"/>
  <c r="O1101" i="9"/>
  <c r="P1101" i="9" s="1"/>
  <c r="L1419" i="9"/>
  <c r="M1419" i="9" s="1"/>
  <c r="K1420" i="9"/>
  <c r="T1101" i="9" l="1"/>
  <c r="R1101" i="9"/>
  <c r="S1101" i="9"/>
  <c r="N1103" i="9"/>
  <c r="O1102" i="9"/>
  <c r="P1102" i="9" s="1"/>
  <c r="L1420" i="9"/>
  <c r="M1420" i="9" s="1"/>
  <c r="K1421" i="9"/>
  <c r="S1102" i="9" l="1"/>
  <c r="R1102" i="9"/>
  <c r="T1102" i="9"/>
  <c r="N1104" i="9"/>
  <c r="O1103" i="9"/>
  <c r="P1103" i="9" s="1"/>
  <c r="K1422" i="9"/>
  <c r="L1421" i="9"/>
  <c r="M1421" i="9" s="1"/>
  <c r="R1103" i="9" l="1"/>
  <c r="S1103" i="9"/>
  <c r="T1103" i="9"/>
  <c r="N1105" i="9"/>
  <c r="O1104" i="9"/>
  <c r="P1104" i="9" s="1"/>
  <c r="L1422" i="9"/>
  <c r="M1422" i="9" s="1"/>
  <c r="K1423" i="9"/>
  <c r="T1104" i="9" l="1"/>
  <c r="R1104" i="9"/>
  <c r="S1104" i="9"/>
  <c r="N1106" i="9"/>
  <c r="O1105" i="9"/>
  <c r="P1105" i="9" s="1"/>
  <c r="L1423" i="9"/>
  <c r="M1423" i="9" s="1"/>
  <c r="K1424" i="9"/>
  <c r="T1105" i="9" l="1"/>
  <c r="R1105" i="9"/>
  <c r="S1105" i="9"/>
  <c r="N1107" i="9"/>
  <c r="O1106" i="9"/>
  <c r="P1106" i="9" s="1"/>
  <c r="K1425" i="9"/>
  <c r="L1424" i="9"/>
  <c r="M1424" i="9" s="1"/>
  <c r="S1106" i="9" l="1"/>
  <c r="R1106" i="9"/>
  <c r="T1106" i="9"/>
  <c r="O1107" i="9"/>
  <c r="P1107" i="9" s="1"/>
  <c r="N1108" i="9"/>
  <c r="K1426" i="9"/>
  <c r="L1425" i="9"/>
  <c r="M1425" i="9" s="1"/>
  <c r="S1107" i="9" l="1"/>
  <c r="R1107" i="9"/>
  <c r="T1107" i="9"/>
  <c r="N1109" i="9"/>
  <c r="O1108" i="9"/>
  <c r="P1108" i="9" s="1"/>
  <c r="L1426" i="9"/>
  <c r="M1426" i="9" s="1"/>
  <c r="K1427" i="9"/>
  <c r="S1108" i="9" l="1"/>
  <c r="R1108" i="9"/>
  <c r="T1108" i="9"/>
  <c r="N1110" i="9"/>
  <c r="O1109" i="9"/>
  <c r="P1109" i="9" s="1"/>
  <c r="L1427" i="9"/>
  <c r="M1427" i="9" s="1"/>
  <c r="K1428" i="9"/>
  <c r="R1109" i="9" l="1"/>
  <c r="S1109" i="9"/>
  <c r="T1109" i="9"/>
  <c r="N1111" i="9"/>
  <c r="O1110" i="9"/>
  <c r="P1110" i="9" s="1"/>
  <c r="K1429" i="9"/>
  <c r="L1428" i="9"/>
  <c r="M1428" i="9" s="1"/>
  <c r="R1110" i="9" l="1"/>
  <c r="S1110" i="9"/>
  <c r="T1110" i="9"/>
  <c r="O1111" i="9"/>
  <c r="P1111" i="9" s="1"/>
  <c r="N1112" i="9"/>
  <c r="K1430" i="9"/>
  <c r="L1429" i="9"/>
  <c r="M1429" i="9" s="1"/>
  <c r="T1111" i="9" l="1"/>
  <c r="S1111" i="9"/>
  <c r="R1111" i="9"/>
  <c r="O1112" i="9"/>
  <c r="P1112" i="9" s="1"/>
  <c r="N1113" i="9"/>
  <c r="L1430" i="9"/>
  <c r="M1430" i="9" s="1"/>
  <c r="K1431" i="9"/>
  <c r="R1112" i="9" l="1"/>
  <c r="S1112" i="9"/>
  <c r="T1112" i="9"/>
  <c r="N1114" i="9"/>
  <c r="O1113" i="9"/>
  <c r="P1113" i="9" s="1"/>
  <c r="L1431" i="9"/>
  <c r="M1431" i="9" s="1"/>
  <c r="K1432" i="9"/>
  <c r="S1113" i="9" l="1"/>
  <c r="R1113" i="9"/>
  <c r="T1113" i="9"/>
  <c r="N1115" i="9"/>
  <c r="O1114" i="9"/>
  <c r="P1114" i="9" s="1"/>
  <c r="K1433" i="9"/>
  <c r="L1432" i="9"/>
  <c r="M1432" i="9" s="1"/>
  <c r="R1114" i="9" l="1"/>
  <c r="S1114" i="9"/>
  <c r="T1114" i="9"/>
  <c r="N1116" i="9"/>
  <c r="O1115" i="9"/>
  <c r="P1115" i="9" s="1"/>
  <c r="L1433" i="9"/>
  <c r="M1433" i="9" s="1"/>
  <c r="K1434" i="9"/>
  <c r="T1115" i="9" l="1"/>
  <c r="R1115" i="9"/>
  <c r="S1115" i="9"/>
  <c r="O1116" i="9"/>
  <c r="P1116" i="9" s="1"/>
  <c r="N1117" i="9"/>
  <c r="L1434" i="9"/>
  <c r="M1434" i="9" s="1"/>
  <c r="K1435" i="9"/>
  <c r="T1116" i="9" l="1"/>
  <c r="R1116" i="9"/>
  <c r="S1116" i="9"/>
  <c r="N1118" i="9"/>
  <c r="O1117" i="9"/>
  <c r="P1117" i="9" s="1"/>
  <c r="L1435" i="9"/>
  <c r="M1435" i="9" s="1"/>
  <c r="K1436" i="9"/>
  <c r="T1117" i="9" l="1"/>
  <c r="R1117" i="9"/>
  <c r="S1117" i="9"/>
  <c r="N1119" i="9"/>
  <c r="O1118" i="9"/>
  <c r="P1118" i="9" s="1"/>
  <c r="K1437" i="9"/>
  <c r="L1436" i="9"/>
  <c r="M1436" i="9" s="1"/>
  <c r="S1118" i="9" l="1"/>
  <c r="R1118" i="9"/>
  <c r="T1118" i="9"/>
  <c r="N1120" i="9"/>
  <c r="O1119" i="9"/>
  <c r="P1119" i="9" s="1"/>
  <c r="K1438" i="9"/>
  <c r="L1437" i="9"/>
  <c r="M1437" i="9" s="1"/>
  <c r="S1119" i="9" l="1"/>
  <c r="R1119" i="9"/>
  <c r="T1119" i="9"/>
  <c r="N1121" i="9"/>
  <c r="O1120" i="9"/>
  <c r="P1120" i="9" s="1"/>
  <c r="L1438" i="9"/>
  <c r="M1438" i="9" s="1"/>
  <c r="K1439" i="9"/>
  <c r="R1120" i="9" l="1"/>
  <c r="S1120" i="9"/>
  <c r="T1120" i="9"/>
  <c r="N1122" i="9"/>
  <c r="O1121" i="9"/>
  <c r="P1121" i="9" s="1"/>
  <c r="L1439" i="9"/>
  <c r="M1439" i="9" s="1"/>
  <c r="K1440" i="9"/>
  <c r="T1121" i="9" l="1"/>
  <c r="R1121" i="9"/>
  <c r="S1121" i="9"/>
  <c r="N1123" i="9"/>
  <c r="O1122" i="9"/>
  <c r="P1122" i="9" s="1"/>
  <c r="K1441" i="9"/>
  <c r="L1440" i="9"/>
  <c r="M1440" i="9" s="1"/>
  <c r="T1122" i="9" l="1"/>
  <c r="S1122" i="9"/>
  <c r="R1122" i="9"/>
  <c r="N1124" i="9"/>
  <c r="O1123" i="9"/>
  <c r="P1123" i="9" s="1"/>
  <c r="L1441" i="9"/>
  <c r="M1441" i="9" s="1"/>
  <c r="K1442" i="9"/>
  <c r="T1123" i="9" l="1"/>
  <c r="R1123" i="9"/>
  <c r="S1123" i="9"/>
  <c r="N1125" i="9"/>
  <c r="O1124" i="9"/>
  <c r="P1124" i="9" s="1"/>
  <c r="L1442" i="9"/>
  <c r="M1442" i="9" s="1"/>
  <c r="K1443" i="9"/>
  <c r="R1124" i="9" l="1"/>
  <c r="S1124" i="9"/>
  <c r="T1124" i="9"/>
  <c r="N1126" i="9"/>
  <c r="O1125" i="9"/>
  <c r="P1125" i="9" s="1"/>
  <c r="L1443" i="9"/>
  <c r="M1443" i="9" s="1"/>
  <c r="K1444" i="9"/>
  <c r="R1125" i="9" l="1"/>
  <c r="S1125" i="9"/>
  <c r="T1125" i="9"/>
  <c r="N1127" i="9"/>
  <c r="O1126" i="9"/>
  <c r="P1126" i="9" s="1"/>
  <c r="K1445" i="9"/>
  <c r="L1444" i="9"/>
  <c r="M1444" i="9" s="1"/>
  <c r="R1126" i="9" l="1"/>
  <c r="S1126" i="9"/>
  <c r="T1126" i="9"/>
  <c r="N1128" i="9"/>
  <c r="O1127" i="9"/>
  <c r="P1127" i="9" s="1"/>
  <c r="L1445" i="9"/>
  <c r="M1445" i="9" s="1"/>
  <c r="K1446" i="9"/>
  <c r="T1127" i="9" l="1"/>
  <c r="S1127" i="9"/>
  <c r="R1127" i="9"/>
  <c r="N1129" i="9"/>
  <c r="O1128" i="9"/>
  <c r="P1128" i="9" s="1"/>
  <c r="L1446" i="9"/>
  <c r="M1446" i="9" s="1"/>
  <c r="K1447" i="9"/>
  <c r="R1128" i="9" l="1"/>
  <c r="S1128" i="9"/>
  <c r="T1128" i="9"/>
  <c r="O1129" i="9"/>
  <c r="P1129" i="9" s="1"/>
  <c r="N1130" i="9"/>
  <c r="K1448" i="9"/>
  <c r="L1447" i="9"/>
  <c r="M1447" i="9" s="1"/>
  <c r="S1129" i="9" l="1"/>
  <c r="R1129" i="9"/>
  <c r="T1129" i="9"/>
  <c r="N1131" i="9"/>
  <c r="O1130" i="9"/>
  <c r="P1130" i="9" s="1"/>
  <c r="K1449" i="9"/>
  <c r="L1448" i="9"/>
  <c r="M1448" i="9" s="1"/>
  <c r="S1130" i="9" l="1"/>
  <c r="R1130" i="9"/>
  <c r="T1130" i="9"/>
  <c r="O1131" i="9"/>
  <c r="P1131" i="9" s="1"/>
  <c r="N1132" i="9"/>
  <c r="L1449" i="9"/>
  <c r="M1449" i="9" s="1"/>
  <c r="K1450" i="9"/>
  <c r="S1131" i="9" l="1"/>
  <c r="R1131" i="9"/>
  <c r="T1131" i="9"/>
  <c r="N1133" i="9"/>
  <c r="O1132" i="9"/>
  <c r="P1132" i="9" s="1"/>
  <c r="L1450" i="9"/>
  <c r="M1450" i="9" s="1"/>
  <c r="K1451" i="9"/>
  <c r="R1132" i="9" l="1"/>
  <c r="S1132" i="9"/>
  <c r="T1132" i="9"/>
  <c r="N1134" i="9"/>
  <c r="O1133" i="9"/>
  <c r="P1133" i="9" s="1"/>
  <c r="K1452" i="9"/>
  <c r="L1451" i="9"/>
  <c r="M1451" i="9" s="1"/>
  <c r="T1133" i="9" l="1"/>
  <c r="S1133" i="9"/>
  <c r="R1133" i="9"/>
  <c r="N1135" i="9"/>
  <c r="O1134" i="9"/>
  <c r="P1134" i="9" s="1"/>
  <c r="L1452" i="9"/>
  <c r="M1452" i="9" s="1"/>
  <c r="K1453" i="9"/>
  <c r="T1134" i="9" l="1"/>
  <c r="S1134" i="9"/>
  <c r="R1134" i="9"/>
  <c r="O1135" i="9"/>
  <c r="P1135" i="9" s="1"/>
  <c r="N1136" i="9"/>
  <c r="L1453" i="9"/>
  <c r="M1453" i="9" s="1"/>
  <c r="K1454" i="9"/>
  <c r="R1135" i="9" l="1"/>
  <c r="S1135" i="9"/>
  <c r="T1135" i="9"/>
  <c r="N1137" i="9"/>
  <c r="O1136" i="9"/>
  <c r="P1136" i="9" s="1"/>
  <c r="K1455" i="9"/>
  <c r="L1454" i="9"/>
  <c r="M1454" i="9" s="1"/>
  <c r="S1136" i="9" l="1"/>
  <c r="R1136" i="9"/>
  <c r="T1136" i="9"/>
  <c r="O1137" i="9"/>
  <c r="P1137" i="9" s="1"/>
  <c r="N1138" i="9"/>
  <c r="L1455" i="9"/>
  <c r="M1455" i="9" s="1"/>
  <c r="K1456" i="9"/>
  <c r="T1137" i="9" l="1"/>
  <c r="R1137" i="9"/>
  <c r="S1137" i="9"/>
  <c r="O1138" i="9"/>
  <c r="P1138" i="9" s="1"/>
  <c r="N1139" i="9"/>
  <c r="K1457" i="9"/>
  <c r="L1456" i="9"/>
  <c r="M1456" i="9" s="1"/>
  <c r="T1138" i="9" l="1"/>
  <c r="R1138" i="9"/>
  <c r="S1138" i="9"/>
  <c r="N1140" i="9"/>
  <c r="O1139" i="9"/>
  <c r="P1139" i="9" s="1"/>
  <c r="K1458" i="9"/>
  <c r="L1457" i="9"/>
  <c r="M1457" i="9" s="1"/>
  <c r="T1139" i="9" l="1"/>
  <c r="S1139" i="9"/>
  <c r="R1139" i="9"/>
  <c r="N1141" i="9"/>
  <c r="O1140" i="9"/>
  <c r="P1140" i="9" s="1"/>
  <c r="L1458" i="9"/>
  <c r="M1458" i="9" s="1"/>
  <c r="K1459" i="9"/>
  <c r="T1140" i="9" l="1"/>
  <c r="S1140" i="9"/>
  <c r="R1140" i="9"/>
  <c r="N1142" i="9"/>
  <c r="O1141" i="9"/>
  <c r="P1141" i="9" s="1"/>
  <c r="L1459" i="9"/>
  <c r="M1459" i="9" s="1"/>
  <c r="K1460" i="9"/>
  <c r="R1141" i="9" l="1"/>
  <c r="S1141" i="9"/>
  <c r="T1141" i="9"/>
  <c r="N1143" i="9"/>
  <c r="O1142" i="9"/>
  <c r="P1142" i="9" s="1"/>
  <c r="K1461" i="9"/>
  <c r="L1460" i="9"/>
  <c r="M1460" i="9" s="1"/>
  <c r="R1142" i="9" l="1"/>
  <c r="S1142" i="9"/>
  <c r="T1142" i="9"/>
  <c r="O1143" i="9"/>
  <c r="P1143" i="9" s="1"/>
  <c r="N1144" i="9"/>
  <c r="K1462" i="9"/>
  <c r="L1461" i="9"/>
  <c r="M1461" i="9" s="1"/>
  <c r="T1143" i="9" l="1"/>
  <c r="R1143" i="9"/>
  <c r="S1143" i="9"/>
  <c r="N1145" i="9"/>
  <c r="O1144" i="9"/>
  <c r="P1144" i="9" s="1"/>
  <c r="L1462" i="9"/>
  <c r="M1462" i="9" s="1"/>
  <c r="K1463" i="9"/>
  <c r="R1144" i="9" l="1"/>
  <c r="S1144" i="9"/>
  <c r="T1144" i="9"/>
  <c r="N1146" i="9"/>
  <c r="O1145" i="9"/>
  <c r="P1145" i="9" s="1"/>
  <c r="L1463" i="9"/>
  <c r="M1463" i="9" s="1"/>
  <c r="K1464" i="9"/>
  <c r="R1145" i="9" l="1"/>
  <c r="S1145" i="9"/>
  <c r="T1145" i="9"/>
  <c r="N1147" i="9"/>
  <c r="O1146" i="9"/>
  <c r="P1146" i="9" s="1"/>
  <c r="K1465" i="9"/>
  <c r="L1464" i="9"/>
  <c r="M1464" i="9" s="1"/>
  <c r="R1146" i="9" l="1"/>
  <c r="S1146" i="9"/>
  <c r="T1146" i="9"/>
  <c r="N1148" i="9"/>
  <c r="O1147" i="9"/>
  <c r="P1147" i="9" s="1"/>
  <c r="L1465" i="9"/>
  <c r="M1465" i="9" s="1"/>
  <c r="K1466" i="9"/>
  <c r="S1147" i="9" l="1"/>
  <c r="R1147" i="9"/>
  <c r="T1147" i="9"/>
  <c r="N1149" i="9"/>
  <c r="O1148" i="9"/>
  <c r="P1148" i="9" s="1"/>
  <c r="L1466" i="9"/>
  <c r="M1466" i="9" s="1"/>
  <c r="K1467" i="9"/>
  <c r="T1148" i="9" l="1"/>
  <c r="R1148" i="9"/>
  <c r="S1148" i="9"/>
  <c r="N1150" i="9"/>
  <c r="O1149" i="9"/>
  <c r="P1149" i="9" s="1"/>
  <c r="K1468" i="9"/>
  <c r="L1467" i="9"/>
  <c r="M1467" i="9" s="1"/>
  <c r="T1149" i="9" l="1"/>
  <c r="R1149" i="9"/>
  <c r="S1149" i="9"/>
  <c r="N1151" i="9"/>
  <c r="O1150" i="9"/>
  <c r="P1150" i="9" s="1"/>
  <c r="K1469" i="9"/>
  <c r="L1468" i="9"/>
  <c r="M1468" i="9" s="1"/>
  <c r="T1150" i="9" l="1"/>
  <c r="S1150" i="9"/>
  <c r="R1150" i="9"/>
  <c r="O1151" i="9"/>
  <c r="P1151" i="9" s="1"/>
  <c r="N1152" i="9"/>
  <c r="L1469" i="9"/>
  <c r="M1469" i="9" s="1"/>
  <c r="K1470" i="9"/>
  <c r="T1151" i="9" l="1"/>
  <c r="R1151" i="9"/>
  <c r="S1151" i="9"/>
  <c r="N1153" i="9"/>
  <c r="O1152" i="9"/>
  <c r="P1152" i="9" s="1"/>
  <c r="L1470" i="9"/>
  <c r="M1470" i="9" s="1"/>
  <c r="K1471" i="9"/>
  <c r="R1152" i="9" l="1"/>
  <c r="S1152" i="9"/>
  <c r="T1152" i="9"/>
  <c r="N1154" i="9"/>
  <c r="O1153" i="9"/>
  <c r="P1153" i="9" s="1"/>
  <c r="K1472" i="9"/>
  <c r="L1471" i="9"/>
  <c r="M1471" i="9" s="1"/>
  <c r="R1153" i="9" l="1"/>
  <c r="S1153" i="9"/>
  <c r="T1153" i="9"/>
  <c r="N1155" i="9"/>
  <c r="O1154" i="9"/>
  <c r="P1154" i="9" s="1"/>
  <c r="K1473" i="9"/>
  <c r="L1472" i="9"/>
  <c r="M1472" i="9" s="1"/>
  <c r="T1154" i="9" l="1"/>
  <c r="R1154" i="9"/>
  <c r="S1154" i="9"/>
  <c r="N1156" i="9"/>
  <c r="O1155" i="9"/>
  <c r="P1155" i="9" s="1"/>
  <c r="L1473" i="9"/>
  <c r="M1473" i="9" s="1"/>
  <c r="K1474" i="9"/>
  <c r="T1155" i="9" l="1"/>
  <c r="S1155" i="9"/>
  <c r="R1155" i="9"/>
  <c r="N1157" i="9"/>
  <c r="O1156" i="9"/>
  <c r="P1156" i="9" s="1"/>
  <c r="L1474" i="9"/>
  <c r="M1474" i="9" s="1"/>
  <c r="K1475" i="9"/>
  <c r="T1156" i="9" l="1"/>
  <c r="S1156" i="9"/>
  <c r="R1156" i="9"/>
  <c r="O1157" i="9"/>
  <c r="P1157" i="9" s="1"/>
  <c r="N1158" i="9"/>
  <c r="L1475" i="9"/>
  <c r="M1475" i="9" s="1"/>
  <c r="K1476" i="9"/>
  <c r="T1157" i="9" l="1"/>
  <c r="S1157" i="9"/>
  <c r="R1157" i="9"/>
  <c r="N1159" i="9"/>
  <c r="O1158" i="9"/>
  <c r="P1158" i="9" s="1"/>
  <c r="K1477" i="9"/>
  <c r="L1476" i="9"/>
  <c r="M1476" i="9" s="1"/>
  <c r="T1158" i="9" l="1"/>
  <c r="S1158" i="9"/>
  <c r="R1158" i="9"/>
  <c r="N1160" i="9"/>
  <c r="O1159" i="9"/>
  <c r="P1159" i="9" s="1"/>
  <c r="L1477" i="9"/>
  <c r="M1477" i="9" s="1"/>
  <c r="K1478" i="9"/>
  <c r="T1159" i="9" l="1"/>
  <c r="S1159" i="9"/>
  <c r="R1159" i="9"/>
  <c r="N1161" i="9"/>
  <c r="O1160" i="9"/>
  <c r="P1160" i="9" s="1"/>
  <c r="K1479" i="9"/>
  <c r="L1478" i="9"/>
  <c r="M1478" i="9" s="1"/>
  <c r="T1160" i="9" l="1"/>
  <c r="R1160" i="9"/>
  <c r="S1160" i="9"/>
  <c r="N1162" i="9"/>
  <c r="O1161" i="9"/>
  <c r="P1161" i="9" s="1"/>
  <c r="L1479" i="9"/>
  <c r="M1479" i="9" s="1"/>
  <c r="K1480" i="9"/>
  <c r="T1161" i="9" l="1"/>
  <c r="R1161" i="9"/>
  <c r="S1161" i="9"/>
  <c r="O1162" i="9"/>
  <c r="P1162" i="9" s="1"/>
  <c r="N1163" i="9"/>
  <c r="L1480" i="9"/>
  <c r="M1480" i="9" s="1"/>
  <c r="K1481" i="9"/>
  <c r="R1162" i="9" l="1"/>
  <c r="S1162" i="9"/>
  <c r="T1162" i="9"/>
  <c r="O1163" i="9"/>
  <c r="P1163" i="9" s="1"/>
  <c r="N1164" i="9"/>
  <c r="K1482" i="9"/>
  <c r="L1481" i="9"/>
  <c r="M1481" i="9" s="1"/>
  <c r="T1163" i="9" l="1"/>
  <c r="S1163" i="9"/>
  <c r="R1163" i="9"/>
  <c r="N1165" i="9"/>
  <c r="O1164" i="9"/>
  <c r="P1164" i="9" s="1"/>
  <c r="L1482" i="9"/>
  <c r="M1482" i="9" s="1"/>
  <c r="K1483" i="9"/>
  <c r="T1164" i="9" l="1"/>
  <c r="R1164" i="9"/>
  <c r="S1164" i="9"/>
  <c r="N1166" i="9"/>
  <c r="O1165" i="9"/>
  <c r="P1165" i="9" s="1"/>
  <c r="K1484" i="9"/>
  <c r="L1483" i="9"/>
  <c r="M1483" i="9" s="1"/>
  <c r="T1165" i="9" l="1"/>
  <c r="S1165" i="9"/>
  <c r="R1165" i="9"/>
  <c r="N1167" i="9"/>
  <c r="O1166" i="9"/>
  <c r="P1166" i="9" s="1"/>
  <c r="L1484" i="9"/>
  <c r="M1484" i="9" s="1"/>
  <c r="K1485" i="9"/>
  <c r="R1166" i="9" l="1"/>
  <c r="S1166" i="9"/>
  <c r="T1166" i="9"/>
  <c r="O1167" i="9"/>
  <c r="P1167" i="9" s="1"/>
  <c r="N1168" i="9"/>
  <c r="K1486" i="9"/>
  <c r="L1485" i="9"/>
  <c r="M1485" i="9" s="1"/>
  <c r="T1167" i="9" l="1"/>
  <c r="S1167" i="9"/>
  <c r="R1167" i="9"/>
  <c r="N1169" i="9"/>
  <c r="O1168" i="9"/>
  <c r="P1168" i="9" s="1"/>
  <c r="K1487" i="9"/>
  <c r="L1486" i="9"/>
  <c r="M1486" i="9" s="1"/>
  <c r="S1168" i="9" l="1"/>
  <c r="R1168" i="9"/>
  <c r="T1168" i="9"/>
  <c r="N1170" i="9"/>
  <c r="O1169" i="9"/>
  <c r="P1169" i="9" s="1"/>
  <c r="K1488" i="9"/>
  <c r="L1487" i="9"/>
  <c r="M1487" i="9" s="1"/>
  <c r="T1169" i="9" l="1"/>
  <c r="R1169" i="9"/>
  <c r="S1169" i="9"/>
  <c r="N1171" i="9"/>
  <c r="O1170" i="9"/>
  <c r="P1170" i="9" s="1"/>
  <c r="L1488" i="9"/>
  <c r="M1488" i="9" s="1"/>
  <c r="K1489" i="9"/>
  <c r="T1170" i="9" l="1"/>
  <c r="R1170" i="9"/>
  <c r="S1170" i="9"/>
  <c r="N1172" i="9"/>
  <c r="O1171" i="9"/>
  <c r="P1171" i="9" s="1"/>
  <c r="L1489" i="9"/>
  <c r="M1489" i="9" s="1"/>
  <c r="K1490" i="9"/>
  <c r="S1171" i="9" l="1"/>
  <c r="R1171" i="9"/>
  <c r="T1171" i="9"/>
  <c r="N1173" i="9"/>
  <c r="O1172" i="9"/>
  <c r="P1172" i="9" s="1"/>
  <c r="K1491" i="9"/>
  <c r="L1490" i="9"/>
  <c r="M1490" i="9" s="1"/>
  <c r="S1172" i="9" l="1"/>
  <c r="R1172" i="9"/>
  <c r="T1172" i="9"/>
  <c r="N1174" i="9"/>
  <c r="O1173" i="9"/>
  <c r="P1173" i="9" s="1"/>
  <c r="L1491" i="9"/>
  <c r="M1491" i="9" s="1"/>
  <c r="K1492" i="9"/>
  <c r="R1173" i="9" l="1"/>
  <c r="S1173" i="9"/>
  <c r="T1173" i="9"/>
  <c r="N1175" i="9"/>
  <c r="O1174" i="9"/>
  <c r="P1174" i="9" s="1"/>
  <c r="L1492" i="9"/>
  <c r="M1492" i="9" s="1"/>
  <c r="K1493" i="9"/>
  <c r="R1174" i="9" l="1"/>
  <c r="S1174" i="9"/>
  <c r="T1174" i="9"/>
  <c r="N1176" i="9"/>
  <c r="O1175" i="9"/>
  <c r="P1175" i="9" s="1"/>
  <c r="L1493" i="9"/>
  <c r="M1493" i="9" s="1"/>
  <c r="K1494" i="9"/>
  <c r="T1175" i="9" l="1"/>
  <c r="R1175" i="9"/>
  <c r="S1175" i="9"/>
  <c r="N1177" i="9"/>
  <c r="O1176" i="9"/>
  <c r="P1176" i="9" s="1"/>
  <c r="K1495" i="9"/>
  <c r="L1494" i="9"/>
  <c r="M1494" i="9" s="1"/>
  <c r="R1176" i="9" l="1"/>
  <c r="S1176" i="9"/>
  <c r="T1176" i="9"/>
  <c r="N1178" i="9"/>
  <c r="O1177" i="9"/>
  <c r="P1177" i="9" s="1"/>
  <c r="L1495" i="9"/>
  <c r="M1495" i="9" s="1"/>
  <c r="K1496" i="9"/>
  <c r="R1177" i="9" l="1"/>
  <c r="S1177" i="9"/>
  <c r="T1177" i="9"/>
  <c r="N1179" i="9"/>
  <c r="O1178" i="9"/>
  <c r="P1178" i="9" s="1"/>
  <c r="L1496" i="9"/>
  <c r="M1496" i="9" s="1"/>
  <c r="K1497" i="9"/>
  <c r="T1178" i="9" l="1"/>
  <c r="R1178" i="9"/>
  <c r="S1178" i="9"/>
  <c r="N1180" i="9"/>
  <c r="O1179" i="9"/>
  <c r="L1497" i="9"/>
  <c r="M1497" i="9" s="1"/>
  <c r="K1498" i="9"/>
  <c r="P1179" i="9" l="1"/>
  <c r="S1179" i="9" s="1"/>
  <c r="N1181" i="9"/>
  <c r="O1180" i="9"/>
  <c r="P1180" i="9" s="1"/>
  <c r="K1499" i="9"/>
  <c r="L1498" i="9"/>
  <c r="M1498" i="9" s="1"/>
  <c r="R1179" i="9" l="1"/>
  <c r="R1180" i="9"/>
  <c r="S1180" i="9"/>
  <c r="T1180" i="9"/>
  <c r="T1179" i="9"/>
  <c r="N1182" i="9"/>
  <c r="O1181" i="9"/>
  <c r="P1181" i="9" s="1"/>
  <c r="L1499" i="9"/>
  <c r="M1499" i="9" s="1"/>
  <c r="K1500" i="9"/>
  <c r="L1500" i="9" s="1"/>
  <c r="M1500" i="9" s="1"/>
  <c r="R1181" i="9" l="1"/>
  <c r="S1181" i="9"/>
  <c r="T1181" i="9"/>
  <c r="N1183" i="9"/>
  <c r="O1182" i="9"/>
  <c r="P1182" i="9" s="1"/>
  <c r="T1182" i="9" l="1"/>
  <c r="R1182" i="9"/>
  <c r="S1182" i="9"/>
  <c r="N1184" i="9"/>
  <c r="O1183" i="9"/>
  <c r="P1183" i="9" l="1"/>
  <c r="S1183" i="9" s="1"/>
  <c r="N1185" i="9"/>
  <c r="O1184" i="9"/>
  <c r="P1184" i="9" s="1"/>
  <c r="T1184" i="9" l="1"/>
  <c r="R1184" i="9"/>
  <c r="S1184" i="9"/>
  <c r="T1183" i="9"/>
  <c r="R1183" i="9"/>
  <c r="N1186" i="9"/>
  <c r="O1185" i="9"/>
  <c r="P1185" i="9" s="1"/>
  <c r="R1185" i="9" l="1"/>
  <c r="S1185" i="9"/>
  <c r="T1185" i="9"/>
  <c r="N1187" i="9"/>
  <c r="O1186" i="9"/>
  <c r="P1186" i="9" s="1"/>
  <c r="T1186" i="9" l="1"/>
  <c r="R1186" i="9"/>
  <c r="S1186" i="9"/>
  <c r="O1187" i="9"/>
  <c r="P1187" i="9" s="1"/>
  <c r="N1188" i="9"/>
  <c r="T1187" i="9" l="1"/>
  <c r="R1187" i="9"/>
  <c r="S1187" i="9"/>
  <c r="N1189" i="9"/>
  <c r="O1188" i="9"/>
  <c r="P1188" i="9" s="1"/>
  <c r="T1188" i="9" l="1"/>
  <c r="R1188" i="9"/>
  <c r="S1188" i="9"/>
  <c r="N1190" i="9"/>
  <c r="O1189" i="9"/>
  <c r="P1189" i="9" s="1"/>
  <c r="T1189" i="9" l="1"/>
  <c r="R1189" i="9"/>
  <c r="S1189" i="9"/>
  <c r="N1191" i="9"/>
  <c r="O1190" i="9"/>
  <c r="P1190" i="9" s="1"/>
  <c r="T1190" i="9" l="1"/>
  <c r="R1190" i="9"/>
  <c r="S1190" i="9"/>
  <c r="N1192" i="9"/>
  <c r="O1191" i="9"/>
  <c r="P1191" i="9" s="1"/>
  <c r="T1191" i="9" l="1"/>
  <c r="S1191" i="9"/>
  <c r="R1191" i="9"/>
  <c r="N1193" i="9"/>
  <c r="O1192" i="9"/>
  <c r="P1192" i="9" s="1"/>
  <c r="T1192" i="9" l="1"/>
  <c r="S1192" i="9"/>
  <c r="R1192" i="9"/>
  <c r="N1194" i="9"/>
  <c r="O1193" i="9"/>
  <c r="P1193" i="9" s="1"/>
  <c r="T1193" i="9" l="1"/>
  <c r="S1193" i="9"/>
  <c r="R1193" i="9"/>
  <c r="N1195" i="9"/>
  <c r="O1194" i="9"/>
  <c r="P1194" i="9" s="1"/>
  <c r="T1194" i="9" l="1"/>
  <c r="R1194" i="9"/>
  <c r="S1194" i="9"/>
  <c r="N1196" i="9"/>
  <c r="O1195" i="9"/>
  <c r="P1195" i="9" s="1"/>
  <c r="S1195" i="9" l="1"/>
  <c r="R1195" i="9"/>
  <c r="T1195" i="9"/>
  <c r="N1197" i="9"/>
  <c r="O1196" i="9"/>
  <c r="P1196" i="9" s="1"/>
  <c r="T1196" i="9" l="1"/>
  <c r="S1196" i="9"/>
  <c r="R1196" i="9"/>
  <c r="N1198" i="9"/>
  <c r="O1197" i="9"/>
  <c r="P1197" i="9" s="1"/>
  <c r="R1197" i="9" l="1"/>
  <c r="S1197" i="9"/>
  <c r="T1197" i="9"/>
  <c r="N1199" i="9"/>
  <c r="O1198" i="9"/>
  <c r="P1198" i="9" s="1"/>
  <c r="T1198" i="9" l="1"/>
  <c r="R1198" i="9"/>
  <c r="S1198" i="9"/>
  <c r="N1200" i="9"/>
  <c r="O1199" i="9"/>
  <c r="P1199" i="9" s="1"/>
  <c r="S1199" i="9" l="1"/>
  <c r="R1199" i="9"/>
  <c r="T1199" i="9"/>
  <c r="N1201" i="9"/>
  <c r="O1200" i="9"/>
  <c r="P1200" i="9" s="1"/>
  <c r="R1200" i="9" l="1"/>
  <c r="S1200" i="9"/>
  <c r="T1200" i="9"/>
  <c r="N1202" i="9"/>
  <c r="O1201" i="9"/>
  <c r="P1201" i="9" s="1"/>
  <c r="T1201" i="9" l="1"/>
  <c r="R1201" i="9"/>
  <c r="S1201" i="9"/>
  <c r="N1203" i="9"/>
  <c r="O1202" i="9"/>
  <c r="P1202" i="9" s="1"/>
  <c r="T1202" i="9" l="1"/>
  <c r="S1202" i="9"/>
  <c r="R1202" i="9"/>
  <c r="N1204" i="9"/>
  <c r="O1203" i="9"/>
  <c r="P1203" i="9" s="1"/>
  <c r="T1203" i="9" l="1"/>
  <c r="S1203" i="9"/>
  <c r="R1203" i="9"/>
  <c r="O1204" i="9"/>
  <c r="P1204" i="9" s="1"/>
  <c r="N1205" i="9"/>
  <c r="T1204" i="9" l="1"/>
  <c r="R1204" i="9"/>
  <c r="S1204" i="9"/>
  <c r="N1206" i="9"/>
  <c r="O1205" i="9"/>
  <c r="P1205" i="9" s="1"/>
  <c r="R1205" i="9" l="1"/>
  <c r="S1205" i="9"/>
  <c r="T1205" i="9"/>
  <c r="N1207" i="9"/>
  <c r="O1206" i="9"/>
  <c r="P1206" i="9" s="1"/>
  <c r="T1206" i="9" l="1"/>
  <c r="R1206" i="9"/>
  <c r="S1206" i="9"/>
  <c r="N1208" i="9"/>
  <c r="O1207" i="9"/>
  <c r="P1207" i="9" s="1"/>
  <c r="T1207" i="9" l="1"/>
  <c r="R1207" i="9"/>
  <c r="S1207" i="9"/>
  <c r="N1209" i="9"/>
  <c r="O1208" i="9"/>
  <c r="P1208" i="9" s="1"/>
  <c r="T1208" i="9" l="1"/>
  <c r="S1208" i="9"/>
  <c r="R1208" i="9"/>
  <c r="N1210" i="9"/>
  <c r="O1209" i="9"/>
  <c r="P1209" i="9" s="1"/>
  <c r="T1209" i="9" l="1"/>
  <c r="R1209" i="9"/>
  <c r="S1209" i="9"/>
  <c r="N1211" i="9"/>
  <c r="O1210" i="9"/>
  <c r="P1210" i="9" s="1"/>
  <c r="T1210" i="9" l="1"/>
  <c r="R1210" i="9"/>
  <c r="S1210" i="9"/>
  <c r="N1212" i="9"/>
  <c r="O1211" i="9"/>
  <c r="P1211" i="9" s="1"/>
  <c r="T1211" i="9" l="1"/>
  <c r="S1211" i="9"/>
  <c r="R1211" i="9"/>
  <c r="N1213" i="9"/>
  <c r="O1212" i="9"/>
  <c r="P1212" i="9" s="1"/>
  <c r="T1212" i="9" l="1"/>
  <c r="R1212" i="9"/>
  <c r="S1212" i="9"/>
  <c r="N1214" i="9"/>
  <c r="O1213" i="9"/>
  <c r="P1213" i="9" s="1"/>
  <c r="R1213" i="9" l="1"/>
  <c r="S1213" i="9"/>
  <c r="T1213" i="9"/>
  <c r="O1214" i="9"/>
  <c r="P1214" i="9" s="1"/>
  <c r="N1215" i="9"/>
  <c r="R1214" i="9" l="1"/>
  <c r="S1214" i="9"/>
  <c r="T1214" i="9"/>
  <c r="N1216" i="9"/>
  <c r="O1215" i="9"/>
  <c r="P1215" i="9" s="1"/>
  <c r="T1215" i="9" l="1"/>
  <c r="S1215" i="9"/>
  <c r="R1215" i="9"/>
  <c r="N1217" i="9"/>
  <c r="O1216" i="9"/>
  <c r="P1216" i="9" s="1"/>
  <c r="S1216" i="9" l="1"/>
  <c r="R1216" i="9"/>
  <c r="T1216" i="9"/>
  <c r="N1218" i="9"/>
  <c r="O1217" i="9"/>
  <c r="P1217" i="9" s="1"/>
  <c r="T1217" i="9" l="1"/>
  <c r="R1217" i="9"/>
  <c r="S1217" i="9"/>
  <c r="N1219" i="9"/>
  <c r="O1218" i="9"/>
  <c r="P1218" i="9" s="1"/>
  <c r="T1218" i="9" l="1"/>
  <c r="R1218" i="9"/>
  <c r="S1218" i="9"/>
  <c r="N1220" i="9"/>
  <c r="O1219" i="9"/>
  <c r="P1219" i="9" s="1"/>
  <c r="T1219" i="9" l="1"/>
  <c r="S1219" i="9"/>
  <c r="R1219" i="9"/>
  <c r="N1221" i="9"/>
  <c r="O1220" i="9"/>
  <c r="P1220" i="9" s="1"/>
  <c r="T1220" i="9" l="1"/>
  <c r="R1220" i="9"/>
  <c r="S1220" i="9"/>
  <c r="N1222" i="9"/>
  <c r="O1221" i="9"/>
  <c r="P1221" i="9" s="1"/>
  <c r="T1221" i="9" l="1"/>
  <c r="R1221" i="9"/>
  <c r="S1221" i="9"/>
  <c r="N1223" i="9"/>
  <c r="O1222" i="9"/>
  <c r="P1222" i="9" s="1"/>
  <c r="T1222" i="9" l="1"/>
  <c r="R1222" i="9"/>
  <c r="S1222" i="9"/>
  <c r="O1223" i="9"/>
  <c r="P1223" i="9" s="1"/>
  <c r="N1224" i="9"/>
  <c r="T1223" i="9" l="1"/>
  <c r="S1223" i="9"/>
  <c r="R1223" i="9"/>
  <c r="N1225" i="9"/>
  <c r="O1224" i="9"/>
  <c r="P1224" i="9" s="1"/>
  <c r="T1224" i="9" l="1"/>
  <c r="S1224" i="9"/>
  <c r="R1224" i="9"/>
  <c r="N1226" i="9"/>
  <c r="O1225" i="9"/>
  <c r="P1225" i="9" s="1"/>
  <c r="R1225" i="9" l="1"/>
  <c r="S1225" i="9"/>
  <c r="T1225" i="9"/>
  <c r="O1226" i="9"/>
  <c r="P1226" i="9" s="1"/>
  <c r="N1227" i="9"/>
  <c r="T1226" i="9" l="1"/>
  <c r="R1226" i="9"/>
  <c r="S1226" i="9"/>
  <c r="N1228" i="9"/>
  <c r="O1227" i="9"/>
  <c r="P1227" i="9" s="1"/>
  <c r="S1227" i="9" l="1"/>
  <c r="R1227" i="9"/>
  <c r="T1227" i="9"/>
  <c r="N1229" i="9"/>
  <c r="O1228" i="9"/>
  <c r="P1228" i="9" s="1"/>
  <c r="T1228" i="9" l="1"/>
  <c r="S1228" i="9"/>
  <c r="R1228" i="9"/>
  <c r="N1230" i="9"/>
  <c r="O1229" i="9"/>
  <c r="P1229" i="9" s="1"/>
  <c r="T1229" i="9" l="1"/>
  <c r="R1229" i="9"/>
  <c r="S1229" i="9"/>
  <c r="N1231" i="9"/>
  <c r="O1230" i="9"/>
  <c r="P1230" i="9" s="1"/>
  <c r="T1230" i="9" l="1"/>
  <c r="S1230" i="9"/>
  <c r="R1230" i="9"/>
  <c r="N1232" i="9"/>
  <c r="O1231" i="9"/>
  <c r="P1231" i="9" s="1"/>
  <c r="T1231" i="9" l="1"/>
  <c r="S1231" i="9"/>
  <c r="R1231" i="9"/>
  <c r="O1232" i="9"/>
  <c r="P1232" i="9" s="1"/>
  <c r="N1233" i="9"/>
  <c r="T1232" i="9" l="1"/>
  <c r="R1232" i="9"/>
  <c r="S1232" i="9"/>
  <c r="N1234" i="9"/>
  <c r="O1233" i="9"/>
  <c r="P1233" i="9" s="1"/>
  <c r="T1233" i="9" l="1"/>
  <c r="R1233" i="9"/>
  <c r="S1233" i="9"/>
  <c r="N1235" i="9"/>
  <c r="O1234" i="9"/>
  <c r="P1234" i="9" s="1"/>
  <c r="R1234" i="9" l="1"/>
  <c r="S1234" i="9"/>
  <c r="T1234" i="9"/>
  <c r="O1235" i="9"/>
  <c r="N1236" i="9"/>
  <c r="P1235" i="9" l="1"/>
  <c r="S1235" i="9" s="1"/>
  <c r="N1237" i="9"/>
  <c r="O1236" i="9"/>
  <c r="P1236" i="9" s="1"/>
  <c r="R1236" i="9" l="1"/>
  <c r="S1236" i="9"/>
  <c r="T1236" i="9"/>
  <c r="T1235" i="9"/>
  <c r="R1235" i="9"/>
  <c r="N1238" i="9"/>
  <c r="O1237" i="9"/>
  <c r="P1237" i="9" s="1"/>
  <c r="T1237" i="9" l="1"/>
  <c r="R1237" i="9"/>
  <c r="S1237" i="9"/>
  <c r="N1239" i="9"/>
  <c r="O1238" i="9"/>
  <c r="P1238" i="9" s="1"/>
  <c r="T1238" i="9" l="1"/>
  <c r="R1238" i="9"/>
  <c r="S1238" i="9"/>
  <c r="N1240" i="9"/>
  <c r="O1239" i="9"/>
  <c r="P1239" i="9" s="1"/>
  <c r="T1239" i="9" l="1"/>
  <c r="S1239" i="9"/>
  <c r="R1239" i="9"/>
  <c r="N1241" i="9"/>
  <c r="O1240" i="9"/>
  <c r="P1240" i="9" s="1"/>
  <c r="T1240" i="9" l="1"/>
  <c r="S1240" i="9"/>
  <c r="R1240" i="9"/>
  <c r="N1242" i="9"/>
  <c r="O1241" i="9"/>
  <c r="P1241" i="9" s="1"/>
  <c r="T1241" i="9" l="1"/>
  <c r="R1241" i="9"/>
  <c r="S1241" i="9"/>
  <c r="N1243" i="9"/>
  <c r="O1242" i="9"/>
  <c r="P1242" i="9" s="1"/>
  <c r="T1242" i="9" l="1"/>
  <c r="S1242" i="9"/>
  <c r="R1242" i="9"/>
  <c r="N1244" i="9"/>
  <c r="O1243" i="9"/>
  <c r="P1243" i="9" s="1"/>
  <c r="T1243" i="9" l="1"/>
  <c r="S1243" i="9"/>
  <c r="R1243" i="9"/>
  <c r="N1245" i="9"/>
  <c r="O1244" i="9"/>
  <c r="P1244" i="9" s="1"/>
  <c r="T1244" i="9" l="1"/>
  <c r="S1244" i="9"/>
  <c r="R1244" i="9"/>
  <c r="N1246" i="9"/>
  <c r="O1245" i="9"/>
  <c r="P1245" i="9" s="1"/>
  <c r="T1245" i="9" l="1"/>
  <c r="R1245" i="9"/>
  <c r="S1245" i="9"/>
  <c r="N1247" i="9"/>
  <c r="O1246" i="9"/>
  <c r="P1246" i="9" s="1"/>
  <c r="T1246" i="9" l="1"/>
  <c r="R1246" i="9"/>
  <c r="S1246" i="9"/>
  <c r="N1248" i="9"/>
  <c r="O1247" i="9"/>
  <c r="P1247" i="9" s="1"/>
  <c r="S1247" i="9" l="1"/>
  <c r="R1247" i="9"/>
  <c r="T1247" i="9"/>
  <c r="N1249" i="9"/>
  <c r="O1248" i="9"/>
  <c r="P1248" i="9" s="1"/>
  <c r="T1248" i="9" l="1"/>
  <c r="S1248" i="9"/>
  <c r="R1248" i="9"/>
  <c r="N1250" i="9"/>
  <c r="O1249" i="9"/>
  <c r="P1249" i="9" s="1"/>
  <c r="R1249" i="9" l="1"/>
  <c r="S1249" i="9"/>
  <c r="T1249" i="9"/>
  <c r="O1250" i="9"/>
  <c r="P1250" i="9" s="1"/>
  <c r="N1251" i="9"/>
  <c r="T1250" i="9" l="1"/>
  <c r="S1250" i="9"/>
  <c r="R1250" i="9"/>
  <c r="N1252" i="9"/>
  <c r="O1251" i="9"/>
  <c r="P1251" i="9" s="1"/>
  <c r="T1251" i="9" l="1"/>
  <c r="R1251" i="9"/>
  <c r="S1251" i="9"/>
  <c r="N1253" i="9"/>
  <c r="O1252" i="9"/>
  <c r="P1252" i="9" s="1"/>
  <c r="T1252" i="9" l="1"/>
  <c r="S1252" i="9"/>
  <c r="R1252" i="9"/>
  <c r="N1254" i="9"/>
  <c r="O1253" i="9"/>
  <c r="P1253" i="9" s="1"/>
  <c r="R1253" i="9" l="1"/>
  <c r="S1253" i="9"/>
  <c r="T1253" i="9"/>
  <c r="N1255" i="9"/>
  <c r="O1254" i="9"/>
  <c r="P1254" i="9" s="1"/>
  <c r="T1254" i="9" l="1"/>
  <c r="R1254" i="9"/>
  <c r="S1254" i="9"/>
  <c r="N1256" i="9"/>
  <c r="O1255" i="9"/>
  <c r="P1255" i="9" s="1"/>
  <c r="T1255" i="9" l="1"/>
  <c r="S1255" i="9"/>
  <c r="R1255" i="9"/>
  <c r="O1256" i="9"/>
  <c r="P1256" i="9" s="1"/>
  <c r="N1257" i="9"/>
  <c r="T1256" i="9" l="1"/>
  <c r="S1256" i="9"/>
  <c r="R1256" i="9"/>
  <c r="N1258" i="9"/>
  <c r="O1257" i="9"/>
  <c r="P1257" i="9" s="1"/>
  <c r="T1257" i="9" l="1"/>
  <c r="R1257" i="9"/>
  <c r="S1257" i="9"/>
  <c r="N1259" i="9"/>
  <c r="O1258" i="9"/>
  <c r="P1258" i="9" s="1"/>
  <c r="R1258" i="9" l="1"/>
  <c r="S1258" i="9"/>
  <c r="T1258" i="9"/>
  <c r="N1260" i="9"/>
  <c r="O1259" i="9"/>
  <c r="P1259" i="9" s="1"/>
  <c r="T1259" i="9" l="1"/>
  <c r="S1259" i="9"/>
  <c r="R1259" i="9"/>
  <c r="N1261" i="9"/>
  <c r="O1260" i="9"/>
  <c r="P1260" i="9" s="1"/>
  <c r="S1260" i="9" l="1"/>
  <c r="R1260" i="9"/>
  <c r="T1260" i="9"/>
  <c r="N1262" i="9"/>
  <c r="O1261" i="9"/>
  <c r="P1261" i="9" s="1"/>
  <c r="T1261" i="9" l="1"/>
  <c r="S1261" i="9"/>
  <c r="R1261" i="9"/>
  <c r="N1263" i="9"/>
  <c r="O1262" i="9"/>
  <c r="P1262" i="9" s="1"/>
  <c r="T1262" i="9" l="1"/>
  <c r="R1262" i="9"/>
  <c r="S1262" i="9"/>
  <c r="N1264" i="9"/>
  <c r="O1263" i="9"/>
  <c r="P1263" i="9" s="1"/>
  <c r="T1263" i="9" l="1"/>
  <c r="R1263" i="9"/>
  <c r="S1263" i="9"/>
  <c r="N1265" i="9"/>
  <c r="O1264" i="9"/>
  <c r="P1264" i="9" s="1"/>
  <c r="T1264" i="9" l="1"/>
  <c r="R1264" i="9"/>
  <c r="S1264" i="9"/>
  <c r="N1266" i="9"/>
  <c r="O1265" i="9"/>
  <c r="P1265" i="9" s="1"/>
  <c r="T1265" i="9" l="1"/>
  <c r="R1265" i="9"/>
  <c r="S1265" i="9"/>
  <c r="N1267" i="9"/>
  <c r="O1266" i="9"/>
  <c r="P1266" i="9" s="1"/>
  <c r="R1266" i="9" l="1"/>
  <c r="S1266" i="9"/>
  <c r="T1266" i="9"/>
  <c r="N1268" i="9"/>
  <c r="O1267" i="9"/>
  <c r="P1267" i="9" s="1"/>
  <c r="T1267" i="9" l="1"/>
  <c r="S1267" i="9"/>
  <c r="R1267" i="9"/>
  <c r="N1269" i="9"/>
  <c r="O1268" i="9"/>
  <c r="P1268" i="9" s="1"/>
  <c r="T1268" i="9" l="1"/>
  <c r="S1268" i="9"/>
  <c r="R1268" i="9"/>
  <c r="N1270" i="9"/>
  <c r="O1269" i="9"/>
  <c r="P1269" i="9" s="1"/>
  <c r="T1269" i="9" l="1"/>
  <c r="R1269" i="9"/>
  <c r="S1269" i="9"/>
  <c r="N1271" i="9"/>
  <c r="O1270" i="9"/>
  <c r="P1270" i="9" s="1"/>
  <c r="T1270" i="9" l="1"/>
  <c r="S1270" i="9"/>
  <c r="R1270" i="9"/>
  <c r="N1272" i="9"/>
  <c r="O1271" i="9"/>
  <c r="P1271" i="9" s="1"/>
  <c r="T1271" i="9" l="1"/>
  <c r="S1271" i="9"/>
  <c r="R1271" i="9"/>
  <c r="N1273" i="9"/>
  <c r="O1272" i="9"/>
  <c r="P1272" i="9" s="1"/>
  <c r="T1272" i="9" l="1"/>
  <c r="R1272" i="9"/>
  <c r="S1272" i="9"/>
  <c r="N1274" i="9"/>
  <c r="O1273" i="9"/>
  <c r="P1273" i="9" s="1"/>
  <c r="T1273" i="9" l="1"/>
  <c r="R1273" i="9"/>
  <c r="S1273" i="9"/>
  <c r="N1275" i="9"/>
  <c r="O1274" i="9"/>
  <c r="P1274" i="9" s="1"/>
  <c r="T1274" i="9" l="1"/>
  <c r="R1274" i="9"/>
  <c r="S1274" i="9"/>
  <c r="N1276" i="9"/>
  <c r="O1275" i="9"/>
  <c r="P1275" i="9" s="1"/>
  <c r="T1275" i="9" l="1"/>
  <c r="S1275" i="9"/>
  <c r="R1275" i="9"/>
  <c r="N1277" i="9"/>
  <c r="O1276" i="9"/>
  <c r="P1276" i="9" s="1"/>
  <c r="T1276" i="9" l="1"/>
  <c r="S1276" i="9"/>
  <c r="R1276" i="9"/>
  <c r="N1278" i="9"/>
  <c r="O1277" i="9"/>
  <c r="P1277" i="9" s="1"/>
  <c r="T1277" i="9" l="1"/>
  <c r="R1277" i="9"/>
  <c r="S1277" i="9"/>
  <c r="O1278" i="9"/>
  <c r="P1278" i="9" s="1"/>
  <c r="N1279" i="9"/>
  <c r="T1278" i="9" l="1"/>
  <c r="S1278" i="9"/>
  <c r="R1278" i="9"/>
  <c r="O1279" i="9"/>
  <c r="P1279" i="9" s="1"/>
  <c r="N1280" i="9"/>
  <c r="S1279" i="9" l="1"/>
  <c r="R1279" i="9"/>
  <c r="T1279" i="9"/>
  <c r="N1281" i="9"/>
  <c r="O1280" i="9"/>
  <c r="P1280" i="9" s="1"/>
  <c r="T1280" i="9" l="1"/>
  <c r="S1280" i="9"/>
  <c r="R1280" i="9"/>
  <c r="N1282" i="9"/>
  <c r="O1281" i="9"/>
  <c r="P1281" i="9" s="1"/>
  <c r="R1281" i="9" l="1"/>
  <c r="S1281" i="9"/>
  <c r="T1281" i="9"/>
  <c r="N1283" i="9"/>
  <c r="O1282" i="9"/>
  <c r="P1282" i="9" s="1"/>
  <c r="T1282" i="9" l="1"/>
  <c r="S1282" i="9"/>
  <c r="R1282" i="9"/>
  <c r="N1284" i="9"/>
  <c r="O1283" i="9"/>
  <c r="P1283" i="9" s="1"/>
  <c r="T1283" i="9" l="1"/>
  <c r="R1283" i="9"/>
  <c r="S1283" i="9"/>
  <c r="N1285" i="9"/>
  <c r="O1284" i="9"/>
  <c r="P1284" i="9" s="1"/>
  <c r="T1284" i="9" l="1"/>
  <c r="S1284" i="9"/>
  <c r="R1284" i="9"/>
  <c r="N1286" i="9"/>
  <c r="O1285" i="9"/>
  <c r="P1285" i="9" s="1"/>
  <c r="R1285" i="9" l="1"/>
  <c r="S1285" i="9"/>
  <c r="T1285" i="9"/>
  <c r="O1286" i="9"/>
  <c r="P1286" i="9" s="1"/>
  <c r="N1287" i="9"/>
  <c r="T1286" i="9" l="1"/>
  <c r="R1286" i="9"/>
  <c r="S1286" i="9"/>
  <c r="N1288" i="9"/>
  <c r="O1287" i="9"/>
  <c r="P1287" i="9" s="1"/>
  <c r="T1287" i="9" l="1"/>
  <c r="S1287" i="9"/>
  <c r="R1287" i="9"/>
  <c r="N1289" i="9"/>
  <c r="O1288" i="9"/>
  <c r="P1288" i="9" s="1"/>
  <c r="R1288" i="9" l="1"/>
  <c r="S1288" i="9"/>
  <c r="T1288" i="9"/>
  <c r="N1290" i="9"/>
  <c r="O1289" i="9"/>
  <c r="P1289" i="9" s="1"/>
  <c r="T1289" i="9" l="1"/>
  <c r="R1289" i="9"/>
  <c r="S1289" i="9"/>
  <c r="N1291" i="9"/>
  <c r="O1290" i="9"/>
  <c r="P1290" i="9" s="1"/>
  <c r="R1290" i="9" l="1"/>
  <c r="S1290" i="9"/>
  <c r="T1290" i="9"/>
  <c r="N1292" i="9"/>
  <c r="O1291" i="9"/>
  <c r="P1291" i="9" l="1"/>
  <c r="S1291" i="9" s="1"/>
  <c r="O1292" i="9"/>
  <c r="P1292" i="9" s="1"/>
  <c r="N1293" i="9"/>
  <c r="R1291" i="9" l="1"/>
  <c r="T1291" i="9"/>
  <c r="S1292" i="9"/>
  <c r="R1292" i="9"/>
  <c r="T1292" i="9"/>
  <c r="N1294" i="9"/>
  <c r="O1293" i="9"/>
  <c r="P1293" i="9" s="1"/>
  <c r="T1293" i="9" l="1"/>
  <c r="R1293" i="9"/>
  <c r="S1293" i="9"/>
  <c r="N1295" i="9"/>
  <c r="O1294" i="9"/>
  <c r="P1294" i="9" s="1"/>
  <c r="T1294" i="9" l="1"/>
  <c r="R1294" i="9"/>
  <c r="S1294" i="9"/>
  <c r="N1296" i="9"/>
  <c r="O1295" i="9"/>
  <c r="P1295" i="9" s="1"/>
  <c r="R1295" i="9" l="1"/>
  <c r="S1295" i="9"/>
  <c r="T1295" i="9"/>
  <c r="N1297" i="9"/>
  <c r="O1296" i="9"/>
  <c r="P1296" i="9" s="1"/>
  <c r="T1296" i="9" l="1"/>
  <c r="R1296" i="9"/>
  <c r="S1296" i="9"/>
  <c r="N1298" i="9"/>
  <c r="O1297" i="9"/>
  <c r="P1297" i="9" s="1"/>
  <c r="T1297" i="9" l="1"/>
  <c r="R1297" i="9"/>
  <c r="S1297" i="9"/>
  <c r="N1299" i="9"/>
  <c r="O1298" i="9"/>
  <c r="P1298" i="9" s="1"/>
  <c r="R1298" i="9" l="1"/>
  <c r="S1298" i="9"/>
  <c r="T1298" i="9"/>
  <c r="N1300" i="9"/>
  <c r="O1299" i="9"/>
  <c r="P1299" i="9" s="1"/>
  <c r="T1299" i="9" l="1"/>
  <c r="S1299" i="9"/>
  <c r="R1299" i="9"/>
  <c r="N1301" i="9"/>
  <c r="O1300" i="9"/>
  <c r="P1300" i="9" s="1"/>
  <c r="T1300" i="9" l="1"/>
  <c r="R1300" i="9"/>
  <c r="S1300" i="9"/>
  <c r="N1302" i="9"/>
  <c r="O1301" i="9"/>
  <c r="P1301" i="9" s="1"/>
  <c r="T1301" i="9" l="1"/>
  <c r="R1301" i="9"/>
  <c r="S1301" i="9"/>
  <c r="O1302" i="9"/>
  <c r="P1302" i="9" s="1"/>
  <c r="N1303" i="9"/>
  <c r="R1302" i="9" l="1"/>
  <c r="S1302" i="9"/>
  <c r="T1302" i="9"/>
  <c r="N1304" i="9"/>
  <c r="O1303" i="9"/>
  <c r="P1303" i="9" l="1"/>
  <c r="R1303" i="9" s="1"/>
  <c r="N1305" i="9"/>
  <c r="O1304" i="9"/>
  <c r="P1304" i="9" s="1"/>
  <c r="T1304" i="9" l="1"/>
  <c r="S1304" i="9"/>
  <c r="R1304" i="9"/>
  <c r="T1303" i="9"/>
  <c r="S1303" i="9"/>
  <c r="N1306" i="9"/>
  <c r="O1305" i="9"/>
  <c r="P1305" i="9" s="1"/>
  <c r="R1305" i="9" l="1"/>
  <c r="S1305" i="9"/>
  <c r="T1305" i="9"/>
  <c r="N1307" i="9"/>
  <c r="O1306" i="9"/>
  <c r="P1306" i="9" s="1"/>
  <c r="T1306" i="9" l="1"/>
  <c r="R1306" i="9"/>
  <c r="S1306" i="9"/>
  <c r="N1308" i="9"/>
  <c r="O1307" i="9"/>
  <c r="P1307" i="9" l="1"/>
  <c r="S1307" i="9" s="1"/>
  <c r="N1309" i="9"/>
  <c r="O1308" i="9"/>
  <c r="P1308" i="9" s="1"/>
  <c r="R1307" i="9" l="1"/>
  <c r="T1308" i="9"/>
  <c r="S1308" i="9"/>
  <c r="R1308" i="9"/>
  <c r="T1307" i="9"/>
  <c r="N1310" i="9"/>
  <c r="O1309" i="9"/>
  <c r="P1309" i="9" s="1"/>
  <c r="T1309" i="9" l="1"/>
  <c r="R1309" i="9"/>
  <c r="S1309" i="9"/>
  <c r="N1311" i="9"/>
  <c r="O1310" i="9"/>
  <c r="P1310" i="9" s="1"/>
  <c r="T1310" i="9" l="1"/>
  <c r="S1310" i="9"/>
  <c r="R1310" i="9"/>
  <c r="N1312" i="9"/>
  <c r="O1311" i="9"/>
  <c r="P1311" i="9" s="1"/>
  <c r="T1311" i="9" l="1"/>
  <c r="R1311" i="9"/>
  <c r="S1311" i="9"/>
  <c r="N1313" i="9"/>
  <c r="O1312" i="9"/>
  <c r="P1312" i="9" s="1"/>
  <c r="T1312" i="9" l="1"/>
  <c r="S1312" i="9"/>
  <c r="R1312" i="9"/>
  <c r="N1314" i="9"/>
  <c r="O1313" i="9"/>
  <c r="P1313" i="9" s="1"/>
  <c r="T1313" i="9" l="1"/>
  <c r="R1313" i="9"/>
  <c r="S1313" i="9"/>
  <c r="N1315" i="9"/>
  <c r="O1314" i="9"/>
  <c r="P1314" i="9" s="1"/>
  <c r="T1314" i="9" l="1"/>
  <c r="R1314" i="9"/>
  <c r="S1314" i="9"/>
  <c r="N1316" i="9"/>
  <c r="O1315" i="9"/>
  <c r="P1315" i="9" s="1"/>
  <c r="S1315" i="9" l="1"/>
  <c r="R1315" i="9"/>
  <c r="T1315" i="9"/>
  <c r="N1317" i="9"/>
  <c r="O1316" i="9"/>
  <c r="P1316" i="9" s="1"/>
  <c r="T1316" i="9" l="1"/>
  <c r="R1316" i="9"/>
  <c r="S1316" i="9"/>
  <c r="N1318" i="9"/>
  <c r="O1317" i="9"/>
  <c r="P1317" i="9" s="1"/>
  <c r="R1317" i="9" l="1"/>
  <c r="S1317" i="9"/>
  <c r="T1317" i="9"/>
  <c r="N1319" i="9"/>
  <c r="O1318" i="9"/>
  <c r="P1318" i="9" s="1"/>
  <c r="T1318" i="9" l="1"/>
  <c r="R1318" i="9"/>
  <c r="S1318" i="9"/>
  <c r="N1320" i="9"/>
  <c r="O1319" i="9"/>
  <c r="P1319" i="9" s="1"/>
  <c r="T1319" i="9" l="1"/>
  <c r="S1319" i="9"/>
  <c r="R1319" i="9"/>
  <c r="N1321" i="9"/>
  <c r="O1320" i="9"/>
  <c r="P1320" i="9" s="1"/>
  <c r="R1320" i="9" l="1"/>
  <c r="S1320" i="9"/>
  <c r="T1320" i="9"/>
  <c r="O1321" i="9"/>
  <c r="P1321" i="9" s="1"/>
  <c r="N1322" i="9"/>
  <c r="R1321" i="9" l="1"/>
  <c r="S1321" i="9"/>
  <c r="T1321" i="9"/>
  <c r="O1322" i="9"/>
  <c r="P1322" i="9" s="1"/>
  <c r="N1323" i="9"/>
  <c r="R1322" i="9" l="1"/>
  <c r="S1322" i="9"/>
  <c r="T1322" i="9"/>
  <c r="N1324" i="9"/>
  <c r="O1323" i="9"/>
  <c r="P1323" i="9" s="1"/>
  <c r="T1323" i="9" l="1"/>
  <c r="S1323" i="9"/>
  <c r="R1323" i="9"/>
  <c r="N1325" i="9"/>
  <c r="O1324" i="9"/>
  <c r="P1324" i="9" s="1"/>
  <c r="R1324" i="9" l="1"/>
  <c r="S1324" i="9"/>
  <c r="T1324" i="9"/>
  <c r="N1326" i="9"/>
  <c r="O1325" i="9"/>
  <c r="P1325" i="9" s="1"/>
  <c r="T1325" i="9" l="1"/>
  <c r="R1325" i="9"/>
  <c r="S1325" i="9"/>
  <c r="O1326" i="9"/>
  <c r="P1326" i="9" s="1"/>
  <c r="N1327" i="9"/>
  <c r="T1326" i="9" l="1"/>
  <c r="S1326" i="9"/>
  <c r="R1326" i="9"/>
  <c r="N1328" i="9"/>
  <c r="O1327" i="9"/>
  <c r="P1327" i="9" s="1"/>
  <c r="S1327" i="9" l="1"/>
  <c r="R1327" i="9"/>
  <c r="T1327" i="9"/>
  <c r="N1329" i="9"/>
  <c r="O1328" i="9"/>
  <c r="P1328" i="9" s="1"/>
  <c r="T1328" i="9" l="1"/>
  <c r="R1328" i="9"/>
  <c r="S1328" i="9"/>
  <c r="N1330" i="9"/>
  <c r="O1329" i="9"/>
  <c r="P1329" i="9" s="1"/>
  <c r="R1329" i="9" l="1"/>
  <c r="S1329" i="9"/>
  <c r="T1329" i="9"/>
  <c r="N1331" i="9"/>
  <c r="O1330" i="9"/>
  <c r="P1330" i="9" s="1"/>
  <c r="T1330" i="9" l="1"/>
  <c r="R1330" i="9"/>
  <c r="S1330" i="9"/>
  <c r="N1332" i="9"/>
  <c r="O1331" i="9"/>
  <c r="P1331" i="9" s="1"/>
  <c r="T1331" i="9" l="1"/>
  <c r="S1331" i="9"/>
  <c r="R1331" i="9"/>
  <c r="N1333" i="9"/>
  <c r="O1332" i="9"/>
  <c r="P1332" i="9" s="1"/>
  <c r="T1332" i="9" l="1"/>
  <c r="R1332" i="9"/>
  <c r="S1332" i="9"/>
  <c r="N1334" i="9"/>
  <c r="O1333" i="9"/>
  <c r="P1333" i="9" s="1"/>
  <c r="T1333" i="9" l="1"/>
  <c r="R1333" i="9"/>
  <c r="S1333" i="9"/>
  <c r="N1335" i="9"/>
  <c r="O1334" i="9"/>
  <c r="P1334" i="9" s="1"/>
  <c r="R1334" i="9" l="1"/>
  <c r="S1334" i="9"/>
  <c r="T1334" i="9"/>
  <c r="N1336" i="9"/>
  <c r="O1335" i="9"/>
  <c r="P1335" i="9" s="1"/>
  <c r="T1335" i="9" l="1"/>
  <c r="S1335" i="9"/>
  <c r="R1335" i="9"/>
  <c r="N1337" i="9"/>
  <c r="O1336" i="9"/>
  <c r="P1336" i="9" s="1"/>
  <c r="T1336" i="9" l="1"/>
  <c r="R1336" i="9"/>
  <c r="S1336" i="9"/>
  <c r="N1338" i="9"/>
  <c r="O1337" i="9"/>
  <c r="P1337" i="9" s="1"/>
  <c r="R1337" i="9" l="1"/>
  <c r="S1337" i="9"/>
  <c r="T1337" i="9"/>
  <c r="N1339" i="9"/>
  <c r="O1338" i="9"/>
  <c r="P1338" i="9" s="1"/>
  <c r="T1338" i="9" l="1"/>
  <c r="R1338" i="9"/>
  <c r="S1338" i="9"/>
  <c r="N1340" i="9"/>
  <c r="O1339" i="9"/>
  <c r="P1339" i="9" s="1"/>
  <c r="T1339" i="9" l="1"/>
  <c r="R1339" i="9"/>
  <c r="S1339" i="9"/>
  <c r="N1341" i="9"/>
  <c r="O1340" i="9"/>
  <c r="P1340" i="9" s="1"/>
  <c r="S1340" i="9" l="1"/>
  <c r="R1340" i="9"/>
  <c r="T1340" i="9"/>
  <c r="O1341" i="9"/>
  <c r="P1341" i="9" s="1"/>
  <c r="N1342" i="9"/>
  <c r="R1341" i="9" l="1"/>
  <c r="S1341" i="9"/>
  <c r="T1341" i="9"/>
  <c r="N1343" i="9"/>
  <c r="O1342" i="9"/>
  <c r="P1342" i="9" s="1"/>
  <c r="T1342" i="9" l="1"/>
  <c r="R1342" i="9"/>
  <c r="S1342" i="9"/>
  <c r="N1344" i="9"/>
  <c r="O1343" i="9"/>
  <c r="P1343" i="9" s="1"/>
  <c r="T1343" i="9" l="1"/>
  <c r="S1343" i="9"/>
  <c r="R1343" i="9"/>
  <c r="N1345" i="9"/>
  <c r="O1344" i="9"/>
  <c r="P1344" i="9" s="1"/>
  <c r="T1344" i="9" l="1"/>
  <c r="R1344" i="9"/>
  <c r="S1344" i="9"/>
  <c r="O1345" i="9"/>
  <c r="P1345" i="9" s="1"/>
  <c r="N1346" i="9"/>
  <c r="R1345" i="9" l="1"/>
  <c r="S1345" i="9"/>
  <c r="T1345" i="9"/>
  <c r="N1347" i="9"/>
  <c r="O1346" i="9"/>
  <c r="P1346" i="9" s="1"/>
  <c r="T1346" i="9" l="1"/>
  <c r="R1346" i="9"/>
  <c r="S1346" i="9"/>
  <c r="O1347" i="9"/>
  <c r="P1347" i="9" s="1"/>
  <c r="N1348" i="9"/>
  <c r="T1347" i="9" l="1"/>
  <c r="S1347" i="9"/>
  <c r="R1347" i="9"/>
  <c r="N1349" i="9"/>
  <c r="O1348" i="9"/>
  <c r="P1348" i="9" s="1"/>
  <c r="T1348" i="9" l="1"/>
  <c r="S1348" i="9"/>
  <c r="R1348" i="9"/>
  <c r="N1350" i="9"/>
  <c r="O1349" i="9"/>
  <c r="P1349" i="9" s="1"/>
  <c r="R1349" i="9" l="1"/>
  <c r="S1349" i="9"/>
  <c r="T1349" i="9"/>
  <c r="O1350" i="9"/>
  <c r="P1350" i="9" s="1"/>
  <c r="N1351" i="9"/>
  <c r="R1350" i="9" l="1"/>
  <c r="S1350" i="9"/>
  <c r="T1350" i="9"/>
  <c r="O1351" i="9"/>
  <c r="P1351" i="9" s="1"/>
  <c r="N1352" i="9"/>
  <c r="S1351" i="9" l="1"/>
  <c r="R1351" i="9"/>
  <c r="T1351" i="9"/>
  <c r="O1352" i="9"/>
  <c r="P1352" i="9" s="1"/>
  <c r="N1353" i="9"/>
  <c r="R1352" i="9" l="1"/>
  <c r="S1352" i="9"/>
  <c r="T1352" i="9"/>
  <c r="O1353" i="9"/>
  <c r="P1353" i="9" s="1"/>
  <c r="N1354" i="9"/>
  <c r="S1353" i="9" l="1"/>
  <c r="R1353" i="9"/>
  <c r="T1353" i="9"/>
  <c r="O1354" i="9"/>
  <c r="P1354" i="9" s="1"/>
  <c r="N1355" i="9"/>
  <c r="R1354" i="9" l="1"/>
  <c r="S1354" i="9"/>
  <c r="T1354" i="9"/>
  <c r="N1356" i="9"/>
  <c r="O1355" i="9"/>
  <c r="P1355" i="9" s="1"/>
  <c r="T1355" i="9" l="1"/>
  <c r="S1355" i="9"/>
  <c r="R1355" i="9"/>
  <c r="N1357" i="9"/>
  <c r="O1356" i="9"/>
  <c r="P1356" i="9" s="1"/>
  <c r="R1356" i="9" l="1"/>
  <c r="S1356" i="9"/>
  <c r="T1356" i="9"/>
  <c r="N1358" i="9"/>
  <c r="O1357" i="9"/>
  <c r="P1357" i="9" s="1"/>
  <c r="T1357" i="9" l="1"/>
  <c r="R1357" i="9"/>
  <c r="S1357" i="9"/>
  <c r="N1359" i="9"/>
  <c r="O1358" i="9"/>
  <c r="P1358" i="9" s="1"/>
  <c r="T1358" i="9" l="1"/>
  <c r="R1358" i="9"/>
  <c r="S1358" i="9"/>
  <c r="N1360" i="9"/>
  <c r="O1359" i="9"/>
  <c r="P1359" i="9" s="1"/>
  <c r="S1359" i="9" l="1"/>
  <c r="R1359" i="9"/>
  <c r="T1359" i="9"/>
  <c r="N1361" i="9"/>
  <c r="O1360" i="9"/>
  <c r="P1360" i="9" s="1"/>
  <c r="T1360" i="9" l="1"/>
  <c r="S1360" i="9"/>
  <c r="R1360" i="9"/>
  <c r="N1362" i="9"/>
  <c r="O1361" i="9"/>
  <c r="P1361" i="9" s="1"/>
  <c r="T1361" i="9" l="1"/>
  <c r="R1361" i="9"/>
  <c r="S1361" i="9"/>
  <c r="N1363" i="9"/>
  <c r="O1362" i="9"/>
  <c r="P1362" i="9" s="1"/>
  <c r="T1362" i="9" l="1"/>
  <c r="R1362" i="9"/>
  <c r="S1362" i="9"/>
  <c r="N1364" i="9"/>
  <c r="O1363" i="9"/>
  <c r="P1363" i="9" s="1"/>
  <c r="S1363" i="9" l="1"/>
  <c r="R1363" i="9"/>
  <c r="T1363" i="9"/>
  <c r="O1364" i="9"/>
  <c r="P1364" i="9" s="1"/>
  <c r="N1365" i="9"/>
  <c r="S1364" i="9" l="1"/>
  <c r="R1364" i="9"/>
  <c r="T1364" i="9"/>
  <c r="N1366" i="9"/>
  <c r="O1365" i="9"/>
  <c r="P1365" i="9" s="1"/>
  <c r="T1365" i="9" l="1"/>
  <c r="R1365" i="9"/>
  <c r="S1365" i="9"/>
  <c r="N1367" i="9"/>
  <c r="O1366" i="9"/>
  <c r="P1366" i="9" s="1"/>
  <c r="T1366" i="9" l="1"/>
  <c r="R1366" i="9"/>
  <c r="S1366" i="9"/>
  <c r="N1368" i="9"/>
  <c r="O1367" i="9"/>
  <c r="P1367" i="9" s="1"/>
  <c r="R1367" i="9" l="1"/>
  <c r="S1367" i="9"/>
  <c r="T1367" i="9"/>
  <c r="N1369" i="9"/>
  <c r="O1368" i="9"/>
  <c r="P1368" i="9" s="1"/>
  <c r="T1368" i="9" l="1"/>
  <c r="R1368" i="9"/>
  <c r="S1368" i="9"/>
  <c r="N1370" i="9"/>
  <c r="O1369" i="9"/>
  <c r="P1369" i="9" s="1"/>
  <c r="T1369" i="9" l="1"/>
  <c r="R1369" i="9"/>
  <c r="S1369" i="9"/>
  <c r="O1370" i="9"/>
  <c r="P1370" i="9" s="1"/>
  <c r="N1371" i="9"/>
  <c r="R1370" i="9" l="1"/>
  <c r="S1370" i="9"/>
  <c r="T1370" i="9"/>
  <c r="O1371" i="9"/>
  <c r="P1371" i="9" s="1"/>
  <c r="N1372" i="9"/>
  <c r="T1371" i="9" l="1"/>
  <c r="R1371" i="9"/>
  <c r="S1371" i="9"/>
  <c r="N1373" i="9"/>
  <c r="O1372" i="9"/>
  <c r="P1372" i="9" s="1"/>
  <c r="T1372" i="9" l="1"/>
  <c r="R1372" i="9"/>
  <c r="S1372" i="9"/>
  <c r="N1374" i="9"/>
  <c r="O1373" i="9"/>
  <c r="P1373" i="9" s="1"/>
  <c r="R1373" i="9" l="1"/>
  <c r="S1373" i="9"/>
  <c r="T1373" i="9"/>
  <c r="O1374" i="9"/>
  <c r="P1374" i="9" s="1"/>
  <c r="N1375" i="9"/>
  <c r="R1374" i="9" l="1"/>
  <c r="S1374" i="9"/>
  <c r="T1374" i="9"/>
  <c r="N1376" i="9"/>
  <c r="O1375" i="9"/>
  <c r="P1375" i="9" s="1"/>
  <c r="T1375" i="9" l="1"/>
  <c r="S1375" i="9"/>
  <c r="R1375" i="9"/>
  <c r="O1376" i="9"/>
  <c r="P1376" i="9" s="1"/>
  <c r="N1377" i="9"/>
  <c r="T1376" i="9" l="1"/>
  <c r="S1376" i="9"/>
  <c r="R1376" i="9"/>
  <c r="N1378" i="9"/>
  <c r="O1377" i="9"/>
  <c r="P1377" i="9" s="1"/>
  <c r="R1377" i="9" l="1"/>
  <c r="S1377" i="9"/>
  <c r="T1377" i="9"/>
  <c r="N1379" i="9"/>
  <c r="O1378" i="9"/>
  <c r="P1378" i="9" s="1"/>
  <c r="T1378" i="9" l="1"/>
  <c r="R1378" i="9"/>
  <c r="S1378" i="9"/>
  <c r="O1379" i="9"/>
  <c r="P1379" i="9" s="1"/>
  <c r="N1380" i="9"/>
  <c r="T1379" i="9" l="1"/>
  <c r="R1379" i="9"/>
  <c r="S1379" i="9"/>
  <c r="O1380" i="9"/>
  <c r="P1380" i="9" s="1"/>
  <c r="N1381" i="9"/>
  <c r="S1380" i="9" l="1"/>
  <c r="R1380" i="9"/>
  <c r="T1380" i="9"/>
  <c r="N1382" i="9"/>
  <c r="O1381" i="9"/>
  <c r="P1381" i="9" s="1"/>
  <c r="T1381" i="9" l="1"/>
  <c r="R1381" i="9"/>
  <c r="S1381" i="9"/>
  <c r="O1382" i="9"/>
  <c r="P1382" i="9" s="1"/>
  <c r="N1383" i="9"/>
  <c r="T1382" i="9" l="1"/>
  <c r="R1382" i="9"/>
  <c r="S1382" i="9"/>
  <c r="N1384" i="9"/>
  <c r="O1383" i="9"/>
  <c r="P1383" i="9" l="1"/>
  <c r="S1383" i="9" s="1"/>
  <c r="N1385" i="9"/>
  <c r="O1384" i="9"/>
  <c r="P1384" i="9" s="1"/>
  <c r="T1383" i="9" l="1"/>
  <c r="R1383" i="9"/>
  <c r="T1384" i="9"/>
  <c r="R1384" i="9"/>
  <c r="S1384" i="9"/>
  <c r="O1385" i="9"/>
  <c r="P1385" i="9" s="1"/>
  <c r="N1386" i="9"/>
  <c r="S1385" i="9" l="1"/>
  <c r="R1385" i="9"/>
  <c r="T1385" i="9"/>
  <c r="O1386" i="9"/>
  <c r="P1386" i="9" s="1"/>
  <c r="N1387" i="9"/>
  <c r="S1386" i="9" l="1"/>
  <c r="R1386" i="9"/>
  <c r="T1386" i="9"/>
  <c r="N1388" i="9"/>
  <c r="O1387" i="9"/>
  <c r="P1387" i="9" s="1"/>
  <c r="T1387" i="9" l="1"/>
  <c r="R1387" i="9"/>
  <c r="S1387" i="9"/>
  <c r="O1388" i="9"/>
  <c r="P1388" i="9" s="1"/>
  <c r="N1389" i="9"/>
  <c r="S1388" i="9" l="1"/>
  <c r="R1388" i="9"/>
  <c r="T1388" i="9"/>
  <c r="N1390" i="9"/>
  <c r="O1389" i="9"/>
  <c r="P1389" i="9" s="1"/>
  <c r="T1389" i="9" l="1"/>
  <c r="R1389" i="9"/>
  <c r="S1389" i="9"/>
  <c r="O1390" i="9"/>
  <c r="P1390" i="9" s="1"/>
  <c r="N1391" i="9"/>
  <c r="T1390" i="9" l="1"/>
  <c r="S1390" i="9"/>
  <c r="R1390" i="9"/>
  <c r="N1392" i="9"/>
  <c r="O1391" i="9"/>
  <c r="P1391" i="9" s="1"/>
  <c r="S1391" i="9" l="1"/>
  <c r="R1391" i="9"/>
  <c r="T1391" i="9"/>
  <c r="N1393" i="9"/>
  <c r="O1392" i="9"/>
  <c r="P1392" i="9" s="1"/>
  <c r="T1392" i="9" l="1"/>
  <c r="R1392" i="9"/>
  <c r="S1392" i="9"/>
  <c r="N1394" i="9"/>
  <c r="O1393" i="9"/>
  <c r="P1393" i="9" s="1"/>
  <c r="R1393" i="9" l="1"/>
  <c r="S1393" i="9"/>
  <c r="T1393" i="9"/>
  <c r="N1395" i="9"/>
  <c r="O1394" i="9"/>
  <c r="P1394" i="9" s="1"/>
  <c r="T1394" i="9" l="1"/>
  <c r="S1394" i="9"/>
  <c r="R1394" i="9"/>
  <c r="N1396" i="9"/>
  <c r="O1395" i="9"/>
  <c r="P1395" i="9" l="1"/>
  <c r="S1395" i="9" s="1"/>
  <c r="N1397" i="9"/>
  <c r="O1396" i="9"/>
  <c r="P1396" i="9" s="1"/>
  <c r="R1395" i="9" l="1"/>
  <c r="T1396" i="9"/>
  <c r="R1396" i="9"/>
  <c r="S1396" i="9"/>
  <c r="T1395" i="9"/>
  <c r="N1398" i="9"/>
  <c r="O1397" i="9"/>
  <c r="P1397" i="9" s="1"/>
  <c r="T1397" i="9" l="1"/>
  <c r="R1397" i="9"/>
  <c r="S1397" i="9"/>
  <c r="N1399" i="9"/>
  <c r="O1398" i="9"/>
  <c r="P1398" i="9" s="1"/>
  <c r="T1398" i="9" l="1"/>
  <c r="R1398" i="9"/>
  <c r="S1398" i="9"/>
  <c r="O1399" i="9"/>
  <c r="P1399" i="9" s="1"/>
  <c r="N1400" i="9"/>
  <c r="T1399" i="9" l="1"/>
  <c r="S1399" i="9"/>
  <c r="R1399" i="9"/>
  <c r="O1400" i="9"/>
  <c r="P1400" i="9" s="1"/>
  <c r="N1401" i="9"/>
  <c r="S1400" i="9" l="1"/>
  <c r="R1400" i="9"/>
  <c r="T1400" i="9"/>
  <c r="N1402" i="9"/>
  <c r="O1401" i="9"/>
  <c r="P1401" i="9" s="1"/>
  <c r="T1401" i="9" l="1"/>
  <c r="R1401" i="9"/>
  <c r="S1401" i="9"/>
  <c r="N1403" i="9"/>
  <c r="O1402" i="9"/>
  <c r="P1402" i="9" s="1"/>
  <c r="R1402" i="9" l="1"/>
  <c r="S1402" i="9"/>
  <c r="T1402" i="9"/>
  <c r="N1404" i="9"/>
  <c r="O1403" i="9"/>
  <c r="P1403" i="9" s="1"/>
  <c r="R1403" i="9" l="1"/>
  <c r="S1403" i="9"/>
  <c r="T1403" i="9"/>
  <c r="N1405" i="9"/>
  <c r="O1404" i="9"/>
  <c r="P1404" i="9" s="1"/>
  <c r="T1404" i="9" l="1"/>
  <c r="S1404" i="9"/>
  <c r="R1404" i="9"/>
  <c r="N1406" i="9"/>
  <c r="O1405" i="9"/>
  <c r="P1405" i="9" s="1"/>
  <c r="S1405" i="9" l="1"/>
  <c r="R1405" i="9"/>
  <c r="T1405" i="9"/>
  <c r="O1406" i="9"/>
  <c r="P1406" i="9" s="1"/>
  <c r="N1407" i="9"/>
  <c r="R1406" i="9" l="1"/>
  <c r="S1406" i="9"/>
  <c r="T1406" i="9"/>
  <c r="N1408" i="9"/>
  <c r="O1407" i="9"/>
  <c r="P1407" i="9" s="1"/>
  <c r="T1407" i="9" l="1"/>
  <c r="R1407" i="9"/>
  <c r="S1407" i="9"/>
  <c r="O1408" i="9"/>
  <c r="P1408" i="9" s="1"/>
  <c r="N1409" i="9"/>
  <c r="T1408" i="9" l="1"/>
  <c r="S1408" i="9"/>
  <c r="R1408" i="9"/>
  <c r="N1410" i="9"/>
  <c r="O1409" i="9"/>
  <c r="P1409" i="9" s="1"/>
  <c r="R1409" i="9" l="1"/>
  <c r="S1409" i="9"/>
  <c r="T1409" i="9"/>
  <c r="O1410" i="9"/>
  <c r="P1410" i="9" s="1"/>
  <c r="N1411" i="9"/>
  <c r="T1410" i="9" l="1"/>
  <c r="R1410" i="9"/>
  <c r="S1410" i="9"/>
  <c r="O1411" i="9"/>
  <c r="P1411" i="9" s="1"/>
  <c r="N1412" i="9"/>
  <c r="T1411" i="9" l="1"/>
  <c r="S1411" i="9"/>
  <c r="R1411" i="9"/>
  <c r="N1413" i="9"/>
  <c r="O1412" i="9"/>
  <c r="P1412" i="9" s="1"/>
  <c r="T1412" i="9" l="1"/>
  <c r="S1412" i="9"/>
  <c r="R1412" i="9"/>
  <c r="N1414" i="9"/>
  <c r="O1413" i="9"/>
  <c r="P1413" i="9" s="1"/>
  <c r="R1413" i="9" l="1"/>
  <c r="S1413" i="9"/>
  <c r="T1413" i="9"/>
  <c r="N1415" i="9"/>
  <c r="O1414" i="9"/>
  <c r="P1414" i="9" s="1"/>
  <c r="T1414" i="9" l="1"/>
  <c r="S1414" i="9"/>
  <c r="R1414" i="9"/>
  <c r="N1416" i="9"/>
  <c r="O1415" i="9"/>
  <c r="P1415" i="9" s="1"/>
  <c r="T1415" i="9" l="1"/>
  <c r="S1415" i="9"/>
  <c r="R1415" i="9"/>
  <c r="N1417" i="9"/>
  <c r="O1416" i="9"/>
  <c r="P1416" i="9" s="1"/>
  <c r="T1416" i="9" l="1"/>
  <c r="S1416" i="9"/>
  <c r="R1416" i="9"/>
  <c r="O1417" i="9"/>
  <c r="P1417" i="9" s="1"/>
  <c r="N1418" i="9"/>
  <c r="T1417" i="9" l="1"/>
  <c r="R1417" i="9"/>
  <c r="S1417" i="9"/>
  <c r="N1419" i="9"/>
  <c r="O1418" i="9"/>
  <c r="P1418" i="9" s="1"/>
  <c r="T1418" i="9" l="1"/>
  <c r="R1418" i="9"/>
  <c r="S1418" i="9"/>
  <c r="O1419" i="9"/>
  <c r="P1419" i="9" s="1"/>
  <c r="N1420" i="9"/>
  <c r="S1419" i="9" l="1"/>
  <c r="R1419" i="9"/>
  <c r="T1419" i="9"/>
  <c r="N1421" i="9"/>
  <c r="O1420" i="9"/>
  <c r="P1420" i="9" s="1"/>
  <c r="T1420" i="9" l="1"/>
  <c r="S1420" i="9"/>
  <c r="R1420" i="9"/>
  <c r="N1422" i="9"/>
  <c r="O1421" i="9"/>
  <c r="P1421" i="9" s="1"/>
  <c r="T1421" i="9" l="1"/>
  <c r="S1421" i="9"/>
  <c r="R1421" i="9"/>
  <c r="N1423" i="9"/>
  <c r="O1422" i="9"/>
  <c r="P1422" i="9" s="1"/>
  <c r="T1422" i="9" l="1"/>
  <c r="R1422" i="9"/>
  <c r="S1422" i="9"/>
  <c r="O1423" i="9"/>
  <c r="N1424" i="9"/>
  <c r="P1423" i="9" l="1"/>
  <c r="S1423" i="9" s="1"/>
  <c r="O1424" i="9"/>
  <c r="P1424" i="9" s="1"/>
  <c r="N1425" i="9"/>
  <c r="T1423" i="9" l="1"/>
  <c r="R1423" i="9"/>
  <c r="S1424" i="9"/>
  <c r="R1424" i="9"/>
  <c r="T1424" i="9"/>
  <c r="O1425" i="9"/>
  <c r="P1425" i="9" s="1"/>
  <c r="N1426" i="9"/>
  <c r="T1425" i="9" l="1"/>
  <c r="R1425" i="9"/>
  <c r="S1425" i="9"/>
  <c r="N1427" i="9"/>
  <c r="O1426" i="9"/>
  <c r="P1426" i="9" s="1"/>
  <c r="S1426" i="9" l="1"/>
  <c r="R1426" i="9"/>
  <c r="T1426" i="9"/>
  <c r="O1427" i="9"/>
  <c r="P1427" i="9" s="1"/>
  <c r="N1428" i="9"/>
  <c r="S1427" i="9" l="1"/>
  <c r="R1427" i="9"/>
  <c r="T1427" i="9"/>
  <c r="N1429" i="9"/>
  <c r="O1428" i="9"/>
  <c r="P1428" i="9" s="1"/>
  <c r="T1428" i="9" l="1"/>
  <c r="R1428" i="9"/>
  <c r="S1428" i="9"/>
  <c r="O1429" i="9"/>
  <c r="P1429" i="9" s="1"/>
  <c r="N1430" i="9"/>
  <c r="R1429" i="9" l="1"/>
  <c r="S1429" i="9"/>
  <c r="T1429" i="9"/>
  <c r="N1431" i="9"/>
  <c r="O1430" i="9"/>
  <c r="P1430" i="9" s="1"/>
  <c r="T1430" i="9" l="1"/>
  <c r="R1430" i="9"/>
  <c r="S1430" i="9"/>
  <c r="N1432" i="9"/>
  <c r="O1431" i="9"/>
  <c r="P1431" i="9" s="1"/>
  <c r="T1431" i="9" l="1"/>
  <c r="R1431" i="9"/>
  <c r="S1431" i="9"/>
  <c r="N1433" i="9"/>
  <c r="O1432" i="9"/>
  <c r="P1432" i="9" s="1"/>
  <c r="T1432" i="9" l="1"/>
  <c r="R1432" i="9"/>
  <c r="S1432" i="9"/>
  <c r="N1434" i="9"/>
  <c r="O1433" i="9"/>
  <c r="P1433" i="9" s="1"/>
  <c r="T1433" i="9" l="1"/>
  <c r="S1433" i="9"/>
  <c r="R1433" i="9"/>
  <c r="N1435" i="9"/>
  <c r="O1434" i="9"/>
  <c r="P1434" i="9" s="1"/>
  <c r="R1434" i="9" l="1"/>
  <c r="S1434" i="9"/>
  <c r="T1434" i="9"/>
  <c r="N1436" i="9"/>
  <c r="O1435" i="9"/>
  <c r="P1435" i="9" s="1"/>
  <c r="T1435" i="9" l="1"/>
  <c r="R1435" i="9"/>
  <c r="S1435" i="9"/>
  <c r="N1437" i="9"/>
  <c r="O1436" i="9"/>
  <c r="P1436" i="9" s="1"/>
  <c r="T1436" i="9" l="1"/>
  <c r="R1436" i="9"/>
  <c r="S1436" i="9"/>
  <c r="N1438" i="9"/>
  <c r="O1437" i="9"/>
  <c r="P1437" i="9" s="1"/>
  <c r="T1437" i="9" l="1"/>
  <c r="R1437" i="9"/>
  <c r="S1437" i="9"/>
  <c r="O1438" i="9"/>
  <c r="P1438" i="9" s="1"/>
  <c r="N1439" i="9"/>
  <c r="R1438" i="9" l="1"/>
  <c r="S1438" i="9"/>
  <c r="T1438" i="9"/>
  <c r="O1439" i="9"/>
  <c r="N1440" i="9"/>
  <c r="P1439" i="9" l="1"/>
  <c r="R1439" i="9" s="1"/>
  <c r="N1441" i="9"/>
  <c r="O1440" i="9"/>
  <c r="P1440" i="9" s="1"/>
  <c r="T1440" i="9" l="1"/>
  <c r="S1440" i="9"/>
  <c r="R1440" i="9"/>
  <c r="T1439" i="9"/>
  <c r="S1439" i="9"/>
  <c r="N1442" i="9"/>
  <c r="O1441" i="9"/>
  <c r="P1441" i="9" s="1"/>
  <c r="R1441" i="9" l="1"/>
  <c r="S1441" i="9"/>
  <c r="T1441" i="9"/>
  <c r="N1443" i="9"/>
  <c r="O1442" i="9"/>
  <c r="P1442" i="9" s="1"/>
  <c r="T1442" i="9" l="1"/>
  <c r="S1442" i="9"/>
  <c r="R1442" i="9"/>
  <c r="N1444" i="9"/>
  <c r="O1443" i="9"/>
  <c r="P1443" i="9" s="1"/>
  <c r="T1443" i="9" l="1"/>
  <c r="R1443" i="9"/>
  <c r="S1443" i="9"/>
  <c r="N1445" i="9"/>
  <c r="O1444" i="9"/>
  <c r="P1444" i="9" s="1"/>
  <c r="S1444" i="9" l="1"/>
  <c r="R1444" i="9"/>
  <c r="T1444" i="9"/>
  <c r="N1446" i="9"/>
  <c r="O1445" i="9"/>
  <c r="P1445" i="9" s="1"/>
  <c r="T1445" i="9" l="1"/>
  <c r="R1445" i="9"/>
  <c r="S1445" i="9"/>
  <c r="O1446" i="9"/>
  <c r="P1446" i="9" s="1"/>
  <c r="N1447" i="9"/>
  <c r="T1446" i="9" l="1"/>
  <c r="R1446" i="9"/>
  <c r="S1446" i="9"/>
  <c r="N1448" i="9"/>
  <c r="O1447" i="9"/>
  <c r="P1447" i="9" s="1"/>
  <c r="T1447" i="9" l="1"/>
  <c r="R1447" i="9"/>
  <c r="S1447" i="9"/>
  <c r="O1448" i="9"/>
  <c r="P1448" i="9" s="1"/>
  <c r="N1449" i="9"/>
  <c r="S1448" i="9" l="1"/>
  <c r="R1448" i="9"/>
  <c r="T1448" i="9"/>
  <c r="O1449" i="9"/>
  <c r="P1449" i="9" s="1"/>
  <c r="N1450" i="9"/>
  <c r="R1449" i="9" l="1"/>
  <c r="S1449" i="9"/>
  <c r="T1449" i="9"/>
  <c r="N1451" i="9"/>
  <c r="O1450" i="9"/>
  <c r="P1450" i="9" s="1"/>
  <c r="T1450" i="9" l="1"/>
  <c r="R1450" i="9"/>
  <c r="S1450" i="9"/>
  <c r="N1452" i="9"/>
  <c r="O1451" i="9"/>
  <c r="P1451" i="9" s="1"/>
  <c r="R1451" i="9" l="1"/>
  <c r="S1451" i="9"/>
  <c r="T1451" i="9"/>
  <c r="N1453" i="9"/>
  <c r="O1452" i="9"/>
  <c r="P1452" i="9" s="1"/>
  <c r="T1452" i="9" l="1"/>
  <c r="R1452" i="9"/>
  <c r="S1452" i="9"/>
  <c r="N1454" i="9"/>
  <c r="O1453" i="9"/>
  <c r="P1453" i="9" s="1"/>
  <c r="T1453" i="9" l="1"/>
  <c r="S1453" i="9"/>
  <c r="R1453" i="9"/>
  <c r="N1455" i="9"/>
  <c r="O1454" i="9"/>
  <c r="P1454" i="9" s="1"/>
  <c r="T1454" i="9" l="1"/>
  <c r="S1454" i="9"/>
  <c r="R1454" i="9"/>
  <c r="N1456" i="9"/>
  <c r="O1455" i="9"/>
  <c r="P1455" i="9" s="1"/>
  <c r="T1455" i="9" l="1"/>
  <c r="S1455" i="9"/>
  <c r="R1455" i="9"/>
  <c r="O1456" i="9"/>
  <c r="P1456" i="9" s="1"/>
  <c r="N1457" i="9"/>
  <c r="T1456" i="9" l="1"/>
  <c r="S1456" i="9"/>
  <c r="R1456" i="9"/>
  <c r="N1458" i="9"/>
  <c r="O1457" i="9"/>
  <c r="P1457" i="9" s="1"/>
  <c r="R1457" i="9" l="1"/>
  <c r="S1457" i="9"/>
  <c r="T1457" i="9"/>
  <c r="O1458" i="9"/>
  <c r="P1458" i="9" s="1"/>
  <c r="N1459" i="9"/>
  <c r="T1458" i="9" l="1"/>
  <c r="R1458" i="9"/>
  <c r="S1458" i="9"/>
  <c r="O1459" i="9"/>
  <c r="P1459" i="9" s="1"/>
  <c r="N1460" i="9"/>
  <c r="T1459" i="9" l="1"/>
  <c r="S1459" i="9"/>
  <c r="R1459" i="9"/>
  <c r="N1461" i="9"/>
  <c r="O1460" i="9"/>
  <c r="P1460" i="9" s="1"/>
  <c r="T1460" i="9" l="1"/>
  <c r="R1460" i="9"/>
  <c r="S1460" i="9"/>
  <c r="O1461" i="9"/>
  <c r="P1461" i="9" s="1"/>
  <c r="N1462" i="9"/>
  <c r="R1461" i="9" l="1"/>
  <c r="S1461" i="9"/>
  <c r="T1461" i="9"/>
  <c r="N1463" i="9"/>
  <c r="O1462" i="9"/>
  <c r="P1462" i="9" s="1"/>
  <c r="T1462" i="9" l="1"/>
  <c r="S1462" i="9"/>
  <c r="R1462" i="9"/>
  <c r="N1464" i="9"/>
  <c r="O1463" i="9"/>
  <c r="P1463" i="9" s="1"/>
  <c r="S1463" i="9" l="1"/>
  <c r="R1463" i="9"/>
  <c r="T1463" i="9"/>
  <c r="O1464" i="9"/>
  <c r="P1464" i="9" s="1"/>
  <c r="N1465" i="9"/>
  <c r="R1464" i="9" l="1"/>
  <c r="S1464" i="9"/>
  <c r="T1464" i="9"/>
  <c r="N1466" i="9"/>
  <c r="O1465" i="9"/>
  <c r="P1465" i="9" s="1"/>
  <c r="R1465" i="9" l="1"/>
  <c r="S1465" i="9"/>
  <c r="T1465" i="9"/>
  <c r="N1467" i="9"/>
  <c r="O1466" i="9"/>
  <c r="P1466" i="9" s="1"/>
  <c r="S1466" i="9" l="1"/>
  <c r="R1466" i="9"/>
  <c r="T1466" i="9"/>
  <c r="O1467" i="9"/>
  <c r="P1467" i="9" s="1"/>
  <c r="N1468" i="9"/>
  <c r="S1467" i="9" l="1"/>
  <c r="R1467" i="9"/>
  <c r="T1467" i="9"/>
  <c r="O1468" i="9"/>
  <c r="P1468" i="9" s="1"/>
  <c r="N1469" i="9"/>
  <c r="S1468" i="9" l="1"/>
  <c r="R1468" i="9"/>
  <c r="T1468" i="9"/>
  <c r="O1469" i="9"/>
  <c r="P1469" i="9" s="1"/>
  <c r="N1470" i="9"/>
  <c r="T1469" i="9" l="1"/>
  <c r="S1469" i="9"/>
  <c r="R1469" i="9"/>
  <c r="O1470" i="9"/>
  <c r="P1470" i="9" s="1"/>
  <c r="N1471" i="9"/>
  <c r="T1470" i="9" l="1"/>
  <c r="S1470" i="9"/>
  <c r="R1470" i="9"/>
  <c r="N1472" i="9"/>
  <c r="O1471" i="9"/>
  <c r="P1471" i="9" s="1"/>
  <c r="T1471" i="9" l="1"/>
  <c r="S1471" i="9"/>
  <c r="R1471" i="9"/>
  <c r="N1473" i="9"/>
  <c r="O1472" i="9"/>
  <c r="P1472" i="9" s="1"/>
  <c r="S1472" i="9" l="1"/>
  <c r="R1472" i="9"/>
  <c r="T1472" i="9"/>
  <c r="N1474" i="9"/>
  <c r="O1473" i="9"/>
  <c r="P1473" i="9" s="1"/>
  <c r="T1473" i="9" l="1"/>
  <c r="R1473" i="9"/>
  <c r="S1473" i="9"/>
  <c r="N1475" i="9"/>
  <c r="O1474" i="9"/>
  <c r="P1474" i="9" s="1"/>
  <c r="T1474" i="9" l="1"/>
  <c r="R1474" i="9"/>
  <c r="S1474" i="9"/>
  <c r="N1476" i="9"/>
  <c r="O1475" i="9"/>
  <c r="P1475" i="9" s="1"/>
  <c r="T1475" i="9" l="1"/>
  <c r="S1475" i="9"/>
  <c r="R1475" i="9"/>
  <c r="O1476" i="9"/>
  <c r="P1476" i="9" s="1"/>
  <c r="N1477" i="9"/>
  <c r="S1476" i="9" l="1"/>
  <c r="R1476" i="9"/>
  <c r="T1476" i="9"/>
  <c r="O1477" i="9"/>
  <c r="P1477" i="9" s="1"/>
  <c r="N1478" i="9"/>
  <c r="R1477" i="9" l="1"/>
  <c r="S1477" i="9"/>
  <c r="T1477" i="9"/>
  <c r="O1478" i="9"/>
  <c r="P1478" i="9" s="1"/>
  <c r="N1479" i="9"/>
  <c r="R1478" i="9" l="1"/>
  <c r="S1478" i="9"/>
  <c r="T1478" i="9"/>
  <c r="N1480" i="9"/>
  <c r="O1479" i="9"/>
  <c r="P1479" i="9" s="1"/>
  <c r="T1479" i="9" l="1"/>
  <c r="R1479" i="9"/>
  <c r="S1479" i="9"/>
  <c r="N1481" i="9"/>
  <c r="O1480" i="9"/>
  <c r="P1480" i="9" s="1"/>
  <c r="S1480" i="9" l="1"/>
  <c r="R1480" i="9"/>
  <c r="T1480" i="9"/>
  <c r="N1482" i="9"/>
  <c r="O1481" i="9"/>
  <c r="P1481" i="9" s="1"/>
  <c r="T1481" i="9" l="1"/>
  <c r="R1481" i="9"/>
  <c r="S1481" i="9"/>
  <c r="O1482" i="9"/>
  <c r="P1482" i="9" s="1"/>
  <c r="N1483" i="9"/>
  <c r="R1482" i="9" l="1"/>
  <c r="S1482" i="9"/>
  <c r="T1482" i="9"/>
  <c r="O1483" i="9"/>
  <c r="P1483" i="9" s="1"/>
  <c r="N1484" i="9"/>
  <c r="T1483" i="9" l="1"/>
  <c r="R1483" i="9"/>
  <c r="S1483" i="9"/>
  <c r="N1485" i="9"/>
  <c r="O1484" i="9"/>
  <c r="P1484" i="9" s="1"/>
  <c r="R1484" i="9" l="1"/>
  <c r="S1484" i="9"/>
  <c r="T1484" i="9"/>
  <c r="N1486" i="9"/>
  <c r="O1485" i="9"/>
  <c r="P1485" i="9" s="1"/>
  <c r="T1485" i="9" l="1"/>
  <c r="R1485" i="9"/>
  <c r="S1485" i="9"/>
  <c r="N1487" i="9"/>
  <c r="O1486" i="9"/>
  <c r="P1486" i="9" s="1"/>
  <c r="T1486" i="9" l="1"/>
  <c r="R1486" i="9"/>
  <c r="S1486" i="9"/>
  <c r="N1488" i="9"/>
  <c r="O1487" i="9"/>
  <c r="P1487" i="9" s="1"/>
  <c r="T1487" i="9" l="1"/>
  <c r="S1487" i="9"/>
  <c r="R1487" i="9"/>
  <c r="N1489" i="9"/>
  <c r="O1488" i="9"/>
  <c r="P1488" i="9" s="1"/>
  <c r="T1488" i="9" l="1"/>
  <c r="R1488" i="9"/>
  <c r="S1488" i="9"/>
  <c r="N1490" i="9"/>
  <c r="O1489" i="9"/>
  <c r="P1489" i="9" s="1"/>
  <c r="R1489" i="9" l="1"/>
  <c r="S1489" i="9"/>
  <c r="T1489" i="9"/>
  <c r="N1491" i="9"/>
  <c r="O1490" i="9"/>
  <c r="P1490" i="9" s="1"/>
  <c r="T1490" i="9" l="1"/>
  <c r="S1490" i="9"/>
  <c r="R1490" i="9"/>
  <c r="N1492" i="9"/>
  <c r="O1491" i="9"/>
  <c r="P1491" i="9" l="1"/>
  <c r="S1491" i="9" s="1"/>
  <c r="N1493" i="9"/>
  <c r="O1492" i="9"/>
  <c r="P1492" i="9" s="1"/>
  <c r="R1491" i="9" l="1"/>
  <c r="T1492" i="9"/>
  <c r="R1492" i="9"/>
  <c r="S1492" i="9"/>
  <c r="T1491" i="9"/>
  <c r="N1494" i="9"/>
  <c r="O1493" i="9"/>
  <c r="P1493" i="9" s="1"/>
  <c r="T1493" i="9" l="1"/>
  <c r="R1493" i="9"/>
  <c r="S1493" i="9"/>
  <c r="O1494" i="9"/>
  <c r="P1494" i="9" s="1"/>
  <c r="N1495" i="9"/>
  <c r="S1494" i="9" l="1"/>
  <c r="R1494" i="9"/>
  <c r="T1494" i="9"/>
  <c r="N1496" i="9"/>
  <c r="O1495" i="9"/>
  <c r="P1495" i="9" s="1"/>
  <c r="T1495" i="9" l="1"/>
  <c r="R1495" i="9"/>
  <c r="S1495" i="9"/>
  <c r="N1497" i="9"/>
  <c r="O1496" i="9"/>
  <c r="P1496" i="9" s="1"/>
  <c r="R1496" i="9" l="1"/>
  <c r="S1496" i="9"/>
  <c r="T1496" i="9"/>
  <c r="O1497" i="9"/>
  <c r="P1497" i="9" s="1"/>
  <c r="N1498" i="9"/>
  <c r="R1497" i="9" l="1"/>
  <c r="S1497" i="9"/>
  <c r="T1497" i="9"/>
  <c r="N1499" i="9"/>
  <c r="O1498" i="9"/>
  <c r="P1498" i="9" s="1"/>
  <c r="T1498" i="9" l="1"/>
  <c r="R1498" i="9"/>
  <c r="S1498" i="9"/>
  <c r="N1500" i="9"/>
  <c r="O1499" i="9"/>
  <c r="P1499" i="9" s="1"/>
  <c r="T1499" i="9" l="1"/>
  <c r="R1499" i="9"/>
  <c r="S1499" i="9"/>
  <c r="O1500" i="9"/>
  <c r="P1500" i="9" s="1"/>
  <c r="T1500" i="9" l="1"/>
  <c r="R1500" i="9"/>
  <c r="S1500" i="9"/>
</calcChain>
</file>

<file path=xl/sharedStrings.xml><?xml version="1.0" encoding="utf-8"?>
<sst xmlns="http://schemas.openxmlformats.org/spreadsheetml/2006/main" count="137" uniqueCount="89">
  <si>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</si>
  <si>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</si>
  <si>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</si>
  <si>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</si>
  <si>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</si>
  <si>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</si>
  <si>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</si>
  <si>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</si>
  <si>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</si>
  <si>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</si>
  <si>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</si>
  <si>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</si>
  <si>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</si>
  <si>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</si>
  <si>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</si>
  <si>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</si>
  <si>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</si>
  <si>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</si>
  <si>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</si>
  <si>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</si>
  <si>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</si>
  <si>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</si>
  <si>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</si>
  <si>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</si>
  <si>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</si>
  <si>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</si>
  <si>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</si>
  <si>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</si>
  <si>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</si>
  <si>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</si>
  <si>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</si>
  <si>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</si>
  <si>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</si>
  <si>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firmware-ethernet/tests/tb1/</t>
  </si>
  <si>
    <t>autogenerated empty test case</t>
  </si>
  <si>
    <t>Unclear</t>
  </si>
  <si>
    <t>simplearithmetic_ether_test_tb_csv</t>
  </si>
  <si>
    <t xml:space="preserve"> rxdata</t>
  </si>
  <si>
    <t xml:space="preserve"> rxdatavalid</t>
  </si>
  <si>
    <t xml:space="preserve"> rxdatalast</t>
  </si>
  <si>
    <t xml:space="preserve"> rxdataready</t>
  </si>
  <si>
    <t xml:space="preserve"> txdatavalid</t>
  </si>
  <si>
    <t xml:space="preserve"> txdatalast</t>
  </si>
  <si>
    <t>out</t>
  </si>
  <si>
    <t>rxdata</t>
  </si>
  <si>
    <t>in</t>
  </si>
  <si>
    <t>rxdatavalid</t>
  </si>
  <si>
    <t>rxdatalast</t>
  </si>
  <si>
    <t>txdataready</t>
  </si>
  <si>
    <t xml:space="preserve"> txdataout</t>
  </si>
  <si>
    <t xml:space="preserve"> txdataready</t>
  </si>
  <si>
    <t xml:space="preserve">                       Time </t>
  </si>
  <si>
    <t>Output</t>
  </si>
  <si>
    <t>Parsing Files</t>
  </si>
  <si>
    <t>Errors</t>
  </si>
  <si>
    <t>Notes</t>
  </si>
  <si>
    <t xml:space="preserve">Header </t>
  </si>
  <si>
    <t>Nr_of_streams</t>
  </si>
  <si>
    <t>recording TimeStamp</t>
  </si>
  <si>
    <t>Sending TimeStamp</t>
  </si>
  <si>
    <t>Empty</t>
  </si>
  <si>
    <t>data_in[0]</t>
  </si>
  <si>
    <t>data_in[1]</t>
  </si>
  <si>
    <t>data_in[2]</t>
  </si>
  <si>
    <t>data_in[3]</t>
  </si>
  <si>
    <t>Sum</t>
  </si>
  <si>
    <t>sum_Timer</t>
  </si>
  <si>
    <t>Tail</t>
  </si>
  <si>
    <t>Number of packets</t>
  </si>
  <si>
    <t>packateNr</t>
  </si>
  <si>
    <t>Data[0]</t>
  </si>
  <si>
    <t>Data[1]</t>
  </si>
  <si>
    <t>Data[3]</t>
  </si>
  <si>
    <t>Data[2]</t>
  </si>
  <si>
    <t>Data[4]</t>
  </si>
  <si>
    <t>save</t>
  </si>
  <si>
    <t>max</t>
  </si>
  <si>
    <t>data</t>
  </si>
  <si>
    <t xml:space="preserve">valid </t>
  </si>
  <si>
    <t>last</t>
  </si>
  <si>
    <t>Prob</t>
  </si>
  <si>
    <t>Send_op</t>
  </si>
  <si>
    <t>PackackeNr</t>
  </si>
  <si>
    <t>start package</t>
  </si>
  <si>
    <t>Header</t>
  </si>
  <si>
    <t>FFFFFFF</t>
  </si>
  <si>
    <t>Offset</t>
  </si>
  <si>
    <t>HasData</t>
  </si>
  <si>
    <t>ssh: connect to host 127.0.0.1 port 10090: Connection refused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</si>
</sst>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6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3:Z41"/>
  <sheetViews>
    <sheetView topLeftCell="D1" zoomScaleNormal="100" workbookViewId="0">
      <selection activeCell="E6" sqref="E6"/>
    </sheetView>
  </sheetViews>
  <sheetFormatPr defaultRowHeight="15" x14ac:dyDescent="0.25"/>
  <cols>
    <col min="12" max="12" width="16.42578125" customWidth="1"/>
  </cols>
  <sheetData>
    <row r="3" spans="5:26" x14ac:dyDescent="0.25">
      <c r="M3">
        <v>1</v>
      </c>
      <c r="N3">
        <v>2</v>
      </c>
      <c r="O3">
        <v>3</v>
      </c>
      <c r="P3">
        <v>4</v>
      </c>
      <c r="Q3">
        <v>5</v>
      </c>
      <c r="R3">
        <v>6</v>
      </c>
      <c r="S3">
        <v>7</v>
      </c>
      <c r="T3">
        <v>8</v>
      </c>
      <c r="U3">
        <v>9</v>
      </c>
      <c r="V3">
        <v>10</v>
      </c>
      <c r="W3">
        <v>11</v>
      </c>
      <c r="X3">
        <v>12</v>
      </c>
      <c r="Y3">
        <v>13</v>
      </c>
      <c r="Z3">
        <v>14</v>
      </c>
    </row>
    <row r="4" spans="5:26" ht="105.75" x14ac:dyDescent="0.25">
      <c r="E4" s="30" t="s">
        <v>81</v>
      </c>
      <c r="F4" s="30" t="s">
        <v>82</v>
      </c>
      <c r="G4" s="30" t="s">
        <v>70</v>
      </c>
      <c r="H4" s="30" t="s">
        <v>71</v>
      </c>
      <c r="I4" s="30" t="s">
        <v>73</v>
      </c>
      <c r="J4" s="30" t="s">
        <v>72</v>
      </c>
      <c r="K4" s="30" t="s">
        <v>74</v>
      </c>
      <c r="L4" s="30" t="s">
        <v>86</v>
      </c>
      <c r="M4" s="30" t="s">
        <v>56</v>
      </c>
      <c r="N4" s="30" t="s">
        <v>57</v>
      </c>
      <c r="O4" s="30" t="s">
        <v>58</v>
      </c>
      <c r="P4" s="30" t="s">
        <v>59</v>
      </c>
      <c r="Q4" s="30" t="s">
        <v>68</v>
      </c>
      <c r="R4" s="30" t="s">
        <v>69</v>
      </c>
      <c r="S4" s="30" t="s">
        <v>61</v>
      </c>
      <c r="T4" s="30" t="s">
        <v>62</v>
      </c>
      <c r="U4" s="30" t="s">
        <v>63</v>
      </c>
      <c r="V4" s="30" t="s">
        <v>64</v>
      </c>
      <c r="W4" s="30" t="s">
        <v>65</v>
      </c>
      <c r="X4" s="30" t="s">
        <v>66</v>
      </c>
      <c r="Y4" s="30" t="s">
        <v>60</v>
      </c>
      <c r="Z4" s="30" t="s">
        <v>67</v>
      </c>
    </row>
    <row r="5" spans="5:26" x14ac:dyDescent="0.25">
      <c r="E5">
        <v>0</v>
      </c>
      <c r="F5">
        <v>5</v>
      </c>
      <c r="G5">
        <v>10</v>
      </c>
      <c r="H5">
        <v>110</v>
      </c>
      <c r="I5">
        <v>1010</v>
      </c>
      <c r="J5">
        <v>10010</v>
      </c>
      <c r="K5">
        <v>10010</v>
      </c>
      <c r="L5">
        <f>MATCH(G5,Sheet1!$L$6:L23,0)</f>
        <v>1</v>
      </c>
      <c r="M5" t="str">
        <f>INDEX(Sheet1!$F$6:$S$36,Sheet3!$L5,M$3)</f>
        <v>FFFFFFF</v>
      </c>
      <c r="N5">
        <f>INDEX(Sheet1!$F$6:$S$36,Sheet3!$L5,N$3)</f>
        <v>1</v>
      </c>
      <c r="O5">
        <f>INDEX(Sheet1!$F$6:$S$36,Sheet3!$L5,O$3)</f>
        <v>11</v>
      </c>
      <c r="P5">
        <f>INDEX(Sheet1!$F$6:$S$36,Sheet3!$L5,P$3)</f>
        <v>313</v>
      </c>
      <c r="Q5">
        <f>INDEX(Sheet1!$F$6:$S$36,Sheet3!$L5,Q$3)</f>
        <v>25</v>
      </c>
      <c r="R5">
        <f>INDEX(Sheet1!$F$6:$S$36,Sheet3!$L5,R$3)</f>
        <v>5</v>
      </c>
      <c r="S5">
        <f>INDEX(Sheet1!$F$6:$S$36,Sheet3!$L5,S$3)</f>
        <v>10</v>
      </c>
      <c r="T5">
        <f>INDEX(Sheet1!$F$6:$S$36,Sheet3!$L5,T$3)</f>
        <v>110</v>
      </c>
      <c r="U5">
        <f>INDEX(Sheet1!$F$6:$S$36,Sheet3!$L5,U$3)</f>
        <v>1010</v>
      </c>
      <c r="V5">
        <f>INDEX(Sheet1!$F$6:$S$36,Sheet3!$L5,V$3)</f>
        <v>10010</v>
      </c>
      <c r="W5">
        <f>INDEX(Sheet1!$F$6:$S$36,Sheet3!$L5,W$3)</f>
        <v>1120</v>
      </c>
      <c r="X5">
        <f>INDEX(Sheet1!$F$6:$S$36,Sheet3!$L5,X$3)</f>
        <v>322</v>
      </c>
      <c r="Y5">
        <f>INDEX(Sheet1!$F$6:$S$36,Sheet3!$L5,Y$3)</f>
        <v>0</v>
      </c>
      <c r="Z5" t="str">
        <f>INDEX(Sheet1!$F$6:$S$36,Sheet3!$L5,Z$3)</f>
        <v>FFFFFFE</v>
      </c>
    </row>
    <row r="6" spans="5:26" x14ac:dyDescent="0.25">
      <c r="E6">
        <v>0</v>
      </c>
      <c r="F6">
        <f>F5+E5</f>
        <v>5</v>
      </c>
      <c r="G6">
        <f>G5+1</f>
        <v>11</v>
      </c>
      <c r="H6">
        <f t="shared" ref="H6:K21" si="0">H5+1</f>
        <v>111</v>
      </c>
      <c r="I6">
        <f t="shared" si="0"/>
        <v>1011</v>
      </c>
      <c r="J6">
        <f t="shared" si="0"/>
        <v>10011</v>
      </c>
      <c r="K6">
        <f t="shared" si="0"/>
        <v>10011</v>
      </c>
      <c r="L6">
        <f>MATCH(G6,Sheet1!$L$6:L24,0)</f>
        <v>2</v>
      </c>
      <c r="M6" t="str">
        <f>INDEX(Sheet1!$F$6:$S$36,Sheet3!$L6,M$3)</f>
        <v>FFFFFFF</v>
      </c>
      <c r="N6">
        <f>INDEX(Sheet1!$F$6:$S$36,Sheet3!$L6,N$3)</f>
        <v>2</v>
      </c>
      <c r="O6">
        <f>INDEX(Sheet1!$F$6:$S$36,Sheet3!$L6,O$3)</f>
        <v>23</v>
      </c>
      <c r="P6">
        <f>INDEX(Sheet1!$F$6:$S$36,Sheet3!$L6,P$3)</f>
        <v>314</v>
      </c>
      <c r="Q6">
        <f>INDEX(Sheet1!$F$6:$S$36,Sheet3!$L6,Q$3)</f>
        <v>25</v>
      </c>
      <c r="R6">
        <f>INDEX(Sheet1!$F$6:$S$36,Sheet3!$L6,R$3)</f>
        <v>5</v>
      </c>
      <c r="S6">
        <f>INDEX(Sheet1!$F$6:$S$36,Sheet3!$L6,S$3)</f>
        <v>11</v>
      </c>
      <c r="T6">
        <f>INDEX(Sheet1!$F$6:$S$36,Sheet3!$L6,T$3)</f>
        <v>111</v>
      </c>
      <c r="U6">
        <f>INDEX(Sheet1!$F$6:$S$36,Sheet3!$L6,U$3)</f>
        <v>1011</v>
      </c>
      <c r="V6">
        <f>INDEX(Sheet1!$F$6:$S$36,Sheet3!$L6,V$3)</f>
        <v>10011</v>
      </c>
      <c r="W6">
        <f>INDEX(Sheet1!$F$6:$S$36,Sheet3!$L6,W$3)</f>
        <v>1120</v>
      </c>
      <c r="X6">
        <f>INDEX(Sheet1!$F$6:$S$36,Sheet3!$L6,X$3)</f>
        <v>323</v>
      </c>
      <c r="Y6">
        <f>INDEX(Sheet1!$F$6:$S$36,Sheet3!$L6,Y$3)</f>
        <v>0</v>
      </c>
      <c r="Z6" t="str">
        <f>INDEX(Sheet1!$F$6:$S$36,Sheet3!$L6,Z$3)</f>
        <v>FFFFFFE</v>
      </c>
    </row>
    <row r="7" spans="5:26" x14ac:dyDescent="0.25">
      <c r="E7">
        <v>0</v>
      </c>
      <c r="F7">
        <f t="shared" ref="F7:F28" si="1">F6+E6</f>
        <v>5</v>
      </c>
      <c r="G7">
        <f t="shared" ref="G7:K22" si="2">G6+1</f>
        <v>12</v>
      </c>
      <c r="H7">
        <f t="shared" si="0"/>
        <v>112</v>
      </c>
      <c r="I7">
        <f t="shared" si="0"/>
        <v>1012</v>
      </c>
      <c r="J7">
        <f t="shared" si="0"/>
        <v>10012</v>
      </c>
      <c r="K7">
        <f t="shared" si="0"/>
        <v>10012</v>
      </c>
      <c r="L7">
        <f>MATCH(G7,Sheet1!$L$6:L25,0)</f>
        <v>3</v>
      </c>
      <c r="M7" t="str">
        <f>INDEX(Sheet1!$F$6:$S$36,Sheet3!$L7,M$3)</f>
        <v>FFFFFFF</v>
      </c>
      <c r="N7">
        <f>INDEX(Sheet1!$F$6:$S$36,Sheet3!$L7,N$3)</f>
        <v>3</v>
      </c>
      <c r="O7">
        <f>INDEX(Sheet1!$F$6:$S$36,Sheet3!$L7,O$3)</f>
        <v>35</v>
      </c>
      <c r="P7">
        <f>INDEX(Sheet1!$F$6:$S$36,Sheet3!$L7,P$3)</f>
        <v>315</v>
      </c>
      <c r="Q7">
        <f>INDEX(Sheet1!$F$6:$S$36,Sheet3!$L7,Q$3)</f>
        <v>25</v>
      </c>
      <c r="R7">
        <f>INDEX(Sheet1!$F$6:$S$36,Sheet3!$L7,R$3)</f>
        <v>5</v>
      </c>
      <c r="S7">
        <f>INDEX(Sheet1!$F$6:$S$36,Sheet3!$L7,S$3)</f>
        <v>12</v>
      </c>
      <c r="T7">
        <f>INDEX(Sheet1!$F$6:$S$36,Sheet3!$L7,T$3)</f>
        <v>112</v>
      </c>
      <c r="U7">
        <f>INDEX(Sheet1!$F$6:$S$36,Sheet3!$L7,U$3)</f>
        <v>1012</v>
      </c>
      <c r="V7">
        <f>INDEX(Sheet1!$F$6:$S$36,Sheet3!$L7,V$3)</f>
        <v>10012</v>
      </c>
      <c r="W7">
        <f>INDEX(Sheet1!$F$6:$S$36,Sheet3!$L7,W$3)</f>
        <v>1122</v>
      </c>
      <c r="X7">
        <f>INDEX(Sheet1!$F$6:$S$36,Sheet3!$L7,X$3)</f>
        <v>324</v>
      </c>
      <c r="Y7">
        <f>INDEX(Sheet1!$F$6:$S$36,Sheet3!$L7,Y$3)</f>
        <v>0</v>
      </c>
      <c r="Z7" t="str">
        <f>INDEX(Sheet1!$F$6:$S$36,Sheet3!$L7,Z$3)</f>
        <v>FFFFFFE</v>
      </c>
    </row>
    <row r="8" spans="5:26" x14ac:dyDescent="0.25">
      <c r="E8">
        <v>0</v>
      </c>
      <c r="F8">
        <f t="shared" si="1"/>
        <v>5</v>
      </c>
      <c r="G8">
        <f t="shared" si="2"/>
        <v>13</v>
      </c>
      <c r="H8">
        <f t="shared" si="0"/>
        <v>113</v>
      </c>
      <c r="I8">
        <f t="shared" si="0"/>
        <v>1013</v>
      </c>
      <c r="J8">
        <f t="shared" si="0"/>
        <v>10013</v>
      </c>
      <c r="K8">
        <f t="shared" si="0"/>
        <v>10013</v>
      </c>
      <c r="L8">
        <f>MATCH(G8,Sheet1!$L$6:L26,0)</f>
        <v>4</v>
      </c>
      <c r="M8" t="str">
        <f>INDEX(Sheet1!$F$6:$S$36,Sheet3!$L8,M$3)</f>
        <v>FFFFFFF</v>
      </c>
      <c r="N8">
        <f>INDEX(Sheet1!$F$6:$S$36,Sheet3!$L8,N$3)</f>
        <v>4</v>
      </c>
      <c r="O8">
        <f>INDEX(Sheet1!$F$6:$S$36,Sheet3!$L8,O$3)</f>
        <v>47</v>
      </c>
      <c r="P8">
        <f>INDEX(Sheet1!$F$6:$S$36,Sheet3!$L8,P$3)</f>
        <v>316</v>
      </c>
      <c r="Q8">
        <f>INDEX(Sheet1!$F$6:$S$36,Sheet3!$L8,Q$3)</f>
        <v>25</v>
      </c>
      <c r="R8">
        <f>INDEX(Sheet1!$F$6:$S$36,Sheet3!$L8,R$3)</f>
        <v>5</v>
      </c>
      <c r="S8">
        <f>INDEX(Sheet1!$F$6:$S$36,Sheet3!$L8,S$3)</f>
        <v>13</v>
      </c>
      <c r="T8">
        <f>INDEX(Sheet1!$F$6:$S$36,Sheet3!$L8,T$3)</f>
        <v>113</v>
      </c>
      <c r="U8">
        <f>INDEX(Sheet1!$F$6:$S$36,Sheet3!$L8,U$3)</f>
        <v>1013</v>
      </c>
      <c r="V8">
        <f>INDEX(Sheet1!$F$6:$S$36,Sheet3!$L8,V$3)</f>
        <v>10013</v>
      </c>
      <c r="W8">
        <f>INDEX(Sheet1!$F$6:$S$36,Sheet3!$L8,W$3)</f>
        <v>1124</v>
      </c>
      <c r="X8">
        <f>INDEX(Sheet1!$F$6:$S$36,Sheet3!$L8,X$3)</f>
        <v>325</v>
      </c>
      <c r="Y8">
        <f>INDEX(Sheet1!$F$6:$S$36,Sheet3!$L8,Y$3)</f>
        <v>0</v>
      </c>
      <c r="Z8" t="str">
        <f>INDEX(Sheet1!$F$6:$S$36,Sheet3!$L8,Z$3)</f>
        <v>FFFFFFE</v>
      </c>
    </row>
    <row r="9" spans="5:26" x14ac:dyDescent="0.25">
      <c r="E9">
        <v>0</v>
      </c>
      <c r="F9">
        <f t="shared" si="1"/>
        <v>5</v>
      </c>
      <c r="G9">
        <f t="shared" si="2"/>
        <v>14</v>
      </c>
      <c r="H9">
        <f t="shared" si="0"/>
        <v>114</v>
      </c>
      <c r="I9">
        <f t="shared" si="0"/>
        <v>1014</v>
      </c>
      <c r="J9">
        <f t="shared" si="0"/>
        <v>10014</v>
      </c>
      <c r="K9">
        <f t="shared" si="0"/>
        <v>10014</v>
      </c>
      <c r="L9">
        <f>MATCH(G9,Sheet1!$L$6:L27,0)</f>
        <v>5</v>
      </c>
      <c r="M9" t="str">
        <f>INDEX(Sheet1!$F$6:$S$36,Sheet3!$L9,M$3)</f>
        <v>FFFFFFF</v>
      </c>
      <c r="N9">
        <f>INDEX(Sheet1!$F$6:$S$36,Sheet3!$L9,N$3)</f>
        <v>5</v>
      </c>
      <c r="O9">
        <f>INDEX(Sheet1!$F$6:$S$36,Sheet3!$L9,O$3)</f>
        <v>59</v>
      </c>
      <c r="P9">
        <f>INDEX(Sheet1!$F$6:$S$36,Sheet3!$L9,P$3)</f>
        <v>317</v>
      </c>
      <c r="Q9">
        <f>INDEX(Sheet1!$F$6:$S$36,Sheet3!$L9,Q$3)</f>
        <v>25</v>
      </c>
      <c r="R9">
        <f>INDEX(Sheet1!$F$6:$S$36,Sheet3!$L9,R$3)</f>
        <v>5</v>
      </c>
      <c r="S9">
        <f>INDEX(Sheet1!$F$6:$S$36,Sheet3!$L9,S$3)</f>
        <v>14</v>
      </c>
      <c r="T9">
        <f>INDEX(Sheet1!$F$6:$S$36,Sheet3!$L9,T$3)</f>
        <v>114</v>
      </c>
      <c r="U9">
        <f>INDEX(Sheet1!$F$6:$S$36,Sheet3!$L9,U$3)</f>
        <v>1014</v>
      </c>
      <c r="V9">
        <f>INDEX(Sheet1!$F$6:$S$36,Sheet3!$L9,V$3)</f>
        <v>10014</v>
      </c>
      <c r="W9">
        <f>INDEX(Sheet1!$F$6:$S$36,Sheet3!$L9,W$3)</f>
        <v>1126</v>
      </c>
      <c r="X9">
        <f>INDEX(Sheet1!$F$6:$S$36,Sheet3!$L9,X$3)</f>
        <v>326</v>
      </c>
      <c r="Y9">
        <f>INDEX(Sheet1!$F$6:$S$36,Sheet3!$L9,Y$3)</f>
        <v>0</v>
      </c>
      <c r="Z9" t="str">
        <f>INDEX(Sheet1!$F$6:$S$36,Sheet3!$L9,Z$3)</f>
        <v>FFFFFFE</v>
      </c>
    </row>
    <row r="10" spans="5:26" x14ac:dyDescent="0.25">
      <c r="E10">
        <v>0</v>
      </c>
      <c r="F10">
        <f t="shared" si="1"/>
        <v>5</v>
      </c>
      <c r="G10">
        <f t="shared" si="2"/>
        <v>15</v>
      </c>
      <c r="H10">
        <f t="shared" si="0"/>
        <v>115</v>
      </c>
      <c r="I10">
        <f t="shared" si="0"/>
        <v>1015</v>
      </c>
      <c r="J10">
        <f t="shared" si="0"/>
        <v>10015</v>
      </c>
      <c r="K10">
        <f t="shared" si="0"/>
        <v>10015</v>
      </c>
      <c r="L10">
        <f>MATCH(G10,Sheet1!$L$6:L28,0)</f>
        <v>6</v>
      </c>
      <c r="M10" t="str">
        <f>INDEX(Sheet1!$F$6:$S$36,Sheet3!$L10,M$3)</f>
        <v>FFFFFFF</v>
      </c>
      <c r="N10">
        <f>INDEX(Sheet1!$F$6:$S$36,Sheet3!$L10,N$3)</f>
        <v>6</v>
      </c>
      <c r="O10">
        <f>INDEX(Sheet1!$F$6:$S$36,Sheet3!$L10,O$3)</f>
        <v>71</v>
      </c>
      <c r="P10">
        <f>INDEX(Sheet1!$F$6:$S$36,Sheet3!$L10,P$3)</f>
        <v>318</v>
      </c>
      <c r="Q10">
        <f>INDEX(Sheet1!$F$6:$S$36,Sheet3!$L10,Q$3)</f>
        <v>25</v>
      </c>
      <c r="R10">
        <f>INDEX(Sheet1!$F$6:$S$36,Sheet3!$L10,R$3)</f>
        <v>5</v>
      </c>
      <c r="S10">
        <f>INDEX(Sheet1!$F$6:$S$36,Sheet3!$L10,S$3)</f>
        <v>15</v>
      </c>
      <c r="T10">
        <f>INDEX(Sheet1!$F$6:$S$36,Sheet3!$L10,T$3)</f>
        <v>115</v>
      </c>
      <c r="U10">
        <f>INDEX(Sheet1!$F$6:$S$36,Sheet3!$L10,U$3)</f>
        <v>1015</v>
      </c>
      <c r="V10">
        <f>INDEX(Sheet1!$F$6:$S$36,Sheet3!$L10,V$3)</f>
        <v>10015</v>
      </c>
      <c r="W10">
        <f>INDEX(Sheet1!$F$6:$S$36,Sheet3!$L10,W$3)</f>
        <v>1128</v>
      </c>
      <c r="X10">
        <f>INDEX(Sheet1!$F$6:$S$36,Sheet3!$L10,X$3)</f>
        <v>327</v>
      </c>
      <c r="Y10">
        <f>INDEX(Sheet1!$F$6:$S$36,Sheet3!$L10,Y$3)</f>
        <v>0</v>
      </c>
      <c r="Z10" t="str">
        <f>INDEX(Sheet1!$F$6:$S$36,Sheet3!$L10,Z$3)</f>
        <v>FFFFFFE</v>
      </c>
    </row>
    <row r="11" spans="5:26" x14ac:dyDescent="0.25">
      <c r="E11">
        <v>0</v>
      </c>
      <c r="F11">
        <f t="shared" si="1"/>
        <v>5</v>
      </c>
      <c r="G11">
        <f t="shared" si="2"/>
        <v>16</v>
      </c>
      <c r="H11">
        <f t="shared" si="0"/>
        <v>116</v>
      </c>
      <c r="I11">
        <f t="shared" si="0"/>
        <v>1016</v>
      </c>
      <c r="J11">
        <f t="shared" si="0"/>
        <v>10016</v>
      </c>
      <c r="K11">
        <f t="shared" si="0"/>
        <v>10016</v>
      </c>
      <c r="L11">
        <f>MATCH(G11,Sheet1!$L$6:L29,0)</f>
        <v>7</v>
      </c>
      <c r="M11" t="str">
        <f>INDEX(Sheet1!$F$6:$S$36,Sheet3!$L11,M$3)</f>
        <v>FFFFFFF</v>
      </c>
      <c r="N11">
        <f>INDEX(Sheet1!$F$6:$S$36,Sheet3!$L11,N$3)</f>
        <v>7</v>
      </c>
      <c r="O11">
        <f>INDEX(Sheet1!$F$6:$S$36,Sheet3!$L11,O$3)</f>
        <v>83</v>
      </c>
      <c r="P11">
        <f>INDEX(Sheet1!$F$6:$S$36,Sheet3!$L11,P$3)</f>
        <v>319</v>
      </c>
      <c r="Q11">
        <f>INDEX(Sheet1!$F$6:$S$36,Sheet3!$L11,Q$3)</f>
        <v>25</v>
      </c>
      <c r="R11">
        <f>INDEX(Sheet1!$F$6:$S$36,Sheet3!$L11,R$3)</f>
        <v>5</v>
      </c>
      <c r="S11">
        <f>INDEX(Sheet1!$F$6:$S$36,Sheet3!$L11,S$3)</f>
        <v>16</v>
      </c>
      <c r="T11">
        <f>INDEX(Sheet1!$F$6:$S$36,Sheet3!$L11,T$3)</f>
        <v>116</v>
      </c>
      <c r="U11">
        <f>INDEX(Sheet1!$F$6:$S$36,Sheet3!$L11,U$3)</f>
        <v>1016</v>
      </c>
      <c r="V11">
        <f>INDEX(Sheet1!$F$6:$S$36,Sheet3!$L11,V$3)</f>
        <v>10016</v>
      </c>
      <c r="W11">
        <f>INDEX(Sheet1!$F$6:$S$36,Sheet3!$L11,W$3)</f>
        <v>1130</v>
      </c>
      <c r="X11">
        <f>INDEX(Sheet1!$F$6:$S$36,Sheet3!$L11,X$3)</f>
        <v>328</v>
      </c>
      <c r="Y11">
        <f>INDEX(Sheet1!$F$6:$S$36,Sheet3!$L11,Y$3)</f>
        <v>0</v>
      </c>
      <c r="Z11" t="str">
        <f>INDEX(Sheet1!$F$6:$S$36,Sheet3!$L11,Z$3)</f>
        <v>FFFFFFE</v>
      </c>
    </row>
    <row r="12" spans="5:26" x14ac:dyDescent="0.25">
      <c r="E12">
        <v>0</v>
      </c>
      <c r="F12">
        <f t="shared" si="1"/>
        <v>5</v>
      </c>
      <c r="G12">
        <f t="shared" si="2"/>
        <v>17</v>
      </c>
      <c r="H12">
        <f t="shared" si="0"/>
        <v>117</v>
      </c>
      <c r="I12">
        <f t="shared" si="0"/>
        <v>1017</v>
      </c>
      <c r="J12">
        <f t="shared" si="0"/>
        <v>10017</v>
      </c>
      <c r="K12">
        <f t="shared" si="0"/>
        <v>10017</v>
      </c>
      <c r="L12">
        <f>MATCH(G12,Sheet1!$L$6:L30,0)</f>
        <v>8</v>
      </c>
      <c r="M12" t="str">
        <f>INDEX(Sheet1!$F$6:$S$36,Sheet3!$L12,M$3)</f>
        <v>FFFFFFF</v>
      </c>
      <c r="N12">
        <f>INDEX(Sheet1!$F$6:$S$36,Sheet3!$L12,N$3)</f>
        <v>8</v>
      </c>
      <c r="O12">
        <f>INDEX(Sheet1!$F$6:$S$36,Sheet3!$L12,O$3)</f>
        <v>95</v>
      </c>
      <c r="P12">
        <f>INDEX(Sheet1!$F$6:$S$36,Sheet3!$L12,P$3)</f>
        <v>320</v>
      </c>
      <c r="Q12">
        <f>INDEX(Sheet1!$F$6:$S$36,Sheet3!$L12,Q$3)</f>
        <v>25</v>
      </c>
      <c r="R12">
        <f>INDEX(Sheet1!$F$6:$S$36,Sheet3!$L12,R$3)</f>
        <v>5</v>
      </c>
      <c r="S12">
        <f>INDEX(Sheet1!$F$6:$S$36,Sheet3!$L12,S$3)</f>
        <v>17</v>
      </c>
      <c r="T12">
        <f>INDEX(Sheet1!$F$6:$S$36,Sheet3!$L12,T$3)</f>
        <v>117</v>
      </c>
      <c r="U12">
        <f>INDEX(Sheet1!$F$6:$S$36,Sheet3!$L12,U$3)</f>
        <v>1017</v>
      </c>
      <c r="V12">
        <f>INDEX(Sheet1!$F$6:$S$36,Sheet3!$L12,V$3)</f>
        <v>10017</v>
      </c>
      <c r="W12">
        <f>INDEX(Sheet1!$F$6:$S$36,Sheet3!$L12,W$3)</f>
        <v>1132</v>
      </c>
      <c r="X12">
        <f>INDEX(Sheet1!$F$6:$S$36,Sheet3!$L12,X$3)</f>
        <v>329</v>
      </c>
      <c r="Y12">
        <f>INDEX(Sheet1!$F$6:$S$36,Sheet3!$L12,Y$3)</f>
        <v>0</v>
      </c>
      <c r="Z12" t="str">
        <f>INDEX(Sheet1!$F$6:$S$36,Sheet3!$L12,Z$3)</f>
        <v>FFFFFFE</v>
      </c>
    </row>
    <row r="13" spans="5:26" x14ac:dyDescent="0.25">
      <c r="E13">
        <v>0</v>
      </c>
      <c r="F13">
        <f t="shared" si="1"/>
        <v>5</v>
      </c>
      <c r="G13">
        <f t="shared" si="2"/>
        <v>18</v>
      </c>
      <c r="H13">
        <f t="shared" si="0"/>
        <v>118</v>
      </c>
      <c r="I13">
        <f t="shared" si="0"/>
        <v>1018</v>
      </c>
      <c r="J13">
        <f t="shared" si="0"/>
        <v>10018</v>
      </c>
      <c r="K13">
        <f t="shared" si="0"/>
        <v>10018</v>
      </c>
      <c r="L13">
        <f>MATCH(G13,Sheet1!$L$6:L31,0)</f>
        <v>9</v>
      </c>
      <c r="M13" t="str">
        <f>INDEX(Sheet1!$F$6:$S$36,Sheet3!$L13,M$3)</f>
        <v>FFFFFFF</v>
      </c>
      <c r="N13">
        <f>INDEX(Sheet1!$F$6:$S$36,Sheet3!$L13,N$3)</f>
        <v>9</v>
      </c>
      <c r="O13">
        <f>INDEX(Sheet1!$F$6:$S$36,Sheet3!$L13,O$3)</f>
        <v>107</v>
      </c>
      <c r="P13">
        <f>INDEX(Sheet1!$F$6:$S$36,Sheet3!$L13,P$3)</f>
        <v>321</v>
      </c>
      <c r="Q13">
        <f>INDEX(Sheet1!$F$6:$S$36,Sheet3!$L13,Q$3)</f>
        <v>25</v>
      </c>
      <c r="R13">
        <f>INDEX(Sheet1!$F$6:$S$36,Sheet3!$L13,R$3)</f>
        <v>5</v>
      </c>
      <c r="S13">
        <f>INDEX(Sheet1!$F$6:$S$36,Sheet3!$L13,S$3)</f>
        <v>18</v>
      </c>
      <c r="T13">
        <f>INDEX(Sheet1!$F$6:$S$36,Sheet3!$L13,T$3)</f>
        <v>118</v>
      </c>
      <c r="U13">
        <f>INDEX(Sheet1!$F$6:$S$36,Sheet3!$L13,U$3)</f>
        <v>1018</v>
      </c>
      <c r="V13">
        <f>INDEX(Sheet1!$F$6:$S$36,Sheet3!$L13,V$3)</f>
        <v>10018</v>
      </c>
      <c r="W13">
        <f>INDEX(Sheet1!$F$6:$S$36,Sheet3!$L13,W$3)</f>
        <v>1134</v>
      </c>
      <c r="X13">
        <f>INDEX(Sheet1!$F$6:$S$36,Sheet3!$L13,X$3)</f>
        <v>330</v>
      </c>
      <c r="Y13">
        <f>INDEX(Sheet1!$F$6:$S$36,Sheet3!$L13,Y$3)</f>
        <v>0</v>
      </c>
      <c r="Z13" t="str">
        <f>INDEX(Sheet1!$F$6:$S$36,Sheet3!$L13,Z$3)</f>
        <v>FFFFFFE</v>
      </c>
    </row>
    <row r="14" spans="5:26" x14ac:dyDescent="0.25">
      <c r="E14">
        <v>0</v>
      </c>
      <c r="F14">
        <f t="shared" si="1"/>
        <v>5</v>
      </c>
      <c r="G14">
        <f t="shared" si="2"/>
        <v>19</v>
      </c>
      <c r="H14">
        <f t="shared" si="0"/>
        <v>119</v>
      </c>
      <c r="I14">
        <f t="shared" si="0"/>
        <v>1019</v>
      </c>
      <c r="J14">
        <f t="shared" si="0"/>
        <v>10019</v>
      </c>
      <c r="K14">
        <f t="shared" si="0"/>
        <v>10019</v>
      </c>
      <c r="L14">
        <f>MATCH(G14,Sheet1!$L$6:L32,0)</f>
        <v>10</v>
      </c>
      <c r="M14" t="str">
        <f>INDEX(Sheet1!$F$6:$S$36,Sheet3!$L14,M$3)</f>
        <v>FFFFFFF</v>
      </c>
      <c r="N14">
        <f>INDEX(Sheet1!$F$6:$S$36,Sheet3!$L14,N$3)</f>
        <v>10</v>
      </c>
      <c r="O14">
        <f>INDEX(Sheet1!$F$6:$S$36,Sheet3!$L14,O$3)</f>
        <v>119</v>
      </c>
      <c r="P14">
        <f>INDEX(Sheet1!$F$6:$S$36,Sheet3!$L14,P$3)</f>
        <v>322</v>
      </c>
      <c r="Q14">
        <f>INDEX(Sheet1!$F$6:$S$36,Sheet3!$L14,Q$3)</f>
        <v>25</v>
      </c>
      <c r="R14">
        <f>INDEX(Sheet1!$F$6:$S$36,Sheet3!$L14,R$3)</f>
        <v>5</v>
      </c>
      <c r="S14">
        <f>INDEX(Sheet1!$F$6:$S$36,Sheet3!$L14,S$3)</f>
        <v>19</v>
      </c>
      <c r="T14">
        <f>INDEX(Sheet1!$F$6:$S$36,Sheet3!$L14,T$3)</f>
        <v>119</v>
      </c>
      <c r="U14">
        <f>INDEX(Sheet1!$F$6:$S$36,Sheet3!$L14,U$3)</f>
        <v>1019</v>
      </c>
      <c r="V14">
        <f>INDEX(Sheet1!$F$6:$S$36,Sheet3!$L14,V$3)</f>
        <v>10019</v>
      </c>
      <c r="W14">
        <f>INDEX(Sheet1!$F$6:$S$36,Sheet3!$L14,W$3)</f>
        <v>1136</v>
      </c>
      <c r="X14">
        <f>INDEX(Sheet1!$F$6:$S$36,Sheet3!$L14,X$3)</f>
        <v>331</v>
      </c>
      <c r="Y14">
        <f>INDEX(Sheet1!$F$6:$S$36,Sheet3!$L14,Y$3)</f>
        <v>0</v>
      </c>
      <c r="Z14" t="str">
        <f>INDEX(Sheet1!$F$6:$S$36,Sheet3!$L14,Z$3)</f>
        <v>FFFFFFE</v>
      </c>
    </row>
    <row r="15" spans="5:26" x14ac:dyDescent="0.25">
      <c r="E15">
        <v>0</v>
      </c>
      <c r="F15">
        <f t="shared" si="1"/>
        <v>5</v>
      </c>
      <c r="G15">
        <f t="shared" si="2"/>
        <v>20</v>
      </c>
      <c r="H15">
        <f t="shared" si="0"/>
        <v>120</v>
      </c>
      <c r="I15">
        <f t="shared" si="0"/>
        <v>1020</v>
      </c>
      <c r="J15">
        <f t="shared" si="0"/>
        <v>10020</v>
      </c>
      <c r="K15">
        <f t="shared" si="0"/>
        <v>10020</v>
      </c>
      <c r="L15">
        <f>MATCH(G15,Sheet1!$L$6:L33,0)</f>
        <v>11</v>
      </c>
      <c r="M15" t="str">
        <f>INDEX(Sheet1!$F$6:$S$36,Sheet3!$L15,M$3)</f>
        <v>FFFFFFF</v>
      </c>
      <c r="N15">
        <f>INDEX(Sheet1!$F$6:$S$36,Sheet3!$L15,N$3)</f>
        <v>11</v>
      </c>
      <c r="O15">
        <f>INDEX(Sheet1!$F$6:$S$36,Sheet3!$L15,O$3)</f>
        <v>131</v>
      </c>
      <c r="P15">
        <f>INDEX(Sheet1!$F$6:$S$36,Sheet3!$L15,P$3)</f>
        <v>323</v>
      </c>
      <c r="Q15">
        <f>INDEX(Sheet1!$F$6:$S$36,Sheet3!$L15,Q$3)</f>
        <v>25</v>
      </c>
      <c r="R15">
        <f>INDEX(Sheet1!$F$6:$S$36,Sheet3!$L15,R$3)</f>
        <v>5</v>
      </c>
      <c r="S15">
        <f>INDEX(Sheet1!$F$6:$S$36,Sheet3!$L15,S$3)</f>
        <v>20</v>
      </c>
      <c r="T15">
        <f>INDEX(Sheet1!$F$6:$S$36,Sheet3!$L15,T$3)</f>
        <v>120</v>
      </c>
      <c r="U15">
        <f>INDEX(Sheet1!$F$6:$S$36,Sheet3!$L15,U$3)</f>
        <v>1020</v>
      </c>
      <c r="V15">
        <f>INDEX(Sheet1!$F$6:$S$36,Sheet3!$L15,V$3)</f>
        <v>10020</v>
      </c>
      <c r="W15">
        <f>INDEX(Sheet1!$F$6:$S$36,Sheet3!$L15,W$3)</f>
        <v>1138</v>
      </c>
      <c r="X15">
        <f>INDEX(Sheet1!$F$6:$S$36,Sheet3!$L15,X$3)</f>
        <v>332</v>
      </c>
      <c r="Y15">
        <f>INDEX(Sheet1!$F$6:$S$36,Sheet3!$L15,Y$3)</f>
        <v>0</v>
      </c>
      <c r="Z15" t="str">
        <f>INDEX(Sheet1!$F$6:$S$36,Sheet3!$L15,Z$3)</f>
        <v>FFFFFFE</v>
      </c>
    </row>
    <row r="16" spans="5:26" x14ac:dyDescent="0.25">
      <c r="E16">
        <v>0</v>
      </c>
      <c r="F16">
        <f t="shared" si="1"/>
        <v>5</v>
      </c>
      <c r="G16">
        <f t="shared" si="2"/>
        <v>21</v>
      </c>
      <c r="H16">
        <f t="shared" si="0"/>
        <v>121</v>
      </c>
      <c r="I16">
        <f t="shared" si="0"/>
        <v>1021</v>
      </c>
      <c r="J16">
        <f t="shared" si="0"/>
        <v>10021</v>
      </c>
      <c r="K16">
        <f t="shared" si="0"/>
        <v>10021</v>
      </c>
      <c r="L16">
        <f>MATCH(G16,Sheet1!$L$6:L34,0)</f>
        <v>12</v>
      </c>
      <c r="M16" t="str">
        <f>INDEX(Sheet1!$F$6:$S$36,Sheet3!$L16,M$3)</f>
        <v>FFFFFFF</v>
      </c>
      <c r="N16">
        <f>INDEX(Sheet1!$F$6:$S$36,Sheet3!$L16,N$3)</f>
        <v>12</v>
      </c>
      <c r="O16">
        <f>INDEX(Sheet1!$F$6:$S$36,Sheet3!$L16,O$3)</f>
        <v>143</v>
      </c>
      <c r="P16">
        <f>INDEX(Sheet1!$F$6:$S$36,Sheet3!$L16,P$3)</f>
        <v>324</v>
      </c>
      <c r="Q16">
        <f>INDEX(Sheet1!$F$6:$S$36,Sheet3!$L16,Q$3)</f>
        <v>25</v>
      </c>
      <c r="R16">
        <f>INDEX(Sheet1!$F$6:$S$36,Sheet3!$L16,R$3)</f>
        <v>5</v>
      </c>
      <c r="S16">
        <f>INDEX(Sheet1!$F$6:$S$36,Sheet3!$L16,S$3)</f>
        <v>21</v>
      </c>
      <c r="T16">
        <f>INDEX(Sheet1!$F$6:$S$36,Sheet3!$L16,T$3)</f>
        <v>121</v>
      </c>
      <c r="U16">
        <f>INDEX(Sheet1!$F$6:$S$36,Sheet3!$L16,U$3)</f>
        <v>1021</v>
      </c>
      <c r="V16">
        <f>INDEX(Sheet1!$F$6:$S$36,Sheet3!$L16,V$3)</f>
        <v>10021</v>
      </c>
      <c r="W16">
        <f>INDEX(Sheet1!$F$6:$S$36,Sheet3!$L16,W$3)</f>
        <v>1140</v>
      </c>
      <c r="X16">
        <f>INDEX(Sheet1!$F$6:$S$36,Sheet3!$L16,X$3)</f>
        <v>333</v>
      </c>
      <c r="Y16">
        <f>INDEX(Sheet1!$F$6:$S$36,Sheet3!$L16,Y$3)</f>
        <v>0</v>
      </c>
      <c r="Z16" t="str">
        <f>INDEX(Sheet1!$F$6:$S$36,Sheet3!$L16,Z$3)</f>
        <v>FFFFFFE</v>
      </c>
    </row>
    <row r="17" spans="5:26" x14ac:dyDescent="0.25">
      <c r="E17">
        <v>0</v>
      </c>
      <c r="F17">
        <f t="shared" si="1"/>
        <v>5</v>
      </c>
      <c r="G17">
        <f t="shared" si="2"/>
        <v>22</v>
      </c>
      <c r="H17">
        <f t="shared" si="0"/>
        <v>122</v>
      </c>
      <c r="I17">
        <f t="shared" si="0"/>
        <v>1022</v>
      </c>
      <c r="J17">
        <f t="shared" si="0"/>
        <v>10022</v>
      </c>
      <c r="K17">
        <f t="shared" si="0"/>
        <v>10022</v>
      </c>
      <c r="L17">
        <f>MATCH(G17,Sheet1!$L$6:L35,0)</f>
        <v>13</v>
      </c>
      <c r="M17" t="str">
        <f>INDEX(Sheet1!$F$6:$S$36,Sheet3!$L17,M$3)</f>
        <v>FFFFFFF</v>
      </c>
      <c r="N17">
        <f>INDEX(Sheet1!$F$6:$S$36,Sheet3!$L17,N$3)</f>
        <v>13</v>
      </c>
      <c r="O17">
        <f>INDEX(Sheet1!$F$6:$S$36,Sheet3!$L17,O$3)</f>
        <v>155</v>
      </c>
      <c r="P17">
        <f>INDEX(Sheet1!$F$6:$S$36,Sheet3!$L17,P$3)</f>
        <v>325</v>
      </c>
      <c r="Q17">
        <f>INDEX(Sheet1!$F$6:$S$36,Sheet3!$L17,Q$3)</f>
        <v>25</v>
      </c>
      <c r="R17">
        <f>INDEX(Sheet1!$F$6:$S$36,Sheet3!$L17,R$3)</f>
        <v>5</v>
      </c>
      <c r="S17">
        <f>INDEX(Sheet1!$F$6:$S$36,Sheet3!$L17,S$3)</f>
        <v>22</v>
      </c>
      <c r="T17">
        <f>INDEX(Sheet1!$F$6:$S$36,Sheet3!$L17,T$3)</f>
        <v>122</v>
      </c>
      <c r="U17">
        <f>INDEX(Sheet1!$F$6:$S$36,Sheet3!$L17,U$3)</f>
        <v>1022</v>
      </c>
      <c r="V17">
        <f>INDEX(Sheet1!$F$6:$S$36,Sheet3!$L17,V$3)</f>
        <v>10022</v>
      </c>
      <c r="W17">
        <f>INDEX(Sheet1!$F$6:$S$36,Sheet3!$L17,W$3)</f>
        <v>1142</v>
      </c>
      <c r="X17">
        <f>INDEX(Sheet1!$F$6:$S$36,Sheet3!$L17,X$3)</f>
        <v>334</v>
      </c>
      <c r="Y17">
        <f>INDEX(Sheet1!$F$6:$S$36,Sheet3!$L17,Y$3)</f>
        <v>0</v>
      </c>
      <c r="Z17" t="str">
        <f>INDEX(Sheet1!$F$6:$S$36,Sheet3!$L17,Z$3)</f>
        <v>FFFFFFE</v>
      </c>
    </row>
    <row r="18" spans="5:26" x14ac:dyDescent="0.25">
      <c r="E18">
        <v>0</v>
      </c>
      <c r="F18">
        <f t="shared" si="1"/>
        <v>5</v>
      </c>
      <c r="G18">
        <f t="shared" si="2"/>
        <v>23</v>
      </c>
      <c r="H18">
        <f t="shared" si="0"/>
        <v>123</v>
      </c>
      <c r="I18">
        <f t="shared" si="0"/>
        <v>1023</v>
      </c>
      <c r="J18">
        <f t="shared" si="0"/>
        <v>10023</v>
      </c>
      <c r="K18">
        <f t="shared" si="0"/>
        <v>10023</v>
      </c>
      <c r="L18">
        <f>MATCH(G18,Sheet1!$L$6:L36,0)</f>
        <v>14</v>
      </c>
      <c r="M18" t="str">
        <f>INDEX(Sheet1!$F$6:$S$36,Sheet3!$L18,M$3)</f>
        <v>FFFFFFF</v>
      </c>
      <c r="N18">
        <f>INDEX(Sheet1!$F$6:$S$36,Sheet3!$L18,N$3)</f>
        <v>14</v>
      </c>
      <c r="O18">
        <f>INDEX(Sheet1!$F$6:$S$36,Sheet3!$L18,O$3)</f>
        <v>167</v>
      </c>
      <c r="P18">
        <f>INDEX(Sheet1!$F$6:$S$36,Sheet3!$L18,P$3)</f>
        <v>326</v>
      </c>
      <c r="Q18">
        <f>INDEX(Sheet1!$F$6:$S$36,Sheet3!$L18,Q$3)</f>
        <v>25</v>
      </c>
      <c r="R18">
        <f>INDEX(Sheet1!$F$6:$S$36,Sheet3!$L18,R$3)</f>
        <v>5</v>
      </c>
      <c r="S18">
        <f>INDEX(Sheet1!$F$6:$S$36,Sheet3!$L18,S$3)</f>
        <v>23</v>
      </c>
      <c r="T18">
        <f>INDEX(Sheet1!$F$6:$S$36,Sheet3!$L18,T$3)</f>
        <v>123</v>
      </c>
      <c r="U18">
        <f>INDEX(Sheet1!$F$6:$S$36,Sheet3!$L18,U$3)</f>
        <v>1023</v>
      </c>
      <c r="V18">
        <f>INDEX(Sheet1!$F$6:$S$36,Sheet3!$L18,V$3)</f>
        <v>10023</v>
      </c>
      <c r="W18">
        <f>INDEX(Sheet1!$F$6:$S$36,Sheet3!$L18,W$3)</f>
        <v>1144</v>
      </c>
      <c r="X18">
        <f>INDEX(Sheet1!$F$6:$S$36,Sheet3!$L18,X$3)</f>
        <v>335</v>
      </c>
      <c r="Y18">
        <f>INDEX(Sheet1!$F$6:$S$36,Sheet3!$L18,Y$3)</f>
        <v>0</v>
      </c>
      <c r="Z18" t="str">
        <f>INDEX(Sheet1!$F$6:$S$36,Sheet3!$L18,Z$3)</f>
        <v>FFFFFFE</v>
      </c>
    </row>
    <row r="19" spans="5:26" x14ac:dyDescent="0.25">
      <c r="E19">
        <v>0</v>
      </c>
      <c r="F19">
        <f t="shared" si="1"/>
        <v>5</v>
      </c>
      <c r="G19">
        <f t="shared" si="2"/>
        <v>24</v>
      </c>
      <c r="H19">
        <f t="shared" si="0"/>
        <v>124</v>
      </c>
      <c r="I19">
        <f t="shared" si="0"/>
        <v>1024</v>
      </c>
      <c r="J19">
        <f t="shared" si="0"/>
        <v>10024</v>
      </c>
      <c r="K19">
        <f t="shared" si="0"/>
        <v>10024</v>
      </c>
      <c r="L19">
        <f>MATCH(G19,Sheet1!$L$6:L37,0)</f>
        <v>15</v>
      </c>
      <c r="M19" t="str">
        <f>INDEX(Sheet1!$F$6:$S$36,Sheet3!$L19,M$3)</f>
        <v>FFFFFFF</v>
      </c>
      <c r="N19">
        <f>INDEX(Sheet1!$F$6:$S$36,Sheet3!$L19,N$3)</f>
        <v>15</v>
      </c>
      <c r="O19">
        <f>INDEX(Sheet1!$F$6:$S$36,Sheet3!$L19,O$3)</f>
        <v>179</v>
      </c>
      <c r="P19">
        <f>INDEX(Sheet1!$F$6:$S$36,Sheet3!$L19,P$3)</f>
        <v>327</v>
      </c>
      <c r="Q19">
        <f>INDEX(Sheet1!$F$6:$S$36,Sheet3!$L19,Q$3)</f>
        <v>25</v>
      </c>
      <c r="R19">
        <f>INDEX(Sheet1!$F$6:$S$36,Sheet3!$L19,R$3)</f>
        <v>5</v>
      </c>
      <c r="S19">
        <f>INDEX(Sheet1!$F$6:$S$36,Sheet3!$L19,S$3)</f>
        <v>24</v>
      </c>
      <c r="T19">
        <f>INDEX(Sheet1!$F$6:$S$36,Sheet3!$L19,T$3)</f>
        <v>124</v>
      </c>
      <c r="U19">
        <f>INDEX(Sheet1!$F$6:$S$36,Sheet3!$L19,U$3)</f>
        <v>1024</v>
      </c>
      <c r="V19">
        <f>INDEX(Sheet1!$F$6:$S$36,Sheet3!$L19,V$3)</f>
        <v>10024</v>
      </c>
      <c r="W19">
        <f>INDEX(Sheet1!$F$6:$S$36,Sheet3!$L19,W$3)</f>
        <v>1146</v>
      </c>
      <c r="X19">
        <f>INDEX(Sheet1!$F$6:$S$36,Sheet3!$L19,X$3)</f>
        <v>336</v>
      </c>
      <c r="Y19">
        <f>INDEX(Sheet1!$F$6:$S$36,Sheet3!$L19,Y$3)</f>
        <v>0</v>
      </c>
      <c r="Z19" t="str">
        <f>INDEX(Sheet1!$F$6:$S$36,Sheet3!$L19,Z$3)</f>
        <v>FFFFFFE</v>
      </c>
    </row>
    <row r="20" spans="5:26" x14ac:dyDescent="0.25">
      <c r="E20">
        <v>0</v>
      </c>
      <c r="F20">
        <f t="shared" si="1"/>
        <v>5</v>
      </c>
      <c r="G20">
        <f t="shared" si="2"/>
        <v>25</v>
      </c>
      <c r="H20">
        <f t="shared" si="0"/>
        <v>125</v>
      </c>
      <c r="I20">
        <f t="shared" si="0"/>
        <v>1025</v>
      </c>
      <c r="J20">
        <f t="shared" si="0"/>
        <v>10025</v>
      </c>
      <c r="K20">
        <f t="shared" si="0"/>
        <v>10025</v>
      </c>
      <c r="L20">
        <f>MATCH(G20,Sheet1!$L$6:L38,0)</f>
        <v>16</v>
      </c>
      <c r="M20" t="str">
        <f>INDEX(Sheet1!$F$6:$S$36,Sheet3!$L20,M$3)</f>
        <v>FFFFFFF</v>
      </c>
      <c r="N20">
        <f>INDEX(Sheet1!$F$6:$S$36,Sheet3!$L20,N$3)</f>
        <v>16</v>
      </c>
      <c r="O20">
        <f>INDEX(Sheet1!$F$6:$S$36,Sheet3!$L20,O$3)</f>
        <v>191</v>
      </c>
      <c r="P20">
        <f>INDEX(Sheet1!$F$6:$S$36,Sheet3!$L20,P$3)</f>
        <v>328</v>
      </c>
      <c r="Q20">
        <f>INDEX(Sheet1!$F$6:$S$36,Sheet3!$L20,Q$3)</f>
        <v>25</v>
      </c>
      <c r="R20">
        <f>INDEX(Sheet1!$F$6:$S$36,Sheet3!$L20,R$3)</f>
        <v>5</v>
      </c>
      <c r="S20">
        <f>INDEX(Sheet1!$F$6:$S$36,Sheet3!$L20,S$3)</f>
        <v>25</v>
      </c>
      <c r="T20">
        <f>INDEX(Sheet1!$F$6:$S$36,Sheet3!$L20,T$3)</f>
        <v>125</v>
      </c>
      <c r="U20">
        <f>INDEX(Sheet1!$F$6:$S$36,Sheet3!$L20,U$3)</f>
        <v>1025</v>
      </c>
      <c r="V20">
        <f>INDEX(Sheet1!$F$6:$S$36,Sheet3!$L20,V$3)</f>
        <v>10025</v>
      </c>
      <c r="W20">
        <f>INDEX(Sheet1!$F$6:$S$36,Sheet3!$L20,W$3)</f>
        <v>1148</v>
      </c>
      <c r="X20">
        <f>INDEX(Sheet1!$F$6:$S$36,Sheet3!$L20,X$3)</f>
        <v>337</v>
      </c>
      <c r="Y20">
        <f>INDEX(Sheet1!$F$6:$S$36,Sheet3!$L20,Y$3)</f>
        <v>0</v>
      </c>
      <c r="Z20" t="str">
        <f>INDEX(Sheet1!$F$6:$S$36,Sheet3!$L20,Z$3)</f>
        <v>FFFFFFE</v>
      </c>
    </row>
    <row r="21" spans="5:26" x14ac:dyDescent="0.25">
      <c r="E21">
        <v>0</v>
      </c>
      <c r="F21">
        <f t="shared" si="1"/>
        <v>5</v>
      </c>
      <c r="G21">
        <f t="shared" si="2"/>
        <v>26</v>
      </c>
      <c r="H21">
        <f t="shared" si="0"/>
        <v>126</v>
      </c>
      <c r="I21">
        <f t="shared" si="0"/>
        <v>1026</v>
      </c>
      <c r="J21">
        <f t="shared" si="0"/>
        <v>10026</v>
      </c>
      <c r="K21">
        <f t="shared" si="0"/>
        <v>10026</v>
      </c>
      <c r="L21">
        <f>MATCH(G21,Sheet1!$L$6:L39,0)</f>
        <v>17</v>
      </c>
      <c r="M21" t="str">
        <f>INDEX(Sheet1!$F$6:$S$36,Sheet3!$L21,M$3)</f>
        <v>FFFFFFF</v>
      </c>
      <c r="N21">
        <f>INDEX(Sheet1!$F$6:$S$36,Sheet3!$L21,N$3)</f>
        <v>17</v>
      </c>
      <c r="O21">
        <f>INDEX(Sheet1!$F$6:$S$36,Sheet3!$L21,O$3)</f>
        <v>203</v>
      </c>
      <c r="P21">
        <f>INDEX(Sheet1!$F$6:$S$36,Sheet3!$L21,P$3)</f>
        <v>329</v>
      </c>
      <c r="Q21">
        <f>INDEX(Sheet1!$F$6:$S$36,Sheet3!$L21,Q$3)</f>
        <v>25</v>
      </c>
      <c r="R21">
        <f>INDEX(Sheet1!$F$6:$S$36,Sheet3!$L21,R$3)</f>
        <v>5</v>
      </c>
      <c r="S21">
        <f>INDEX(Sheet1!$F$6:$S$36,Sheet3!$L21,S$3)</f>
        <v>26</v>
      </c>
      <c r="T21">
        <f>INDEX(Sheet1!$F$6:$S$36,Sheet3!$L21,T$3)</f>
        <v>126</v>
      </c>
      <c r="U21">
        <f>INDEX(Sheet1!$F$6:$S$36,Sheet3!$L21,U$3)</f>
        <v>1026</v>
      </c>
      <c r="V21">
        <f>INDEX(Sheet1!$F$6:$S$36,Sheet3!$L21,V$3)</f>
        <v>10026</v>
      </c>
      <c r="W21">
        <f>INDEX(Sheet1!$F$6:$S$36,Sheet3!$L21,W$3)</f>
        <v>1150</v>
      </c>
      <c r="X21">
        <f>INDEX(Sheet1!$F$6:$S$36,Sheet3!$L21,X$3)</f>
        <v>338</v>
      </c>
      <c r="Y21">
        <f>INDEX(Sheet1!$F$6:$S$36,Sheet3!$L21,Y$3)</f>
        <v>0</v>
      </c>
      <c r="Z21" t="str">
        <f>INDEX(Sheet1!$F$6:$S$36,Sheet3!$L21,Z$3)</f>
        <v>FFFFFFE</v>
      </c>
    </row>
    <row r="22" spans="5:26" x14ac:dyDescent="0.25">
      <c r="E22">
        <v>0</v>
      </c>
      <c r="F22">
        <f t="shared" si="1"/>
        <v>5</v>
      </c>
      <c r="G22">
        <f t="shared" si="2"/>
        <v>27</v>
      </c>
      <c r="H22">
        <f t="shared" si="2"/>
        <v>127</v>
      </c>
      <c r="I22">
        <f t="shared" si="2"/>
        <v>1027</v>
      </c>
      <c r="J22">
        <f t="shared" si="2"/>
        <v>10027</v>
      </c>
      <c r="K22">
        <f t="shared" si="2"/>
        <v>10027</v>
      </c>
      <c r="L22">
        <f>MATCH(G22,Sheet1!$L$6:L40,0)</f>
        <v>18</v>
      </c>
      <c r="M22" t="str">
        <f>INDEX(Sheet1!$F$6:$S$36,Sheet3!$L22,M$3)</f>
        <v>FFFFFFF</v>
      </c>
      <c r="N22">
        <f>INDEX(Sheet1!$F$6:$S$36,Sheet3!$L22,N$3)</f>
        <v>18</v>
      </c>
      <c r="O22">
        <f>INDEX(Sheet1!$F$6:$S$36,Sheet3!$L22,O$3)</f>
        <v>215</v>
      </c>
      <c r="P22">
        <f>INDEX(Sheet1!$F$6:$S$36,Sheet3!$L22,P$3)</f>
        <v>330</v>
      </c>
      <c r="Q22">
        <f>INDEX(Sheet1!$F$6:$S$36,Sheet3!$L22,Q$3)</f>
        <v>25</v>
      </c>
      <c r="R22">
        <f>INDEX(Sheet1!$F$6:$S$36,Sheet3!$L22,R$3)</f>
        <v>5</v>
      </c>
      <c r="S22">
        <f>INDEX(Sheet1!$F$6:$S$36,Sheet3!$L22,S$3)</f>
        <v>27</v>
      </c>
      <c r="T22">
        <f>INDEX(Sheet1!$F$6:$S$36,Sheet3!$L22,T$3)</f>
        <v>127</v>
      </c>
      <c r="U22">
        <f>INDEX(Sheet1!$F$6:$S$36,Sheet3!$L22,U$3)</f>
        <v>1027</v>
      </c>
      <c r="V22">
        <f>INDEX(Sheet1!$F$6:$S$36,Sheet3!$L22,V$3)</f>
        <v>10027</v>
      </c>
      <c r="W22">
        <f>INDEX(Sheet1!$F$6:$S$36,Sheet3!$L22,W$3)</f>
        <v>1152</v>
      </c>
      <c r="X22">
        <f>INDEX(Sheet1!$F$6:$S$36,Sheet3!$L22,X$3)</f>
        <v>339</v>
      </c>
      <c r="Y22">
        <f>INDEX(Sheet1!$F$6:$S$36,Sheet3!$L22,Y$3)</f>
        <v>0</v>
      </c>
      <c r="Z22" t="str">
        <f>INDEX(Sheet1!$F$6:$S$36,Sheet3!$L22,Z$3)</f>
        <v>FFFFFFE</v>
      </c>
    </row>
    <row r="23" spans="5:26" x14ac:dyDescent="0.25">
      <c r="E23">
        <v>0</v>
      </c>
      <c r="F23">
        <f t="shared" si="1"/>
        <v>5</v>
      </c>
      <c r="G23">
        <f t="shared" ref="G23:K41" si="3">G22+1</f>
        <v>28</v>
      </c>
      <c r="H23">
        <f t="shared" si="3"/>
        <v>128</v>
      </c>
      <c r="I23">
        <f t="shared" si="3"/>
        <v>1028</v>
      </c>
      <c r="J23">
        <f t="shared" si="3"/>
        <v>10028</v>
      </c>
      <c r="K23">
        <f t="shared" si="3"/>
        <v>10028</v>
      </c>
      <c r="L23">
        <f>MATCH(G23,Sheet1!$L$6:L41,0)</f>
        <v>19</v>
      </c>
      <c r="M23" t="str">
        <f>INDEX(Sheet1!$F$6:$S$36,Sheet3!$L23,M$3)</f>
        <v>FFFFFFF</v>
      </c>
      <c r="N23">
        <f>INDEX(Sheet1!$F$6:$S$36,Sheet3!$L23,N$3)</f>
        <v>19</v>
      </c>
      <c r="O23">
        <f>INDEX(Sheet1!$F$6:$S$36,Sheet3!$L23,O$3)</f>
        <v>227</v>
      </c>
      <c r="P23">
        <f>INDEX(Sheet1!$F$6:$S$36,Sheet3!$L23,P$3)</f>
        <v>331</v>
      </c>
      <c r="Q23">
        <f>INDEX(Sheet1!$F$6:$S$36,Sheet3!$L23,Q$3)</f>
        <v>25</v>
      </c>
      <c r="R23">
        <f>INDEX(Sheet1!$F$6:$S$36,Sheet3!$L23,R$3)</f>
        <v>5</v>
      </c>
      <c r="S23">
        <f>INDEX(Sheet1!$F$6:$S$36,Sheet3!$L23,S$3)</f>
        <v>28</v>
      </c>
      <c r="T23">
        <f>INDEX(Sheet1!$F$6:$S$36,Sheet3!$L23,T$3)</f>
        <v>128</v>
      </c>
      <c r="U23">
        <f>INDEX(Sheet1!$F$6:$S$36,Sheet3!$L23,U$3)</f>
        <v>1028</v>
      </c>
      <c r="V23">
        <f>INDEX(Sheet1!$F$6:$S$36,Sheet3!$L23,V$3)</f>
        <v>10028</v>
      </c>
      <c r="W23">
        <f>INDEX(Sheet1!$F$6:$S$36,Sheet3!$L23,W$3)</f>
        <v>1154</v>
      </c>
      <c r="X23">
        <f>INDEX(Sheet1!$F$6:$S$36,Sheet3!$L23,X$3)</f>
        <v>340</v>
      </c>
      <c r="Y23">
        <f>INDEX(Sheet1!$F$6:$S$36,Sheet3!$L23,Y$3)</f>
        <v>0</v>
      </c>
      <c r="Z23" t="str">
        <f>INDEX(Sheet1!$F$6:$S$36,Sheet3!$L23,Z$3)</f>
        <v>FFFFFFE</v>
      </c>
    </row>
    <row r="24" spans="5:26" x14ac:dyDescent="0.25">
      <c r="E24">
        <v>0</v>
      </c>
      <c r="F24">
        <f t="shared" si="1"/>
        <v>5</v>
      </c>
      <c r="G24">
        <f t="shared" si="3"/>
        <v>29</v>
      </c>
      <c r="H24">
        <f t="shared" si="3"/>
        <v>129</v>
      </c>
      <c r="I24">
        <f t="shared" si="3"/>
        <v>1029</v>
      </c>
      <c r="J24">
        <f t="shared" si="3"/>
        <v>10029</v>
      </c>
      <c r="K24">
        <f t="shared" si="3"/>
        <v>10029</v>
      </c>
      <c r="L24">
        <f>MATCH(G24,Sheet1!$L$6:L42,0)</f>
        <v>20</v>
      </c>
      <c r="M24" t="str">
        <f>INDEX(Sheet1!$F$6:$S$36,Sheet3!$L24,M$3)</f>
        <v>FFFFFFF</v>
      </c>
      <c r="N24">
        <f>INDEX(Sheet1!$F$6:$S$36,Sheet3!$L24,N$3)</f>
        <v>20</v>
      </c>
      <c r="O24">
        <f>INDEX(Sheet1!$F$6:$S$36,Sheet3!$L24,O$3)</f>
        <v>239</v>
      </c>
      <c r="P24">
        <f>INDEX(Sheet1!$F$6:$S$36,Sheet3!$L24,P$3)</f>
        <v>332</v>
      </c>
      <c r="Q24">
        <f>INDEX(Sheet1!$F$6:$S$36,Sheet3!$L24,Q$3)</f>
        <v>25</v>
      </c>
      <c r="R24">
        <f>INDEX(Sheet1!$F$6:$S$36,Sheet3!$L24,R$3)</f>
        <v>5</v>
      </c>
      <c r="S24">
        <f>INDEX(Sheet1!$F$6:$S$36,Sheet3!$L24,S$3)</f>
        <v>29</v>
      </c>
      <c r="T24">
        <f>INDEX(Sheet1!$F$6:$S$36,Sheet3!$L24,T$3)</f>
        <v>129</v>
      </c>
      <c r="U24">
        <f>INDEX(Sheet1!$F$6:$S$36,Sheet3!$L24,U$3)</f>
        <v>1029</v>
      </c>
      <c r="V24">
        <f>INDEX(Sheet1!$F$6:$S$36,Sheet3!$L24,V$3)</f>
        <v>10029</v>
      </c>
      <c r="W24">
        <f>INDEX(Sheet1!$F$6:$S$36,Sheet3!$L24,W$3)</f>
        <v>1156</v>
      </c>
      <c r="X24">
        <f>INDEX(Sheet1!$F$6:$S$36,Sheet3!$L24,X$3)</f>
        <v>341</v>
      </c>
      <c r="Y24">
        <f>INDEX(Sheet1!$F$6:$S$36,Sheet3!$L24,Y$3)</f>
        <v>0</v>
      </c>
      <c r="Z24" t="str">
        <f>INDEX(Sheet1!$F$6:$S$36,Sheet3!$L24,Z$3)</f>
        <v>FFFFFFE</v>
      </c>
    </row>
    <row r="25" spans="5:26" x14ac:dyDescent="0.25">
      <c r="E25">
        <v>0</v>
      </c>
      <c r="F25">
        <f t="shared" si="1"/>
        <v>5</v>
      </c>
      <c r="G25">
        <f t="shared" si="3"/>
        <v>30</v>
      </c>
      <c r="H25">
        <f t="shared" si="3"/>
        <v>130</v>
      </c>
      <c r="I25">
        <f t="shared" si="3"/>
        <v>1030</v>
      </c>
      <c r="J25">
        <f t="shared" si="3"/>
        <v>10030</v>
      </c>
      <c r="K25">
        <f t="shared" si="3"/>
        <v>10030</v>
      </c>
      <c r="L25">
        <f>MATCH(G25,Sheet1!$L$6:L43,0)</f>
        <v>21</v>
      </c>
      <c r="M25" t="str">
        <f>INDEX(Sheet1!$F$6:$S$36,Sheet3!$L25,M$3)</f>
        <v>FFFFFFF</v>
      </c>
      <c r="N25">
        <f>INDEX(Sheet1!$F$6:$S$36,Sheet3!$L25,N$3)</f>
        <v>21</v>
      </c>
      <c r="O25">
        <f>INDEX(Sheet1!$F$6:$S$36,Sheet3!$L25,O$3)</f>
        <v>251</v>
      </c>
      <c r="P25">
        <f>INDEX(Sheet1!$F$6:$S$36,Sheet3!$L25,P$3)</f>
        <v>333</v>
      </c>
      <c r="Q25">
        <f>INDEX(Sheet1!$F$6:$S$36,Sheet3!$L25,Q$3)</f>
        <v>25</v>
      </c>
      <c r="R25">
        <f>INDEX(Sheet1!$F$6:$S$36,Sheet3!$L25,R$3)</f>
        <v>5</v>
      </c>
      <c r="S25">
        <f>INDEX(Sheet1!$F$6:$S$36,Sheet3!$L25,S$3)</f>
        <v>30</v>
      </c>
      <c r="T25">
        <f>INDEX(Sheet1!$F$6:$S$36,Sheet3!$L25,T$3)</f>
        <v>130</v>
      </c>
      <c r="U25">
        <f>INDEX(Sheet1!$F$6:$S$36,Sheet3!$L25,U$3)</f>
        <v>1030</v>
      </c>
      <c r="V25">
        <f>INDEX(Sheet1!$F$6:$S$36,Sheet3!$L25,V$3)</f>
        <v>10030</v>
      </c>
      <c r="W25">
        <f>INDEX(Sheet1!$F$6:$S$36,Sheet3!$L25,W$3)</f>
        <v>1158</v>
      </c>
      <c r="X25">
        <f>INDEX(Sheet1!$F$6:$S$36,Sheet3!$L25,X$3)</f>
        <v>342</v>
      </c>
      <c r="Y25">
        <f>INDEX(Sheet1!$F$6:$S$36,Sheet3!$L25,Y$3)</f>
        <v>0</v>
      </c>
      <c r="Z25" t="str">
        <f>INDEX(Sheet1!$F$6:$S$36,Sheet3!$L25,Z$3)</f>
        <v>FFFFFFE</v>
      </c>
    </row>
    <row r="26" spans="5:26" x14ac:dyDescent="0.25">
      <c r="E26">
        <v>0</v>
      </c>
      <c r="F26">
        <f t="shared" si="1"/>
        <v>5</v>
      </c>
      <c r="G26">
        <f t="shared" si="3"/>
        <v>31</v>
      </c>
      <c r="H26">
        <f t="shared" si="3"/>
        <v>131</v>
      </c>
      <c r="I26">
        <f t="shared" si="3"/>
        <v>1031</v>
      </c>
      <c r="J26">
        <f t="shared" si="3"/>
        <v>10031</v>
      </c>
      <c r="K26">
        <f t="shared" si="3"/>
        <v>10031</v>
      </c>
      <c r="L26">
        <f>MATCH(G26,Sheet1!$L$6:L44,0)</f>
        <v>22</v>
      </c>
      <c r="M26" t="str">
        <f>INDEX(Sheet1!$F$6:$S$36,Sheet3!$L26,M$3)</f>
        <v>FFFFFFF</v>
      </c>
      <c r="N26">
        <f>INDEX(Sheet1!$F$6:$S$36,Sheet3!$L26,N$3)</f>
        <v>22</v>
      </c>
      <c r="O26">
        <f>INDEX(Sheet1!$F$6:$S$36,Sheet3!$L26,O$3)</f>
        <v>263</v>
      </c>
      <c r="P26">
        <f>INDEX(Sheet1!$F$6:$S$36,Sheet3!$L26,P$3)</f>
        <v>334</v>
      </c>
      <c r="Q26">
        <f>INDEX(Sheet1!$F$6:$S$36,Sheet3!$L26,Q$3)</f>
        <v>25</v>
      </c>
      <c r="R26">
        <f>INDEX(Sheet1!$F$6:$S$36,Sheet3!$L26,R$3)</f>
        <v>5</v>
      </c>
      <c r="S26">
        <f>INDEX(Sheet1!$F$6:$S$36,Sheet3!$L26,S$3)</f>
        <v>31</v>
      </c>
      <c r="T26">
        <f>INDEX(Sheet1!$F$6:$S$36,Sheet3!$L26,T$3)</f>
        <v>131</v>
      </c>
      <c r="U26">
        <f>INDEX(Sheet1!$F$6:$S$36,Sheet3!$L26,U$3)</f>
        <v>1031</v>
      </c>
      <c r="V26">
        <f>INDEX(Sheet1!$F$6:$S$36,Sheet3!$L26,V$3)</f>
        <v>10031</v>
      </c>
      <c r="W26">
        <f>INDEX(Sheet1!$F$6:$S$36,Sheet3!$L26,W$3)</f>
        <v>1160</v>
      </c>
      <c r="X26">
        <f>INDEX(Sheet1!$F$6:$S$36,Sheet3!$L26,X$3)</f>
        <v>343</v>
      </c>
      <c r="Y26">
        <f>INDEX(Sheet1!$F$6:$S$36,Sheet3!$L26,Y$3)</f>
        <v>0</v>
      </c>
      <c r="Z26" t="str">
        <f>INDEX(Sheet1!$F$6:$S$36,Sheet3!$L26,Z$3)</f>
        <v>FFFFFFE</v>
      </c>
    </row>
    <row r="27" spans="5:26" x14ac:dyDescent="0.25">
      <c r="E27">
        <v>0</v>
      </c>
      <c r="F27">
        <f t="shared" si="1"/>
        <v>5</v>
      </c>
      <c r="G27">
        <f t="shared" si="3"/>
        <v>32</v>
      </c>
      <c r="H27">
        <f t="shared" si="3"/>
        <v>132</v>
      </c>
      <c r="I27">
        <f t="shared" si="3"/>
        <v>1032</v>
      </c>
      <c r="J27">
        <f t="shared" si="3"/>
        <v>10032</v>
      </c>
      <c r="K27">
        <f t="shared" si="3"/>
        <v>10032</v>
      </c>
      <c r="L27">
        <f>MATCH(G27,Sheet1!$L$6:L45,0)</f>
        <v>23</v>
      </c>
      <c r="M27" t="str">
        <f>INDEX(Sheet1!$F$6:$S$36,Sheet3!$L27,M$3)</f>
        <v>FFFFFFF</v>
      </c>
      <c r="N27">
        <f>INDEX(Sheet1!$F$6:$S$36,Sheet3!$L27,N$3)</f>
        <v>23</v>
      </c>
      <c r="O27">
        <f>INDEX(Sheet1!$F$6:$S$36,Sheet3!$L27,O$3)</f>
        <v>275</v>
      </c>
      <c r="P27">
        <f>INDEX(Sheet1!$F$6:$S$36,Sheet3!$L27,P$3)</f>
        <v>335</v>
      </c>
      <c r="Q27">
        <f>INDEX(Sheet1!$F$6:$S$36,Sheet3!$L27,Q$3)</f>
        <v>25</v>
      </c>
      <c r="R27">
        <f>INDEX(Sheet1!$F$6:$S$36,Sheet3!$L27,R$3)</f>
        <v>5</v>
      </c>
      <c r="S27">
        <f>INDEX(Sheet1!$F$6:$S$36,Sheet3!$L27,S$3)</f>
        <v>32</v>
      </c>
      <c r="T27">
        <f>INDEX(Sheet1!$F$6:$S$36,Sheet3!$L27,T$3)</f>
        <v>132</v>
      </c>
      <c r="U27">
        <f>INDEX(Sheet1!$F$6:$S$36,Sheet3!$L27,U$3)</f>
        <v>1032</v>
      </c>
      <c r="V27">
        <f>INDEX(Sheet1!$F$6:$S$36,Sheet3!$L27,V$3)</f>
        <v>10032</v>
      </c>
      <c r="W27">
        <f>INDEX(Sheet1!$F$6:$S$36,Sheet3!$L27,W$3)</f>
        <v>1162</v>
      </c>
      <c r="X27">
        <f>INDEX(Sheet1!$F$6:$S$36,Sheet3!$L27,X$3)</f>
        <v>344</v>
      </c>
      <c r="Y27">
        <f>INDEX(Sheet1!$F$6:$S$36,Sheet3!$L27,Y$3)</f>
        <v>0</v>
      </c>
      <c r="Z27" t="str">
        <f>INDEX(Sheet1!$F$6:$S$36,Sheet3!$L27,Z$3)</f>
        <v>FFFFFFE</v>
      </c>
    </row>
    <row r="28" spans="5:26" x14ac:dyDescent="0.25">
      <c r="E28">
        <v>0</v>
      </c>
      <c r="F28">
        <f t="shared" si="1"/>
        <v>5</v>
      </c>
      <c r="G28">
        <f t="shared" si="3"/>
        <v>33</v>
      </c>
      <c r="H28">
        <f t="shared" si="3"/>
        <v>133</v>
      </c>
      <c r="I28">
        <f t="shared" si="3"/>
        <v>1033</v>
      </c>
      <c r="J28">
        <f t="shared" si="3"/>
        <v>10033</v>
      </c>
      <c r="K28">
        <f t="shared" si="3"/>
        <v>10033</v>
      </c>
      <c r="L28">
        <f>MATCH(G28,Sheet1!$L$6:L46,0)</f>
        <v>24</v>
      </c>
      <c r="M28" t="str">
        <f>INDEX(Sheet1!$F$6:$S$36,Sheet3!$L28,M$3)</f>
        <v>FFFFFFF</v>
      </c>
      <c r="N28">
        <f>INDEX(Sheet1!$F$6:$S$36,Sheet3!$L28,N$3)</f>
        <v>24</v>
      </c>
      <c r="O28">
        <f>INDEX(Sheet1!$F$6:$S$36,Sheet3!$L28,O$3)</f>
        <v>287</v>
      </c>
      <c r="P28">
        <f>INDEX(Sheet1!$F$6:$S$36,Sheet3!$L28,P$3)</f>
        <v>336</v>
      </c>
      <c r="Q28">
        <f>INDEX(Sheet1!$F$6:$S$36,Sheet3!$L28,Q$3)</f>
        <v>25</v>
      </c>
      <c r="R28">
        <f>INDEX(Sheet1!$F$6:$S$36,Sheet3!$L28,R$3)</f>
        <v>5</v>
      </c>
      <c r="S28">
        <f>INDEX(Sheet1!$F$6:$S$36,Sheet3!$L28,S$3)</f>
        <v>33</v>
      </c>
      <c r="T28">
        <f>INDEX(Sheet1!$F$6:$S$36,Sheet3!$L28,T$3)</f>
        <v>133</v>
      </c>
      <c r="U28">
        <f>INDEX(Sheet1!$F$6:$S$36,Sheet3!$L28,U$3)</f>
        <v>1033</v>
      </c>
      <c r="V28">
        <f>INDEX(Sheet1!$F$6:$S$36,Sheet3!$L28,V$3)</f>
        <v>10033</v>
      </c>
      <c r="W28">
        <f>INDEX(Sheet1!$F$6:$S$36,Sheet3!$L28,W$3)</f>
        <v>1164</v>
      </c>
      <c r="X28">
        <f>INDEX(Sheet1!$F$6:$S$36,Sheet3!$L28,X$3)</f>
        <v>345</v>
      </c>
      <c r="Y28">
        <f>INDEX(Sheet1!$F$6:$S$36,Sheet3!$L28,Y$3)</f>
        <v>0</v>
      </c>
      <c r="Z28" t="str">
        <f>INDEX(Sheet1!$F$6:$S$36,Sheet3!$L28,Z$3)</f>
        <v>FFFFFFE</v>
      </c>
    </row>
    <row r="29" spans="5:26" x14ac:dyDescent="0.25">
      <c r="E29">
        <v>0</v>
      </c>
      <c r="F29">
        <f t="shared" ref="F29:F41" si="4">F28+E28</f>
        <v>5</v>
      </c>
      <c r="G29">
        <f t="shared" si="3"/>
        <v>34</v>
      </c>
      <c r="H29">
        <f t="shared" si="3"/>
        <v>134</v>
      </c>
      <c r="I29">
        <f t="shared" si="3"/>
        <v>1034</v>
      </c>
      <c r="J29">
        <f t="shared" si="3"/>
        <v>10034</v>
      </c>
      <c r="K29">
        <f t="shared" si="3"/>
        <v>10034</v>
      </c>
      <c r="L29">
        <f>MATCH(G29,Sheet1!$L$6:L47,0)</f>
        <v>25</v>
      </c>
      <c r="M29" t="str">
        <f>INDEX(Sheet1!$F$6:$S$36,Sheet3!$L29,M$3)</f>
        <v>FFFFFFF</v>
      </c>
      <c r="N29">
        <f>INDEX(Sheet1!$F$6:$S$36,Sheet3!$L29,N$3)</f>
        <v>25</v>
      </c>
      <c r="O29">
        <f>INDEX(Sheet1!$F$6:$S$36,Sheet3!$L29,O$3)</f>
        <v>299</v>
      </c>
      <c r="P29">
        <f>INDEX(Sheet1!$F$6:$S$36,Sheet3!$L29,P$3)</f>
        <v>337</v>
      </c>
      <c r="Q29">
        <f>INDEX(Sheet1!$F$6:$S$36,Sheet3!$L29,Q$3)</f>
        <v>25</v>
      </c>
      <c r="R29">
        <f>INDEX(Sheet1!$F$6:$S$36,Sheet3!$L29,R$3)</f>
        <v>5</v>
      </c>
      <c r="S29">
        <f>INDEX(Sheet1!$F$6:$S$36,Sheet3!$L29,S$3)</f>
        <v>34</v>
      </c>
      <c r="T29">
        <f>INDEX(Sheet1!$F$6:$S$36,Sheet3!$L29,T$3)</f>
        <v>134</v>
      </c>
      <c r="U29">
        <f>INDEX(Sheet1!$F$6:$S$36,Sheet3!$L29,U$3)</f>
        <v>1034</v>
      </c>
      <c r="V29">
        <f>INDEX(Sheet1!$F$6:$S$36,Sheet3!$L29,V$3)</f>
        <v>10034</v>
      </c>
      <c r="W29">
        <f>INDEX(Sheet1!$F$6:$S$36,Sheet3!$L29,W$3)</f>
        <v>1166</v>
      </c>
      <c r="X29">
        <f>INDEX(Sheet1!$F$6:$S$36,Sheet3!$L29,X$3)</f>
        <v>346</v>
      </c>
      <c r="Y29">
        <f>INDEX(Sheet1!$F$6:$S$36,Sheet3!$L29,Y$3)</f>
        <v>0</v>
      </c>
      <c r="Z29" t="str">
        <f>INDEX(Sheet1!$F$6:$S$36,Sheet3!$L29,Z$3)</f>
        <v>FFFFFFE</v>
      </c>
    </row>
    <row r="30" spans="5:26" x14ac:dyDescent="0.25">
      <c r="E30">
        <v>1</v>
      </c>
      <c r="F30">
        <f t="shared" si="4"/>
        <v>5</v>
      </c>
      <c r="G30">
        <f t="shared" si="3"/>
        <v>35</v>
      </c>
      <c r="H30">
        <f t="shared" si="3"/>
        <v>135</v>
      </c>
      <c r="I30">
        <f t="shared" si="3"/>
        <v>1035</v>
      </c>
      <c r="J30">
        <f t="shared" si="3"/>
        <v>10035</v>
      </c>
      <c r="K30">
        <f t="shared" si="3"/>
        <v>10035</v>
      </c>
      <c r="L30">
        <f>MATCH(G30,Sheet1!$L$6:L48,0)</f>
        <v>26</v>
      </c>
      <c r="M30" t="str">
        <f>INDEX(Sheet1!$F$6:$S$36,Sheet3!$L30,M$3)</f>
        <v>FFFFFFF</v>
      </c>
      <c r="N30">
        <f>INDEX(Sheet1!$F$6:$S$36,Sheet3!$L30,N$3)</f>
        <v>26</v>
      </c>
      <c r="O30">
        <f>INDEX(Sheet1!$F$6:$S$36,Sheet3!$L30,O$3)</f>
        <v>311</v>
      </c>
      <c r="P30">
        <f>INDEX(Sheet1!$F$6:$S$36,Sheet3!$L30,P$3)</f>
        <v>338</v>
      </c>
      <c r="Q30">
        <f>INDEX(Sheet1!$F$6:$S$36,Sheet3!$L30,Q$3)</f>
        <v>25</v>
      </c>
      <c r="R30">
        <f>INDEX(Sheet1!$F$6:$S$36,Sheet3!$L30,R$3)</f>
        <v>5</v>
      </c>
      <c r="S30">
        <f>INDEX(Sheet1!$F$6:$S$36,Sheet3!$L30,S$3)</f>
        <v>35</v>
      </c>
      <c r="T30">
        <f>INDEX(Sheet1!$F$6:$S$36,Sheet3!$L30,T$3)</f>
        <v>135</v>
      </c>
      <c r="U30">
        <f>INDEX(Sheet1!$F$6:$S$36,Sheet3!$L30,U$3)</f>
        <v>1035</v>
      </c>
      <c r="V30">
        <f>INDEX(Sheet1!$F$6:$S$36,Sheet3!$L30,V$3)</f>
        <v>10035</v>
      </c>
      <c r="W30">
        <f>INDEX(Sheet1!$F$6:$S$36,Sheet3!$L30,W$3)</f>
        <v>1168</v>
      </c>
      <c r="X30">
        <f>INDEX(Sheet1!$F$6:$S$36,Sheet3!$L30,X$3)</f>
        <v>347</v>
      </c>
      <c r="Y30">
        <f>INDEX(Sheet1!$F$6:$S$36,Sheet3!$L30,Y$3)</f>
        <v>0</v>
      </c>
      <c r="Z30" t="str">
        <f>INDEX(Sheet1!$F$6:$S$36,Sheet3!$L30,Z$3)</f>
        <v>FFFFFFE</v>
      </c>
    </row>
    <row r="31" spans="5:26" x14ac:dyDescent="0.25">
      <c r="E31">
        <v>1</v>
      </c>
      <c r="F31">
        <f t="shared" si="4"/>
        <v>6</v>
      </c>
      <c r="G31">
        <f t="shared" si="3"/>
        <v>36</v>
      </c>
      <c r="H31">
        <f t="shared" si="3"/>
        <v>136</v>
      </c>
      <c r="I31">
        <f t="shared" si="3"/>
        <v>1036</v>
      </c>
      <c r="J31">
        <f t="shared" si="3"/>
        <v>10036</v>
      </c>
      <c r="K31">
        <f t="shared" si="3"/>
        <v>10036</v>
      </c>
      <c r="L31" t="e">
        <f>MATCH(G31,Sheet1!$L$6:L49,0)</f>
        <v>#N/A</v>
      </c>
      <c r="M31" t="e">
        <f>INDEX(Sheet1!$F$6:$S$36,Sheet3!$L31,M$3)</f>
        <v>#N/A</v>
      </c>
      <c r="N31" t="e">
        <f>INDEX(Sheet1!$F$6:$S$36,Sheet3!$L31,N$3)</f>
        <v>#N/A</v>
      </c>
      <c r="O31" t="e">
        <f>INDEX(Sheet1!$F$6:$S$36,Sheet3!$L31,O$3)</f>
        <v>#N/A</v>
      </c>
      <c r="P31" t="e">
        <f>INDEX(Sheet1!$F$6:$S$36,Sheet3!$L31,P$3)</f>
        <v>#N/A</v>
      </c>
      <c r="Q31" t="e">
        <f>INDEX(Sheet1!$F$6:$S$36,Sheet3!$L31,Q$3)</f>
        <v>#N/A</v>
      </c>
      <c r="R31" t="e">
        <f>INDEX(Sheet1!$F$6:$S$36,Sheet3!$L31,R$3)</f>
        <v>#N/A</v>
      </c>
      <c r="S31" t="e">
        <f>INDEX(Sheet1!$F$6:$S$36,Sheet3!$L31,S$3)</f>
        <v>#N/A</v>
      </c>
      <c r="T31" t="e">
        <f>INDEX(Sheet1!$F$6:$S$36,Sheet3!$L31,T$3)</f>
        <v>#N/A</v>
      </c>
      <c r="U31" t="e">
        <f>INDEX(Sheet1!$F$6:$S$36,Sheet3!$L31,U$3)</f>
        <v>#N/A</v>
      </c>
      <c r="V31" t="e">
        <f>INDEX(Sheet1!$F$6:$S$36,Sheet3!$L31,V$3)</f>
        <v>#N/A</v>
      </c>
      <c r="W31" t="e">
        <f>INDEX(Sheet1!$F$6:$S$36,Sheet3!$L31,W$3)</f>
        <v>#N/A</v>
      </c>
      <c r="X31" t="e">
        <f>INDEX(Sheet1!$F$6:$S$36,Sheet3!$L31,X$3)</f>
        <v>#N/A</v>
      </c>
      <c r="Y31" t="e">
        <f>INDEX(Sheet1!$F$6:$S$36,Sheet3!$L31,Y$3)</f>
        <v>#N/A</v>
      </c>
      <c r="Z31" t="e">
        <f>INDEX(Sheet1!$F$6:$S$36,Sheet3!$L31,Z$3)</f>
        <v>#N/A</v>
      </c>
    </row>
    <row r="32" spans="5:26" x14ac:dyDescent="0.25">
      <c r="E32">
        <v>1</v>
      </c>
      <c r="F32">
        <f t="shared" si="4"/>
        <v>7</v>
      </c>
      <c r="G32">
        <f t="shared" si="3"/>
        <v>37</v>
      </c>
      <c r="H32">
        <f t="shared" si="3"/>
        <v>137</v>
      </c>
      <c r="I32">
        <f t="shared" si="3"/>
        <v>1037</v>
      </c>
      <c r="J32">
        <f t="shared" si="3"/>
        <v>10037</v>
      </c>
      <c r="K32">
        <f t="shared" si="3"/>
        <v>10037</v>
      </c>
      <c r="L32" t="e">
        <f>MATCH(G32,Sheet1!$L$6:L50,0)</f>
        <v>#N/A</v>
      </c>
      <c r="M32" t="e">
        <f>INDEX(Sheet1!$F$6:$S$36,Sheet3!$L32,M$3)</f>
        <v>#N/A</v>
      </c>
      <c r="N32" t="e">
        <f>INDEX(Sheet1!$F$6:$S$36,Sheet3!$L32,N$3)</f>
        <v>#N/A</v>
      </c>
      <c r="O32" t="e">
        <f>INDEX(Sheet1!$F$6:$S$36,Sheet3!$L32,O$3)</f>
        <v>#N/A</v>
      </c>
      <c r="P32" t="e">
        <f>INDEX(Sheet1!$F$6:$S$36,Sheet3!$L32,P$3)</f>
        <v>#N/A</v>
      </c>
      <c r="Q32" t="e">
        <f>INDEX(Sheet1!$F$6:$S$36,Sheet3!$L32,Q$3)</f>
        <v>#N/A</v>
      </c>
      <c r="R32" t="e">
        <f>INDEX(Sheet1!$F$6:$S$36,Sheet3!$L32,R$3)</f>
        <v>#N/A</v>
      </c>
      <c r="S32" t="e">
        <f>INDEX(Sheet1!$F$6:$S$36,Sheet3!$L32,S$3)</f>
        <v>#N/A</v>
      </c>
      <c r="T32" t="e">
        <f>INDEX(Sheet1!$F$6:$S$36,Sheet3!$L32,T$3)</f>
        <v>#N/A</v>
      </c>
      <c r="U32" t="e">
        <f>INDEX(Sheet1!$F$6:$S$36,Sheet3!$L32,U$3)</f>
        <v>#N/A</v>
      </c>
      <c r="V32" t="e">
        <f>INDEX(Sheet1!$F$6:$S$36,Sheet3!$L32,V$3)</f>
        <v>#N/A</v>
      </c>
      <c r="W32" t="e">
        <f>INDEX(Sheet1!$F$6:$S$36,Sheet3!$L32,W$3)</f>
        <v>#N/A</v>
      </c>
      <c r="X32" t="e">
        <f>INDEX(Sheet1!$F$6:$S$36,Sheet3!$L32,X$3)</f>
        <v>#N/A</v>
      </c>
      <c r="Y32" t="e">
        <f>INDEX(Sheet1!$F$6:$S$36,Sheet3!$L32,Y$3)</f>
        <v>#N/A</v>
      </c>
      <c r="Z32" t="e">
        <f>INDEX(Sheet1!$F$6:$S$36,Sheet3!$L32,Z$3)</f>
        <v>#N/A</v>
      </c>
    </row>
    <row r="33" spans="5:26" x14ac:dyDescent="0.25">
      <c r="E33">
        <v>0</v>
      </c>
      <c r="F33">
        <f t="shared" si="4"/>
        <v>8</v>
      </c>
      <c r="G33">
        <f t="shared" si="3"/>
        <v>38</v>
      </c>
      <c r="H33">
        <f t="shared" si="3"/>
        <v>138</v>
      </c>
      <c r="I33">
        <f t="shared" si="3"/>
        <v>1038</v>
      </c>
      <c r="J33">
        <f t="shared" si="3"/>
        <v>10038</v>
      </c>
      <c r="K33">
        <f t="shared" si="3"/>
        <v>10038</v>
      </c>
      <c r="L33" t="e">
        <f>MATCH(G33,Sheet1!$L$6:L51,0)</f>
        <v>#N/A</v>
      </c>
      <c r="M33" t="e">
        <f>INDEX(Sheet1!$F$6:$S$36,Sheet3!$L33,M$3)</f>
        <v>#N/A</v>
      </c>
      <c r="N33" t="e">
        <f>INDEX(Sheet1!$F$6:$S$36,Sheet3!$L33,N$3)</f>
        <v>#N/A</v>
      </c>
      <c r="O33" t="e">
        <f>INDEX(Sheet1!$F$6:$S$36,Sheet3!$L33,O$3)</f>
        <v>#N/A</v>
      </c>
      <c r="P33" t="e">
        <f>INDEX(Sheet1!$F$6:$S$36,Sheet3!$L33,P$3)</f>
        <v>#N/A</v>
      </c>
      <c r="Q33" t="e">
        <f>INDEX(Sheet1!$F$6:$S$36,Sheet3!$L33,Q$3)</f>
        <v>#N/A</v>
      </c>
      <c r="R33" t="e">
        <f>INDEX(Sheet1!$F$6:$S$36,Sheet3!$L33,R$3)</f>
        <v>#N/A</v>
      </c>
      <c r="S33" t="e">
        <f>INDEX(Sheet1!$F$6:$S$36,Sheet3!$L33,S$3)</f>
        <v>#N/A</v>
      </c>
      <c r="T33" t="e">
        <f>INDEX(Sheet1!$F$6:$S$36,Sheet3!$L33,T$3)</f>
        <v>#N/A</v>
      </c>
      <c r="U33" t="e">
        <f>INDEX(Sheet1!$F$6:$S$36,Sheet3!$L33,U$3)</f>
        <v>#N/A</v>
      </c>
      <c r="V33" t="e">
        <f>INDEX(Sheet1!$F$6:$S$36,Sheet3!$L33,V$3)</f>
        <v>#N/A</v>
      </c>
      <c r="W33" t="e">
        <f>INDEX(Sheet1!$F$6:$S$36,Sheet3!$L33,W$3)</f>
        <v>#N/A</v>
      </c>
      <c r="X33" t="e">
        <f>INDEX(Sheet1!$F$6:$S$36,Sheet3!$L33,X$3)</f>
        <v>#N/A</v>
      </c>
      <c r="Y33" t="e">
        <f>INDEX(Sheet1!$F$6:$S$36,Sheet3!$L33,Y$3)</f>
        <v>#N/A</v>
      </c>
      <c r="Z33" t="e">
        <f>INDEX(Sheet1!$F$6:$S$36,Sheet3!$L33,Z$3)</f>
        <v>#N/A</v>
      </c>
    </row>
    <row r="34" spans="5:26" x14ac:dyDescent="0.25">
      <c r="E34">
        <v>0</v>
      </c>
      <c r="F34">
        <f t="shared" si="4"/>
        <v>8</v>
      </c>
      <c r="G34">
        <f t="shared" si="3"/>
        <v>39</v>
      </c>
      <c r="H34">
        <f t="shared" si="3"/>
        <v>139</v>
      </c>
      <c r="I34">
        <f t="shared" si="3"/>
        <v>1039</v>
      </c>
      <c r="J34">
        <f t="shared" si="3"/>
        <v>10039</v>
      </c>
      <c r="K34">
        <f t="shared" si="3"/>
        <v>10039</v>
      </c>
      <c r="L34">
        <f>MATCH(G34,Sheet1!$L$6:L52,0)</f>
        <v>27</v>
      </c>
      <c r="M34" t="str">
        <f>INDEX(Sheet1!$F$6:$S$36,Sheet3!$L34,M$3)</f>
        <v>FFFFFFF</v>
      </c>
      <c r="N34">
        <f>INDEX(Sheet1!$F$6:$S$36,Sheet3!$L34,N$3)</f>
        <v>27</v>
      </c>
      <c r="O34">
        <f>INDEX(Sheet1!$F$6:$S$36,Sheet3!$L34,O$3)</f>
        <v>11</v>
      </c>
      <c r="P34">
        <f>INDEX(Sheet1!$F$6:$S$36,Sheet3!$L34,P$3)</f>
        <v>97</v>
      </c>
      <c r="Q34">
        <f>INDEX(Sheet1!$F$6:$S$36,Sheet3!$L34,Q$3)</f>
        <v>6</v>
      </c>
      <c r="R34">
        <f>INDEX(Sheet1!$F$6:$S$36,Sheet3!$L34,R$3)</f>
        <v>8</v>
      </c>
      <c r="S34">
        <f>INDEX(Sheet1!$F$6:$S$36,Sheet3!$L34,S$3)</f>
        <v>39</v>
      </c>
      <c r="T34">
        <f>INDEX(Sheet1!$F$6:$S$36,Sheet3!$L34,T$3)</f>
        <v>139</v>
      </c>
      <c r="U34">
        <f>INDEX(Sheet1!$F$6:$S$36,Sheet3!$L34,U$3)</f>
        <v>1039</v>
      </c>
      <c r="V34">
        <f>INDEX(Sheet1!$F$6:$S$36,Sheet3!$L34,V$3)</f>
        <v>10039</v>
      </c>
      <c r="W34">
        <f>INDEX(Sheet1!$F$6:$S$36,Sheet3!$L34,W$3)</f>
        <v>1178</v>
      </c>
      <c r="X34">
        <f>INDEX(Sheet1!$F$6:$S$36,Sheet3!$L34,X$3)</f>
        <v>454</v>
      </c>
      <c r="Y34">
        <f>INDEX(Sheet1!$F$6:$S$36,Sheet3!$L34,Y$3)</f>
        <v>0</v>
      </c>
      <c r="Z34" t="str">
        <f>INDEX(Sheet1!$F$6:$S$36,Sheet3!$L34,Z$3)</f>
        <v>FFFFFFE</v>
      </c>
    </row>
    <row r="35" spans="5:26" x14ac:dyDescent="0.25">
      <c r="E35">
        <v>0</v>
      </c>
      <c r="F35">
        <f t="shared" si="4"/>
        <v>8</v>
      </c>
      <c r="G35">
        <f t="shared" si="3"/>
        <v>40</v>
      </c>
      <c r="H35">
        <f t="shared" si="3"/>
        <v>140</v>
      </c>
      <c r="I35">
        <f t="shared" si="3"/>
        <v>1040</v>
      </c>
      <c r="J35">
        <f t="shared" si="3"/>
        <v>10040</v>
      </c>
      <c r="K35">
        <f t="shared" si="3"/>
        <v>10040</v>
      </c>
      <c r="L35">
        <f>MATCH(G35,Sheet1!$L$6:L53,0)</f>
        <v>28</v>
      </c>
      <c r="M35" t="str">
        <f>INDEX(Sheet1!$F$6:$S$36,Sheet3!$L35,M$3)</f>
        <v>FFFFFFF</v>
      </c>
      <c r="N35">
        <f>INDEX(Sheet1!$F$6:$S$36,Sheet3!$L35,N$3)</f>
        <v>28</v>
      </c>
      <c r="O35">
        <f>INDEX(Sheet1!$F$6:$S$36,Sheet3!$L35,O$3)</f>
        <v>23</v>
      </c>
      <c r="P35">
        <f>INDEX(Sheet1!$F$6:$S$36,Sheet3!$L35,P$3)</f>
        <v>98</v>
      </c>
      <c r="Q35">
        <f>INDEX(Sheet1!$F$6:$S$36,Sheet3!$L35,Q$3)</f>
        <v>6</v>
      </c>
      <c r="R35">
        <f>INDEX(Sheet1!$F$6:$S$36,Sheet3!$L35,R$3)</f>
        <v>8</v>
      </c>
      <c r="S35">
        <f>INDEX(Sheet1!$F$6:$S$36,Sheet3!$L35,S$3)</f>
        <v>40</v>
      </c>
      <c r="T35">
        <f>INDEX(Sheet1!$F$6:$S$36,Sheet3!$L35,T$3)</f>
        <v>140</v>
      </c>
      <c r="U35">
        <f>INDEX(Sheet1!$F$6:$S$36,Sheet3!$L35,U$3)</f>
        <v>1040</v>
      </c>
      <c r="V35">
        <f>INDEX(Sheet1!$F$6:$S$36,Sheet3!$L35,V$3)</f>
        <v>10040</v>
      </c>
      <c r="W35">
        <f>INDEX(Sheet1!$F$6:$S$36,Sheet3!$L35,W$3)</f>
        <v>1178</v>
      </c>
      <c r="X35">
        <f>INDEX(Sheet1!$F$6:$S$36,Sheet3!$L35,X$3)</f>
        <v>455</v>
      </c>
      <c r="Y35">
        <f>INDEX(Sheet1!$F$6:$S$36,Sheet3!$L35,Y$3)</f>
        <v>0</v>
      </c>
      <c r="Z35" t="str">
        <f>INDEX(Sheet1!$F$6:$S$36,Sheet3!$L35,Z$3)</f>
        <v>FFFFFFE</v>
      </c>
    </row>
    <row r="36" spans="5:26" x14ac:dyDescent="0.25">
      <c r="E36">
        <v>0</v>
      </c>
      <c r="F36">
        <f t="shared" si="4"/>
        <v>8</v>
      </c>
      <c r="G36">
        <f t="shared" si="3"/>
        <v>41</v>
      </c>
      <c r="H36">
        <f t="shared" si="3"/>
        <v>141</v>
      </c>
      <c r="I36">
        <f t="shared" si="3"/>
        <v>1041</v>
      </c>
      <c r="J36">
        <f t="shared" si="3"/>
        <v>10041</v>
      </c>
      <c r="K36">
        <f t="shared" si="3"/>
        <v>10041</v>
      </c>
      <c r="L36">
        <f>MATCH(G36,Sheet1!$L$6:L54,0)</f>
        <v>29</v>
      </c>
      <c r="M36" t="str">
        <f>INDEX(Sheet1!$F$6:$S$36,Sheet3!$L36,M$3)</f>
        <v>FFFFFFF</v>
      </c>
      <c r="N36">
        <f>INDEX(Sheet1!$F$6:$S$36,Sheet3!$L36,N$3)</f>
        <v>29</v>
      </c>
      <c r="O36">
        <f>INDEX(Sheet1!$F$6:$S$36,Sheet3!$L36,O$3)</f>
        <v>35</v>
      </c>
      <c r="P36">
        <f>INDEX(Sheet1!$F$6:$S$36,Sheet3!$L36,P$3)</f>
        <v>99</v>
      </c>
      <c r="Q36">
        <f>INDEX(Sheet1!$F$6:$S$36,Sheet3!$L36,Q$3)</f>
        <v>6</v>
      </c>
      <c r="R36">
        <f>INDEX(Sheet1!$F$6:$S$36,Sheet3!$L36,R$3)</f>
        <v>8</v>
      </c>
      <c r="S36">
        <f>INDEX(Sheet1!$F$6:$S$36,Sheet3!$L36,S$3)</f>
        <v>41</v>
      </c>
      <c r="T36">
        <f>INDEX(Sheet1!$F$6:$S$36,Sheet3!$L36,T$3)</f>
        <v>141</v>
      </c>
      <c r="U36">
        <f>INDEX(Sheet1!$F$6:$S$36,Sheet3!$L36,U$3)</f>
        <v>1041</v>
      </c>
      <c r="V36">
        <f>INDEX(Sheet1!$F$6:$S$36,Sheet3!$L36,V$3)</f>
        <v>10041</v>
      </c>
      <c r="W36">
        <f>INDEX(Sheet1!$F$6:$S$36,Sheet3!$L36,W$3)</f>
        <v>1180</v>
      </c>
      <c r="X36">
        <f>INDEX(Sheet1!$F$6:$S$36,Sheet3!$L36,X$3)</f>
        <v>456</v>
      </c>
      <c r="Y36">
        <f>INDEX(Sheet1!$F$6:$S$36,Sheet3!$L36,Y$3)</f>
        <v>0</v>
      </c>
      <c r="Z36" t="str">
        <f>INDEX(Sheet1!$F$6:$S$36,Sheet3!$L36,Z$3)</f>
        <v>FFFFFFE</v>
      </c>
    </row>
    <row r="37" spans="5:26" x14ac:dyDescent="0.25">
      <c r="E37">
        <v>0</v>
      </c>
      <c r="F37">
        <f t="shared" si="4"/>
        <v>8</v>
      </c>
      <c r="G37">
        <f t="shared" si="3"/>
        <v>42</v>
      </c>
      <c r="H37">
        <f t="shared" si="3"/>
        <v>142</v>
      </c>
      <c r="I37">
        <f t="shared" si="3"/>
        <v>1042</v>
      </c>
      <c r="J37">
        <f t="shared" si="3"/>
        <v>10042</v>
      </c>
      <c r="K37">
        <f t="shared" si="3"/>
        <v>10042</v>
      </c>
      <c r="L37">
        <f>MATCH(G37,Sheet1!$L$6:L55,0)</f>
        <v>30</v>
      </c>
      <c r="M37" t="str">
        <f>INDEX(Sheet1!$F$6:$S$36,Sheet3!$L37,M$3)</f>
        <v>FFFFFFF</v>
      </c>
      <c r="N37">
        <f>INDEX(Sheet1!$F$6:$S$36,Sheet3!$L37,N$3)</f>
        <v>30</v>
      </c>
      <c r="O37">
        <f>INDEX(Sheet1!$F$6:$S$36,Sheet3!$L37,O$3)</f>
        <v>47</v>
      </c>
      <c r="P37">
        <f>INDEX(Sheet1!$F$6:$S$36,Sheet3!$L37,P$3)</f>
        <v>100</v>
      </c>
      <c r="Q37">
        <f>INDEX(Sheet1!$F$6:$S$36,Sheet3!$L37,Q$3)</f>
        <v>6</v>
      </c>
      <c r="R37">
        <f>INDEX(Sheet1!$F$6:$S$36,Sheet3!$L37,R$3)</f>
        <v>8</v>
      </c>
      <c r="S37">
        <f>INDEX(Sheet1!$F$6:$S$36,Sheet3!$L37,S$3)</f>
        <v>42</v>
      </c>
      <c r="T37">
        <f>INDEX(Sheet1!$F$6:$S$36,Sheet3!$L37,T$3)</f>
        <v>142</v>
      </c>
      <c r="U37">
        <f>INDEX(Sheet1!$F$6:$S$36,Sheet3!$L37,U$3)</f>
        <v>1042</v>
      </c>
      <c r="V37">
        <f>INDEX(Sheet1!$F$6:$S$36,Sheet3!$L37,V$3)</f>
        <v>10042</v>
      </c>
      <c r="W37">
        <f>INDEX(Sheet1!$F$6:$S$36,Sheet3!$L37,W$3)</f>
        <v>1182</v>
      </c>
      <c r="X37">
        <f>INDEX(Sheet1!$F$6:$S$36,Sheet3!$L37,X$3)</f>
        <v>457</v>
      </c>
      <c r="Y37">
        <f>INDEX(Sheet1!$F$6:$S$36,Sheet3!$L37,Y$3)</f>
        <v>0</v>
      </c>
      <c r="Z37" t="str">
        <f>INDEX(Sheet1!$F$6:$S$36,Sheet3!$L37,Z$3)</f>
        <v>FFFFFFE</v>
      </c>
    </row>
    <row r="38" spans="5:26" x14ac:dyDescent="0.25">
      <c r="E38">
        <v>0</v>
      </c>
      <c r="F38">
        <f t="shared" si="4"/>
        <v>8</v>
      </c>
      <c r="G38">
        <f t="shared" si="3"/>
        <v>43</v>
      </c>
      <c r="H38">
        <f t="shared" si="3"/>
        <v>143</v>
      </c>
      <c r="I38">
        <f t="shared" si="3"/>
        <v>1043</v>
      </c>
      <c r="J38">
        <f t="shared" si="3"/>
        <v>10043</v>
      </c>
      <c r="K38">
        <f t="shared" si="3"/>
        <v>10043</v>
      </c>
      <c r="L38">
        <f>MATCH(G38,Sheet1!$L$6:L56,0)</f>
        <v>31</v>
      </c>
      <c r="M38" t="str">
        <f>INDEX(Sheet1!$F$6:$S$36,Sheet3!$L38,M$3)</f>
        <v>FFFFFFF</v>
      </c>
      <c r="N38">
        <f>INDEX(Sheet1!$F$6:$S$36,Sheet3!$L38,N$3)</f>
        <v>31</v>
      </c>
      <c r="O38">
        <f>INDEX(Sheet1!$F$6:$S$36,Sheet3!$L38,O$3)</f>
        <v>59</v>
      </c>
      <c r="P38">
        <f>INDEX(Sheet1!$F$6:$S$36,Sheet3!$L38,P$3)</f>
        <v>101</v>
      </c>
      <c r="Q38">
        <f>INDEX(Sheet1!$F$6:$S$36,Sheet3!$L38,Q$3)</f>
        <v>6</v>
      </c>
      <c r="R38">
        <f>INDEX(Sheet1!$F$6:$S$36,Sheet3!$L38,R$3)</f>
        <v>8</v>
      </c>
      <c r="S38">
        <f>INDEX(Sheet1!$F$6:$S$36,Sheet3!$L38,S$3)</f>
        <v>43</v>
      </c>
      <c r="T38">
        <f>INDEX(Sheet1!$F$6:$S$36,Sheet3!$L38,T$3)</f>
        <v>143</v>
      </c>
      <c r="U38">
        <f>INDEX(Sheet1!$F$6:$S$36,Sheet3!$L38,U$3)</f>
        <v>1043</v>
      </c>
      <c r="V38">
        <f>INDEX(Sheet1!$F$6:$S$36,Sheet3!$L38,V$3)</f>
        <v>10043</v>
      </c>
      <c r="W38">
        <f>INDEX(Sheet1!$F$6:$S$36,Sheet3!$L38,W$3)</f>
        <v>1184</v>
      </c>
      <c r="X38">
        <f>INDEX(Sheet1!$F$6:$S$36,Sheet3!$L38,X$3)</f>
        <v>458</v>
      </c>
      <c r="Y38">
        <f>INDEX(Sheet1!$F$6:$S$36,Sheet3!$L38,Y$3)</f>
        <v>0</v>
      </c>
      <c r="Z38" t="str">
        <f>INDEX(Sheet1!$F$6:$S$36,Sheet3!$L38,Z$3)</f>
        <v>FFFFFFE</v>
      </c>
    </row>
    <row r="39" spans="5:26" x14ac:dyDescent="0.25">
      <c r="E39">
        <v>0</v>
      </c>
      <c r="F39">
        <f t="shared" si="4"/>
        <v>8</v>
      </c>
      <c r="G39">
        <f t="shared" si="3"/>
        <v>44</v>
      </c>
      <c r="H39">
        <f t="shared" si="3"/>
        <v>144</v>
      </c>
      <c r="I39">
        <f t="shared" si="3"/>
        <v>1044</v>
      </c>
      <c r="J39">
        <f t="shared" si="3"/>
        <v>10044</v>
      </c>
      <c r="K39">
        <f t="shared" si="3"/>
        <v>10044</v>
      </c>
      <c r="L39" t="e">
        <f>MATCH(G39,Sheet1!$L$6:L57,0)</f>
        <v>#N/A</v>
      </c>
      <c r="M39" t="e">
        <f>INDEX(Sheet1!$F$6:$S$36,Sheet3!$L39,M$3)</f>
        <v>#N/A</v>
      </c>
      <c r="N39" t="e">
        <f>INDEX(Sheet1!$F$6:$S$36,Sheet3!$L39,N$3)</f>
        <v>#N/A</v>
      </c>
      <c r="O39" t="e">
        <f>INDEX(Sheet1!$F$6:$S$36,Sheet3!$L39,O$3)</f>
        <v>#N/A</v>
      </c>
      <c r="P39" t="e">
        <f>INDEX(Sheet1!$F$6:$S$36,Sheet3!$L39,P$3)</f>
        <v>#N/A</v>
      </c>
      <c r="Q39" t="e">
        <f>INDEX(Sheet1!$F$6:$S$36,Sheet3!$L39,Q$3)</f>
        <v>#N/A</v>
      </c>
      <c r="R39" t="e">
        <f>INDEX(Sheet1!$F$6:$S$36,Sheet3!$L39,R$3)</f>
        <v>#N/A</v>
      </c>
      <c r="S39" t="e">
        <f>INDEX(Sheet1!$F$6:$S$36,Sheet3!$L39,S$3)</f>
        <v>#N/A</v>
      </c>
      <c r="T39" t="e">
        <f>INDEX(Sheet1!$F$6:$S$36,Sheet3!$L39,T$3)</f>
        <v>#N/A</v>
      </c>
      <c r="U39" t="e">
        <f>INDEX(Sheet1!$F$6:$S$36,Sheet3!$L39,U$3)</f>
        <v>#N/A</v>
      </c>
      <c r="V39" t="e">
        <f>INDEX(Sheet1!$F$6:$S$36,Sheet3!$L39,V$3)</f>
        <v>#N/A</v>
      </c>
      <c r="W39" t="e">
        <f>INDEX(Sheet1!$F$6:$S$36,Sheet3!$L39,W$3)</f>
        <v>#N/A</v>
      </c>
      <c r="X39" t="e">
        <f>INDEX(Sheet1!$F$6:$S$36,Sheet3!$L39,X$3)</f>
        <v>#N/A</v>
      </c>
      <c r="Y39" t="e">
        <f>INDEX(Sheet1!$F$6:$S$36,Sheet3!$L39,Y$3)</f>
        <v>#N/A</v>
      </c>
      <c r="Z39" t="e">
        <f>INDEX(Sheet1!$F$6:$S$36,Sheet3!$L39,Z$3)</f>
        <v>#N/A</v>
      </c>
    </row>
    <row r="40" spans="5:26" x14ac:dyDescent="0.25">
      <c r="E40">
        <v>0</v>
      </c>
      <c r="F40">
        <f t="shared" si="4"/>
        <v>8</v>
      </c>
      <c r="G40">
        <f t="shared" si="3"/>
        <v>45</v>
      </c>
      <c r="H40">
        <f t="shared" si="3"/>
        <v>145</v>
      </c>
      <c r="I40">
        <f t="shared" si="3"/>
        <v>1045</v>
      </c>
      <c r="J40">
        <f t="shared" si="3"/>
        <v>10045</v>
      </c>
      <c r="K40">
        <f t="shared" si="3"/>
        <v>10045</v>
      </c>
      <c r="L40" t="e">
        <f>MATCH(G40,Sheet1!$L$6:L58,0)</f>
        <v>#N/A</v>
      </c>
      <c r="M40" t="e">
        <f>INDEX(Sheet1!$F$6:$S$36,Sheet3!$L40,M$3)</f>
        <v>#N/A</v>
      </c>
      <c r="N40" t="e">
        <f>INDEX(Sheet1!$F$6:$S$36,Sheet3!$L40,N$3)</f>
        <v>#N/A</v>
      </c>
      <c r="O40" t="e">
        <f>INDEX(Sheet1!$F$6:$S$36,Sheet3!$L40,O$3)</f>
        <v>#N/A</v>
      </c>
      <c r="P40" t="e">
        <f>INDEX(Sheet1!$F$6:$S$36,Sheet3!$L40,P$3)</f>
        <v>#N/A</v>
      </c>
      <c r="Q40" t="e">
        <f>INDEX(Sheet1!$F$6:$S$36,Sheet3!$L40,Q$3)</f>
        <v>#N/A</v>
      </c>
      <c r="R40" t="e">
        <f>INDEX(Sheet1!$F$6:$S$36,Sheet3!$L40,R$3)</f>
        <v>#N/A</v>
      </c>
      <c r="S40" t="e">
        <f>INDEX(Sheet1!$F$6:$S$36,Sheet3!$L40,S$3)</f>
        <v>#N/A</v>
      </c>
      <c r="T40" t="e">
        <f>INDEX(Sheet1!$F$6:$S$36,Sheet3!$L40,T$3)</f>
        <v>#N/A</v>
      </c>
      <c r="U40" t="e">
        <f>INDEX(Sheet1!$F$6:$S$36,Sheet3!$L40,U$3)</f>
        <v>#N/A</v>
      </c>
      <c r="V40" t="e">
        <f>INDEX(Sheet1!$F$6:$S$36,Sheet3!$L40,V$3)</f>
        <v>#N/A</v>
      </c>
      <c r="W40" t="e">
        <f>INDEX(Sheet1!$F$6:$S$36,Sheet3!$L40,W$3)</f>
        <v>#N/A</v>
      </c>
      <c r="X40" t="e">
        <f>INDEX(Sheet1!$F$6:$S$36,Sheet3!$L40,X$3)</f>
        <v>#N/A</v>
      </c>
      <c r="Y40" t="e">
        <f>INDEX(Sheet1!$F$6:$S$36,Sheet3!$L40,Y$3)</f>
        <v>#N/A</v>
      </c>
      <c r="Z40" t="e">
        <f>INDEX(Sheet1!$F$6:$S$36,Sheet3!$L40,Z$3)</f>
        <v>#N/A</v>
      </c>
    </row>
    <row r="41" spans="5:26" x14ac:dyDescent="0.25">
      <c r="E41">
        <v>1</v>
      </c>
      <c r="F41">
        <f t="shared" si="4"/>
        <v>8</v>
      </c>
      <c r="G41">
        <f t="shared" si="3"/>
        <v>46</v>
      </c>
      <c r="H41">
        <f t="shared" si="3"/>
        <v>146</v>
      </c>
      <c r="I41">
        <f t="shared" si="3"/>
        <v>1046</v>
      </c>
      <c r="J41">
        <f t="shared" si="3"/>
        <v>10046</v>
      </c>
      <c r="K41">
        <f t="shared" si="3"/>
        <v>10046</v>
      </c>
      <c r="L41" t="e">
        <f>MATCH(G41,Sheet1!$L$6:L59,0)</f>
        <v>#N/A</v>
      </c>
      <c r="M41" t="e">
        <f>INDEX(Sheet1!$F$6:$S$36,Sheet3!$L41,M$3)</f>
        <v>#N/A</v>
      </c>
      <c r="N41" t="e">
        <f>INDEX(Sheet1!$F$6:$S$36,Sheet3!$L41,N$3)</f>
        <v>#N/A</v>
      </c>
      <c r="O41" t="e">
        <f>INDEX(Sheet1!$F$6:$S$36,Sheet3!$L41,O$3)</f>
        <v>#N/A</v>
      </c>
      <c r="P41" t="e">
        <f>INDEX(Sheet1!$F$6:$S$36,Sheet3!$L41,P$3)</f>
        <v>#N/A</v>
      </c>
      <c r="Q41" t="e">
        <f>INDEX(Sheet1!$F$6:$S$36,Sheet3!$L41,Q$3)</f>
        <v>#N/A</v>
      </c>
      <c r="R41" t="e">
        <f>INDEX(Sheet1!$F$6:$S$36,Sheet3!$L41,R$3)</f>
        <v>#N/A</v>
      </c>
      <c r="S41" t="e">
        <f>INDEX(Sheet1!$F$6:$S$36,Sheet3!$L41,S$3)</f>
        <v>#N/A</v>
      </c>
      <c r="T41" t="e">
        <f>INDEX(Sheet1!$F$6:$S$36,Sheet3!$L41,T$3)</f>
        <v>#N/A</v>
      </c>
      <c r="U41" t="e">
        <f>INDEX(Sheet1!$F$6:$S$36,Sheet3!$L41,U$3)</f>
        <v>#N/A</v>
      </c>
      <c r="V41" t="e">
        <f>INDEX(Sheet1!$F$6:$S$36,Sheet3!$L41,V$3)</f>
        <v>#N/A</v>
      </c>
      <c r="W41" t="e">
        <f>INDEX(Sheet1!$F$6:$S$36,Sheet3!$L41,W$3)</f>
        <v>#N/A</v>
      </c>
      <c r="X41" t="e">
        <f>INDEX(Sheet1!$F$6:$S$36,Sheet3!$L41,X$3)</f>
        <v>#N/A</v>
      </c>
      <c r="Y41" t="e">
        <f>INDEX(Sheet1!$F$6:$S$36,Sheet3!$L41,Y$3)</f>
        <v>#N/A</v>
      </c>
      <c r="Z41" t="e">
        <f>INDEX(Sheet1!$F$6:$S$36,Sheet3!$L41,Z$3)</f>
        <v>#N/A</v>
      </c>
    </row>
  </sheetData>
  <conditionalFormatting sqref="G5:K5">
    <cfRule type="cellIs" dxfId="166" priority="21" operator="greaterThan">
      <formula>0</formula>
    </cfRule>
  </conditionalFormatting>
  <conditionalFormatting sqref="G5:K5">
    <cfRule type="cellIs" dxfId="165" priority="20" operator="greaterThan">
      <formula>0</formula>
    </cfRule>
  </conditionalFormatting>
  <conditionalFormatting sqref="G5:K5">
    <cfRule type="cellIs" dxfId="164" priority="19" operator="greaterThan">
      <formula>0</formula>
    </cfRule>
  </conditionalFormatting>
  <conditionalFormatting sqref="M4:V4">
    <cfRule type="cellIs" dxfId="163" priority="18" operator="greaterThan">
      <formula>0</formula>
    </cfRule>
  </conditionalFormatting>
  <conditionalFormatting sqref="M4:N4">
    <cfRule type="cellIs" dxfId="162" priority="17" operator="greaterThan">
      <formula>0</formula>
    </cfRule>
  </conditionalFormatting>
  <conditionalFormatting sqref="M4:V4">
    <cfRule type="cellIs" dxfId="161" priority="16" operator="greaterThan">
      <formula>0</formula>
    </cfRule>
  </conditionalFormatting>
  <conditionalFormatting sqref="W4:Z4">
    <cfRule type="cellIs" dxfId="160" priority="15" operator="greaterThan">
      <formula>0</formula>
    </cfRule>
  </conditionalFormatting>
  <conditionalFormatting sqref="E1:E28 E42:E1048576">
    <cfRule type="cellIs" dxfId="159" priority="14" operator="greaterThan">
      <formula>0</formula>
    </cfRule>
  </conditionalFormatting>
  <conditionalFormatting sqref="E29:E40">
    <cfRule type="cellIs" dxfId="158" priority="13" operator="greaterThan">
      <formula>0</formula>
    </cfRule>
  </conditionalFormatting>
  <conditionalFormatting sqref="E30">
    <cfRule type="cellIs" dxfId="157" priority="12" operator="greaterThan">
      <formula>0</formula>
    </cfRule>
  </conditionalFormatting>
  <conditionalFormatting sqref="E31">
    <cfRule type="cellIs" dxfId="156" priority="11" operator="greaterThan">
      <formula>0</formula>
    </cfRule>
  </conditionalFormatting>
  <conditionalFormatting sqref="E32">
    <cfRule type="cellIs" dxfId="155" priority="10" operator="greaterThan">
      <formula>0</formula>
    </cfRule>
  </conditionalFormatting>
  <conditionalFormatting sqref="E33">
    <cfRule type="cellIs" dxfId="154" priority="9" operator="greaterThan">
      <formula>0</formula>
    </cfRule>
  </conditionalFormatting>
  <conditionalFormatting sqref="E34">
    <cfRule type="cellIs" dxfId="153" priority="8" operator="greaterThan">
      <formula>0</formula>
    </cfRule>
  </conditionalFormatting>
  <conditionalFormatting sqref="E35">
    <cfRule type="cellIs" dxfId="152" priority="7" operator="greaterThan">
      <formula>0</formula>
    </cfRule>
  </conditionalFormatting>
  <conditionalFormatting sqref="E36">
    <cfRule type="cellIs" dxfId="151" priority="6" operator="greaterThan">
      <formula>0</formula>
    </cfRule>
  </conditionalFormatting>
  <conditionalFormatting sqref="E37">
    <cfRule type="cellIs" dxfId="150" priority="5" operator="greaterThan">
      <formula>0</formula>
    </cfRule>
  </conditionalFormatting>
  <conditionalFormatting sqref="E38">
    <cfRule type="cellIs" dxfId="149" priority="4" operator="greaterThan">
      <formula>0</formula>
    </cfRule>
  </conditionalFormatting>
  <conditionalFormatting sqref="E39">
    <cfRule type="cellIs" dxfId="148" priority="3" operator="greaterThan">
      <formula>0</formula>
    </cfRule>
  </conditionalFormatting>
  <conditionalFormatting sqref="E40">
    <cfRule type="cellIs" dxfId="147" priority="2" operator="greaterThan">
      <formula>0</formula>
    </cfRule>
  </conditionalFormatting>
  <conditionalFormatting sqref="E41">
    <cfRule type="cellIs" dxfId="146" priority="1" operator="greater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T1500"/>
  <sheetViews>
    <sheetView workbookViewId="0">
      <selection activeCell="M3" sqref="M3"/>
    </sheetView>
  </sheetViews>
  <sheetFormatPr defaultRowHeight="15" x14ac:dyDescent="0.25"/>
  <sheetData>
    <row r="1" spans="2:20" x14ac:dyDescent="0.25">
      <c r="C1" t="s">
        <v>83</v>
      </c>
      <c r="M1" t="s">
        <v>80</v>
      </c>
      <c r="N1" t="s">
        <v>76</v>
      </c>
    </row>
    <row r="2" spans="2:20" x14ac:dyDescent="0.25">
      <c r="C2">
        <v>5</v>
      </c>
      <c r="M2">
        <v>0</v>
      </c>
      <c r="N2">
        <v>7</v>
      </c>
    </row>
    <row r="3" spans="2:20" x14ac:dyDescent="0.25">
      <c r="R3" t="s">
        <v>77</v>
      </c>
      <c r="S3" t="s">
        <v>78</v>
      </c>
      <c r="T3" t="s">
        <v>79</v>
      </c>
    </row>
    <row r="6" spans="2:20" x14ac:dyDescent="0.25">
      <c r="B6" t="s">
        <v>81</v>
      </c>
      <c r="C6" t="s">
        <v>82</v>
      </c>
      <c r="D6" t="s">
        <v>70</v>
      </c>
      <c r="E6" t="s">
        <v>71</v>
      </c>
      <c r="F6" t="s">
        <v>73</v>
      </c>
      <c r="G6" t="s">
        <v>72</v>
      </c>
      <c r="H6" t="s">
        <v>74</v>
      </c>
      <c r="O6">
        <v>1</v>
      </c>
      <c r="P6" t="s">
        <v>87</v>
      </c>
    </row>
    <row r="7" spans="2:20" x14ac:dyDescent="0.25">
      <c r="B7">
        <f>Sheet3!E5</f>
        <v>0</v>
      </c>
      <c r="C7">
        <f>Sheet3!F5</f>
        <v>5</v>
      </c>
      <c r="D7">
        <f>Sheet3!G5</f>
        <v>10</v>
      </c>
      <c r="E7">
        <f>Sheet3!H5</f>
        <v>110</v>
      </c>
      <c r="F7">
        <f>Sheet3!I5</f>
        <v>1010</v>
      </c>
      <c r="G7">
        <f>Sheet3!J5</f>
        <v>10010</v>
      </c>
      <c r="H7">
        <f>Sheet3!K5</f>
        <v>10010</v>
      </c>
      <c r="J7">
        <v>0.15655619981694813</v>
      </c>
      <c r="K7">
        <v>1</v>
      </c>
      <c r="L7">
        <f>K7*J7</f>
        <v>0.15655619981694813</v>
      </c>
      <c r="M7">
        <v>0</v>
      </c>
      <c r="N7">
        <v>1</v>
      </c>
      <c r="O7">
        <f>IF(AND(N7=1,M7=1),O6+1,O6)</f>
        <v>1</v>
      </c>
      <c r="P7">
        <f>IF(INDEX($B$7:$H$1029,O7,2)&gt;0,1,0)</f>
        <v>1</v>
      </c>
      <c r="R7">
        <f>IF(  M7&gt;0,INDEX($B$7:$H$1029,O7,N7),0)*P7</f>
        <v>0</v>
      </c>
      <c r="S7">
        <f>M7*P7</f>
        <v>0</v>
      </c>
      <c r="T7">
        <f>IF(N8=$N$2,1,0)*P7</f>
        <v>0</v>
      </c>
    </row>
    <row r="8" spans="2:20" x14ac:dyDescent="0.25">
      <c r="B8">
        <f>Sheet3!E6</f>
        <v>0</v>
      </c>
      <c r="C8">
        <f>Sheet3!F6</f>
        <v>5</v>
      </c>
      <c r="D8">
        <f>Sheet3!G6</f>
        <v>11</v>
      </c>
      <c r="E8">
        <f>Sheet3!H6</f>
        <v>111</v>
      </c>
      <c r="F8">
        <f>Sheet3!I6</f>
        <v>1011</v>
      </c>
      <c r="G8">
        <f>Sheet3!J6</f>
        <v>10011</v>
      </c>
      <c r="H8">
        <f>Sheet3!K6</f>
        <v>10011</v>
      </c>
      <c r="J8">
        <v>0.32624764472206713</v>
      </c>
      <c r="K8">
        <f>IF(K7=1,0,1)</f>
        <v>0</v>
      </c>
      <c r="L8">
        <f t="shared" ref="L8:L71" si="0">K8*J8</f>
        <v>0</v>
      </c>
      <c r="M8">
        <f>IF(L8&gt;$M$2,1,0)</f>
        <v>0</v>
      </c>
      <c r="N8">
        <f>IF(N7&lt;$N$2,N7+M7,1)</f>
        <v>1</v>
      </c>
      <c r="O8">
        <f>IF(AND(N8=1,M7=1),O7+1,O7)</f>
        <v>1</v>
      </c>
      <c r="P8">
        <f t="shared" ref="P8:P71" si="1">IF(INDEX($B$7:$H$1029,O8,2)&gt;0,1,0)</f>
        <v>1</v>
      </c>
      <c r="R8">
        <f t="shared" ref="R8:R71" si="2">IF(  M8&gt;0,INDEX($B$7:$H$1029,O8,N8),0)*P8</f>
        <v>0</v>
      </c>
      <c r="S8">
        <f t="shared" ref="S8:S71" si="3">M8*P8</f>
        <v>0</v>
      </c>
      <c r="T8">
        <f t="shared" ref="T8:T71" si="4">IF(N9=$N$2,1,0)*P8</f>
        <v>0</v>
      </c>
    </row>
    <row r="9" spans="2:20" x14ac:dyDescent="0.25">
      <c r="B9">
        <f>Sheet3!E7</f>
        <v>0</v>
      </c>
      <c r="C9">
        <f>Sheet3!F7</f>
        <v>5</v>
      </c>
      <c r="D9">
        <f>Sheet3!G7</f>
        <v>12</v>
      </c>
      <c r="E9">
        <f>Sheet3!H7</f>
        <v>112</v>
      </c>
      <c r="F9">
        <f>Sheet3!I7</f>
        <v>1012</v>
      </c>
      <c r="G9">
        <f>Sheet3!J7</f>
        <v>10012</v>
      </c>
      <c r="H9">
        <f>Sheet3!K7</f>
        <v>10012</v>
      </c>
      <c r="J9">
        <v>0.11208853739244795</v>
      </c>
      <c r="K9">
        <f t="shared" ref="K9:K72" si="5">IF(K8=1,0,1)</f>
        <v>1</v>
      </c>
      <c r="L9">
        <f t="shared" si="0"/>
        <v>0.11208853739244795</v>
      </c>
      <c r="M9">
        <f t="shared" ref="M9:M71" si="6">IF(L9&gt;$M$2,1,0)</f>
        <v>1</v>
      </c>
      <c r="N9">
        <f t="shared" ref="N9:N72" si="7">IF(N8&lt;$N$2,N8+M8,1)</f>
        <v>1</v>
      </c>
      <c r="O9">
        <f t="shared" ref="O9:O14" si="8">IF(AND(N9=1,M8=1),O8+1,O8)</f>
        <v>1</v>
      </c>
      <c r="P9">
        <f t="shared" si="1"/>
        <v>1</v>
      </c>
      <c r="R9">
        <f t="shared" si="2"/>
        <v>0</v>
      </c>
      <c r="S9">
        <f t="shared" si="3"/>
        <v>1</v>
      </c>
      <c r="T9">
        <f t="shared" si="4"/>
        <v>0</v>
      </c>
    </row>
    <row r="10" spans="2:20" x14ac:dyDescent="0.25">
      <c r="B10">
        <f>Sheet3!E8</f>
        <v>0</v>
      </c>
      <c r="C10">
        <f>Sheet3!F8</f>
        <v>5</v>
      </c>
      <c r="D10">
        <f>Sheet3!G8</f>
        <v>13</v>
      </c>
      <c r="E10">
        <f>Sheet3!H8</f>
        <v>113</v>
      </c>
      <c r="F10">
        <f>Sheet3!I8</f>
        <v>1013</v>
      </c>
      <c r="G10">
        <f>Sheet3!J8</f>
        <v>10013</v>
      </c>
      <c r="H10">
        <f>Sheet3!K8</f>
        <v>10013</v>
      </c>
      <c r="J10">
        <v>0.37433424966302875</v>
      </c>
      <c r="K10">
        <f t="shared" si="5"/>
        <v>0</v>
      </c>
      <c r="L10">
        <f t="shared" si="0"/>
        <v>0</v>
      </c>
      <c r="M10">
        <f t="shared" si="6"/>
        <v>0</v>
      </c>
      <c r="N10">
        <f t="shared" si="7"/>
        <v>2</v>
      </c>
      <c r="O10">
        <f t="shared" si="8"/>
        <v>1</v>
      </c>
      <c r="P10">
        <f t="shared" si="1"/>
        <v>1</v>
      </c>
      <c r="R10">
        <f t="shared" si="2"/>
        <v>0</v>
      </c>
      <c r="S10">
        <f t="shared" si="3"/>
        <v>0</v>
      </c>
      <c r="T10">
        <f t="shared" si="4"/>
        <v>0</v>
      </c>
    </row>
    <row r="11" spans="2:20" x14ac:dyDescent="0.25">
      <c r="B11">
        <f>Sheet3!E9</f>
        <v>0</v>
      </c>
      <c r="C11">
        <f>Sheet3!F9</f>
        <v>5</v>
      </c>
      <c r="D11">
        <f>Sheet3!G9</f>
        <v>14</v>
      </c>
      <c r="E11">
        <f>Sheet3!H9</f>
        <v>114</v>
      </c>
      <c r="F11">
        <f>Sheet3!I9</f>
        <v>1014</v>
      </c>
      <c r="G11">
        <f>Sheet3!J9</f>
        <v>10014</v>
      </c>
      <c r="H11">
        <f>Sheet3!K9</f>
        <v>10014</v>
      </c>
      <c r="J11">
        <v>0.30273394334037484</v>
      </c>
      <c r="K11">
        <f t="shared" si="5"/>
        <v>1</v>
      </c>
      <c r="L11">
        <f t="shared" si="0"/>
        <v>0.30273394334037484</v>
      </c>
      <c r="M11">
        <f t="shared" si="6"/>
        <v>1</v>
      </c>
      <c r="N11">
        <f t="shared" si="7"/>
        <v>2</v>
      </c>
      <c r="O11">
        <f t="shared" si="8"/>
        <v>1</v>
      </c>
      <c r="P11">
        <f t="shared" si="1"/>
        <v>1</v>
      </c>
      <c r="R11">
        <f t="shared" si="2"/>
        <v>5</v>
      </c>
      <c r="S11">
        <f t="shared" si="3"/>
        <v>1</v>
      </c>
      <c r="T11">
        <f t="shared" si="4"/>
        <v>0</v>
      </c>
    </row>
    <row r="12" spans="2:20" x14ac:dyDescent="0.25">
      <c r="B12">
        <f>Sheet3!E10</f>
        <v>0</v>
      </c>
      <c r="C12">
        <f>Sheet3!F10</f>
        <v>5</v>
      </c>
      <c r="D12">
        <f>Sheet3!G10</f>
        <v>15</v>
      </c>
      <c r="E12">
        <f>Sheet3!H10</f>
        <v>115</v>
      </c>
      <c r="F12">
        <f>Sheet3!I10</f>
        <v>1015</v>
      </c>
      <c r="G12">
        <f>Sheet3!J10</f>
        <v>10015</v>
      </c>
      <c r="H12">
        <f>Sheet3!K10</f>
        <v>10015</v>
      </c>
      <c r="J12">
        <v>0.84437578016513914</v>
      </c>
      <c r="K12">
        <f t="shared" si="5"/>
        <v>0</v>
      </c>
      <c r="L12">
        <f t="shared" si="0"/>
        <v>0</v>
      </c>
      <c r="M12">
        <f t="shared" si="6"/>
        <v>0</v>
      </c>
      <c r="N12">
        <f t="shared" si="7"/>
        <v>3</v>
      </c>
      <c r="O12">
        <f t="shared" si="8"/>
        <v>1</v>
      </c>
      <c r="P12">
        <f t="shared" si="1"/>
        <v>1</v>
      </c>
      <c r="R12">
        <f t="shared" si="2"/>
        <v>0</v>
      </c>
      <c r="S12">
        <f t="shared" si="3"/>
        <v>0</v>
      </c>
      <c r="T12">
        <f t="shared" si="4"/>
        <v>0</v>
      </c>
    </row>
    <row r="13" spans="2:20" x14ac:dyDescent="0.25">
      <c r="B13">
        <f>Sheet3!E11</f>
        <v>0</v>
      </c>
      <c r="C13">
        <f>Sheet3!F11</f>
        <v>5</v>
      </c>
      <c r="D13">
        <f>Sheet3!G11</f>
        <v>16</v>
      </c>
      <c r="E13">
        <f>Sheet3!H11</f>
        <v>116</v>
      </c>
      <c r="F13">
        <f>Sheet3!I11</f>
        <v>1016</v>
      </c>
      <c r="G13">
        <f>Sheet3!J11</f>
        <v>10016</v>
      </c>
      <c r="H13">
        <f>Sheet3!K11</f>
        <v>10016</v>
      </c>
      <c r="J13">
        <v>0.1390416344894353</v>
      </c>
      <c r="K13">
        <f t="shared" si="5"/>
        <v>1</v>
      </c>
      <c r="L13">
        <f t="shared" si="0"/>
        <v>0.1390416344894353</v>
      </c>
      <c r="M13">
        <f t="shared" si="6"/>
        <v>1</v>
      </c>
      <c r="N13">
        <f t="shared" si="7"/>
        <v>3</v>
      </c>
      <c r="O13">
        <f t="shared" si="8"/>
        <v>1</v>
      </c>
      <c r="P13">
        <f t="shared" si="1"/>
        <v>1</v>
      </c>
      <c r="R13">
        <f t="shared" si="2"/>
        <v>10</v>
      </c>
      <c r="S13">
        <f t="shared" si="3"/>
        <v>1</v>
      </c>
      <c r="T13">
        <f t="shared" si="4"/>
        <v>0</v>
      </c>
    </row>
    <row r="14" spans="2:20" x14ac:dyDescent="0.25">
      <c r="B14">
        <f>Sheet3!E12</f>
        <v>0</v>
      </c>
      <c r="C14">
        <f>Sheet3!F12</f>
        <v>5</v>
      </c>
      <c r="D14">
        <f>Sheet3!G12</f>
        <v>17</v>
      </c>
      <c r="E14">
        <f>Sheet3!H12</f>
        <v>117</v>
      </c>
      <c r="F14">
        <f>Sheet3!I12</f>
        <v>1017</v>
      </c>
      <c r="G14">
        <f>Sheet3!J12</f>
        <v>10017</v>
      </c>
      <c r="H14">
        <f>Sheet3!K12</f>
        <v>10017</v>
      </c>
      <c r="J14">
        <v>0.12049420826733626</v>
      </c>
      <c r="K14">
        <f t="shared" si="5"/>
        <v>0</v>
      </c>
      <c r="L14">
        <f t="shared" si="0"/>
        <v>0</v>
      </c>
      <c r="M14">
        <f t="shared" si="6"/>
        <v>0</v>
      </c>
      <c r="N14">
        <f t="shared" si="7"/>
        <v>4</v>
      </c>
      <c r="O14">
        <f t="shared" si="8"/>
        <v>1</v>
      </c>
      <c r="P14">
        <f t="shared" si="1"/>
        <v>1</v>
      </c>
      <c r="R14">
        <f t="shared" si="2"/>
        <v>0</v>
      </c>
      <c r="S14">
        <f t="shared" si="3"/>
        <v>0</v>
      </c>
      <c r="T14">
        <f t="shared" si="4"/>
        <v>0</v>
      </c>
    </row>
    <row r="15" spans="2:20" x14ac:dyDescent="0.25">
      <c r="B15">
        <f>Sheet3!E13</f>
        <v>0</v>
      </c>
      <c r="C15">
        <f>Sheet3!F13</f>
        <v>5</v>
      </c>
      <c r="D15">
        <f>Sheet3!G13</f>
        <v>18</v>
      </c>
      <c r="E15">
        <f>Sheet3!H13</f>
        <v>118</v>
      </c>
      <c r="F15">
        <f>Sheet3!I13</f>
        <v>1018</v>
      </c>
      <c r="G15">
        <f>Sheet3!J13</f>
        <v>10018</v>
      </c>
      <c r="H15">
        <f>Sheet3!K13</f>
        <v>10018</v>
      </c>
      <c r="J15">
        <v>0.4099585819418925</v>
      </c>
      <c r="K15">
        <f t="shared" si="5"/>
        <v>1</v>
      </c>
      <c r="L15">
        <f t="shared" si="0"/>
        <v>0.4099585819418925</v>
      </c>
      <c r="M15">
        <f t="shared" si="6"/>
        <v>1</v>
      </c>
      <c r="N15">
        <f t="shared" si="7"/>
        <v>4</v>
      </c>
      <c r="O15">
        <f>IF(AND(N15=1,M15=1),O14+1,O14)</f>
        <v>1</v>
      </c>
      <c r="P15">
        <f t="shared" si="1"/>
        <v>1</v>
      </c>
      <c r="R15">
        <f t="shared" si="2"/>
        <v>110</v>
      </c>
      <c r="S15">
        <f t="shared" si="3"/>
        <v>1</v>
      </c>
      <c r="T15">
        <f t="shared" si="4"/>
        <v>0</v>
      </c>
    </row>
    <row r="16" spans="2:20" x14ac:dyDescent="0.25">
      <c r="B16">
        <f>Sheet3!E14</f>
        <v>0</v>
      </c>
      <c r="C16">
        <f>Sheet3!F14</f>
        <v>5</v>
      </c>
      <c r="D16">
        <f>Sheet3!G14</f>
        <v>19</v>
      </c>
      <c r="E16">
        <f>Sheet3!H14</f>
        <v>119</v>
      </c>
      <c r="F16">
        <f>Sheet3!I14</f>
        <v>1019</v>
      </c>
      <c r="G16">
        <f>Sheet3!J14</f>
        <v>10019</v>
      </c>
      <c r="H16">
        <f>Sheet3!K14</f>
        <v>10019</v>
      </c>
      <c r="J16">
        <v>0.60079474599575411</v>
      </c>
      <c r="K16">
        <f t="shared" si="5"/>
        <v>0</v>
      </c>
      <c r="L16">
        <f t="shared" si="0"/>
        <v>0</v>
      </c>
      <c r="M16">
        <f t="shared" si="6"/>
        <v>0</v>
      </c>
      <c r="N16">
        <f t="shared" si="7"/>
        <v>5</v>
      </c>
      <c r="O16">
        <f t="shared" ref="O16:O79" si="9">IF(AND(N16=1,M16=1),O15+1,O15)</f>
        <v>1</v>
      </c>
      <c r="P16">
        <f t="shared" si="1"/>
        <v>1</v>
      </c>
      <c r="R16">
        <f t="shared" si="2"/>
        <v>0</v>
      </c>
      <c r="S16">
        <f t="shared" si="3"/>
        <v>0</v>
      </c>
      <c r="T16">
        <f t="shared" si="4"/>
        <v>0</v>
      </c>
    </row>
    <row r="17" spans="2:20" x14ac:dyDescent="0.25">
      <c r="B17">
        <f>Sheet3!E15</f>
        <v>0</v>
      </c>
      <c r="C17">
        <f>Sheet3!F15</f>
        <v>5</v>
      </c>
      <c r="D17">
        <f>Sheet3!G15</f>
        <v>20</v>
      </c>
      <c r="E17">
        <f>Sheet3!H15</f>
        <v>120</v>
      </c>
      <c r="F17">
        <f>Sheet3!I15</f>
        <v>1020</v>
      </c>
      <c r="G17">
        <f>Sheet3!J15</f>
        <v>10020</v>
      </c>
      <c r="H17">
        <f>Sheet3!K15</f>
        <v>10020</v>
      </c>
      <c r="J17">
        <v>2.2071289491553236E-2</v>
      </c>
      <c r="K17">
        <f t="shared" si="5"/>
        <v>1</v>
      </c>
      <c r="L17">
        <f t="shared" si="0"/>
        <v>2.2071289491553236E-2</v>
      </c>
      <c r="M17">
        <f t="shared" si="6"/>
        <v>1</v>
      </c>
      <c r="N17">
        <f t="shared" si="7"/>
        <v>5</v>
      </c>
      <c r="O17">
        <f t="shared" si="9"/>
        <v>1</v>
      </c>
      <c r="P17">
        <f t="shared" si="1"/>
        <v>1</v>
      </c>
      <c r="R17">
        <f t="shared" si="2"/>
        <v>1010</v>
      </c>
      <c r="S17">
        <f t="shared" si="3"/>
        <v>1</v>
      </c>
      <c r="T17">
        <f t="shared" si="4"/>
        <v>0</v>
      </c>
    </row>
    <row r="18" spans="2:20" x14ac:dyDescent="0.25">
      <c r="B18">
        <f>Sheet3!E16</f>
        <v>0</v>
      </c>
      <c r="C18">
        <f>Sheet3!F16</f>
        <v>5</v>
      </c>
      <c r="D18">
        <f>Sheet3!G16</f>
        <v>21</v>
      </c>
      <c r="E18">
        <f>Sheet3!H16</f>
        <v>121</v>
      </c>
      <c r="F18">
        <f>Sheet3!I16</f>
        <v>1021</v>
      </c>
      <c r="G18">
        <f>Sheet3!J16</f>
        <v>10021</v>
      </c>
      <c r="H18">
        <f>Sheet3!K16</f>
        <v>10021</v>
      </c>
      <c r="J18">
        <v>0.91766778355118506</v>
      </c>
      <c r="K18">
        <f t="shared" si="5"/>
        <v>0</v>
      </c>
      <c r="L18">
        <f t="shared" si="0"/>
        <v>0</v>
      </c>
      <c r="M18">
        <f t="shared" si="6"/>
        <v>0</v>
      </c>
      <c r="N18">
        <f t="shared" si="7"/>
        <v>6</v>
      </c>
      <c r="O18">
        <f t="shared" si="9"/>
        <v>1</v>
      </c>
      <c r="P18">
        <f t="shared" si="1"/>
        <v>1</v>
      </c>
      <c r="R18">
        <f t="shared" si="2"/>
        <v>0</v>
      </c>
      <c r="S18">
        <f t="shared" si="3"/>
        <v>0</v>
      </c>
      <c r="T18">
        <f t="shared" si="4"/>
        <v>0</v>
      </c>
    </row>
    <row r="19" spans="2:20" x14ac:dyDescent="0.25">
      <c r="B19">
        <f>Sheet3!E17</f>
        <v>0</v>
      </c>
      <c r="C19">
        <f>Sheet3!F17</f>
        <v>5</v>
      </c>
      <c r="D19">
        <f>Sheet3!G17</f>
        <v>22</v>
      </c>
      <c r="E19">
        <f>Sheet3!H17</f>
        <v>122</v>
      </c>
      <c r="F19">
        <f>Sheet3!I17</f>
        <v>1022</v>
      </c>
      <c r="G19">
        <f>Sheet3!J17</f>
        <v>10022</v>
      </c>
      <c r="H19">
        <f>Sheet3!K17</f>
        <v>10022</v>
      </c>
      <c r="J19">
        <v>0.69513652716568874</v>
      </c>
      <c r="K19">
        <f t="shared" si="5"/>
        <v>1</v>
      </c>
      <c r="L19">
        <f t="shared" si="0"/>
        <v>0.69513652716568874</v>
      </c>
      <c r="M19">
        <f t="shared" si="6"/>
        <v>1</v>
      </c>
      <c r="N19">
        <f t="shared" si="7"/>
        <v>6</v>
      </c>
      <c r="O19">
        <f t="shared" si="9"/>
        <v>1</v>
      </c>
      <c r="P19">
        <f t="shared" si="1"/>
        <v>1</v>
      </c>
      <c r="R19">
        <f t="shared" si="2"/>
        <v>10010</v>
      </c>
      <c r="S19">
        <f t="shared" si="3"/>
        <v>1</v>
      </c>
      <c r="T19">
        <f t="shared" si="4"/>
        <v>1</v>
      </c>
    </row>
    <row r="20" spans="2:20" x14ac:dyDescent="0.25">
      <c r="B20">
        <f>Sheet3!E18</f>
        <v>0</v>
      </c>
      <c r="C20">
        <f>Sheet3!F18</f>
        <v>5</v>
      </c>
      <c r="D20">
        <f>Sheet3!G18</f>
        <v>23</v>
      </c>
      <c r="E20">
        <f>Sheet3!H18</f>
        <v>123</v>
      </c>
      <c r="F20">
        <f>Sheet3!I18</f>
        <v>1023</v>
      </c>
      <c r="G20">
        <f>Sheet3!J18</f>
        <v>10023</v>
      </c>
      <c r="H20">
        <f>Sheet3!K18</f>
        <v>10023</v>
      </c>
      <c r="J20">
        <v>0.47503760876079182</v>
      </c>
      <c r="K20">
        <f t="shared" si="5"/>
        <v>0</v>
      </c>
      <c r="L20">
        <f t="shared" si="0"/>
        <v>0</v>
      </c>
      <c r="M20">
        <f t="shared" si="6"/>
        <v>0</v>
      </c>
      <c r="N20">
        <f t="shared" si="7"/>
        <v>7</v>
      </c>
      <c r="O20">
        <f t="shared" si="9"/>
        <v>1</v>
      </c>
      <c r="P20">
        <f t="shared" si="1"/>
        <v>1</v>
      </c>
      <c r="R20">
        <f t="shared" si="2"/>
        <v>0</v>
      </c>
      <c r="S20">
        <f t="shared" si="3"/>
        <v>0</v>
      </c>
      <c r="T20">
        <f t="shared" si="4"/>
        <v>0</v>
      </c>
    </row>
    <row r="21" spans="2:20" x14ac:dyDescent="0.25">
      <c r="B21">
        <f>Sheet3!E19</f>
        <v>0</v>
      </c>
      <c r="C21">
        <f>Sheet3!F19</f>
        <v>5</v>
      </c>
      <c r="D21">
        <f>Sheet3!G19</f>
        <v>24</v>
      </c>
      <c r="E21">
        <f>Sheet3!H19</f>
        <v>124</v>
      </c>
      <c r="F21">
        <f>Sheet3!I19</f>
        <v>1024</v>
      </c>
      <c r="G21">
        <f>Sheet3!J19</f>
        <v>10024</v>
      </c>
      <c r="H21">
        <f>Sheet3!K19</f>
        <v>10024</v>
      </c>
      <c r="J21">
        <v>0.66449258190673399</v>
      </c>
      <c r="K21">
        <f t="shared" si="5"/>
        <v>1</v>
      </c>
      <c r="L21">
        <f t="shared" si="0"/>
        <v>0.66449258190673399</v>
      </c>
      <c r="M21">
        <f t="shared" si="6"/>
        <v>1</v>
      </c>
      <c r="N21">
        <f t="shared" si="7"/>
        <v>1</v>
      </c>
      <c r="O21">
        <f t="shared" si="9"/>
        <v>2</v>
      </c>
      <c r="P21">
        <f t="shared" si="1"/>
        <v>1</v>
      </c>
      <c r="R21">
        <f t="shared" si="2"/>
        <v>0</v>
      </c>
      <c r="S21">
        <f t="shared" si="3"/>
        <v>1</v>
      </c>
      <c r="T21">
        <f t="shared" si="4"/>
        <v>0</v>
      </c>
    </row>
    <row r="22" spans="2:20" x14ac:dyDescent="0.25">
      <c r="B22">
        <f>Sheet3!E20</f>
        <v>0</v>
      </c>
      <c r="C22">
        <f>Sheet3!F20</f>
        <v>5</v>
      </c>
      <c r="D22">
        <f>Sheet3!G20</f>
        <v>25</v>
      </c>
      <c r="E22">
        <f>Sheet3!H20</f>
        <v>125</v>
      </c>
      <c r="F22">
        <f>Sheet3!I20</f>
        <v>1025</v>
      </c>
      <c r="G22">
        <f>Sheet3!J20</f>
        <v>10025</v>
      </c>
      <c r="H22">
        <f>Sheet3!K20</f>
        <v>10025</v>
      </c>
      <c r="J22">
        <v>0.5857828820236245</v>
      </c>
      <c r="K22">
        <f t="shared" si="5"/>
        <v>0</v>
      </c>
      <c r="L22">
        <f t="shared" si="0"/>
        <v>0</v>
      </c>
      <c r="M22">
        <f t="shared" si="6"/>
        <v>0</v>
      </c>
      <c r="N22">
        <f t="shared" si="7"/>
        <v>2</v>
      </c>
      <c r="O22">
        <f t="shared" si="9"/>
        <v>2</v>
      </c>
      <c r="P22">
        <f t="shared" si="1"/>
        <v>1</v>
      </c>
      <c r="R22">
        <f t="shared" si="2"/>
        <v>0</v>
      </c>
      <c r="S22">
        <f t="shared" si="3"/>
        <v>0</v>
      </c>
      <c r="T22">
        <f t="shared" si="4"/>
        <v>0</v>
      </c>
    </row>
    <row r="23" spans="2:20" x14ac:dyDescent="0.25">
      <c r="B23">
        <f>Sheet3!E21</f>
        <v>0</v>
      </c>
      <c r="C23">
        <f>Sheet3!F21</f>
        <v>5</v>
      </c>
      <c r="D23">
        <f>Sheet3!G21</f>
        <v>26</v>
      </c>
      <c r="E23">
        <f>Sheet3!H21</f>
        <v>126</v>
      </c>
      <c r="F23">
        <f>Sheet3!I21</f>
        <v>1026</v>
      </c>
      <c r="G23">
        <f>Sheet3!J21</f>
        <v>10026</v>
      </c>
      <c r="H23">
        <f>Sheet3!K21</f>
        <v>10026</v>
      </c>
      <c r="J23">
        <v>0.93103138556834464</v>
      </c>
      <c r="K23">
        <f t="shared" si="5"/>
        <v>1</v>
      </c>
      <c r="L23">
        <f t="shared" si="0"/>
        <v>0.93103138556834464</v>
      </c>
      <c r="M23">
        <f t="shared" si="6"/>
        <v>1</v>
      </c>
      <c r="N23">
        <f t="shared" si="7"/>
        <v>2</v>
      </c>
      <c r="O23">
        <f t="shared" si="9"/>
        <v>2</v>
      </c>
      <c r="P23">
        <f t="shared" si="1"/>
        <v>1</v>
      </c>
      <c r="R23">
        <f t="shared" si="2"/>
        <v>5</v>
      </c>
      <c r="S23">
        <f t="shared" si="3"/>
        <v>1</v>
      </c>
      <c r="T23">
        <f t="shared" si="4"/>
        <v>0</v>
      </c>
    </row>
    <row r="24" spans="2:20" x14ac:dyDescent="0.25">
      <c r="B24">
        <f>Sheet3!E22</f>
        <v>0</v>
      </c>
      <c r="C24">
        <f>Sheet3!F22</f>
        <v>5</v>
      </c>
      <c r="D24">
        <f>Sheet3!G22</f>
        <v>27</v>
      </c>
      <c r="E24">
        <f>Sheet3!H22</f>
        <v>127</v>
      </c>
      <c r="F24">
        <f>Sheet3!I22</f>
        <v>1027</v>
      </c>
      <c r="G24">
        <f>Sheet3!J22</f>
        <v>10027</v>
      </c>
      <c r="H24">
        <f>Sheet3!K22</f>
        <v>10027</v>
      </c>
      <c r="J24">
        <v>0.3715924802635393</v>
      </c>
      <c r="K24">
        <f t="shared" si="5"/>
        <v>0</v>
      </c>
      <c r="L24">
        <f t="shared" si="0"/>
        <v>0</v>
      </c>
      <c r="M24">
        <f t="shared" si="6"/>
        <v>0</v>
      </c>
      <c r="N24">
        <f t="shared" si="7"/>
        <v>3</v>
      </c>
      <c r="O24">
        <f t="shared" si="9"/>
        <v>2</v>
      </c>
      <c r="P24">
        <f t="shared" si="1"/>
        <v>1</v>
      </c>
      <c r="R24">
        <f t="shared" si="2"/>
        <v>0</v>
      </c>
      <c r="S24">
        <f t="shared" si="3"/>
        <v>0</v>
      </c>
      <c r="T24">
        <f t="shared" si="4"/>
        <v>0</v>
      </c>
    </row>
    <row r="25" spans="2:20" x14ac:dyDescent="0.25">
      <c r="B25">
        <f>Sheet3!E23</f>
        <v>0</v>
      </c>
      <c r="C25">
        <f>Sheet3!F23</f>
        <v>5</v>
      </c>
      <c r="D25">
        <f>Sheet3!G23</f>
        <v>28</v>
      </c>
      <c r="E25">
        <f>Sheet3!H23</f>
        <v>128</v>
      </c>
      <c r="F25">
        <f>Sheet3!I23</f>
        <v>1028</v>
      </c>
      <c r="G25">
        <f>Sheet3!J23</f>
        <v>10028</v>
      </c>
      <c r="H25">
        <f>Sheet3!K23</f>
        <v>10028</v>
      </c>
      <c r="J25">
        <v>0.13999693730077523</v>
      </c>
      <c r="K25">
        <f t="shared" si="5"/>
        <v>1</v>
      </c>
      <c r="L25">
        <f t="shared" si="0"/>
        <v>0.13999693730077523</v>
      </c>
      <c r="M25">
        <f t="shared" si="6"/>
        <v>1</v>
      </c>
      <c r="N25">
        <f t="shared" si="7"/>
        <v>3</v>
      </c>
      <c r="O25">
        <f t="shared" si="9"/>
        <v>2</v>
      </c>
      <c r="P25">
        <f t="shared" si="1"/>
        <v>1</v>
      </c>
      <c r="R25">
        <f t="shared" si="2"/>
        <v>11</v>
      </c>
      <c r="S25">
        <f t="shared" si="3"/>
        <v>1</v>
      </c>
      <c r="T25">
        <f t="shared" si="4"/>
        <v>0</v>
      </c>
    </row>
    <row r="26" spans="2:20" x14ac:dyDescent="0.25">
      <c r="B26">
        <f>Sheet3!E24</f>
        <v>0</v>
      </c>
      <c r="C26">
        <f>Sheet3!F24</f>
        <v>5</v>
      </c>
      <c r="D26">
        <f>Sheet3!G24</f>
        <v>29</v>
      </c>
      <c r="E26">
        <f>Sheet3!H24</f>
        <v>129</v>
      </c>
      <c r="F26">
        <f>Sheet3!I24</f>
        <v>1029</v>
      </c>
      <c r="G26">
        <f>Sheet3!J24</f>
        <v>10029</v>
      </c>
      <c r="H26">
        <f>Sheet3!K24</f>
        <v>10029</v>
      </c>
      <c r="J26">
        <v>0.89626577454394096</v>
      </c>
      <c r="K26">
        <f t="shared" si="5"/>
        <v>0</v>
      </c>
      <c r="L26">
        <f t="shared" si="0"/>
        <v>0</v>
      </c>
      <c r="M26">
        <f t="shared" si="6"/>
        <v>0</v>
      </c>
      <c r="N26">
        <f t="shared" si="7"/>
        <v>4</v>
      </c>
      <c r="O26">
        <f t="shared" si="9"/>
        <v>2</v>
      </c>
      <c r="P26">
        <f t="shared" si="1"/>
        <v>1</v>
      </c>
      <c r="R26">
        <f t="shared" si="2"/>
        <v>0</v>
      </c>
      <c r="S26">
        <f t="shared" si="3"/>
        <v>0</v>
      </c>
      <c r="T26">
        <f t="shared" si="4"/>
        <v>0</v>
      </c>
    </row>
    <row r="27" spans="2:20" x14ac:dyDescent="0.25">
      <c r="B27">
        <f>Sheet3!E25</f>
        <v>0</v>
      </c>
      <c r="C27">
        <f>Sheet3!F25</f>
        <v>5</v>
      </c>
      <c r="D27">
        <f>Sheet3!G25</f>
        <v>30</v>
      </c>
      <c r="E27">
        <f>Sheet3!H25</f>
        <v>130</v>
      </c>
      <c r="F27">
        <f>Sheet3!I25</f>
        <v>1030</v>
      </c>
      <c r="G27">
        <f>Sheet3!J25</f>
        <v>10030</v>
      </c>
      <c r="H27">
        <f>Sheet3!K25</f>
        <v>10030</v>
      </c>
      <c r="J27">
        <v>0.41976842583218066</v>
      </c>
      <c r="K27">
        <f t="shared" si="5"/>
        <v>1</v>
      </c>
      <c r="L27">
        <f t="shared" si="0"/>
        <v>0.41976842583218066</v>
      </c>
      <c r="M27">
        <f t="shared" si="6"/>
        <v>1</v>
      </c>
      <c r="N27">
        <f t="shared" si="7"/>
        <v>4</v>
      </c>
      <c r="O27">
        <f t="shared" si="9"/>
        <v>2</v>
      </c>
      <c r="P27">
        <f t="shared" si="1"/>
        <v>1</v>
      </c>
      <c r="R27">
        <f t="shared" si="2"/>
        <v>111</v>
      </c>
      <c r="S27">
        <f t="shared" si="3"/>
        <v>1</v>
      </c>
      <c r="T27">
        <f t="shared" si="4"/>
        <v>0</v>
      </c>
    </row>
    <row r="28" spans="2:20" x14ac:dyDescent="0.25">
      <c r="B28">
        <f>Sheet3!E26</f>
        <v>0</v>
      </c>
      <c r="C28">
        <f>Sheet3!F26</f>
        <v>5</v>
      </c>
      <c r="D28">
        <f>Sheet3!G26</f>
        <v>31</v>
      </c>
      <c r="E28">
        <f>Sheet3!H26</f>
        <v>131</v>
      </c>
      <c r="F28">
        <f>Sheet3!I26</f>
        <v>1031</v>
      </c>
      <c r="G28">
        <f>Sheet3!J26</f>
        <v>10031</v>
      </c>
      <c r="H28">
        <f>Sheet3!K26</f>
        <v>10031</v>
      </c>
      <c r="J28">
        <v>0.63865821340264106</v>
      </c>
      <c r="K28">
        <f t="shared" si="5"/>
        <v>0</v>
      </c>
      <c r="L28">
        <f t="shared" si="0"/>
        <v>0</v>
      </c>
      <c r="M28">
        <f t="shared" si="6"/>
        <v>0</v>
      </c>
      <c r="N28">
        <f t="shared" si="7"/>
        <v>5</v>
      </c>
      <c r="O28">
        <f t="shared" si="9"/>
        <v>2</v>
      </c>
      <c r="P28">
        <f t="shared" si="1"/>
        <v>1</v>
      </c>
      <c r="R28">
        <f t="shared" si="2"/>
        <v>0</v>
      </c>
      <c r="S28">
        <f t="shared" si="3"/>
        <v>0</v>
      </c>
      <c r="T28">
        <f t="shared" si="4"/>
        <v>0</v>
      </c>
    </row>
    <row r="29" spans="2:20" x14ac:dyDescent="0.25">
      <c r="B29">
        <f>Sheet3!E27</f>
        <v>0</v>
      </c>
      <c r="C29">
        <f>Sheet3!F27</f>
        <v>5</v>
      </c>
      <c r="D29">
        <f>Sheet3!G27</f>
        <v>32</v>
      </c>
      <c r="E29">
        <f>Sheet3!H27</f>
        <v>132</v>
      </c>
      <c r="F29">
        <f>Sheet3!I27</f>
        <v>1032</v>
      </c>
      <c r="G29">
        <f>Sheet3!J27</f>
        <v>10032</v>
      </c>
      <c r="H29">
        <f>Sheet3!K27</f>
        <v>10032</v>
      </c>
      <c r="J29">
        <v>0.31611693373869709</v>
      </c>
      <c r="K29">
        <f t="shared" si="5"/>
        <v>1</v>
      </c>
      <c r="L29">
        <f t="shared" si="0"/>
        <v>0.31611693373869709</v>
      </c>
      <c r="M29">
        <f t="shared" si="6"/>
        <v>1</v>
      </c>
      <c r="N29">
        <f t="shared" si="7"/>
        <v>5</v>
      </c>
      <c r="O29">
        <f t="shared" si="9"/>
        <v>2</v>
      </c>
      <c r="P29">
        <f t="shared" si="1"/>
        <v>1</v>
      </c>
      <c r="R29">
        <f t="shared" si="2"/>
        <v>1011</v>
      </c>
      <c r="S29">
        <f t="shared" si="3"/>
        <v>1</v>
      </c>
      <c r="T29">
        <f t="shared" si="4"/>
        <v>0</v>
      </c>
    </row>
    <row r="30" spans="2:20" x14ac:dyDescent="0.25">
      <c r="B30">
        <f>Sheet3!E28</f>
        <v>0</v>
      </c>
      <c r="C30">
        <f>Sheet3!F28</f>
        <v>5</v>
      </c>
      <c r="D30">
        <f>Sheet3!G28</f>
        <v>33</v>
      </c>
      <c r="E30">
        <f>Sheet3!H28</f>
        <v>133</v>
      </c>
      <c r="F30">
        <f>Sheet3!I28</f>
        <v>1033</v>
      </c>
      <c r="G30">
        <f>Sheet3!J28</f>
        <v>10033</v>
      </c>
      <c r="H30">
        <f>Sheet3!K28</f>
        <v>10033</v>
      </c>
      <c r="J30">
        <v>0.61593612764926753</v>
      </c>
      <c r="K30">
        <f t="shared" si="5"/>
        <v>0</v>
      </c>
      <c r="L30">
        <f t="shared" si="0"/>
        <v>0</v>
      </c>
      <c r="M30">
        <f t="shared" si="6"/>
        <v>0</v>
      </c>
      <c r="N30">
        <f t="shared" si="7"/>
        <v>6</v>
      </c>
      <c r="O30">
        <f t="shared" si="9"/>
        <v>2</v>
      </c>
      <c r="P30">
        <f t="shared" si="1"/>
        <v>1</v>
      </c>
      <c r="R30">
        <f t="shared" si="2"/>
        <v>0</v>
      </c>
      <c r="S30">
        <f t="shared" si="3"/>
        <v>0</v>
      </c>
      <c r="T30">
        <f t="shared" si="4"/>
        <v>0</v>
      </c>
    </row>
    <row r="31" spans="2:20" x14ac:dyDescent="0.25">
      <c r="B31">
        <f>Sheet3!E29</f>
        <v>0</v>
      </c>
      <c r="C31">
        <f>Sheet3!F29</f>
        <v>5</v>
      </c>
      <c r="D31">
        <f>Sheet3!G29</f>
        <v>34</v>
      </c>
      <c r="E31">
        <f>Sheet3!H29</f>
        <v>134</v>
      </c>
      <c r="F31">
        <f>Sheet3!I29</f>
        <v>1034</v>
      </c>
      <c r="G31">
        <f>Sheet3!J29</f>
        <v>10034</v>
      </c>
      <c r="H31">
        <f>Sheet3!K29</f>
        <v>10034</v>
      </c>
      <c r="J31">
        <v>9.6026995805774118E-2</v>
      </c>
      <c r="K31">
        <f t="shared" si="5"/>
        <v>1</v>
      </c>
      <c r="L31">
        <f t="shared" si="0"/>
        <v>9.6026995805774118E-2</v>
      </c>
      <c r="M31">
        <f t="shared" si="6"/>
        <v>1</v>
      </c>
      <c r="N31">
        <f t="shared" si="7"/>
        <v>6</v>
      </c>
      <c r="O31">
        <f t="shared" si="9"/>
        <v>2</v>
      </c>
      <c r="P31">
        <f t="shared" si="1"/>
        <v>1</v>
      </c>
      <c r="R31">
        <f t="shared" si="2"/>
        <v>10011</v>
      </c>
      <c r="S31">
        <f t="shared" si="3"/>
        <v>1</v>
      </c>
      <c r="T31">
        <f t="shared" si="4"/>
        <v>1</v>
      </c>
    </row>
    <row r="32" spans="2:20" x14ac:dyDescent="0.25">
      <c r="B32">
        <f>Sheet3!E30</f>
        <v>1</v>
      </c>
      <c r="C32">
        <f>Sheet3!F30</f>
        <v>5</v>
      </c>
      <c r="D32">
        <f>Sheet3!G30</f>
        <v>35</v>
      </c>
      <c r="E32">
        <f>Sheet3!H30</f>
        <v>135</v>
      </c>
      <c r="F32">
        <f>Sheet3!I30</f>
        <v>1035</v>
      </c>
      <c r="G32">
        <f>Sheet3!J30</f>
        <v>10035</v>
      </c>
      <c r="H32">
        <f>Sheet3!K30</f>
        <v>10035</v>
      </c>
      <c r="J32">
        <v>1.7527183723295647E-2</v>
      </c>
      <c r="K32">
        <f t="shared" si="5"/>
        <v>0</v>
      </c>
      <c r="L32">
        <f t="shared" si="0"/>
        <v>0</v>
      </c>
      <c r="M32">
        <f t="shared" si="6"/>
        <v>0</v>
      </c>
      <c r="N32">
        <f t="shared" si="7"/>
        <v>7</v>
      </c>
      <c r="O32">
        <f t="shared" si="9"/>
        <v>2</v>
      </c>
      <c r="P32">
        <f t="shared" si="1"/>
        <v>1</v>
      </c>
      <c r="R32">
        <f t="shared" si="2"/>
        <v>0</v>
      </c>
      <c r="S32">
        <f t="shared" si="3"/>
        <v>0</v>
      </c>
      <c r="T32">
        <f t="shared" si="4"/>
        <v>0</v>
      </c>
    </row>
    <row r="33" spans="2:20" x14ac:dyDescent="0.25">
      <c r="B33">
        <f>Sheet3!E31</f>
        <v>1</v>
      </c>
      <c r="C33">
        <f>Sheet3!F31</f>
        <v>6</v>
      </c>
      <c r="D33">
        <f>Sheet3!G31</f>
        <v>36</v>
      </c>
      <c r="E33">
        <f>Sheet3!H31</f>
        <v>136</v>
      </c>
      <c r="F33">
        <f>Sheet3!I31</f>
        <v>1036</v>
      </c>
      <c r="G33">
        <f>Sheet3!J31</f>
        <v>10036</v>
      </c>
      <c r="H33">
        <f>Sheet3!K31</f>
        <v>10036</v>
      </c>
      <c r="J33">
        <v>0.12483845377748548</v>
      </c>
      <c r="K33">
        <f t="shared" si="5"/>
        <v>1</v>
      </c>
      <c r="L33">
        <f t="shared" si="0"/>
        <v>0.12483845377748548</v>
      </c>
      <c r="M33">
        <f t="shared" si="6"/>
        <v>1</v>
      </c>
      <c r="N33">
        <f t="shared" si="7"/>
        <v>1</v>
      </c>
      <c r="O33">
        <f t="shared" si="9"/>
        <v>3</v>
      </c>
      <c r="P33">
        <f t="shared" si="1"/>
        <v>1</v>
      </c>
      <c r="R33">
        <f t="shared" si="2"/>
        <v>0</v>
      </c>
      <c r="S33">
        <f t="shared" si="3"/>
        <v>1</v>
      </c>
      <c r="T33">
        <f t="shared" si="4"/>
        <v>0</v>
      </c>
    </row>
    <row r="34" spans="2:20" x14ac:dyDescent="0.25">
      <c r="B34">
        <f>Sheet3!E32</f>
        <v>1</v>
      </c>
      <c r="C34">
        <f>Sheet3!F32</f>
        <v>7</v>
      </c>
      <c r="D34">
        <f>Sheet3!G32</f>
        <v>37</v>
      </c>
      <c r="E34">
        <f>Sheet3!H32</f>
        <v>137</v>
      </c>
      <c r="F34">
        <f>Sheet3!I32</f>
        <v>1037</v>
      </c>
      <c r="G34">
        <f>Sheet3!J32</f>
        <v>10037</v>
      </c>
      <c r="H34">
        <f>Sheet3!K32</f>
        <v>10037</v>
      </c>
      <c r="J34">
        <v>0.46541996853314616</v>
      </c>
      <c r="K34">
        <f t="shared" si="5"/>
        <v>0</v>
      </c>
      <c r="L34">
        <f t="shared" si="0"/>
        <v>0</v>
      </c>
      <c r="M34">
        <f t="shared" si="6"/>
        <v>0</v>
      </c>
      <c r="N34">
        <f t="shared" si="7"/>
        <v>2</v>
      </c>
      <c r="O34">
        <f t="shared" si="9"/>
        <v>3</v>
      </c>
      <c r="P34">
        <f t="shared" si="1"/>
        <v>1</v>
      </c>
      <c r="R34">
        <f t="shared" si="2"/>
        <v>0</v>
      </c>
      <c r="S34">
        <f t="shared" si="3"/>
        <v>0</v>
      </c>
      <c r="T34">
        <f t="shared" si="4"/>
        <v>0</v>
      </c>
    </row>
    <row r="35" spans="2:20" x14ac:dyDescent="0.25">
      <c r="B35">
        <f>Sheet3!E33</f>
        <v>0</v>
      </c>
      <c r="C35">
        <f>Sheet3!F33</f>
        <v>8</v>
      </c>
      <c r="D35">
        <f>Sheet3!G33</f>
        <v>38</v>
      </c>
      <c r="E35">
        <f>Sheet3!H33</f>
        <v>138</v>
      </c>
      <c r="F35">
        <f>Sheet3!I33</f>
        <v>1038</v>
      </c>
      <c r="G35">
        <f>Sheet3!J33</f>
        <v>10038</v>
      </c>
      <c r="H35">
        <f>Sheet3!K33</f>
        <v>10038</v>
      </c>
      <c r="J35">
        <v>0.42920114391042108</v>
      </c>
      <c r="K35">
        <f t="shared" si="5"/>
        <v>1</v>
      </c>
      <c r="L35">
        <f t="shared" si="0"/>
        <v>0.42920114391042108</v>
      </c>
      <c r="M35">
        <f t="shared" si="6"/>
        <v>1</v>
      </c>
      <c r="N35">
        <f t="shared" si="7"/>
        <v>2</v>
      </c>
      <c r="O35">
        <f t="shared" si="9"/>
        <v>3</v>
      </c>
      <c r="P35">
        <f t="shared" si="1"/>
        <v>1</v>
      </c>
      <c r="R35">
        <f t="shared" si="2"/>
        <v>5</v>
      </c>
      <c r="S35">
        <f t="shared" si="3"/>
        <v>1</v>
      </c>
      <c r="T35">
        <f t="shared" si="4"/>
        <v>0</v>
      </c>
    </row>
    <row r="36" spans="2:20" x14ac:dyDescent="0.25">
      <c r="B36">
        <f>Sheet3!E34</f>
        <v>0</v>
      </c>
      <c r="C36">
        <f>Sheet3!F34</f>
        <v>8</v>
      </c>
      <c r="D36">
        <f>Sheet3!G34</f>
        <v>39</v>
      </c>
      <c r="E36">
        <f>Sheet3!H34</f>
        <v>139</v>
      </c>
      <c r="F36">
        <f>Sheet3!I34</f>
        <v>1039</v>
      </c>
      <c r="G36">
        <f>Sheet3!J34</f>
        <v>10039</v>
      </c>
      <c r="H36">
        <f>Sheet3!K34</f>
        <v>10039</v>
      </c>
      <c r="J36">
        <v>0.77235608285205448</v>
      </c>
      <c r="K36">
        <f t="shared" si="5"/>
        <v>0</v>
      </c>
      <c r="L36">
        <f t="shared" si="0"/>
        <v>0</v>
      </c>
      <c r="M36">
        <f t="shared" si="6"/>
        <v>0</v>
      </c>
      <c r="N36">
        <f t="shared" si="7"/>
        <v>3</v>
      </c>
      <c r="O36">
        <f t="shared" si="9"/>
        <v>3</v>
      </c>
      <c r="P36">
        <f t="shared" si="1"/>
        <v>1</v>
      </c>
      <c r="R36">
        <f t="shared" si="2"/>
        <v>0</v>
      </c>
      <c r="S36">
        <f t="shared" si="3"/>
        <v>0</v>
      </c>
      <c r="T36">
        <f t="shared" si="4"/>
        <v>0</v>
      </c>
    </row>
    <row r="37" spans="2:20" x14ac:dyDescent="0.25">
      <c r="B37">
        <f>Sheet3!E35</f>
        <v>0</v>
      </c>
      <c r="C37">
        <f>Sheet3!F35</f>
        <v>8</v>
      </c>
      <c r="D37">
        <f>Sheet3!G35</f>
        <v>40</v>
      </c>
      <c r="E37">
        <f>Sheet3!H35</f>
        <v>140</v>
      </c>
      <c r="F37">
        <f>Sheet3!I35</f>
        <v>1040</v>
      </c>
      <c r="G37">
        <f>Sheet3!J35</f>
        <v>10040</v>
      </c>
      <c r="H37">
        <f>Sheet3!K35</f>
        <v>10040</v>
      </c>
      <c r="J37">
        <v>0.8858978596721645</v>
      </c>
      <c r="K37">
        <f t="shared" si="5"/>
        <v>1</v>
      </c>
      <c r="L37">
        <f t="shared" si="0"/>
        <v>0.8858978596721645</v>
      </c>
      <c r="M37">
        <f t="shared" si="6"/>
        <v>1</v>
      </c>
      <c r="N37">
        <f t="shared" si="7"/>
        <v>3</v>
      </c>
      <c r="O37">
        <f t="shared" si="9"/>
        <v>3</v>
      </c>
      <c r="P37">
        <f t="shared" si="1"/>
        <v>1</v>
      </c>
      <c r="R37">
        <f t="shared" si="2"/>
        <v>12</v>
      </c>
      <c r="S37">
        <f t="shared" si="3"/>
        <v>1</v>
      </c>
      <c r="T37">
        <f t="shared" si="4"/>
        <v>0</v>
      </c>
    </row>
    <row r="38" spans="2:20" x14ac:dyDescent="0.25">
      <c r="B38">
        <f>Sheet3!E36</f>
        <v>0</v>
      </c>
      <c r="C38">
        <f>Sheet3!F36</f>
        <v>8</v>
      </c>
      <c r="D38">
        <f>Sheet3!G36</f>
        <v>41</v>
      </c>
      <c r="E38">
        <f>Sheet3!H36</f>
        <v>141</v>
      </c>
      <c r="F38">
        <f>Sheet3!I36</f>
        <v>1041</v>
      </c>
      <c r="G38">
        <f>Sheet3!J36</f>
        <v>10041</v>
      </c>
      <c r="H38">
        <f>Sheet3!K36</f>
        <v>10041</v>
      </c>
      <c r="J38">
        <v>0.67007803077930816</v>
      </c>
      <c r="K38">
        <f t="shared" si="5"/>
        <v>0</v>
      </c>
      <c r="L38">
        <f t="shared" si="0"/>
        <v>0</v>
      </c>
      <c r="M38">
        <f t="shared" si="6"/>
        <v>0</v>
      </c>
      <c r="N38">
        <f t="shared" si="7"/>
        <v>4</v>
      </c>
      <c r="O38">
        <f t="shared" si="9"/>
        <v>3</v>
      </c>
      <c r="P38">
        <f t="shared" si="1"/>
        <v>1</v>
      </c>
      <c r="R38">
        <f t="shared" si="2"/>
        <v>0</v>
      </c>
      <c r="S38">
        <f t="shared" si="3"/>
        <v>0</v>
      </c>
      <c r="T38">
        <f t="shared" si="4"/>
        <v>0</v>
      </c>
    </row>
    <row r="39" spans="2:20" x14ac:dyDescent="0.25">
      <c r="B39">
        <f>Sheet3!E37</f>
        <v>0</v>
      </c>
      <c r="C39">
        <f>Sheet3!F37</f>
        <v>8</v>
      </c>
      <c r="D39">
        <f>Sheet3!G37</f>
        <v>42</v>
      </c>
      <c r="E39">
        <f>Sheet3!H37</f>
        <v>142</v>
      </c>
      <c r="F39">
        <f>Sheet3!I37</f>
        <v>1042</v>
      </c>
      <c r="G39">
        <f>Sheet3!J37</f>
        <v>10042</v>
      </c>
      <c r="H39">
        <f>Sheet3!K37</f>
        <v>10042</v>
      </c>
      <c r="J39">
        <v>0.72201681929894135</v>
      </c>
      <c r="K39">
        <f t="shared" si="5"/>
        <v>1</v>
      </c>
      <c r="L39">
        <f t="shared" si="0"/>
        <v>0.72201681929894135</v>
      </c>
      <c r="M39">
        <f t="shared" si="6"/>
        <v>1</v>
      </c>
      <c r="N39">
        <f t="shared" si="7"/>
        <v>4</v>
      </c>
      <c r="O39">
        <f t="shared" si="9"/>
        <v>3</v>
      </c>
      <c r="P39">
        <f t="shared" si="1"/>
        <v>1</v>
      </c>
      <c r="R39">
        <f t="shared" si="2"/>
        <v>112</v>
      </c>
      <c r="S39">
        <f t="shared" si="3"/>
        <v>1</v>
      </c>
      <c r="T39">
        <f t="shared" si="4"/>
        <v>0</v>
      </c>
    </row>
    <row r="40" spans="2:20" x14ac:dyDescent="0.25">
      <c r="B40">
        <f>Sheet3!E38</f>
        <v>0</v>
      </c>
      <c r="C40">
        <f>Sheet3!F38</f>
        <v>8</v>
      </c>
      <c r="D40">
        <f>Sheet3!G38</f>
        <v>43</v>
      </c>
      <c r="E40">
        <f>Sheet3!H38</f>
        <v>143</v>
      </c>
      <c r="F40">
        <f>Sheet3!I38</f>
        <v>1043</v>
      </c>
      <c r="G40">
        <f>Sheet3!J38</f>
        <v>10043</v>
      </c>
      <c r="H40">
        <f>Sheet3!K38</f>
        <v>10043</v>
      </c>
      <c r="J40">
        <v>0.82637554180372197</v>
      </c>
      <c r="K40">
        <f t="shared" si="5"/>
        <v>0</v>
      </c>
      <c r="L40">
        <f t="shared" si="0"/>
        <v>0</v>
      </c>
      <c r="M40">
        <f t="shared" si="6"/>
        <v>0</v>
      </c>
      <c r="N40">
        <f t="shared" si="7"/>
        <v>5</v>
      </c>
      <c r="O40">
        <f t="shared" si="9"/>
        <v>3</v>
      </c>
      <c r="P40">
        <f t="shared" si="1"/>
        <v>1</v>
      </c>
      <c r="R40">
        <f t="shared" si="2"/>
        <v>0</v>
      </c>
      <c r="S40">
        <f t="shared" si="3"/>
        <v>0</v>
      </c>
      <c r="T40">
        <f t="shared" si="4"/>
        <v>0</v>
      </c>
    </row>
    <row r="41" spans="2:20" x14ac:dyDescent="0.25">
      <c r="B41">
        <f>Sheet3!E39</f>
        <v>0</v>
      </c>
      <c r="C41">
        <f>Sheet3!F39</f>
        <v>8</v>
      </c>
      <c r="D41">
        <f>Sheet3!G39</f>
        <v>44</v>
      </c>
      <c r="E41">
        <f>Sheet3!H39</f>
        <v>144</v>
      </c>
      <c r="F41">
        <f>Sheet3!I39</f>
        <v>1044</v>
      </c>
      <c r="G41">
        <f>Sheet3!J39</f>
        <v>10044</v>
      </c>
      <c r="H41">
        <f>Sheet3!K39</f>
        <v>10044</v>
      </c>
      <c r="J41">
        <v>0.84972395758767416</v>
      </c>
      <c r="K41">
        <f t="shared" si="5"/>
        <v>1</v>
      </c>
      <c r="L41">
        <f t="shared" si="0"/>
        <v>0.84972395758767416</v>
      </c>
      <c r="M41">
        <f t="shared" si="6"/>
        <v>1</v>
      </c>
      <c r="N41">
        <f t="shared" si="7"/>
        <v>5</v>
      </c>
      <c r="O41">
        <f t="shared" si="9"/>
        <v>3</v>
      </c>
      <c r="P41">
        <f t="shared" si="1"/>
        <v>1</v>
      </c>
      <c r="R41">
        <f t="shared" si="2"/>
        <v>1012</v>
      </c>
      <c r="S41">
        <f t="shared" si="3"/>
        <v>1</v>
      </c>
      <c r="T41">
        <f t="shared" si="4"/>
        <v>0</v>
      </c>
    </row>
    <row r="42" spans="2:20" x14ac:dyDescent="0.25">
      <c r="B42">
        <f>Sheet3!E40</f>
        <v>0</v>
      </c>
      <c r="C42">
        <f>Sheet3!F40</f>
        <v>8</v>
      </c>
      <c r="D42">
        <f>Sheet3!G40</f>
        <v>45</v>
      </c>
      <c r="E42">
        <f>Sheet3!H40</f>
        <v>145</v>
      </c>
      <c r="F42">
        <f>Sheet3!I40</f>
        <v>1045</v>
      </c>
      <c r="G42">
        <f>Sheet3!J40</f>
        <v>10045</v>
      </c>
      <c r="H42">
        <f>Sheet3!K40</f>
        <v>10045</v>
      </c>
      <c r="J42">
        <v>0.63635216560501273</v>
      </c>
      <c r="K42">
        <f t="shared" si="5"/>
        <v>0</v>
      </c>
      <c r="L42">
        <f t="shared" si="0"/>
        <v>0</v>
      </c>
      <c r="M42">
        <f t="shared" si="6"/>
        <v>0</v>
      </c>
      <c r="N42">
        <f t="shared" si="7"/>
        <v>6</v>
      </c>
      <c r="O42">
        <f t="shared" si="9"/>
        <v>3</v>
      </c>
      <c r="P42">
        <f t="shared" si="1"/>
        <v>1</v>
      </c>
      <c r="R42">
        <f t="shared" si="2"/>
        <v>0</v>
      </c>
      <c r="S42">
        <f t="shared" si="3"/>
        <v>0</v>
      </c>
      <c r="T42">
        <f t="shared" si="4"/>
        <v>0</v>
      </c>
    </row>
    <row r="43" spans="2:20" x14ac:dyDescent="0.25">
      <c r="B43">
        <f>Sheet3!E41</f>
        <v>1</v>
      </c>
      <c r="C43">
        <f>Sheet3!F41</f>
        <v>8</v>
      </c>
      <c r="D43">
        <f>Sheet3!G41</f>
        <v>46</v>
      </c>
      <c r="E43">
        <f>Sheet3!H41</f>
        <v>146</v>
      </c>
      <c r="F43">
        <f>Sheet3!I41</f>
        <v>1046</v>
      </c>
      <c r="G43">
        <f>Sheet3!J41</f>
        <v>10046</v>
      </c>
      <c r="H43">
        <f>Sheet3!K41</f>
        <v>10046</v>
      </c>
      <c r="J43">
        <v>0.32144223974082509</v>
      </c>
      <c r="K43">
        <f t="shared" si="5"/>
        <v>1</v>
      </c>
      <c r="L43">
        <f t="shared" si="0"/>
        <v>0.32144223974082509</v>
      </c>
      <c r="M43">
        <f t="shared" si="6"/>
        <v>1</v>
      </c>
      <c r="N43">
        <f t="shared" si="7"/>
        <v>6</v>
      </c>
      <c r="O43">
        <f t="shared" si="9"/>
        <v>3</v>
      </c>
      <c r="P43">
        <f t="shared" si="1"/>
        <v>1</v>
      </c>
      <c r="R43">
        <f t="shared" si="2"/>
        <v>10012</v>
      </c>
      <c r="S43">
        <f t="shared" si="3"/>
        <v>1</v>
      </c>
      <c r="T43">
        <f t="shared" si="4"/>
        <v>1</v>
      </c>
    </row>
    <row r="44" spans="2:20" x14ac:dyDescent="0.25">
      <c r="B44">
        <f>Sheet3!E42</f>
        <v>0</v>
      </c>
      <c r="C44">
        <f>Sheet3!F42</f>
        <v>0</v>
      </c>
      <c r="D44">
        <f>Sheet3!G42</f>
        <v>0</v>
      </c>
      <c r="E44">
        <f>Sheet3!H42</f>
        <v>0</v>
      </c>
      <c r="F44">
        <f>Sheet3!I42</f>
        <v>0</v>
      </c>
      <c r="G44">
        <f>Sheet3!J42</f>
        <v>0</v>
      </c>
      <c r="H44">
        <f>Sheet3!K42</f>
        <v>0</v>
      </c>
      <c r="J44">
        <v>0.46321952012201517</v>
      </c>
      <c r="K44">
        <f t="shared" si="5"/>
        <v>0</v>
      </c>
      <c r="L44">
        <f t="shared" si="0"/>
        <v>0</v>
      </c>
      <c r="M44">
        <f t="shared" si="6"/>
        <v>0</v>
      </c>
      <c r="N44">
        <f t="shared" si="7"/>
        <v>7</v>
      </c>
      <c r="O44">
        <f t="shared" si="9"/>
        <v>3</v>
      </c>
      <c r="P44">
        <f t="shared" si="1"/>
        <v>1</v>
      </c>
      <c r="R44">
        <f t="shared" si="2"/>
        <v>0</v>
      </c>
      <c r="S44">
        <f t="shared" si="3"/>
        <v>0</v>
      </c>
      <c r="T44">
        <f t="shared" si="4"/>
        <v>0</v>
      </c>
    </row>
    <row r="45" spans="2:20" x14ac:dyDescent="0.25">
      <c r="B45">
        <f>Sheet3!E43</f>
        <v>0</v>
      </c>
      <c r="C45">
        <f>Sheet3!F43</f>
        <v>0</v>
      </c>
      <c r="D45">
        <f>Sheet3!G43</f>
        <v>0</v>
      </c>
      <c r="E45">
        <f>Sheet3!H43</f>
        <v>0</v>
      </c>
      <c r="F45">
        <f>Sheet3!I43</f>
        <v>0</v>
      </c>
      <c r="G45">
        <f>Sheet3!J43</f>
        <v>0</v>
      </c>
      <c r="H45">
        <f>Sheet3!K43</f>
        <v>0</v>
      </c>
      <c r="J45">
        <v>0.44368263380253836</v>
      </c>
      <c r="K45">
        <f t="shared" si="5"/>
        <v>1</v>
      </c>
      <c r="L45">
        <f t="shared" si="0"/>
        <v>0.44368263380253836</v>
      </c>
      <c r="M45">
        <f t="shared" si="6"/>
        <v>1</v>
      </c>
      <c r="N45">
        <f t="shared" si="7"/>
        <v>1</v>
      </c>
      <c r="O45">
        <f t="shared" si="9"/>
        <v>4</v>
      </c>
      <c r="P45">
        <f t="shared" si="1"/>
        <v>1</v>
      </c>
      <c r="R45">
        <f t="shared" si="2"/>
        <v>0</v>
      </c>
      <c r="S45">
        <f t="shared" si="3"/>
        <v>1</v>
      </c>
      <c r="T45">
        <f t="shared" si="4"/>
        <v>0</v>
      </c>
    </row>
    <row r="46" spans="2:20" x14ac:dyDescent="0.25">
      <c r="B46">
        <f>Sheet3!E44</f>
        <v>0</v>
      </c>
      <c r="C46">
        <f>Sheet3!F44</f>
        <v>0</v>
      </c>
      <c r="D46">
        <f>Sheet3!G44</f>
        <v>0</v>
      </c>
      <c r="E46">
        <f>Sheet3!H44</f>
        <v>0</v>
      </c>
      <c r="F46">
        <f>Sheet3!I44</f>
        <v>0</v>
      </c>
      <c r="G46">
        <f>Sheet3!J44</f>
        <v>0</v>
      </c>
      <c r="H46">
        <f>Sheet3!K44</f>
        <v>0</v>
      </c>
      <c r="J46">
        <v>0.27019805089674376</v>
      </c>
      <c r="K46">
        <f t="shared" si="5"/>
        <v>0</v>
      </c>
      <c r="L46">
        <f t="shared" si="0"/>
        <v>0</v>
      </c>
      <c r="M46">
        <f t="shared" si="6"/>
        <v>0</v>
      </c>
      <c r="N46">
        <f t="shared" si="7"/>
        <v>2</v>
      </c>
      <c r="O46">
        <f t="shared" si="9"/>
        <v>4</v>
      </c>
      <c r="P46">
        <f t="shared" si="1"/>
        <v>1</v>
      </c>
      <c r="R46">
        <f t="shared" si="2"/>
        <v>0</v>
      </c>
      <c r="S46">
        <f t="shared" si="3"/>
        <v>0</v>
      </c>
      <c r="T46">
        <f t="shared" si="4"/>
        <v>0</v>
      </c>
    </row>
    <row r="47" spans="2:20" x14ac:dyDescent="0.25">
      <c r="B47">
        <f>Sheet3!E45</f>
        <v>0</v>
      </c>
      <c r="C47">
        <f>Sheet3!F45</f>
        <v>0</v>
      </c>
      <c r="D47">
        <f>Sheet3!G45</f>
        <v>0</v>
      </c>
      <c r="E47">
        <f>Sheet3!H45</f>
        <v>0</v>
      </c>
      <c r="F47">
        <f>Sheet3!I45</f>
        <v>0</v>
      </c>
      <c r="G47">
        <f>Sheet3!J45</f>
        <v>0</v>
      </c>
      <c r="H47">
        <f>Sheet3!K45</f>
        <v>0</v>
      </c>
      <c r="J47">
        <v>0.16777092237929525</v>
      </c>
      <c r="K47">
        <f t="shared" si="5"/>
        <v>1</v>
      </c>
      <c r="L47">
        <f t="shared" si="0"/>
        <v>0.16777092237929525</v>
      </c>
      <c r="M47">
        <f t="shared" si="6"/>
        <v>1</v>
      </c>
      <c r="N47">
        <f t="shared" si="7"/>
        <v>2</v>
      </c>
      <c r="O47">
        <f t="shared" si="9"/>
        <v>4</v>
      </c>
      <c r="P47">
        <f t="shared" si="1"/>
        <v>1</v>
      </c>
      <c r="R47">
        <f t="shared" si="2"/>
        <v>5</v>
      </c>
      <c r="S47">
        <f t="shared" si="3"/>
        <v>1</v>
      </c>
      <c r="T47">
        <f t="shared" si="4"/>
        <v>0</v>
      </c>
    </row>
    <row r="48" spans="2:20" x14ac:dyDescent="0.25">
      <c r="B48">
        <f>Sheet3!E46</f>
        <v>0</v>
      </c>
      <c r="C48">
        <f>Sheet3!F46</f>
        <v>0</v>
      </c>
      <c r="D48">
        <f>Sheet3!G46</f>
        <v>0</v>
      </c>
      <c r="E48">
        <f>Sheet3!H46</f>
        <v>0</v>
      </c>
      <c r="F48">
        <f>Sheet3!I46</f>
        <v>0</v>
      </c>
      <c r="G48">
        <f>Sheet3!J46</f>
        <v>0</v>
      </c>
      <c r="H48">
        <f>Sheet3!K46</f>
        <v>0</v>
      </c>
      <c r="J48">
        <v>0.33204488376803187</v>
      </c>
      <c r="K48">
        <f t="shared" si="5"/>
        <v>0</v>
      </c>
      <c r="L48">
        <f t="shared" si="0"/>
        <v>0</v>
      </c>
      <c r="M48">
        <f t="shared" si="6"/>
        <v>0</v>
      </c>
      <c r="N48">
        <f t="shared" si="7"/>
        <v>3</v>
      </c>
      <c r="O48">
        <f t="shared" si="9"/>
        <v>4</v>
      </c>
      <c r="P48">
        <f t="shared" si="1"/>
        <v>1</v>
      </c>
      <c r="R48">
        <f t="shared" si="2"/>
        <v>0</v>
      </c>
      <c r="S48">
        <f t="shared" si="3"/>
        <v>0</v>
      </c>
      <c r="T48">
        <f t="shared" si="4"/>
        <v>0</v>
      </c>
    </row>
    <row r="49" spans="2:20" x14ac:dyDescent="0.25">
      <c r="B49">
        <f>Sheet3!E47</f>
        <v>0</v>
      </c>
      <c r="C49">
        <f>Sheet3!F47</f>
        <v>0</v>
      </c>
      <c r="D49">
        <f>Sheet3!G47</f>
        <v>0</v>
      </c>
      <c r="E49">
        <f>Sheet3!H47</f>
        <v>0</v>
      </c>
      <c r="F49">
        <f>Sheet3!I47</f>
        <v>0</v>
      </c>
      <c r="G49">
        <f>Sheet3!J47</f>
        <v>0</v>
      </c>
      <c r="H49">
        <f>Sheet3!K47</f>
        <v>0</v>
      </c>
      <c r="J49">
        <v>0.56027626180310475</v>
      </c>
      <c r="K49">
        <f t="shared" si="5"/>
        <v>1</v>
      </c>
      <c r="L49">
        <f t="shared" si="0"/>
        <v>0.56027626180310475</v>
      </c>
      <c r="M49">
        <f t="shared" si="6"/>
        <v>1</v>
      </c>
      <c r="N49">
        <f t="shared" si="7"/>
        <v>3</v>
      </c>
      <c r="O49">
        <f t="shared" si="9"/>
        <v>4</v>
      </c>
      <c r="P49">
        <f t="shared" si="1"/>
        <v>1</v>
      </c>
      <c r="R49">
        <f t="shared" si="2"/>
        <v>13</v>
      </c>
      <c r="S49">
        <f t="shared" si="3"/>
        <v>1</v>
      </c>
      <c r="T49">
        <f t="shared" si="4"/>
        <v>0</v>
      </c>
    </row>
    <row r="50" spans="2:20" x14ac:dyDescent="0.25">
      <c r="B50">
        <f>Sheet3!E48</f>
        <v>0</v>
      </c>
      <c r="C50">
        <f>Sheet3!F48</f>
        <v>0</v>
      </c>
      <c r="D50">
        <f>Sheet3!G48</f>
        <v>0</v>
      </c>
      <c r="E50">
        <f>Sheet3!H48</f>
        <v>0</v>
      </c>
      <c r="F50">
        <f>Sheet3!I48</f>
        <v>0</v>
      </c>
      <c r="G50">
        <f>Sheet3!J48</f>
        <v>0</v>
      </c>
      <c r="H50">
        <f>Sheet3!K48</f>
        <v>0</v>
      </c>
      <c r="J50">
        <v>0.93164674918414714</v>
      </c>
      <c r="K50">
        <f t="shared" si="5"/>
        <v>0</v>
      </c>
      <c r="L50">
        <f t="shared" si="0"/>
        <v>0</v>
      </c>
      <c r="M50">
        <f t="shared" si="6"/>
        <v>0</v>
      </c>
      <c r="N50">
        <f t="shared" si="7"/>
        <v>4</v>
      </c>
      <c r="O50">
        <f t="shared" si="9"/>
        <v>4</v>
      </c>
      <c r="P50">
        <f t="shared" si="1"/>
        <v>1</v>
      </c>
      <c r="R50">
        <f t="shared" si="2"/>
        <v>0</v>
      </c>
      <c r="S50">
        <f t="shared" si="3"/>
        <v>0</v>
      </c>
      <c r="T50">
        <f t="shared" si="4"/>
        <v>0</v>
      </c>
    </row>
    <row r="51" spans="2:20" x14ac:dyDescent="0.25">
      <c r="B51">
        <f>Sheet3!E49</f>
        <v>0</v>
      </c>
      <c r="C51">
        <f>Sheet3!F49</f>
        <v>0</v>
      </c>
      <c r="D51">
        <f>Sheet3!G49</f>
        <v>0</v>
      </c>
      <c r="E51">
        <f>Sheet3!H49</f>
        <v>0</v>
      </c>
      <c r="F51">
        <f>Sheet3!I49</f>
        <v>0</v>
      </c>
      <c r="G51">
        <f>Sheet3!J49</f>
        <v>0</v>
      </c>
      <c r="H51">
        <f>Sheet3!K49</f>
        <v>0</v>
      </c>
      <c r="J51">
        <v>0.46156398361836892</v>
      </c>
      <c r="K51">
        <f t="shared" si="5"/>
        <v>1</v>
      </c>
      <c r="L51">
        <f t="shared" si="0"/>
        <v>0.46156398361836892</v>
      </c>
      <c r="M51">
        <f t="shared" si="6"/>
        <v>1</v>
      </c>
      <c r="N51">
        <f t="shared" si="7"/>
        <v>4</v>
      </c>
      <c r="O51">
        <f t="shared" si="9"/>
        <v>4</v>
      </c>
      <c r="P51">
        <f t="shared" si="1"/>
        <v>1</v>
      </c>
      <c r="R51">
        <f t="shared" si="2"/>
        <v>113</v>
      </c>
      <c r="S51">
        <f t="shared" si="3"/>
        <v>1</v>
      </c>
      <c r="T51">
        <f t="shared" si="4"/>
        <v>0</v>
      </c>
    </row>
    <row r="52" spans="2:20" x14ac:dyDescent="0.25">
      <c r="B52">
        <f>Sheet3!E50</f>
        <v>0</v>
      </c>
      <c r="C52">
        <f>Sheet3!F50</f>
        <v>0</v>
      </c>
      <c r="D52">
        <f>Sheet3!G50</f>
        <v>0</v>
      </c>
      <c r="E52">
        <f>Sheet3!H50</f>
        <v>0</v>
      </c>
      <c r="F52">
        <f>Sheet3!I50</f>
        <v>0</v>
      </c>
      <c r="G52">
        <f>Sheet3!J50</f>
        <v>0</v>
      </c>
      <c r="H52">
        <f>Sheet3!K50</f>
        <v>0</v>
      </c>
      <c r="J52">
        <v>0.12406798759435844</v>
      </c>
      <c r="K52">
        <f t="shared" si="5"/>
        <v>0</v>
      </c>
      <c r="L52">
        <f t="shared" si="0"/>
        <v>0</v>
      </c>
      <c r="M52">
        <f t="shared" si="6"/>
        <v>0</v>
      </c>
      <c r="N52">
        <f t="shared" si="7"/>
        <v>5</v>
      </c>
      <c r="O52">
        <f t="shared" si="9"/>
        <v>4</v>
      </c>
      <c r="P52">
        <f t="shared" si="1"/>
        <v>1</v>
      </c>
      <c r="R52">
        <f t="shared" si="2"/>
        <v>0</v>
      </c>
      <c r="S52">
        <f t="shared" si="3"/>
        <v>0</v>
      </c>
      <c r="T52">
        <f t="shared" si="4"/>
        <v>0</v>
      </c>
    </row>
    <row r="53" spans="2:20" x14ac:dyDescent="0.25">
      <c r="B53">
        <f>Sheet3!E51</f>
        <v>0</v>
      </c>
      <c r="C53">
        <f>Sheet3!F51</f>
        <v>0</v>
      </c>
      <c r="D53">
        <f>Sheet3!G51</f>
        <v>0</v>
      </c>
      <c r="E53">
        <f>Sheet3!H51</f>
        <v>0</v>
      </c>
      <c r="F53">
        <f>Sheet3!I51</f>
        <v>0</v>
      </c>
      <c r="G53">
        <f>Sheet3!J51</f>
        <v>0</v>
      </c>
      <c r="H53">
        <f>Sheet3!K51</f>
        <v>0</v>
      </c>
      <c r="J53">
        <v>0.63323257151467338</v>
      </c>
      <c r="K53">
        <f t="shared" si="5"/>
        <v>1</v>
      </c>
      <c r="L53">
        <f t="shared" si="0"/>
        <v>0.63323257151467338</v>
      </c>
      <c r="M53">
        <f t="shared" si="6"/>
        <v>1</v>
      </c>
      <c r="N53">
        <f t="shared" si="7"/>
        <v>5</v>
      </c>
      <c r="O53">
        <f t="shared" si="9"/>
        <v>4</v>
      </c>
      <c r="P53">
        <f t="shared" si="1"/>
        <v>1</v>
      </c>
      <c r="R53">
        <f t="shared" si="2"/>
        <v>1013</v>
      </c>
      <c r="S53">
        <f t="shared" si="3"/>
        <v>1</v>
      </c>
      <c r="T53">
        <f t="shared" si="4"/>
        <v>0</v>
      </c>
    </row>
    <row r="54" spans="2:20" x14ac:dyDescent="0.25">
      <c r="B54">
        <f>Sheet3!E52</f>
        <v>0</v>
      </c>
      <c r="C54">
        <f>Sheet3!F52</f>
        <v>0</v>
      </c>
      <c r="D54">
        <f>Sheet3!G52</f>
        <v>0</v>
      </c>
      <c r="E54">
        <f>Sheet3!H52</f>
        <v>0</v>
      </c>
      <c r="F54">
        <f>Sheet3!I52</f>
        <v>0</v>
      </c>
      <c r="G54">
        <f>Sheet3!J52</f>
        <v>0</v>
      </c>
      <c r="H54">
        <f>Sheet3!K52</f>
        <v>0</v>
      </c>
      <c r="J54">
        <v>0.42622181368320644</v>
      </c>
      <c r="K54">
        <f t="shared" si="5"/>
        <v>0</v>
      </c>
      <c r="L54">
        <f t="shared" si="0"/>
        <v>0</v>
      </c>
      <c r="M54">
        <f t="shared" si="6"/>
        <v>0</v>
      </c>
      <c r="N54">
        <f t="shared" si="7"/>
        <v>6</v>
      </c>
      <c r="O54">
        <f t="shared" si="9"/>
        <v>4</v>
      </c>
      <c r="P54">
        <f t="shared" si="1"/>
        <v>1</v>
      </c>
      <c r="R54">
        <f t="shared" si="2"/>
        <v>0</v>
      </c>
      <c r="S54">
        <f t="shared" si="3"/>
        <v>0</v>
      </c>
      <c r="T54">
        <f t="shared" si="4"/>
        <v>0</v>
      </c>
    </row>
    <row r="55" spans="2:20" x14ac:dyDescent="0.25">
      <c r="B55">
        <f>Sheet3!E53</f>
        <v>0</v>
      </c>
      <c r="C55">
        <f>Sheet3!F53</f>
        <v>0</v>
      </c>
      <c r="D55">
        <f>Sheet3!G53</f>
        <v>0</v>
      </c>
      <c r="E55">
        <f>Sheet3!H53</f>
        <v>0</v>
      </c>
      <c r="F55">
        <f>Sheet3!I53</f>
        <v>0</v>
      </c>
      <c r="G55">
        <f>Sheet3!J53</f>
        <v>0</v>
      </c>
      <c r="H55">
        <f>Sheet3!K53</f>
        <v>0</v>
      </c>
      <c r="J55">
        <v>0.51873713732296056</v>
      </c>
      <c r="K55">
        <f t="shared" si="5"/>
        <v>1</v>
      </c>
      <c r="L55">
        <f t="shared" si="0"/>
        <v>0.51873713732296056</v>
      </c>
      <c r="M55">
        <f t="shared" si="6"/>
        <v>1</v>
      </c>
      <c r="N55">
        <f t="shared" si="7"/>
        <v>6</v>
      </c>
      <c r="O55">
        <f t="shared" si="9"/>
        <v>4</v>
      </c>
      <c r="P55">
        <f t="shared" si="1"/>
        <v>1</v>
      </c>
      <c r="R55">
        <f t="shared" si="2"/>
        <v>10013</v>
      </c>
      <c r="S55">
        <f t="shared" si="3"/>
        <v>1</v>
      </c>
      <c r="T55">
        <f t="shared" si="4"/>
        <v>1</v>
      </c>
    </row>
    <row r="56" spans="2:20" x14ac:dyDescent="0.25">
      <c r="B56">
        <f>Sheet3!E54</f>
        <v>0</v>
      </c>
      <c r="C56">
        <f>Sheet3!F54</f>
        <v>0</v>
      </c>
      <c r="D56">
        <f>Sheet3!G54</f>
        <v>0</v>
      </c>
      <c r="E56">
        <f>Sheet3!H54</f>
        <v>0</v>
      </c>
      <c r="F56">
        <f>Sheet3!I54</f>
        <v>0</v>
      </c>
      <c r="G56">
        <f>Sheet3!J54</f>
        <v>0</v>
      </c>
      <c r="H56">
        <f>Sheet3!K54</f>
        <v>0</v>
      </c>
      <c r="J56">
        <v>0.99668672847215756</v>
      </c>
      <c r="K56">
        <f t="shared" si="5"/>
        <v>0</v>
      </c>
      <c r="L56">
        <f t="shared" si="0"/>
        <v>0</v>
      </c>
      <c r="M56">
        <f t="shared" si="6"/>
        <v>0</v>
      </c>
      <c r="N56">
        <f t="shared" si="7"/>
        <v>7</v>
      </c>
      <c r="O56">
        <f t="shared" si="9"/>
        <v>4</v>
      </c>
      <c r="P56">
        <f t="shared" si="1"/>
        <v>1</v>
      </c>
      <c r="R56">
        <f t="shared" si="2"/>
        <v>0</v>
      </c>
      <c r="S56">
        <f t="shared" si="3"/>
        <v>0</v>
      </c>
      <c r="T56">
        <f t="shared" si="4"/>
        <v>0</v>
      </c>
    </row>
    <row r="57" spans="2:20" x14ac:dyDescent="0.25">
      <c r="B57">
        <f>Sheet3!E55</f>
        <v>0</v>
      </c>
      <c r="C57">
        <f>Sheet3!F55</f>
        <v>0</v>
      </c>
      <c r="D57">
        <f>Sheet3!G55</f>
        <v>0</v>
      </c>
      <c r="E57">
        <f>Sheet3!H55</f>
        <v>0</v>
      </c>
      <c r="F57">
        <f>Sheet3!I55</f>
        <v>0</v>
      </c>
      <c r="G57">
        <f>Sheet3!J55</f>
        <v>0</v>
      </c>
      <c r="H57">
        <f>Sheet3!K55</f>
        <v>0</v>
      </c>
      <c r="J57">
        <v>0.12525281443218461</v>
      </c>
      <c r="K57">
        <f t="shared" si="5"/>
        <v>1</v>
      </c>
      <c r="L57">
        <f t="shared" si="0"/>
        <v>0.12525281443218461</v>
      </c>
      <c r="M57">
        <f t="shared" si="6"/>
        <v>1</v>
      </c>
      <c r="N57">
        <f t="shared" si="7"/>
        <v>1</v>
      </c>
      <c r="O57">
        <f t="shared" si="9"/>
        <v>5</v>
      </c>
      <c r="P57">
        <f t="shared" si="1"/>
        <v>1</v>
      </c>
      <c r="R57">
        <f t="shared" si="2"/>
        <v>0</v>
      </c>
      <c r="S57">
        <f t="shared" si="3"/>
        <v>1</v>
      </c>
      <c r="T57">
        <f t="shared" si="4"/>
        <v>0</v>
      </c>
    </row>
    <row r="58" spans="2:20" x14ac:dyDescent="0.25">
      <c r="B58">
        <f>Sheet3!E56</f>
        <v>0</v>
      </c>
      <c r="C58">
        <f>Sheet3!F56</f>
        <v>0</v>
      </c>
      <c r="D58">
        <f>Sheet3!G56</f>
        <v>0</v>
      </c>
      <c r="E58">
        <f>Sheet3!H56</f>
        <v>0</v>
      </c>
      <c r="F58">
        <f>Sheet3!I56</f>
        <v>0</v>
      </c>
      <c r="G58">
        <f>Sheet3!J56</f>
        <v>0</v>
      </c>
      <c r="H58">
        <f>Sheet3!K56</f>
        <v>0</v>
      </c>
      <c r="J58">
        <v>0.63636165541473699</v>
      </c>
      <c r="K58">
        <f t="shared" si="5"/>
        <v>0</v>
      </c>
      <c r="L58">
        <f t="shared" si="0"/>
        <v>0</v>
      </c>
      <c r="M58">
        <f t="shared" si="6"/>
        <v>0</v>
      </c>
      <c r="N58">
        <f t="shared" si="7"/>
        <v>2</v>
      </c>
      <c r="O58">
        <f t="shared" si="9"/>
        <v>5</v>
      </c>
      <c r="P58">
        <f t="shared" si="1"/>
        <v>1</v>
      </c>
      <c r="R58">
        <f t="shared" si="2"/>
        <v>0</v>
      </c>
      <c r="S58">
        <f t="shared" si="3"/>
        <v>0</v>
      </c>
      <c r="T58">
        <f t="shared" si="4"/>
        <v>0</v>
      </c>
    </row>
    <row r="59" spans="2:20" x14ac:dyDescent="0.25">
      <c r="B59">
        <f>Sheet3!E57</f>
        <v>0</v>
      </c>
      <c r="C59">
        <f>Sheet3!F57</f>
        <v>0</v>
      </c>
      <c r="D59">
        <f>Sheet3!G57</f>
        <v>0</v>
      </c>
      <c r="E59">
        <f>Sheet3!H57</f>
        <v>0</v>
      </c>
      <c r="F59">
        <f>Sheet3!I57</f>
        <v>0</v>
      </c>
      <c r="G59">
        <f>Sheet3!J57</f>
        <v>0</v>
      </c>
      <c r="H59">
        <f>Sheet3!K57</f>
        <v>0</v>
      </c>
      <c r="J59">
        <v>0.21280209861482369</v>
      </c>
      <c r="K59">
        <f t="shared" si="5"/>
        <v>1</v>
      </c>
      <c r="L59">
        <f t="shared" si="0"/>
        <v>0.21280209861482369</v>
      </c>
      <c r="M59">
        <f t="shared" si="6"/>
        <v>1</v>
      </c>
      <c r="N59">
        <f t="shared" si="7"/>
        <v>2</v>
      </c>
      <c r="O59">
        <f t="shared" si="9"/>
        <v>5</v>
      </c>
      <c r="P59">
        <f t="shared" si="1"/>
        <v>1</v>
      </c>
      <c r="R59">
        <f t="shared" si="2"/>
        <v>5</v>
      </c>
      <c r="S59">
        <f t="shared" si="3"/>
        <v>1</v>
      </c>
      <c r="T59">
        <f t="shared" si="4"/>
        <v>0</v>
      </c>
    </row>
    <row r="60" spans="2:20" x14ac:dyDescent="0.25">
      <c r="B60">
        <f>Sheet3!E58</f>
        <v>0</v>
      </c>
      <c r="C60">
        <f>Sheet3!F58</f>
        <v>0</v>
      </c>
      <c r="D60">
        <f>Sheet3!G58</f>
        <v>0</v>
      </c>
      <c r="E60">
        <f>Sheet3!H58</f>
        <v>0</v>
      </c>
      <c r="F60">
        <f>Sheet3!I58</f>
        <v>0</v>
      </c>
      <c r="G60">
        <f>Sheet3!J58</f>
        <v>0</v>
      </c>
      <c r="H60">
        <f>Sheet3!K58</f>
        <v>0</v>
      </c>
      <c r="J60">
        <v>0.45045710425772112</v>
      </c>
      <c r="K60">
        <f t="shared" si="5"/>
        <v>0</v>
      </c>
      <c r="L60">
        <f t="shared" si="0"/>
        <v>0</v>
      </c>
      <c r="M60">
        <f t="shared" si="6"/>
        <v>0</v>
      </c>
      <c r="N60">
        <f t="shared" si="7"/>
        <v>3</v>
      </c>
      <c r="O60">
        <f t="shared" si="9"/>
        <v>5</v>
      </c>
      <c r="P60">
        <f t="shared" si="1"/>
        <v>1</v>
      </c>
      <c r="R60">
        <f t="shared" si="2"/>
        <v>0</v>
      </c>
      <c r="S60">
        <f t="shared" si="3"/>
        <v>0</v>
      </c>
      <c r="T60">
        <f t="shared" si="4"/>
        <v>0</v>
      </c>
    </row>
    <row r="61" spans="2:20" x14ac:dyDescent="0.25">
      <c r="B61">
        <f>Sheet3!E59</f>
        <v>0</v>
      </c>
      <c r="C61">
        <f>Sheet3!F59</f>
        <v>0</v>
      </c>
      <c r="D61">
        <f>Sheet3!G59</f>
        <v>0</v>
      </c>
      <c r="E61">
        <f>Sheet3!H59</f>
        <v>0</v>
      </c>
      <c r="F61">
        <f>Sheet3!I59</f>
        <v>0</v>
      </c>
      <c r="G61">
        <f>Sheet3!J59</f>
        <v>0</v>
      </c>
      <c r="H61">
        <f>Sheet3!K59</f>
        <v>0</v>
      </c>
      <c r="J61">
        <v>0.3148494376533808</v>
      </c>
      <c r="K61">
        <f t="shared" si="5"/>
        <v>1</v>
      </c>
      <c r="L61">
        <f t="shared" si="0"/>
        <v>0.3148494376533808</v>
      </c>
      <c r="M61">
        <f t="shared" si="6"/>
        <v>1</v>
      </c>
      <c r="N61">
        <f t="shared" si="7"/>
        <v>3</v>
      </c>
      <c r="O61">
        <f t="shared" si="9"/>
        <v>5</v>
      </c>
      <c r="P61">
        <f t="shared" si="1"/>
        <v>1</v>
      </c>
      <c r="R61">
        <f t="shared" si="2"/>
        <v>14</v>
      </c>
      <c r="S61">
        <f t="shared" si="3"/>
        <v>1</v>
      </c>
      <c r="T61">
        <f t="shared" si="4"/>
        <v>0</v>
      </c>
    </row>
    <row r="62" spans="2:20" x14ac:dyDescent="0.25">
      <c r="B62">
        <f>Sheet3!E60</f>
        <v>0</v>
      </c>
      <c r="C62">
        <f>Sheet3!F60</f>
        <v>0</v>
      </c>
      <c r="D62">
        <f>Sheet3!G60</f>
        <v>0</v>
      </c>
      <c r="E62">
        <f>Sheet3!H60</f>
        <v>0</v>
      </c>
      <c r="F62">
        <f>Sheet3!I60</f>
        <v>0</v>
      </c>
      <c r="G62">
        <f>Sheet3!J60</f>
        <v>0</v>
      </c>
      <c r="H62">
        <f>Sheet3!K60</f>
        <v>0</v>
      </c>
      <c r="J62">
        <v>2.5408868615210523E-2</v>
      </c>
      <c r="K62">
        <f t="shared" si="5"/>
        <v>0</v>
      </c>
      <c r="L62">
        <f t="shared" si="0"/>
        <v>0</v>
      </c>
      <c r="M62">
        <f t="shared" si="6"/>
        <v>0</v>
      </c>
      <c r="N62">
        <f t="shared" si="7"/>
        <v>4</v>
      </c>
      <c r="O62">
        <f t="shared" si="9"/>
        <v>5</v>
      </c>
      <c r="P62">
        <f t="shared" si="1"/>
        <v>1</v>
      </c>
      <c r="R62">
        <f t="shared" si="2"/>
        <v>0</v>
      </c>
      <c r="S62">
        <f t="shared" si="3"/>
        <v>0</v>
      </c>
      <c r="T62">
        <f t="shared" si="4"/>
        <v>0</v>
      </c>
    </row>
    <row r="63" spans="2:20" x14ac:dyDescent="0.25">
      <c r="B63">
        <f>Sheet3!E61</f>
        <v>0</v>
      </c>
      <c r="C63">
        <f>Sheet3!F61</f>
        <v>0</v>
      </c>
      <c r="D63">
        <f>Sheet3!G61</f>
        <v>0</v>
      </c>
      <c r="E63">
        <f>Sheet3!H61</f>
        <v>0</v>
      </c>
      <c r="F63">
        <f>Sheet3!I61</f>
        <v>0</v>
      </c>
      <c r="G63">
        <f>Sheet3!J61</f>
        <v>0</v>
      </c>
      <c r="H63">
        <f>Sheet3!K61</f>
        <v>0</v>
      </c>
      <c r="J63">
        <v>0.93348900771909693</v>
      </c>
      <c r="K63">
        <f t="shared" si="5"/>
        <v>1</v>
      </c>
      <c r="L63">
        <f t="shared" si="0"/>
        <v>0.93348900771909693</v>
      </c>
      <c r="M63">
        <f t="shared" si="6"/>
        <v>1</v>
      </c>
      <c r="N63">
        <f t="shared" si="7"/>
        <v>4</v>
      </c>
      <c r="O63">
        <f t="shared" si="9"/>
        <v>5</v>
      </c>
      <c r="P63">
        <f t="shared" si="1"/>
        <v>1</v>
      </c>
      <c r="R63">
        <f t="shared" si="2"/>
        <v>114</v>
      </c>
      <c r="S63">
        <f t="shared" si="3"/>
        <v>1</v>
      </c>
      <c r="T63">
        <f t="shared" si="4"/>
        <v>0</v>
      </c>
    </row>
    <row r="64" spans="2:20" x14ac:dyDescent="0.25">
      <c r="B64">
        <f>Sheet3!E62</f>
        <v>0</v>
      </c>
      <c r="C64">
        <f>Sheet3!F62</f>
        <v>0</v>
      </c>
      <c r="D64">
        <f>Sheet3!G62</f>
        <v>0</v>
      </c>
      <c r="E64">
        <f>Sheet3!H62</f>
        <v>0</v>
      </c>
      <c r="F64">
        <f>Sheet3!I62</f>
        <v>0</v>
      </c>
      <c r="G64">
        <f>Sheet3!J62</f>
        <v>0</v>
      </c>
      <c r="H64">
        <f>Sheet3!K62</f>
        <v>0</v>
      </c>
      <c r="J64">
        <v>0.57947320932880164</v>
      </c>
      <c r="K64">
        <f t="shared" si="5"/>
        <v>0</v>
      </c>
      <c r="L64">
        <f t="shared" si="0"/>
        <v>0</v>
      </c>
      <c r="M64">
        <f t="shared" si="6"/>
        <v>0</v>
      </c>
      <c r="N64">
        <f t="shared" si="7"/>
        <v>5</v>
      </c>
      <c r="O64">
        <f t="shared" si="9"/>
        <v>5</v>
      </c>
      <c r="P64">
        <f t="shared" si="1"/>
        <v>1</v>
      </c>
      <c r="R64">
        <f t="shared" si="2"/>
        <v>0</v>
      </c>
      <c r="S64">
        <f t="shared" si="3"/>
        <v>0</v>
      </c>
      <c r="T64">
        <f t="shared" si="4"/>
        <v>0</v>
      </c>
    </row>
    <row r="65" spans="2:20" x14ac:dyDescent="0.25">
      <c r="B65">
        <f>Sheet3!E63</f>
        <v>0</v>
      </c>
      <c r="C65">
        <f>Sheet3!F63</f>
        <v>0</v>
      </c>
      <c r="D65">
        <f>Sheet3!G63</f>
        <v>0</v>
      </c>
      <c r="E65">
        <f>Sheet3!H63</f>
        <v>0</v>
      </c>
      <c r="F65">
        <f>Sheet3!I63</f>
        <v>0</v>
      </c>
      <c r="G65">
        <f>Sheet3!J63</f>
        <v>0</v>
      </c>
      <c r="H65">
        <f>Sheet3!K63</f>
        <v>0</v>
      </c>
      <c r="J65">
        <v>0.46723865004095844</v>
      </c>
      <c r="K65">
        <f t="shared" si="5"/>
        <v>1</v>
      </c>
      <c r="L65">
        <f t="shared" si="0"/>
        <v>0.46723865004095844</v>
      </c>
      <c r="M65">
        <f t="shared" si="6"/>
        <v>1</v>
      </c>
      <c r="N65">
        <f t="shared" si="7"/>
        <v>5</v>
      </c>
      <c r="O65">
        <f t="shared" si="9"/>
        <v>5</v>
      </c>
      <c r="P65">
        <f t="shared" si="1"/>
        <v>1</v>
      </c>
      <c r="R65">
        <f t="shared" si="2"/>
        <v>1014</v>
      </c>
      <c r="S65">
        <f t="shared" si="3"/>
        <v>1</v>
      </c>
      <c r="T65">
        <f t="shared" si="4"/>
        <v>0</v>
      </c>
    </row>
    <row r="66" spans="2:20" x14ac:dyDescent="0.25">
      <c r="B66">
        <f>Sheet3!E64</f>
        <v>0</v>
      </c>
      <c r="C66">
        <f>Sheet3!F64</f>
        <v>0</v>
      </c>
      <c r="D66">
        <f>Sheet3!G64</f>
        <v>0</v>
      </c>
      <c r="E66">
        <f>Sheet3!H64</f>
        <v>0</v>
      </c>
      <c r="F66">
        <f>Sheet3!I64</f>
        <v>0</v>
      </c>
      <c r="G66">
        <f>Sheet3!J64</f>
        <v>0</v>
      </c>
      <c r="H66">
        <f>Sheet3!K64</f>
        <v>0</v>
      </c>
      <c r="J66">
        <v>0.29801810526941108</v>
      </c>
      <c r="K66">
        <f t="shared" si="5"/>
        <v>0</v>
      </c>
      <c r="L66">
        <f t="shared" si="0"/>
        <v>0</v>
      </c>
      <c r="M66">
        <f t="shared" si="6"/>
        <v>0</v>
      </c>
      <c r="N66">
        <f t="shared" si="7"/>
        <v>6</v>
      </c>
      <c r="O66">
        <f t="shared" si="9"/>
        <v>5</v>
      </c>
      <c r="P66">
        <f t="shared" si="1"/>
        <v>1</v>
      </c>
      <c r="R66">
        <f t="shared" si="2"/>
        <v>0</v>
      </c>
      <c r="S66">
        <f t="shared" si="3"/>
        <v>0</v>
      </c>
      <c r="T66">
        <f t="shared" si="4"/>
        <v>0</v>
      </c>
    </row>
    <row r="67" spans="2:20" x14ac:dyDescent="0.25">
      <c r="B67">
        <f>Sheet3!E65</f>
        <v>0</v>
      </c>
      <c r="C67">
        <f>Sheet3!F65</f>
        <v>0</v>
      </c>
      <c r="D67">
        <f>Sheet3!G65</f>
        <v>0</v>
      </c>
      <c r="E67">
        <f>Sheet3!H65</f>
        <v>0</v>
      </c>
      <c r="F67">
        <f>Sheet3!I65</f>
        <v>0</v>
      </c>
      <c r="G67">
        <f>Sheet3!J65</f>
        <v>0</v>
      </c>
      <c r="H67">
        <f>Sheet3!K65</f>
        <v>0</v>
      </c>
      <c r="J67">
        <v>4.245811798199528E-2</v>
      </c>
      <c r="K67">
        <f t="shared" si="5"/>
        <v>1</v>
      </c>
      <c r="L67">
        <f t="shared" si="0"/>
        <v>4.245811798199528E-2</v>
      </c>
      <c r="M67">
        <f t="shared" si="6"/>
        <v>1</v>
      </c>
      <c r="N67">
        <f t="shared" si="7"/>
        <v>6</v>
      </c>
      <c r="O67">
        <f t="shared" si="9"/>
        <v>5</v>
      </c>
      <c r="P67">
        <f t="shared" si="1"/>
        <v>1</v>
      </c>
      <c r="R67">
        <f t="shared" si="2"/>
        <v>10014</v>
      </c>
      <c r="S67">
        <f t="shared" si="3"/>
        <v>1</v>
      </c>
      <c r="T67">
        <f t="shared" si="4"/>
        <v>1</v>
      </c>
    </row>
    <row r="68" spans="2:20" x14ac:dyDescent="0.25">
      <c r="B68">
        <f>Sheet3!E66</f>
        <v>0</v>
      </c>
      <c r="C68">
        <f>Sheet3!F66</f>
        <v>0</v>
      </c>
      <c r="D68">
        <f>Sheet3!G66</f>
        <v>0</v>
      </c>
      <c r="E68">
        <f>Sheet3!H66</f>
        <v>0</v>
      </c>
      <c r="F68">
        <f>Sheet3!I66</f>
        <v>0</v>
      </c>
      <c r="G68">
        <f>Sheet3!J66</f>
        <v>0</v>
      </c>
      <c r="H68">
        <f>Sheet3!K66</f>
        <v>0</v>
      </c>
      <c r="J68">
        <v>0.21025524824147634</v>
      </c>
      <c r="K68">
        <f t="shared" si="5"/>
        <v>0</v>
      </c>
      <c r="L68">
        <f t="shared" si="0"/>
        <v>0</v>
      </c>
      <c r="M68">
        <f t="shared" si="6"/>
        <v>0</v>
      </c>
      <c r="N68">
        <f t="shared" si="7"/>
        <v>7</v>
      </c>
      <c r="O68">
        <f t="shared" si="9"/>
        <v>5</v>
      </c>
      <c r="P68">
        <f t="shared" si="1"/>
        <v>1</v>
      </c>
      <c r="R68">
        <f t="shared" si="2"/>
        <v>0</v>
      </c>
      <c r="S68">
        <f t="shared" si="3"/>
        <v>0</v>
      </c>
      <c r="T68">
        <f t="shared" si="4"/>
        <v>0</v>
      </c>
    </row>
    <row r="69" spans="2:20" x14ac:dyDescent="0.25">
      <c r="B69">
        <f>Sheet3!E67</f>
        <v>0</v>
      </c>
      <c r="C69">
        <f>Sheet3!F67</f>
        <v>0</v>
      </c>
      <c r="D69">
        <f>Sheet3!G67</f>
        <v>0</v>
      </c>
      <c r="E69">
        <f>Sheet3!H67</f>
        <v>0</v>
      </c>
      <c r="F69">
        <f>Sheet3!I67</f>
        <v>0</v>
      </c>
      <c r="G69">
        <f>Sheet3!J67</f>
        <v>0</v>
      </c>
      <c r="H69">
        <f>Sheet3!K67</f>
        <v>0</v>
      </c>
      <c r="J69">
        <v>0.28676433084647379</v>
      </c>
      <c r="K69">
        <f t="shared" si="5"/>
        <v>1</v>
      </c>
      <c r="L69">
        <f t="shared" si="0"/>
        <v>0.28676433084647379</v>
      </c>
      <c r="M69">
        <f t="shared" si="6"/>
        <v>1</v>
      </c>
      <c r="N69">
        <f t="shared" si="7"/>
        <v>1</v>
      </c>
      <c r="O69">
        <f t="shared" si="9"/>
        <v>6</v>
      </c>
      <c r="P69">
        <f t="shared" si="1"/>
        <v>1</v>
      </c>
      <c r="R69">
        <f t="shared" si="2"/>
        <v>0</v>
      </c>
      <c r="S69">
        <f t="shared" si="3"/>
        <v>1</v>
      </c>
      <c r="T69">
        <f t="shared" si="4"/>
        <v>0</v>
      </c>
    </row>
    <row r="70" spans="2:20" x14ac:dyDescent="0.25">
      <c r="B70">
        <f>Sheet3!E68</f>
        <v>0</v>
      </c>
      <c r="C70">
        <f>Sheet3!F68</f>
        <v>0</v>
      </c>
      <c r="D70">
        <f>Sheet3!G68</f>
        <v>0</v>
      </c>
      <c r="E70">
        <f>Sheet3!H68</f>
        <v>0</v>
      </c>
      <c r="F70">
        <f>Sheet3!I68</f>
        <v>0</v>
      </c>
      <c r="G70">
        <f>Sheet3!J68</f>
        <v>0</v>
      </c>
      <c r="H70">
        <f>Sheet3!K68</f>
        <v>0</v>
      </c>
      <c r="J70">
        <v>0.35019990612966778</v>
      </c>
      <c r="K70">
        <f t="shared" si="5"/>
        <v>0</v>
      </c>
      <c r="L70">
        <f t="shared" si="0"/>
        <v>0</v>
      </c>
      <c r="M70">
        <f t="shared" si="6"/>
        <v>0</v>
      </c>
      <c r="N70">
        <f t="shared" si="7"/>
        <v>2</v>
      </c>
      <c r="O70">
        <f t="shared" si="9"/>
        <v>6</v>
      </c>
      <c r="P70">
        <f t="shared" si="1"/>
        <v>1</v>
      </c>
      <c r="R70">
        <f t="shared" si="2"/>
        <v>0</v>
      </c>
      <c r="S70">
        <f t="shared" si="3"/>
        <v>0</v>
      </c>
      <c r="T70">
        <f t="shared" si="4"/>
        <v>0</v>
      </c>
    </row>
    <row r="71" spans="2:20" x14ac:dyDescent="0.25">
      <c r="B71">
        <f>Sheet3!E69</f>
        <v>0</v>
      </c>
      <c r="C71">
        <f>Sheet3!F69</f>
        <v>0</v>
      </c>
      <c r="D71">
        <f>Sheet3!G69</f>
        <v>0</v>
      </c>
      <c r="E71">
        <f>Sheet3!H69</f>
        <v>0</v>
      </c>
      <c r="F71">
        <f>Sheet3!I69</f>
        <v>0</v>
      </c>
      <c r="G71">
        <f>Sheet3!J69</f>
        <v>0</v>
      </c>
      <c r="H71">
        <f>Sheet3!K69</f>
        <v>0</v>
      </c>
      <c r="J71">
        <v>0.32916388993948609</v>
      </c>
      <c r="K71">
        <f t="shared" si="5"/>
        <v>1</v>
      </c>
      <c r="L71">
        <f t="shared" si="0"/>
        <v>0.32916388993948609</v>
      </c>
      <c r="M71">
        <f t="shared" si="6"/>
        <v>1</v>
      </c>
      <c r="N71">
        <f t="shared" si="7"/>
        <v>2</v>
      </c>
      <c r="O71">
        <f t="shared" si="9"/>
        <v>6</v>
      </c>
      <c r="P71">
        <f t="shared" si="1"/>
        <v>1</v>
      </c>
      <c r="R71">
        <f t="shared" si="2"/>
        <v>5</v>
      </c>
      <c r="S71">
        <f t="shared" si="3"/>
        <v>1</v>
      </c>
      <c r="T71">
        <f t="shared" si="4"/>
        <v>0</v>
      </c>
    </row>
    <row r="72" spans="2:20" x14ac:dyDescent="0.25">
      <c r="B72">
        <f>Sheet3!E70</f>
        <v>0</v>
      </c>
      <c r="C72">
        <f>Sheet3!F70</f>
        <v>0</v>
      </c>
      <c r="D72">
        <f>Sheet3!G70</f>
        <v>0</v>
      </c>
      <c r="E72">
        <f>Sheet3!H70</f>
        <v>0</v>
      </c>
      <c r="F72">
        <f>Sheet3!I70</f>
        <v>0</v>
      </c>
      <c r="G72">
        <f>Sheet3!J70</f>
        <v>0</v>
      </c>
      <c r="H72">
        <f>Sheet3!K70</f>
        <v>0</v>
      </c>
      <c r="J72">
        <v>1.0508614638761737E-2</v>
      </c>
      <c r="K72">
        <f t="shared" si="5"/>
        <v>0</v>
      </c>
      <c r="L72">
        <f t="shared" ref="L72:L135" si="10">K72*J72</f>
        <v>0</v>
      </c>
      <c r="M72">
        <f t="shared" ref="M72:M135" si="11">IF(L72&gt;$M$2,1,0)</f>
        <v>0</v>
      </c>
      <c r="N72">
        <f t="shared" si="7"/>
        <v>3</v>
      </c>
      <c r="O72">
        <f t="shared" si="9"/>
        <v>6</v>
      </c>
      <c r="P72">
        <f t="shared" ref="P72:P135" si="12">IF(INDEX($B$7:$H$1029,O72,2)&gt;0,1,0)</f>
        <v>1</v>
      </c>
      <c r="R72">
        <f t="shared" ref="R72:R135" si="13">IF(  M72&gt;0,INDEX($B$7:$H$1029,O72,N72),0)*P72</f>
        <v>0</v>
      </c>
      <c r="S72">
        <f t="shared" ref="S72:S135" si="14">M72*P72</f>
        <v>0</v>
      </c>
      <c r="T72">
        <f t="shared" ref="T72:T135" si="15">IF(N73=$N$2,1,0)*P72</f>
        <v>0</v>
      </c>
    </row>
    <row r="73" spans="2:20" x14ac:dyDescent="0.25">
      <c r="B73">
        <f>Sheet3!E71</f>
        <v>0</v>
      </c>
      <c r="C73">
        <f>Sheet3!F71</f>
        <v>0</v>
      </c>
      <c r="D73">
        <f>Sheet3!G71</f>
        <v>0</v>
      </c>
      <c r="E73">
        <f>Sheet3!H71</f>
        <v>0</v>
      </c>
      <c r="F73">
        <f>Sheet3!I71</f>
        <v>0</v>
      </c>
      <c r="G73">
        <f>Sheet3!J71</f>
        <v>0</v>
      </c>
      <c r="H73">
        <f>Sheet3!K71</f>
        <v>0</v>
      </c>
      <c r="J73">
        <v>0.73882779853272906</v>
      </c>
      <c r="K73">
        <f t="shared" ref="K73:K136" si="16">IF(K72=1,0,1)</f>
        <v>1</v>
      </c>
      <c r="L73">
        <f t="shared" si="10"/>
        <v>0.73882779853272906</v>
      </c>
      <c r="M73">
        <f t="shared" si="11"/>
        <v>1</v>
      </c>
      <c r="N73">
        <f t="shared" ref="N73:N136" si="17">IF(N72&lt;$N$2,N72+M72,1)</f>
        <v>3</v>
      </c>
      <c r="O73">
        <f t="shared" si="9"/>
        <v>6</v>
      </c>
      <c r="P73">
        <f t="shared" si="12"/>
        <v>1</v>
      </c>
      <c r="R73">
        <f t="shared" si="13"/>
        <v>15</v>
      </c>
      <c r="S73">
        <f t="shared" si="14"/>
        <v>1</v>
      </c>
      <c r="T73">
        <f t="shared" si="15"/>
        <v>0</v>
      </c>
    </row>
    <row r="74" spans="2:20" x14ac:dyDescent="0.25">
      <c r="B74">
        <f>Sheet3!E72</f>
        <v>0</v>
      </c>
      <c r="C74">
        <f>Sheet3!F72</f>
        <v>0</v>
      </c>
      <c r="D74">
        <f>Sheet3!G72</f>
        <v>0</v>
      </c>
      <c r="E74">
        <f>Sheet3!H72</f>
        <v>0</v>
      </c>
      <c r="F74">
        <f>Sheet3!I72</f>
        <v>0</v>
      </c>
      <c r="G74">
        <f>Sheet3!J72</f>
        <v>0</v>
      </c>
      <c r="H74">
        <f>Sheet3!K72</f>
        <v>0</v>
      </c>
      <c r="J74">
        <v>5.58057541504966E-2</v>
      </c>
      <c r="K74">
        <f t="shared" si="16"/>
        <v>0</v>
      </c>
      <c r="L74">
        <f t="shared" si="10"/>
        <v>0</v>
      </c>
      <c r="M74">
        <f t="shared" si="11"/>
        <v>0</v>
      </c>
      <c r="N74">
        <f t="shared" si="17"/>
        <v>4</v>
      </c>
      <c r="O74">
        <f t="shared" si="9"/>
        <v>6</v>
      </c>
      <c r="P74">
        <f t="shared" si="12"/>
        <v>1</v>
      </c>
      <c r="R74">
        <f t="shared" si="13"/>
        <v>0</v>
      </c>
      <c r="S74">
        <f t="shared" si="14"/>
        <v>0</v>
      </c>
      <c r="T74">
        <f t="shared" si="15"/>
        <v>0</v>
      </c>
    </row>
    <row r="75" spans="2:20" x14ac:dyDescent="0.25">
      <c r="B75">
        <f>Sheet3!E73</f>
        <v>0</v>
      </c>
      <c r="C75">
        <f>Sheet3!F73</f>
        <v>0</v>
      </c>
      <c r="D75">
        <f>Sheet3!G73</f>
        <v>0</v>
      </c>
      <c r="E75">
        <f>Sheet3!H73</f>
        <v>0</v>
      </c>
      <c r="F75">
        <f>Sheet3!I73</f>
        <v>0</v>
      </c>
      <c r="G75">
        <f>Sheet3!J73</f>
        <v>0</v>
      </c>
      <c r="H75">
        <f>Sheet3!K73</f>
        <v>0</v>
      </c>
      <c r="J75">
        <v>0.72909503922065122</v>
      </c>
      <c r="K75">
        <f t="shared" si="16"/>
        <v>1</v>
      </c>
      <c r="L75">
        <f t="shared" si="10"/>
        <v>0.72909503922065122</v>
      </c>
      <c r="M75">
        <f t="shared" si="11"/>
        <v>1</v>
      </c>
      <c r="N75">
        <f t="shared" si="17"/>
        <v>4</v>
      </c>
      <c r="O75">
        <f t="shared" si="9"/>
        <v>6</v>
      </c>
      <c r="P75">
        <f t="shared" si="12"/>
        <v>1</v>
      </c>
      <c r="R75">
        <f t="shared" si="13"/>
        <v>115</v>
      </c>
      <c r="S75">
        <f t="shared" si="14"/>
        <v>1</v>
      </c>
      <c r="T75">
        <f t="shared" si="15"/>
        <v>0</v>
      </c>
    </row>
    <row r="76" spans="2:20" x14ac:dyDescent="0.25">
      <c r="B76">
        <f>Sheet3!E74</f>
        <v>0</v>
      </c>
      <c r="C76">
        <f>Sheet3!F74</f>
        <v>0</v>
      </c>
      <c r="D76">
        <f>Sheet3!G74</f>
        <v>0</v>
      </c>
      <c r="E76">
        <f>Sheet3!H74</f>
        <v>0</v>
      </c>
      <c r="F76">
        <f>Sheet3!I74</f>
        <v>0</v>
      </c>
      <c r="G76">
        <f>Sheet3!J74</f>
        <v>0</v>
      </c>
      <c r="H76">
        <f>Sheet3!K74</f>
        <v>0</v>
      </c>
      <c r="J76">
        <v>0.14474307163006228</v>
      </c>
      <c r="K76">
        <f t="shared" si="16"/>
        <v>0</v>
      </c>
      <c r="L76">
        <f t="shared" si="10"/>
        <v>0</v>
      </c>
      <c r="M76">
        <f t="shared" si="11"/>
        <v>0</v>
      </c>
      <c r="N76">
        <f t="shared" si="17"/>
        <v>5</v>
      </c>
      <c r="O76">
        <f t="shared" si="9"/>
        <v>6</v>
      </c>
      <c r="P76">
        <f t="shared" si="12"/>
        <v>1</v>
      </c>
      <c r="R76">
        <f t="shared" si="13"/>
        <v>0</v>
      </c>
      <c r="S76">
        <f t="shared" si="14"/>
        <v>0</v>
      </c>
      <c r="T76">
        <f t="shared" si="15"/>
        <v>0</v>
      </c>
    </row>
    <row r="77" spans="2:20" x14ac:dyDescent="0.25">
      <c r="B77">
        <f>Sheet3!E75</f>
        <v>0</v>
      </c>
      <c r="C77">
        <f>Sheet3!F75</f>
        <v>0</v>
      </c>
      <c r="D77">
        <f>Sheet3!G75</f>
        <v>0</v>
      </c>
      <c r="E77">
        <f>Sheet3!H75</f>
        <v>0</v>
      </c>
      <c r="F77">
        <f>Sheet3!I75</f>
        <v>0</v>
      </c>
      <c r="G77">
        <f>Sheet3!J75</f>
        <v>0</v>
      </c>
      <c r="H77">
        <f>Sheet3!K75</f>
        <v>0</v>
      </c>
      <c r="J77">
        <v>0.13547455474683179</v>
      </c>
      <c r="K77">
        <f t="shared" si="16"/>
        <v>1</v>
      </c>
      <c r="L77">
        <f t="shared" si="10"/>
        <v>0.13547455474683179</v>
      </c>
      <c r="M77">
        <f t="shared" si="11"/>
        <v>1</v>
      </c>
      <c r="N77">
        <f t="shared" si="17"/>
        <v>5</v>
      </c>
      <c r="O77">
        <f t="shared" si="9"/>
        <v>6</v>
      </c>
      <c r="P77">
        <f t="shared" si="12"/>
        <v>1</v>
      </c>
      <c r="R77">
        <f t="shared" si="13"/>
        <v>1015</v>
      </c>
      <c r="S77">
        <f t="shared" si="14"/>
        <v>1</v>
      </c>
      <c r="T77">
        <f t="shared" si="15"/>
        <v>0</v>
      </c>
    </row>
    <row r="78" spans="2:20" x14ac:dyDescent="0.25">
      <c r="B78">
        <f>Sheet3!E76</f>
        <v>0</v>
      </c>
      <c r="C78">
        <f>Sheet3!F76</f>
        <v>0</v>
      </c>
      <c r="D78">
        <f>Sheet3!G76</f>
        <v>0</v>
      </c>
      <c r="E78">
        <f>Sheet3!H76</f>
        <v>0</v>
      </c>
      <c r="F78">
        <f>Sheet3!I76</f>
        <v>0</v>
      </c>
      <c r="G78">
        <f>Sheet3!J76</f>
        <v>0</v>
      </c>
      <c r="H78">
        <f>Sheet3!K76</f>
        <v>0</v>
      </c>
      <c r="J78">
        <v>9.4957085128579477E-2</v>
      </c>
      <c r="K78">
        <f t="shared" si="16"/>
        <v>0</v>
      </c>
      <c r="L78">
        <f t="shared" si="10"/>
        <v>0</v>
      </c>
      <c r="M78">
        <f t="shared" si="11"/>
        <v>0</v>
      </c>
      <c r="N78">
        <f t="shared" si="17"/>
        <v>6</v>
      </c>
      <c r="O78">
        <f t="shared" si="9"/>
        <v>6</v>
      </c>
      <c r="P78">
        <f t="shared" si="12"/>
        <v>1</v>
      </c>
      <c r="R78">
        <f t="shared" si="13"/>
        <v>0</v>
      </c>
      <c r="S78">
        <f t="shared" si="14"/>
        <v>0</v>
      </c>
      <c r="T78">
        <f t="shared" si="15"/>
        <v>0</v>
      </c>
    </row>
    <row r="79" spans="2:20" x14ac:dyDescent="0.25">
      <c r="B79">
        <f>Sheet3!E77</f>
        <v>0</v>
      </c>
      <c r="C79">
        <f>Sheet3!F77</f>
        <v>0</v>
      </c>
      <c r="D79">
        <f>Sheet3!G77</f>
        <v>0</v>
      </c>
      <c r="E79">
        <f>Sheet3!H77</f>
        <v>0</v>
      </c>
      <c r="F79">
        <f>Sheet3!I77</f>
        <v>0</v>
      </c>
      <c r="G79">
        <f>Sheet3!J77</f>
        <v>0</v>
      </c>
      <c r="H79">
        <f>Sheet3!K77</f>
        <v>0</v>
      </c>
      <c r="J79">
        <v>0.84801212917542257</v>
      </c>
      <c r="K79">
        <f t="shared" si="16"/>
        <v>1</v>
      </c>
      <c r="L79">
        <f t="shared" si="10"/>
        <v>0.84801212917542257</v>
      </c>
      <c r="M79">
        <f t="shared" si="11"/>
        <v>1</v>
      </c>
      <c r="N79">
        <f t="shared" si="17"/>
        <v>6</v>
      </c>
      <c r="O79">
        <f t="shared" si="9"/>
        <v>6</v>
      </c>
      <c r="P79">
        <f t="shared" si="12"/>
        <v>1</v>
      </c>
      <c r="R79">
        <f t="shared" si="13"/>
        <v>10015</v>
      </c>
      <c r="S79">
        <f t="shared" si="14"/>
        <v>1</v>
      </c>
      <c r="T79">
        <f t="shared" si="15"/>
        <v>1</v>
      </c>
    </row>
    <row r="80" spans="2:20" x14ac:dyDescent="0.25">
      <c r="B80">
        <f>Sheet3!E78</f>
        <v>0</v>
      </c>
      <c r="C80">
        <f>Sheet3!F78</f>
        <v>0</v>
      </c>
      <c r="D80">
        <f>Sheet3!G78</f>
        <v>0</v>
      </c>
      <c r="E80">
        <f>Sheet3!H78</f>
        <v>0</v>
      </c>
      <c r="F80">
        <f>Sheet3!I78</f>
        <v>0</v>
      </c>
      <c r="G80">
        <f>Sheet3!J78</f>
        <v>0</v>
      </c>
      <c r="H80">
        <f>Sheet3!K78</f>
        <v>0</v>
      </c>
      <c r="J80">
        <v>0.70803625232022638</v>
      </c>
      <c r="K80">
        <f t="shared" si="16"/>
        <v>0</v>
      </c>
      <c r="L80">
        <f t="shared" si="10"/>
        <v>0</v>
      </c>
      <c r="M80">
        <f t="shared" si="11"/>
        <v>0</v>
      </c>
      <c r="N80">
        <f t="shared" si="17"/>
        <v>7</v>
      </c>
      <c r="O80">
        <f t="shared" ref="O80:O143" si="18">IF(AND(N80=1,M80=1),O79+1,O79)</f>
        <v>6</v>
      </c>
      <c r="P80">
        <f t="shared" si="12"/>
        <v>1</v>
      </c>
      <c r="R80">
        <f t="shared" si="13"/>
        <v>0</v>
      </c>
      <c r="S80">
        <f t="shared" si="14"/>
        <v>0</v>
      </c>
      <c r="T80">
        <f t="shared" si="15"/>
        <v>0</v>
      </c>
    </row>
    <row r="81" spans="2:20" x14ac:dyDescent="0.25">
      <c r="B81">
        <f>Sheet3!E79</f>
        <v>0</v>
      </c>
      <c r="C81">
        <f>Sheet3!F79</f>
        <v>0</v>
      </c>
      <c r="D81">
        <f>Sheet3!G79</f>
        <v>0</v>
      </c>
      <c r="E81">
        <f>Sheet3!H79</f>
        <v>0</v>
      </c>
      <c r="F81">
        <f>Sheet3!I79</f>
        <v>0</v>
      </c>
      <c r="G81">
        <f>Sheet3!J79</f>
        <v>0</v>
      </c>
      <c r="H81">
        <f>Sheet3!K79</f>
        <v>0</v>
      </c>
      <c r="J81">
        <v>0.86431611955520282</v>
      </c>
      <c r="K81">
        <f t="shared" si="16"/>
        <v>1</v>
      </c>
      <c r="L81">
        <f t="shared" si="10"/>
        <v>0.86431611955520282</v>
      </c>
      <c r="M81">
        <f t="shared" si="11"/>
        <v>1</v>
      </c>
      <c r="N81">
        <f t="shared" si="17"/>
        <v>1</v>
      </c>
      <c r="O81">
        <f t="shared" si="18"/>
        <v>7</v>
      </c>
      <c r="P81">
        <f t="shared" si="12"/>
        <v>1</v>
      </c>
      <c r="R81">
        <f t="shared" si="13"/>
        <v>0</v>
      </c>
      <c r="S81">
        <f t="shared" si="14"/>
        <v>1</v>
      </c>
      <c r="T81">
        <f t="shared" si="15"/>
        <v>0</v>
      </c>
    </row>
    <row r="82" spans="2:20" x14ac:dyDescent="0.25">
      <c r="B82">
        <f>Sheet3!E80</f>
        <v>0</v>
      </c>
      <c r="C82">
        <f>Sheet3!F80</f>
        <v>0</v>
      </c>
      <c r="D82">
        <f>Sheet3!G80</f>
        <v>0</v>
      </c>
      <c r="E82">
        <f>Sheet3!H80</f>
        <v>0</v>
      </c>
      <c r="F82">
        <f>Sheet3!I80</f>
        <v>0</v>
      </c>
      <c r="G82">
        <f>Sheet3!J80</f>
        <v>0</v>
      </c>
      <c r="H82">
        <f>Sheet3!K80</f>
        <v>0</v>
      </c>
      <c r="J82">
        <v>0.50845036500112417</v>
      </c>
      <c r="K82">
        <f t="shared" si="16"/>
        <v>0</v>
      </c>
      <c r="L82">
        <f t="shared" si="10"/>
        <v>0</v>
      </c>
      <c r="M82">
        <f t="shared" si="11"/>
        <v>0</v>
      </c>
      <c r="N82">
        <f t="shared" si="17"/>
        <v>2</v>
      </c>
      <c r="O82">
        <f t="shared" si="18"/>
        <v>7</v>
      </c>
      <c r="P82">
        <f t="shared" si="12"/>
        <v>1</v>
      </c>
      <c r="R82">
        <f t="shared" si="13"/>
        <v>0</v>
      </c>
      <c r="S82">
        <f t="shared" si="14"/>
        <v>0</v>
      </c>
      <c r="T82">
        <f t="shared" si="15"/>
        <v>0</v>
      </c>
    </row>
    <row r="83" spans="2:20" x14ac:dyDescent="0.25">
      <c r="B83">
        <f>Sheet3!E81</f>
        <v>0</v>
      </c>
      <c r="C83">
        <f>Sheet3!F81</f>
        <v>0</v>
      </c>
      <c r="D83">
        <f>Sheet3!G81</f>
        <v>0</v>
      </c>
      <c r="E83">
        <f>Sheet3!H81</f>
        <v>0</v>
      </c>
      <c r="F83">
        <f>Sheet3!I81</f>
        <v>0</v>
      </c>
      <c r="G83">
        <f>Sheet3!J81</f>
        <v>0</v>
      </c>
      <c r="H83">
        <f>Sheet3!K81</f>
        <v>0</v>
      </c>
      <c r="J83">
        <v>0.82611127291839259</v>
      </c>
      <c r="K83">
        <f t="shared" si="16"/>
        <v>1</v>
      </c>
      <c r="L83">
        <f t="shared" si="10"/>
        <v>0.82611127291839259</v>
      </c>
      <c r="M83">
        <f t="shared" si="11"/>
        <v>1</v>
      </c>
      <c r="N83">
        <f t="shared" si="17"/>
        <v>2</v>
      </c>
      <c r="O83">
        <f t="shared" si="18"/>
        <v>7</v>
      </c>
      <c r="P83">
        <f t="shared" si="12"/>
        <v>1</v>
      </c>
      <c r="R83">
        <f t="shared" si="13"/>
        <v>5</v>
      </c>
      <c r="S83">
        <f t="shared" si="14"/>
        <v>1</v>
      </c>
      <c r="T83">
        <f t="shared" si="15"/>
        <v>0</v>
      </c>
    </row>
    <row r="84" spans="2:20" x14ac:dyDescent="0.25">
      <c r="B84">
        <f>Sheet3!E82</f>
        <v>0</v>
      </c>
      <c r="C84">
        <f>Sheet3!F82</f>
        <v>0</v>
      </c>
      <c r="D84">
        <f>Sheet3!G82</f>
        <v>0</v>
      </c>
      <c r="E84">
        <f>Sheet3!H82</f>
        <v>0</v>
      </c>
      <c r="F84">
        <f>Sheet3!I82</f>
        <v>0</v>
      </c>
      <c r="G84">
        <f>Sheet3!J82</f>
        <v>0</v>
      </c>
      <c r="H84">
        <f>Sheet3!K82</f>
        <v>0</v>
      </c>
      <c r="J84">
        <v>0.59405525967281148</v>
      </c>
      <c r="K84">
        <f t="shared" si="16"/>
        <v>0</v>
      </c>
      <c r="L84">
        <f t="shared" si="10"/>
        <v>0</v>
      </c>
      <c r="M84">
        <f t="shared" si="11"/>
        <v>0</v>
      </c>
      <c r="N84">
        <f t="shared" si="17"/>
        <v>3</v>
      </c>
      <c r="O84">
        <f t="shared" si="18"/>
        <v>7</v>
      </c>
      <c r="P84">
        <f t="shared" si="12"/>
        <v>1</v>
      </c>
      <c r="R84">
        <f t="shared" si="13"/>
        <v>0</v>
      </c>
      <c r="S84">
        <f t="shared" si="14"/>
        <v>0</v>
      </c>
      <c r="T84">
        <f t="shared" si="15"/>
        <v>0</v>
      </c>
    </row>
    <row r="85" spans="2:20" x14ac:dyDescent="0.25">
      <c r="B85">
        <f>Sheet3!E83</f>
        <v>0</v>
      </c>
      <c r="C85">
        <f>Sheet3!F83</f>
        <v>0</v>
      </c>
      <c r="D85">
        <f>Sheet3!G83</f>
        <v>0</v>
      </c>
      <c r="E85">
        <f>Sheet3!H83</f>
        <v>0</v>
      </c>
      <c r="F85">
        <f>Sheet3!I83</f>
        <v>0</v>
      </c>
      <c r="G85">
        <f>Sheet3!J83</f>
        <v>0</v>
      </c>
      <c r="H85">
        <f>Sheet3!K83</f>
        <v>0</v>
      </c>
      <c r="J85">
        <v>0.11501847302655699</v>
      </c>
      <c r="K85">
        <f t="shared" si="16"/>
        <v>1</v>
      </c>
      <c r="L85">
        <f t="shared" si="10"/>
        <v>0.11501847302655699</v>
      </c>
      <c r="M85">
        <f t="shared" si="11"/>
        <v>1</v>
      </c>
      <c r="N85">
        <f t="shared" si="17"/>
        <v>3</v>
      </c>
      <c r="O85">
        <f t="shared" si="18"/>
        <v>7</v>
      </c>
      <c r="P85">
        <f t="shared" si="12"/>
        <v>1</v>
      </c>
      <c r="R85">
        <f t="shared" si="13"/>
        <v>16</v>
      </c>
      <c r="S85">
        <f t="shared" si="14"/>
        <v>1</v>
      </c>
      <c r="T85">
        <f t="shared" si="15"/>
        <v>0</v>
      </c>
    </row>
    <row r="86" spans="2:20" x14ac:dyDescent="0.25">
      <c r="B86">
        <f>Sheet3!E84</f>
        <v>0</v>
      </c>
      <c r="C86">
        <f>Sheet3!F84</f>
        <v>0</v>
      </c>
      <c r="D86">
        <f>Sheet3!G84</f>
        <v>0</v>
      </c>
      <c r="E86">
        <f>Sheet3!H84</f>
        <v>0</v>
      </c>
      <c r="F86">
        <f>Sheet3!I84</f>
        <v>0</v>
      </c>
      <c r="G86">
        <f>Sheet3!J84</f>
        <v>0</v>
      </c>
      <c r="H86">
        <f>Sheet3!K84</f>
        <v>0</v>
      </c>
      <c r="J86">
        <v>0.72094484330326269</v>
      </c>
      <c r="K86">
        <f t="shared" si="16"/>
        <v>0</v>
      </c>
      <c r="L86">
        <f t="shared" si="10"/>
        <v>0</v>
      </c>
      <c r="M86">
        <f t="shared" si="11"/>
        <v>0</v>
      </c>
      <c r="N86">
        <f t="shared" si="17"/>
        <v>4</v>
      </c>
      <c r="O86">
        <f t="shared" si="18"/>
        <v>7</v>
      </c>
      <c r="P86">
        <f t="shared" si="12"/>
        <v>1</v>
      </c>
      <c r="R86">
        <f t="shared" si="13"/>
        <v>0</v>
      </c>
      <c r="S86">
        <f t="shared" si="14"/>
        <v>0</v>
      </c>
      <c r="T86">
        <f t="shared" si="15"/>
        <v>0</v>
      </c>
    </row>
    <row r="87" spans="2:20" x14ac:dyDescent="0.25">
      <c r="B87">
        <f>Sheet3!E85</f>
        <v>0</v>
      </c>
      <c r="C87">
        <f>Sheet3!F85</f>
        <v>0</v>
      </c>
      <c r="D87">
        <f>Sheet3!G85</f>
        <v>0</v>
      </c>
      <c r="E87">
        <f>Sheet3!H85</f>
        <v>0</v>
      </c>
      <c r="F87">
        <f>Sheet3!I85</f>
        <v>0</v>
      </c>
      <c r="G87">
        <f>Sheet3!J85</f>
        <v>0</v>
      </c>
      <c r="H87">
        <f>Sheet3!K85</f>
        <v>0</v>
      </c>
      <c r="J87">
        <v>0.94335321571883379</v>
      </c>
      <c r="K87">
        <f t="shared" si="16"/>
        <v>1</v>
      </c>
      <c r="L87">
        <f t="shared" si="10"/>
        <v>0.94335321571883379</v>
      </c>
      <c r="M87">
        <f t="shared" si="11"/>
        <v>1</v>
      </c>
      <c r="N87">
        <f t="shared" si="17"/>
        <v>4</v>
      </c>
      <c r="O87">
        <f t="shared" si="18"/>
        <v>7</v>
      </c>
      <c r="P87">
        <f t="shared" si="12"/>
        <v>1</v>
      </c>
      <c r="R87">
        <f t="shared" si="13"/>
        <v>116</v>
      </c>
      <c r="S87">
        <f t="shared" si="14"/>
        <v>1</v>
      </c>
      <c r="T87">
        <f t="shared" si="15"/>
        <v>0</v>
      </c>
    </row>
    <row r="88" spans="2:20" x14ac:dyDescent="0.25">
      <c r="B88">
        <f>Sheet3!E86</f>
        <v>0</v>
      </c>
      <c r="C88">
        <f>Sheet3!F86</f>
        <v>0</v>
      </c>
      <c r="D88">
        <f>Sheet3!G86</f>
        <v>0</v>
      </c>
      <c r="E88">
        <f>Sheet3!H86</f>
        <v>0</v>
      </c>
      <c r="F88">
        <f>Sheet3!I86</f>
        <v>0</v>
      </c>
      <c r="G88">
        <f>Sheet3!J86</f>
        <v>0</v>
      </c>
      <c r="H88">
        <f>Sheet3!K86</f>
        <v>0</v>
      </c>
      <c r="J88">
        <v>0.83236868658279362</v>
      </c>
      <c r="K88">
        <f t="shared" si="16"/>
        <v>0</v>
      </c>
      <c r="L88">
        <f t="shared" si="10"/>
        <v>0</v>
      </c>
      <c r="M88">
        <f t="shared" si="11"/>
        <v>0</v>
      </c>
      <c r="N88">
        <f t="shared" si="17"/>
        <v>5</v>
      </c>
      <c r="O88">
        <f t="shared" si="18"/>
        <v>7</v>
      </c>
      <c r="P88">
        <f t="shared" si="12"/>
        <v>1</v>
      </c>
      <c r="R88">
        <f t="shared" si="13"/>
        <v>0</v>
      </c>
      <c r="S88">
        <f t="shared" si="14"/>
        <v>0</v>
      </c>
      <c r="T88">
        <f t="shared" si="15"/>
        <v>0</v>
      </c>
    </row>
    <row r="89" spans="2:20" x14ac:dyDescent="0.25">
      <c r="B89">
        <f>Sheet3!E87</f>
        <v>0</v>
      </c>
      <c r="C89">
        <f>Sheet3!F87</f>
        <v>0</v>
      </c>
      <c r="D89">
        <f>Sheet3!G87</f>
        <v>0</v>
      </c>
      <c r="E89">
        <f>Sheet3!H87</f>
        <v>0</v>
      </c>
      <c r="F89">
        <f>Sheet3!I87</f>
        <v>0</v>
      </c>
      <c r="G89">
        <f>Sheet3!J87</f>
        <v>0</v>
      </c>
      <c r="H89">
        <f>Sheet3!K87</f>
        <v>0</v>
      </c>
      <c r="J89">
        <v>8.4895330633054766E-2</v>
      </c>
      <c r="K89">
        <f t="shared" si="16"/>
        <v>1</v>
      </c>
      <c r="L89">
        <f t="shared" si="10"/>
        <v>8.4895330633054766E-2</v>
      </c>
      <c r="M89">
        <f t="shared" si="11"/>
        <v>1</v>
      </c>
      <c r="N89">
        <f t="shared" si="17"/>
        <v>5</v>
      </c>
      <c r="O89">
        <f t="shared" si="18"/>
        <v>7</v>
      </c>
      <c r="P89">
        <f t="shared" si="12"/>
        <v>1</v>
      </c>
      <c r="R89">
        <f t="shared" si="13"/>
        <v>1016</v>
      </c>
      <c r="S89">
        <f t="shared" si="14"/>
        <v>1</v>
      </c>
      <c r="T89">
        <f t="shared" si="15"/>
        <v>0</v>
      </c>
    </row>
    <row r="90" spans="2:20" x14ac:dyDescent="0.25">
      <c r="B90">
        <f>Sheet3!E88</f>
        <v>0</v>
      </c>
      <c r="C90">
        <f>Sheet3!F88</f>
        <v>0</v>
      </c>
      <c r="D90">
        <f>Sheet3!G88</f>
        <v>0</v>
      </c>
      <c r="E90">
        <f>Sheet3!H88</f>
        <v>0</v>
      </c>
      <c r="F90">
        <f>Sheet3!I88</f>
        <v>0</v>
      </c>
      <c r="G90">
        <f>Sheet3!J88</f>
        <v>0</v>
      </c>
      <c r="H90">
        <f>Sheet3!K88</f>
        <v>0</v>
      </c>
      <c r="J90">
        <v>0.67706045467009413</v>
      </c>
      <c r="K90">
        <f t="shared" si="16"/>
        <v>0</v>
      </c>
      <c r="L90">
        <f t="shared" si="10"/>
        <v>0</v>
      </c>
      <c r="M90">
        <f t="shared" si="11"/>
        <v>0</v>
      </c>
      <c r="N90">
        <f t="shared" si="17"/>
        <v>6</v>
      </c>
      <c r="O90">
        <f t="shared" si="18"/>
        <v>7</v>
      </c>
      <c r="P90">
        <f t="shared" si="12"/>
        <v>1</v>
      </c>
      <c r="R90">
        <f t="shared" si="13"/>
        <v>0</v>
      </c>
      <c r="S90">
        <f t="shared" si="14"/>
        <v>0</v>
      </c>
      <c r="T90">
        <f t="shared" si="15"/>
        <v>0</v>
      </c>
    </row>
    <row r="91" spans="2:20" x14ac:dyDescent="0.25">
      <c r="B91">
        <f>Sheet3!E89</f>
        <v>0</v>
      </c>
      <c r="C91">
        <f>Sheet3!F89</f>
        <v>0</v>
      </c>
      <c r="D91">
        <f>Sheet3!G89</f>
        <v>0</v>
      </c>
      <c r="E91">
        <f>Sheet3!H89</f>
        <v>0</v>
      </c>
      <c r="F91">
        <f>Sheet3!I89</f>
        <v>0</v>
      </c>
      <c r="G91">
        <f>Sheet3!J89</f>
        <v>0</v>
      </c>
      <c r="H91">
        <f>Sheet3!K89</f>
        <v>0</v>
      </c>
      <c r="J91">
        <v>0.73944573776859301</v>
      </c>
      <c r="K91">
        <f t="shared" si="16"/>
        <v>1</v>
      </c>
      <c r="L91">
        <f t="shared" si="10"/>
        <v>0.73944573776859301</v>
      </c>
      <c r="M91">
        <f t="shared" si="11"/>
        <v>1</v>
      </c>
      <c r="N91">
        <f t="shared" si="17"/>
        <v>6</v>
      </c>
      <c r="O91">
        <f t="shared" si="18"/>
        <v>7</v>
      </c>
      <c r="P91">
        <f t="shared" si="12"/>
        <v>1</v>
      </c>
      <c r="R91">
        <f t="shared" si="13"/>
        <v>10016</v>
      </c>
      <c r="S91">
        <f t="shared" si="14"/>
        <v>1</v>
      </c>
      <c r="T91">
        <f t="shared" si="15"/>
        <v>1</v>
      </c>
    </row>
    <row r="92" spans="2:20" x14ac:dyDescent="0.25">
      <c r="B92">
        <f>Sheet3!E90</f>
        <v>0</v>
      </c>
      <c r="C92">
        <f>Sheet3!F90</f>
        <v>0</v>
      </c>
      <c r="D92">
        <f>Sheet3!G90</f>
        <v>0</v>
      </c>
      <c r="E92">
        <f>Sheet3!H90</f>
        <v>0</v>
      </c>
      <c r="F92">
        <f>Sheet3!I90</f>
        <v>0</v>
      </c>
      <c r="G92">
        <f>Sheet3!J90</f>
        <v>0</v>
      </c>
      <c r="H92">
        <f>Sheet3!K90</f>
        <v>0</v>
      </c>
      <c r="J92">
        <v>0.68773398924079132</v>
      </c>
      <c r="K92">
        <f t="shared" si="16"/>
        <v>0</v>
      </c>
      <c r="L92">
        <f t="shared" si="10"/>
        <v>0</v>
      </c>
      <c r="M92">
        <f t="shared" si="11"/>
        <v>0</v>
      </c>
      <c r="N92">
        <f t="shared" si="17"/>
        <v>7</v>
      </c>
      <c r="O92">
        <f t="shared" si="18"/>
        <v>7</v>
      </c>
      <c r="P92">
        <f t="shared" si="12"/>
        <v>1</v>
      </c>
      <c r="R92">
        <f t="shared" si="13"/>
        <v>0</v>
      </c>
      <c r="S92">
        <f t="shared" si="14"/>
        <v>0</v>
      </c>
      <c r="T92">
        <f t="shared" si="15"/>
        <v>0</v>
      </c>
    </row>
    <row r="93" spans="2:20" x14ac:dyDescent="0.25">
      <c r="B93">
        <f>Sheet3!E91</f>
        <v>0</v>
      </c>
      <c r="C93">
        <f>Sheet3!F91</f>
        <v>0</v>
      </c>
      <c r="D93">
        <f>Sheet3!G91</f>
        <v>0</v>
      </c>
      <c r="E93">
        <f>Sheet3!H91</f>
        <v>0</v>
      </c>
      <c r="F93">
        <f>Sheet3!I91</f>
        <v>0</v>
      </c>
      <c r="G93">
        <f>Sheet3!J91</f>
        <v>0</v>
      </c>
      <c r="H93">
        <f>Sheet3!K91</f>
        <v>0</v>
      </c>
      <c r="J93">
        <v>0.40639628307013709</v>
      </c>
      <c r="K93">
        <f t="shared" si="16"/>
        <v>1</v>
      </c>
      <c r="L93">
        <f t="shared" si="10"/>
        <v>0.40639628307013709</v>
      </c>
      <c r="M93">
        <f t="shared" si="11"/>
        <v>1</v>
      </c>
      <c r="N93">
        <f t="shared" si="17"/>
        <v>1</v>
      </c>
      <c r="O93">
        <f t="shared" si="18"/>
        <v>8</v>
      </c>
      <c r="P93">
        <f t="shared" si="12"/>
        <v>1</v>
      </c>
      <c r="R93">
        <f t="shared" si="13"/>
        <v>0</v>
      </c>
      <c r="S93">
        <f t="shared" si="14"/>
        <v>1</v>
      </c>
      <c r="T93">
        <f t="shared" si="15"/>
        <v>0</v>
      </c>
    </row>
    <row r="94" spans="2:20" x14ac:dyDescent="0.25">
      <c r="B94">
        <f>Sheet3!E92</f>
        <v>0</v>
      </c>
      <c r="C94">
        <f>Sheet3!F92</f>
        <v>0</v>
      </c>
      <c r="D94">
        <f>Sheet3!G92</f>
        <v>0</v>
      </c>
      <c r="E94">
        <f>Sheet3!H92</f>
        <v>0</v>
      </c>
      <c r="F94">
        <f>Sheet3!I92</f>
        <v>0</v>
      </c>
      <c r="G94">
        <f>Sheet3!J92</f>
        <v>0</v>
      </c>
      <c r="H94">
        <f>Sheet3!K92</f>
        <v>0</v>
      </c>
      <c r="J94">
        <v>0.99475545000581067</v>
      </c>
      <c r="K94">
        <f t="shared" si="16"/>
        <v>0</v>
      </c>
      <c r="L94">
        <f t="shared" si="10"/>
        <v>0</v>
      </c>
      <c r="M94">
        <f t="shared" si="11"/>
        <v>0</v>
      </c>
      <c r="N94">
        <f t="shared" si="17"/>
        <v>2</v>
      </c>
      <c r="O94">
        <f t="shared" si="18"/>
        <v>8</v>
      </c>
      <c r="P94">
        <f t="shared" si="12"/>
        <v>1</v>
      </c>
      <c r="R94">
        <f t="shared" si="13"/>
        <v>0</v>
      </c>
      <c r="S94">
        <f t="shared" si="14"/>
        <v>0</v>
      </c>
      <c r="T94">
        <f t="shared" si="15"/>
        <v>0</v>
      </c>
    </row>
    <row r="95" spans="2:20" x14ac:dyDescent="0.25">
      <c r="B95">
        <f>Sheet3!E93</f>
        <v>0</v>
      </c>
      <c r="C95">
        <f>Sheet3!F93</f>
        <v>0</v>
      </c>
      <c r="D95">
        <f>Sheet3!G93</f>
        <v>0</v>
      </c>
      <c r="E95">
        <f>Sheet3!H93</f>
        <v>0</v>
      </c>
      <c r="F95">
        <f>Sheet3!I93</f>
        <v>0</v>
      </c>
      <c r="G95">
        <f>Sheet3!J93</f>
        <v>0</v>
      </c>
      <c r="H95">
        <f>Sheet3!K93</f>
        <v>0</v>
      </c>
      <c r="J95">
        <v>0.41998279902381896</v>
      </c>
      <c r="K95">
        <f t="shared" si="16"/>
        <v>1</v>
      </c>
      <c r="L95">
        <f t="shared" si="10"/>
        <v>0.41998279902381896</v>
      </c>
      <c r="M95">
        <f t="shared" si="11"/>
        <v>1</v>
      </c>
      <c r="N95">
        <f t="shared" si="17"/>
        <v>2</v>
      </c>
      <c r="O95">
        <f t="shared" si="18"/>
        <v>8</v>
      </c>
      <c r="P95">
        <f t="shared" si="12"/>
        <v>1</v>
      </c>
      <c r="R95">
        <f t="shared" si="13"/>
        <v>5</v>
      </c>
      <c r="S95">
        <f t="shared" si="14"/>
        <v>1</v>
      </c>
      <c r="T95">
        <f t="shared" si="15"/>
        <v>0</v>
      </c>
    </row>
    <row r="96" spans="2:20" x14ac:dyDescent="0.25">
      <c r="B96">
        <f>Sheet3!E94</f>
        <v>0</v>
      </c>
      <c r="C96">
        <f>Sheet3!F94</f>
        <v>0</v>
      </c>
      <c r="D96">
        <f>Sheet3!G94</f>
        <v>0</v>
      </c>
      <c r="E96">
        <f>Sheet3!H94</f>
        <v>0</v>
      </c>
      <c r="F96">
        <f>Sheet3!I94</f>
        <v>0</v>
      </c>
      <c r="G96">
        <f>Sheet3!J94</f>
        <v>0</v>
      </c>
      <c r="H96">
        <f>Sheet3!K94</f>
        <v>0</v>
      </c>
      <c r="J96">
        <v>0.29239942419678566</v>
      </c>
      <c r="K96">
        <f t="shared" si="16"/>
        <v>0</v>
      </c>
      <c r="L96">
        <f t="shared" si="10"/>
        <v>0</v>
      </c>
      <c r="M96">
        <f t="shared" si="11"/>
        <v>0</v>
      </c>
      <c r="N96">
        <f t="shared" si="17"/>
        <v>3</v>
      </c>
      <c r="O96">
        <f t="shared" si="18"/>
        <v>8</v>
      </c>
      <c r="P96">
        <f t="shared" si="12"/>
        <v>1</v>
      </c>
      <c r="R96">
        <f t="shared" si="13"/>
        <v>0</v>
      </c>
      <c r="S96">
        <f t="shared" si="14"/>
        <v>0</v>
      </c>
      <c r="T96">
        <f t="shared" si="15"/>
        <v>0</v>
      </c>
    </row>
    <row r="97" spans="2:20" x14ac:dyDescent="0.25">
      <c r="B97">
        <f>Sheet3!E95</f>
        <v>0</v>
      </c>
      <c r="C97">
        <f>Sheet3!F95</f>
        <v>0</v>
      </c>
      <c r="D97">
        <f>Sheet3!G95</f>
        <v>0</v>
      </c>
      <c r="E97">
        <f>Sheet3!H95</f>
        <v>0</v>
      </c>
      <c r="F97">
        <f>Sheet3!I95</f>
        <v>0</v>
      </c>
      <c r="G97">
        <f>Sheet3!J95</f>
        <v>0</v>
      </c>
      <c r="H97">
        <f>Sheet3!K95</f>
        <v>0</v>
      </c>
      <c r="J97">
        <v>0.86371246328955087</v>
      </c>
      <c r="K97">
        <f t="shared" si="16"/>
        <v>1</v>
      </c>
      <c r="L97">
        <f t="shared" si="10"/>
        <v>0.86371246328955087</v>
      </c>
      <c r="M97">
        <f t="shared" si="11"/>
        <v>1</v>
      </c>
      <c r="N97">
        <f t="shared" si="17"/>
        <v>3</v>
      </c>
      <c r="O97">
        <f t="shared" si="18"/>
        <v>8</v>
      </c>
      <c r="P97">
        <f t="shared" si="12"/>
        <v>1</v>
      </c>
      <c r="R97">
        <f t="shared" si="13"/>
        <v>17</v>
      </c>
      <c r="S97">
        <f t="shared" si="14"/>
        <v>1</v>
      </c>
      <c r="T97">
        <f t="shared" si="15"/>
        <v>0</v>
      </c>
    </row>
    <row r="98" spans="2:20" x14ac:dyDescent="0.25">
      <c r="B98">
        <f>Sheet3!E96</f>
        <v>0</v>
      </c>
      <c r="C98">
        <f>Sheet3!F96</f>
        <v>0</v>
      </c>
      <c r="D98">
        <f>Sheet3!G96</f>
        <v>0</v>
      </c>
      <c r="E98">
        <f>Sheet3!H96</f>
        <v>0</v>
      </c>
      <c r="F98">
        <f>Sheet3!I96</f>
        <v>0</v>
      </c>
      <c r="G98">
        <f>Sheet3!J96</f>
        <v>0</v>
      </c>
      <c r="H98">
        <f>Sheet3!K96</f>
        <v>0</v>
      </c>
      <c r="J98">
        <v>0.4607022913429436</v>
      </c>
      <c r="K98">
        <f t="shared" si="16"/>
        <v>0</v>
      </c>
      <c r="L98">
        <f t="shared" si="10"/>
        <v>0</v>
      </c>
      <c r="M98">
        <f t="shared" si="11"/>
        <v>0</v>
      </c>
      <c r="N98">
        <f t="shared" si="17"/>
        <v>4</v>
      </c>
      <c r="O98">
        <f t="shared" si="18"/>
        <v>8</v>
      </c>
      <c r="P98">
        <f t="shared" si="12"/>
        <v>1</v>
      </c>
      <c r="R98">
        <f t="shared" si="13"/>
        <v>0</v>
      </c>
      <c r="S98">
        <f t="shared" si="14"/>
        <v>0</v>
      </c>
      <c r="T98">
        <f t="shared" si="15"/>
        <v>0</v>
      </c>
    </row>
    <row r="99" spans="2:20" x14ac:dyDescent="0.25">
      <c r="B99">
        <f>Sheet3!E97</f>
        <v>0</v>
      </c>
      <c r="C99">
        <f>Sheet3!F97</f>
        <v>0</v>
      </c>
      <c r="D99">
        <f>Sheet3!G97</f>
        <v>0</v>
      </c>
      <c r="E99">
        <f>Sheet3!H97</f>
        <v>0</v>
      </c>
      <c r="F99">
        <f>Sheet3!I97</f>
        <v>0</v>
      </c>
      <c r="G99">
        <f>Sheet3!J97</f>
        <v>0</v>
      </c>
      <c r="H99">
        <f>Sheet3!K97</f>
        <v>0</v>
      </c>
      <c r="J99">
        <v>0.1299922950986363</v>
      </c>
      <c r="K99">
        <f t="shared" si="16"/>
        <v>1</v>
      </c>
      <c r="L99">
        <f t="shared" si="10"/>
        <v>0.1299922950986363</v>
      </c>
      <c r="M99">
        <f t="shared" si="11"/>
        <v>1</v>
      </c>
      <c r="N99">
        <f t="shared" si="17"/>
        <v>4</v>
      </c>
      <c r="O99">
        <f t="shared" si="18"/>
        <v>8</v>
      </c>
      <c r="P99">
        <f t="shared" si="12"/>
        <v>1</v>
      </c>
      <c r="R99">
        <f t="shared" si="13"/>
        <v>117</v>
      </c>
      <c r="S99">
        <f t="shared" si="14"/>
        <v>1</v>
      </c>
      <c r="T99">
        <f t="shared" si="15"/>
        <v>0</v>
      </c>
    </row>
    <row r="100" spans="2:20" x14ac:dyDescent="0.25">
      <c r="B100">
        <f>Sheet3!E98</f>
        <v>0</v>
      </c>
      <c r="C100">
        <f>Sheet3!F98</f>
        <v>0</v>
      </c>
      <c r="D100">
        <f>Sheet3!G98</f>
        <v>0</v>
      </c>
      <c r="E100">
        <f>Sheet3!H98</f>
        <v>0</v>
      </c>
      <c r="F100">
        <f>Sheet3!I98</f>
        <v>0</v>
      </c>
      <c r="G100">
        <f>Sheet3!J98</f>
        <v>0</v>
      </c>
      <c r="H100">
        <f>Sheet3!K98</f>
        <v>0</v>
      </c>
      <c r="J100">
        <v>0.93790022408080287</v>
      </c>
      <c r="K100">
        <f t="shared" si="16"/>
        <v>0</v>
      </c>
      <c r="L100">
        <f t="shared" si="10"/>
        <v>0</v>
      </c>
      <c r="M100">
        <f t="shared" si="11"/>
        <v>0</v>
      </c>
      <c r="N100">
        <f t="shared" si="17"/>
        <v>5</v>
      </c>
      <c r="O100">
        <f t="shared" si="18"/>
        <v>8</v>
      </c>
      <c r="P100">
        <f t="shared" si="12"/>
        <v>1</v>
      </c>
      <c r="R100">
        <f t="shared" si="13"/>
        <v>0</v>
      </c>
      <c r="S100">
        <f t="shared" si="14"/>
        <v>0</v>
      </c>
      <c r="T100">
        <f t="shared" si="15"/>
        <v>0</v>
      </c>
    </row>
    <row r="101" spans="2:20" x14ac:dyDescent="0.25">
      <c r="B101">
        <f>Sheet3!E99</f>
        <v>0</v>
      </c>
      <c r="C101">
        <f>Sheet3!F99</f>
        <v>0</v>
      </c>
      <c r="D101">
        <f>Sheet3!G99</f>
        <v>0</v>
      </c>
      <c r="E101">
        <f>Sheet3!H99</f>
        <v>0</v>
      </c>
      <c r="F101">
        <f>Sheet3!I99</f>
        <v>0</v>
      </c>
      <c r="G101">
        <f>Sheet3!J99</f>
        <v>0</v>
      </c>
      <c r="H101">
        <f>Sheet3!K99</f>
        <v>0</v>
      </c>
      <c r="J101">
        <v>0.41229001818679556</v>
      </c>
      <c r="K101">
        <f t="shared" si="16"/>
        <v>1</v>
      </c>
      <c r="L101">
        <f t="shared" si="10"/>
        <v>0.41229001818679556</v>
      </c>
      <c r="M101">
        <f t="shared" si="11"/>
        <v>1</v>
      </c>
      <c r="N101">
        <f t="shared" si="17"/>
        <v>5</v>
      </c>
      <c r="O101">
        <f t="shared" si="18"/>
        <v>8</v>
      </c>
      <c r="P101">
        <f t="shared" si="12"/>
        <v>1</v>
      </c>
      <c r="R101">
        <f t="shared" si="13"/>
        <v>1017</v>
      </c>
      <c r="S101">
        <f t="shared" si="14"/>
        <v>1</v>
      </c>
      <c r="T101">
        <f t="shared" si="15"/>
        <v>0</v>
      </c>
    </row>
    <row r="102" spans="2:20" x14ac:dyDescent="0.25">
      <c r="B102">
        <f>Sheet3!E100</f>
        <v>0</v>
      </c>
      <c r="C102">
        <f>Sheet3!F100</f>
        <v>0</v>
      </c>
      <c r="D102">
        <f>Sheet3!G100</f>
        <v>0</v>
      </c>
      <c r="E102">
        <f>Sheet3!H100</f>
        <v>0</v>
      </c>
      <c r="F102">
        <f>Sheet3!I100</f>
        <v>0</v>
      </c>
      <c r="G102">
        <f>Sheet3!J100</f>
        <v>0</v>
      </c>
      <c r="H102">
        <f>Sheet3!K100</f>
        <v>0</v>
      </c>
      <c r="J102">
        <v>0.22015678409984474</v>
      </c>
      <c r="K102">
        <f t="shared" si="16"/>
        <v>0</v>
      </c>
      <c r="L102">
        <f t="shared" si="10"/>
        <v>0</v>
      </c>
      <c r="M102">
        <f t="shared" si="11"/>
        <v>0</v>
      </c>
      <c r="N102">
        <f t="shared" si="17"/>
        <v>6</v>
      </c>
      <c r="O102">
        <f t="shared" si="18"/>
        <v>8</v>
      </c>
      <c r="P102">
        <f t="shared" si="12"/>
        <v>1</v>
      </c>
      <c r="R102">
        <f t="shared" si="13"/>
        <v>0</v>
      </c>
      <c r="S102">
        <f t="shared" si="14"/>
        <v>0</v>
      </c>
      <c r="T102">
        <f t="shared" si="15"/>
        <v>0</v>
      </c>
    </row>
    <row r="103" spans="2:20" x14ac:dyDescent="0.25">
      <c r="B103">
        <f>Sheet3!E101</f>
        <v>0</v>
      </c>
      <c r="C103">
        <f>Sheet3!F101</f>
        <v>0</v>
      </c>
      <c r="D103">
        <f>Sheet3!G101</f>
        <v>0</v>
      </c>
      <c r="E103">
        <f>Sheet3!H101</f>
        <v>0</v>
      </c>
      <c r="F103">
        <f>Sheet3!I101</f>
        <v>0</v>
      </c>
      <c r="G103">
        <f>Sheet3!J101</f>
        <v>0</v>
      </c>
      <c r="H103">
        <f>Sheet3!K101</f>
        <v>0</v>
      </c>
      <c r="J103">
        <v>0.51513818804503209</v>
      </c>
      <c r="K103">
        <f t="shared" si="16"/>
        <v>1</v>
      </c>
      <c r="L103">
        <f t="shared" si="10"/>
        <v>0.51513818804503209</v>
      </c>
      <c r="M103">
        <f t="shared" si="11"/>
        <v>1</v>
      </c>
      <c r="N103">
        <f t="shared" si="17"/>
        <v>6</v>
      </c>
      <c r="O103">
        <f t="shared" si="18"/>
        <v>8</v>
      </c>
      <c r="P103">
        <f t="shared" si="12"/>
        <v>1</v>
      </c>
      <c r="R103">
        <f t="shared" si="13"/>
        <v>10017</v>
      </c>
      <c r="S103">
        <f t="shared" si="14"/>
        <v>1</v>
      </c>
      <c r="T103">
        <f t="shared" si="15"/>
        <v>1</v>
      </c>
    </row>
    <row r="104" spans="2:20" x14ac:dyDescent="0.25">
      <c r="B104">
        <f>Sheet3!E102</f>
        <v>0</v>
      </c>
      <c r="C104">
        <f>Sheet3!F102</f>
        <v>0</v>
      </c>
      <c r="D104">
        <f>Sheet3!G102</f>
        <v>0</v>
      </c>
      <c r="E104">
        <f>Sheet3!H102</f>
        <v>0</v>
      </c>
      <c r="F104">
        <f>Sheet3!I102</f>
        <v>0</v>
      </c>
      <c r="G104">
        <f>Sheet3!J102</f>
        <v>0</v>
      </c>
      <c r="H104">
        <f>Sheet3!K102</f>
        <v>0</v>
      </c>
      <c r="J104">
        <v>0.44512017845715257</v>
      </c>
      <c r="K104">
        <f t="shared" si="16"/>
        <v>0</v>
      </c>
      <c r="L104">
        <f t="shared" si="10"/>
        <v>0</v>
      </c>
      <c r="M104">
        <f t="shared" si="11"/>
        <v>0</v>
      </c>
      <c r="N104">
        <f t="shared" si="17"/>
        <v>7</v>
      </c>
      <c r="O104">
        <f t="shared" si="18"/>
        <v>8</v>
      </c>
      <c r="P104">
        <f t="shared" si="12"/>
        <v>1</v>
      </c>
      <c r="R104">
        <f t="shared" si="13"/>
        <v>0</v>
      </c>
      <c r="S104">
        <f t="shared" si="14"/>
        <v>0</v>
      </c>
      <c r="T104">
        <f t="shared" si="15"/>
        <v>0</v>
      </c>
    </row>
    <row r="105" spans="2:20" x14ac:dyDescent="0.25">
      <c r="B105">
        <f>Sheet3!E103</f>
        <v>0</v>
      </c>
      <c r="C105">
        <f>Sheet3!F103</f>
        <v>0</v>
      </c>
      <c r="D105">
        <f>Sheet3!G103</f>
        <v>0</v>
      </c>
      <c r="E105">
        <f>Sheet3!H103</f>
        <v>0</v>
      </c>
      <c r="F105">
        <f>Sheet3!I103</f>
        <v>0</v>
      </c>
      <c r="G105">
        <f>Sheet3!J103</f>
        <v>0</v>
      </c>
      <c r="H105">
        <f>Sheet3!K103</f>
        <v>0</v>
      </c>
      <c r="J105">
        <v>0.50015277820810278</v>
      </c>
      <c r="K105">
        <f t="shared" si="16"/>
        <v>1</v>
      </c>
      <c r="L105">
        <f t="shared" si="10"/>
        <v>0.50015277820810278</v>
      </c>
      <c r="M105">
        <f t="shared" si="11"/>
        <v>1</v>
      </c>
      <c r="N105">
        <f t="shared" si="17"/>
        <v>1</v>
      </c>
      <c r="O105">
        <f t="shared" si="18"/>
        <v>9</v>
      </c>
      <c r="P105">
        <f t="shared" si="12"/>
        <v>1</v>
      </c>
      <c r="R105">
        <f t="shared" si="13"/>
        <v>0</v>
      </c>
      <c r="S105">
        <f t="shared" si="14"/>
        <v>1</v>
      </c>
      <c r="T105">
        <f t="shared" si="15"/>
        <v>0</v>
      </c>
    </row>
    <row r="106" spans="2:20" x14ac:dyDescent="0.25">
      <c r="B106">
        <f>Sheet3!E104</f>
        <v>0</v>
      </c>
      <c r="C106">
        <f>Sheet3!F104</f>
        <v>0</v>
      </c>
      <c r="D106">
        <f>Sheet3!G104</f>
        <v>0</v>
      </c>
      <c r="E106">
        <f>Sheet3!H104</f>
        <v>0</v>
      </c>
      <c r="F106">
        <f>Sheet3!I104</f>
        <v>0</v>
      </c>
      <c r="G106">
        <f>Sheet3!J104</f>
        <v>0</v>
      </c>
      <c r="H106">
        <f>Sheet3!K104</f>
        <v>0</v>
      </c>
      <c r="J106">
        <v>0.34997694495932496</v>
      </c>
      <c r="K106">
        <f t="shared" si="16"/>
        <v>0</v>
      </c>
      <c r="L106">
        <f t="shared" si="10"/>
        <v>0</v>
      </c>
      <c r="M106">
        <f t="shared" si="11"/>
        <v>0</v>
      </c>
      <c r="N106">
        <f t="shared" si="17"/>
        <v>2</v>
      </c>
      <c r="O106">
        <f t="shared" si="18"/>
        <v>9</v>
      </c>
      <c r="P106">
        <f t="shared" si="12"/>
        <v>1</v>
      </c>
      <c r="R106">
        <f t="shared" si="13"/>
        <v>0</v>
      </c>
      <c r="S106">
        <f t="shared" si="14"/>
        <v>0</v>
      </c>
      <c r="T106">
        <f t="shared" si="15"/>
        <v>0</v>
      </c>
    </row>
    <row r="107" spans="2:20" x14ac:dyDescent="0.25">
      <c r="B107">
        <f>Sheet3!E105</f>
        <v>0</v>
      </c>
      <c r="C107">
        <f>Sheet3!F105</f>
        <v>0</v>
      </c>
      <c r="D107">
        <f>Sheet3!G105</f>
        <v>0</v>
      </c>
      <c r="E107">
        <f>Sheet3!H105</f>
        <v>0</v>
      </c>
      <c r="F107">
        <f>Sheet3!I105</f>
        <v>0</v>
      </c>
      <c r="G107">
        <f>Sheet3!J105</f>
        <v>0</v>
      </c>
      <c r="H107">
        <f>Sheet3!K105</f>
        <v>0</v>
      </c>
      <c r="J107">
        <v>0.52080530107966794</v>
      </c>
      <c r="K107">
        <f t="shared" si="16"/>
        <v>1</v>
      </c>
      <c r="L107">
        <f t="shared" si="10"/>
        <v>0.52080530107966794</v>
      </c>
      <c r="M107">
        <f t="shared" si="11"/>
        <v>1</v>
      </c>
      <c r="N107">
        <f t="shared" si="17"/>
        <v>2</v>
      </c>
      <c r="O107">
        <f t="shared" si="18"/>
        <v>9</v>
      </c>
      <c r="P107">
        <f t="shared" si="12"/>
        <v>1</v>
      </c>
      <c r="R107">
        <f t="shared" si="13"/>
        <v>5</v>
      </c>
      <c r="S107">
        <f t="shared" si="14"/>
        <v>1</v>
      </c>
      <c r="T107">
        <f t="shared" si="15"/>
        <v>0</v>
      </c>
    </row>
    <row r="108" spans="2:20" x14ac:dyDescent="0.25">
      <c r="B108">
        <f>Sheet3!E106</f>
        <v>0</v>
      </c>
      <c r="C108">
        <f>Sheet3!F106</f>
        <v>0</v>
      </c>
      <c r="D108">
        <f>Sheet3!G106</f>
        <v>0</v>
      </c>
      <c r="E108">
        <f>Sheet3!H106</f>
        <v>0</v>
      </c>
      <c r="F108">
        <f>Sheet3!I106</f>
        <v>0</v>
      </c>
      <c r="G108">
        <f>Sheet3!J106</f>
        <v>0</v>
      </c>
      <c r="H108">
        <f>Sheet3!K106</f>
        <v>0</v>
      </c>
      <c r="J108">
        <v>3.4287081518823426E-2</v>
      </c>
      <c r="K108">
        <f t="shared" si="16"/>
        <v>0</v>
      </c>
      <c r="L108">
        <f t="shared" si="10"/>
        <v>0</v>
      </c>
      <c r="M108">
        <f t="shared" si="11"/>
        <v>0</v>
      </c>
      <c r="N108">
        <f t="shared" si="17"/>
        <v>3</v>
      </c>
      <c r="O108">
        <f t="shared" si="18"/>
        <v>9</v>
      </c>
      <c r="P108">
        <f t="shared" si="12"/>
        <v>1</v>
      </c>
      <c r="R108">
        <f t="shared" si="13"/>
        <v>0</v>
      </c>
      <c r="S108">
        <f t="shared" si="14"/>
        <v>0</v>
      </c>
      <c r="T108">
        <f t="shared" si="15"/>
        <v>0</v>
      </c>
    </row>
    <row r="109" spans="2:20" x14ac:dyDescent="0.25">
      <c r="B109">
        <f>Sheet3!E107</f>
        <v>0</v>
      </c>
      <c r="C109">
        <f>Sheet3!F107</f>
        <v>0</v>
      </c>
      <c r="D109">
        <f>Sheet3!G107</f>
        <v>0</v>
      </c>
      <c r="E109">
        <f>Sheet3!H107</f>
        <v>0</v>
      </c>
      <c r="F109">
        <f>Sheet3!I107</f>
        <v>0</v>
      </c>
      <c r="G109">
        <f>Sheet3!J107</f>
        <v>0</v>
      </c>
      <c r="H109">
        <f>Sheet3!K107</f>
        <v>0</v>
      </c>
      <c r="J109">
        <v>0.40971369031860383</v>
      </c>
      <c r="K109">
        <f t="shared" si="16"/>
        <v>1</v>
      </c>
      <c r="L109">
        <f t="shared" si="10"/>
        <v>0.40971369031860383</v>
      </c>
      <c r="M109">
        <f t="shared" si="11"/>
        <v>1</v>
      </c>
      <c r="N109">
        <f t="shared" si="17"/>
        <v>3</v>
      </c>
      <c r="O109">
        <f t="shared" si="18"/>
        <v>9</v>
      </c>
      <c r="P109">
        <f t="shared" si="12"/>
        <v>1</v>
      </c>
      <c r="R109">
        <f t="shared" si="13"/>
        <v>18</v>
      </c>
      <c r="S109">
        <f t="shared" si="14"/>
        <v>1</v>
      </c>
      <c r="T109">
        <f t="shared" si="15"/>
        <v>0</v>
      </c>
    </row>
    <row r="110" spans="2:20" x14ac:dyDescent="0.25">
      <c r="B110">
        <f>Sheet3!E108</f>
        <v>0</v>
      </c>
      <c r="C110">
        <f>Sheet3!F108</f>
        <v>0</v>
      </c>
      <c r="D110">
        <f>Sheet3!G108</f>
        <v>0</v>
      </c>
      <c r="E110">
        <f>Sheet3!H108</f>
        <v>0</v>
      </c>
      <c r="F110">
        <f>Sheet3!I108</f>
        <v>0</v>
      </c>
      <c r="G110">
        <f>Sheet3!J108</f>
        <v>0</v>
      </c>
      <c r="H110">
        <f>Sheet3!K108</f>
        <v>0</v>
      </c>
      <c r="J110">
        <v>0.77571923339420479</v>
      </c>
      <c r="K110">
        <f t="shared" si="16"/>
        <v>0</v>
      </c>
      <c r="L110">
        <f t="shared" si="10"/>
        <v>0</v>
      </c>
      <c r="M110">
        <f t="shared" si="11"/>
        <v>0</v>
      </c>
      <c r="N110">
        <f t="shared" si="17"/>
        <v>4</v>
      </c>
      <c r="O110">
        <f t="shared" si="18"/>
        <v>9</v>
      </c>
      <c r="P110">
        <f t="shared" si="12"/>
        <v>1</v>
      </c>
      <c r="R110">
        <f t="shared" si="13"/>
        <v>0</v>
      </c>
      <c r="S110">
        <f t="shared" si="14"/>
        <v>0</v>
      </c>
      <c r="T110">
        <f t="shared" si="15"/>
        <v>0</v>
      </c>
    </row>
    <row r="111" spans="2:20" x14ac:dyDescent="0.25">
      <c r="J111">
        <v>0.92711443163191898</v>
      </c>
      <c r="K111">
        <f t="shared" si="16"/>
        <v>1</v>
      </c>
      <c r="L111">
        <f t="shared" si="10"/>
        <v>0.92711443163191898</v>
      </c>
      <c r="M111">
        <f t="shared" si="11"/>
        <v>1</v>
      </c>
      <c r="N111">
        <f t="shared" si="17"/>
        <v>4</v>
      </c>
      <c r="O111">
        <f t="shared" si="18"/>
        <v>9</v>
      </c>
      <c r="P111">
        <f t="shared" si="12"/>
        <v>1</v>
      </c>
      <c r="R111">
        <f t="shared" si="13"/>
        <v>118</v>
      </c>
      <c r="S111">
        <f t="shared" si="14"/>
        <v>1</v>
      </c>
      <c r="T111">
        <f t="shared" si="15"/>
        <v>0</v>
      </c>
    </row>
    <row r="112" spans="2:20" x14ac:dyDescent="0.25">
      <c r="J112">
        <v>0.26195506341800567</v>
      </c>
      <c r="K112">
        <f t="shared" si="16"/>
        <v>0</v>
      </c>
      <c r="L112">
        <f t="shared" si="10"/>
        <v>0</v>
      </c>
      <c r="M112">
        <f t="shared" si="11"/>
        <v>0</v>
      </c>
      <c r="N112">
        <f t="shared" si="17"/>
        <v>5</v>
      </c>
      <c r="O112">
        <f t="shared" si="18"/>
        <v>9</v>
      </c>
      <c r="P112">
        <f t="shared" si="12"/>
        <v>1</v>
      </c>
      <c r="R112">
        <f t="shared" si="13"/>
        <v>0</v>
      </c>
      <c r="S112">
        <f t="shared" si="14"/>
        <v>0</v>
      </c>
      <c r="T112">
        <f t="shared" si="15"/>
        <v>0</v>
      </c>
    </row>
    <row r="113" spans="10:20" x14ac:dyDescent="0.25">
      <c r="J113">
        <v>0.7562462161496446</v>
      </c>
      <c r="K113">
        <f t="shared" si="16"/>
        <v>1</v>
      </c>
      <c r="L113">
        <f t="shared" si="10"/>
        <v>0.7562462161496446</v>
      </c>
      <c r="M113">
        <f t="shared" si="11"/>
        <v>1</v>
      </c>
      <c r="N113">
        <f t="shared" si="17"/>
        <v>5</v>
      </c>
      <c r="O113">
        <f t="shared" si="18"/>
        <v>9</v>
      </c>
      <c r="P113">
        <f t="shared" si="12"/>
        <v>1</v>
      </c>
      <c r="R113">
        <f t="shared" si="13"/>
        <v>1018</v>
      </c>
      <c r="S113">
        <f t="shared" si="14"/>
        <v>1</v>
      </c>
      <c r="T113">
        <f t="shared" si="15"/>
        <v>0</v>
      </c>
    </row>
    <row r="114" spans="10:20" x14ac:dyDescent="0.25">
      <c r="J114">
        <v>0.49977244191930537</v>
      </c>
      <c r="K114">
        <f t="shared" si="16"/>
        <v>0</v>
      </c>
      <c r="L114">
        <f t="shared" si="10"/>
        <v>0</v>
      </c>
      <c r="M114">
        <f t="shared" si="11"/>
        <v>0</v>
      </c>
      <c r="N114">
        <f t="shared" si="17"/>
        <v>6</v>
      </c>
      <c r="O114">
        <f t="shared" si="18"/>
        <v>9</v>
      </c>
      <c r="P114">
        <f t="shared" si="12"/>
        <v>1</v>
      </c>
      <c r="R114">
        <f t="shared" si="13"/>
        <v>0</v>
      </c>
      <c r="S114">
        <f t="shared" si="14"/>
        <v>0</v>
      </c>
      <c r="T114">
        <f t="shared" si="15"/>
        <v>0</v>
      </c>
    </row>
    <row r="115" spans="10:20" x14ac:dyDescent="0.25">
      <c r="J115">
        <v>0.77522509352049862</v>
      </c>
      <c r="K115">
        <f t="shared" si="16"/>
        <v>1</v>
      </c>
      <c r="L115">
        <f t="shared" si="10"/>
        <v>0.77522509352049862</v>
      </c>
      <c r="M115">
        <f t="shared" si="11"/>
        <v>1</v>
      </c>
      <c r="N115">
        <f t="shared" si="17"/>
        <v>6</v>
      </c>
      <c r="O115">
        <f t="shared" si="18"/>
        <v>9</v>
      </c>
      <c r="P115">
        <f t="shared" si="12"/>
        <v>1</v>
      </c>
      <c r="R115">
        <f t="shared" si="13"/>
        <v>10018</v>
      </c>
      <c r="S115">
        <f t="shared" si="14"/>
        <v>1</v>
      </c>
      <c r="T115">
        <f t="shared" si="15"/>
        <v>1</v>
      </c>
    </row>
    <row r="116" spans="10:20" x14ac:dyDescent="0.25">
      <c r="J116">
        <v>0.9981831899820478</v>
      </c>
      <c r="K116">
        <f t="shared" si="16"/>
        <v>0</v>
      </c>
      <c r="L116">
        <f t="shared" si="10"/>
        <v>0</v>
      </c>
      <c r="M116">
        <f t="shared" si="11"/>
        <v>0</v>
      </c>
      <c r="N116">
        <f t="shared" si="17"/>
        <v>7</v>
      </c>
      <c r="O116">
        <f t="shared" si="18"/>
        <v>9</v>
      </c>
      <c r="P116">
        <f t="shared" si="12"/>
        <v>1</v>
      </c>
      <c r="R116">
        <f t="shared" si="13"/>
        <v>0</v>
      </c>
      <c r="S116">
        <f t="shared" si="14"/>
        <v>0</v>
      </c>
      <c r="T116">
        <f t="shared" si="15"/>
        <v>0</v>
      </c>
    </row>
    <row r="117" spans="10:20" x14ac:dyDescent="0.25">
      <c r="J117">
        <v>0.28947419281662501</v>
      </c>
      <c r="K117">
        <f t="shared" si="16"/>
        <v>1</v>
      </c>
      <c r="L117">
        <f t="shared" si="10"/>
        <v>0.28947419281662501</v>
      </c>
      <c r="M117">
        <f t="shared" si="11"/>
        <v>1</v>
      </c>
      <c r="N117">
        <f t="shared" si="17"/>
        <v>1</v>
      </c>
      <c r="O117">
        <f t="shared" si="18"/>
        <v>10</v>
      </c>
      <c r="P117">
        <f t="shared" si="12"/>
        <v>1</v>
      </c>
      <c r="R117">
        <f t="shared" si="13"/>
        <v>0</v>
      </c>
      <c r="S117">
        <f t="shared" si="14"/>
        <v>1</v>
      </c>
      <c r="T117">
        <f t="shared" si="15"/>
        <v>0</v>
      </c>
    </row>
    <row r="118" spans="10:20" x14ac:dyDescent="0.25">
      <c r="J118">
        <v>0.65108368634275515</v>
      </c>
      <c r="K118">
        <f t="shared" si="16"/>
        <v>0</v>
      </c>
      <c r="L118">
        <f t="shared" si="10"/>
        <v>0</v>
      </c>
      <c r="M118">
        <f t="shared" si="11"/>
        <v>0</v>
      </c>
      <c r="N118">
        <f t="shared" si="17"/>
        <v>2</v>
      </c>
      <c r="O118">
        <f t="shared" si="18"/>
        <v>10</v>
      </c>
      <c r="P118">
        <f t="shared" si="12"/>
        <v>1</v>
      </c>
      <c r="R118">
        <f t="shared" si="13"/>
        <v>0</v>
      </c>
      <c r="S118">
        <f t="shared" si="14"/>
        <v>0</v>
      </c>
      <c r="T118">
        <f t="shared" si="15"/>
        <v>0</v>
      </c>
    </row>
    <row r="119" spans="10:20" x14ac:dyDescent="0.25">
      <c r="J119">
        <v>0.57312155261555153</v>
      </c>
      <c r="K119">
        <f t="shared" si="16"/>
        <v>1</v>
      </c>
      <c r="L119">
        <f t="shared" si="10"/>
        <v>0.57312155261555153</v>
      </c>
      <c r="M119">
        <f t="shared" si="11"/>
        <v>1</v>
      </c>
      <c r="N119">
        <f t="shared" si="17"/>
        <v>2</v>
      </c>
      <c r="O119">
        <f t="shared" si="18"/>
        <v>10</v>
      </c>
      <c r="P119">
        <f t="shared" si="12"/>
        <v>1</v>
      </c>
      <c r="R119">
        <f t="shared" si="13"/>
        <v>5</v>
      </c>
      <c r="S119">
        <f t="shared" si="14"/>
        <v>1</v>
      </c>
      <c r="T119">
        <f t="shared" si="15"/>
        <v>0</v>
      </c>
    </row>
    <row r="120" spans="10:20" x14ac:dyDescent="0.25">
      <c r="J120">
        <v>0.82627427071196968</v>
      </c>
      <c r="K120">
        <f t="shared" si="16"/>
        <v>0</v>
      </c>
      <c r="L120">
        <f t="shared" si="10"/>
        <v>0</v>
      </c>
      <c r="M120">
        <f t="shared" si="11"/>
        <v>0</v>
      </c>
      <c r="N120">
        <f t="shared" si="17"/>
        <v>3</v>
      </c>
      <c r="O120">
        <f t="shared" si="18"/>
        <v>10</v>
      </c>
      <c r="P120">
        <f t="shared" si="12"/>
        <v>1</v>
      </c>
      <c r="R120">
        <f t="shared" si="13"/>
        <v>0</v>
      </c>
      <c r="S120">
        <f t="shared" si="14"/>
        <v>0</v>
      </c>
      <c r="T120">
        <f t="shared" si="15"/>
        <v>0</v>
      </c>
    </row>
    <row r="121" spans="10:20" x14ac:dyDescent="0.25">
      <c r="J121">
        <v>0.12039755637468441</v>
      </c>
      <c r="K121">
        <f t="shared" si="16"/>
        <v>1</v>
      </c>
      <c r="L121">
        <f t="shared" si="10"/>
        <v>0.12039755637468441</v>
      </c>
      <c r="M121">
        <f t="shared" si="11"/>
        <v>1</v>
      </c>
      <c r="N121">
        <f t="shared" si="17"/>
        <v>3</v>
      </c>
      <c r="O121">
        <f t="shared" si="18"/>
        <v>10</v>
      </c>
      <c r="P121">
        <f t="shared" si="12"/>
        <v>1</v>
      </c>
      <c r="R121">
        <f t="shared" si="13"/>
        <v>19</v>
      </c>
      <c r="S121">
        <f t="shared" si="14"/>
        <v>1</v>
      </c>
      <c r="T121">
        <f t="shared" si="15"/>
        <v>0</v>
      </c>
    </row>
    <row r="122" spans="10:20" x14ac:dyDescent="0.25">
      <c r="J122">
        <v>0.62127045129470304</v>
      </c>
      <c r="K122">
        <f t="shared" si="16"/>
        <v>0</v>
      </c>
      <c r="L122">
        <f t="shared" si="10"/>
        <v>0</v>
      </c>
      <c r="M122">
        <f t="shared" si="11"/>
        <v>0</v>
      </c>
      <c r="N122">
        <f t="shared" si="17"/>
        <v>4</v>
      </c>
      <c r="O122">
        <f t="shared" si="18"/>
        <v>10</v>
      </c>
      <c r="P122">
        <f t="shared" si="12"/>
        <v>1</v>
      </c>
      <c r="R122">
        <f t="shared" si="13"/>
        <v>0</v>
      </c>
      <c r="S122">
        <f t="shared" si="14"/>
        <v>0</v>
      </c>
      <c r="T122">
        <f t="shared" si="15"/>
        <v>0</v>
      </c>
    </row>
    <row r="123" spans="10:20" x14ac:dyDescent="0.25">
      <c r="J123">
        <v>0.34714825979983432</v>
      </c>
      <c r="K123">
        <f t="shared" si="16"/>
        <v>1</v>
      </c>
      <c r="L123">
        <f t="shared" si="10"/>
        <v>0.34714825979983432</v>
      </c>
      <c r="M123">
        <f t="shared" si="11"/>
        <v>1</v>
      </c>
      <c r="N123">
        <f t="shared" si="17"/>
        <v>4</v>
      </c>
      <c r="O123">
        <f t="shared" si="18"/>
        <v>10</v>
      </c>
      <c r="P123">
        <f t="shared" si="12"/>
        <v>1</v>
      </c>
      <c r="R123">
        <f t="shared" si="13"/>
        <v>119</v>
      </c>
      <c r="S123">
        <f t="shared" si="14"/>
        <v>1</v>
      </c>
      <c r="T123">
        <f t="shared" si="15"/>
        <v>0</v>
      </c>
    </row>
    <row r="124" spans="10:20" x14ac:dyDescent="0.25">
      <c r="J124">
        <v>0.10477442613055965</v>
      </c>
      <c r="K124">
        <f t="shared" si="16"/>
        <v>0</v>
      </c>
      <c r="L124">
        <f t="shared" si="10"/>
        <v>0</v>
      </c>
      <c r="M124">
        <f t="shared" si="11"/>
        <v>0</v>
      </c>
      <c r="N124">
        <f t="shared" si="17"/>
        <v>5</v>
      </c>
      <c r="O124">
        <f t="shared" si="18"/>
        <v>10</v>
      </c>
      <c r="P124">
        <f t="shared" si="12"/>
        <v>1</v>
      </c>
      <c r="R124">
        <f t="shared" si="13"/>
        <v>0</v>
      </c>
      <c r="S124">
        <f t="shared" si="14"/>
        <v>0</v>
      </c>
      <c r="T124">
        <f t="shared" si="15"/>
        <v>0</v>
      </c>
    </row>
    <row r="125" spans="10:20" x14ac:dyDescent="0.25">
      <c r="J125">
        <v>0.32404610256283251</v>
      </c>
      <c r="K125">
        <f t="shared" si="16"/>
        <v>1</v>
      </c>
      <c r="L125">
        <f t="shared" si="10"/>
        <v>0.32404610256283251</v>
      </c>
      <c r="M125">
        <f t="shared" si="11"/>
        <v>1</v>
      </c>
      <c r="N125">
        <f t="shared" si="17"/>
        <v>5</v>
      </c>
      <c r="O125">
        <f t="shared" si="18"/>
        <v>10</v>
      </c>
      <c r="P125">
        <f t="shared" si="12"/>
        <v>1</v>
      </c>
      <c r="R125">
        <f t="shared" si="13"/>
        <v>1019</v>
      </c>
      <c r="S125">
        <f t="shared" si="14"/>
        <v>1</v>
      </c>
      <c r="T125">
        <f t="shared" si="15"/>
        <v>0</v>
      </c>
    </row>
    <row r="126" spans="10:20" x14ac:dyDescent="0.25">
      <c r="J126">
        <v>0.61641532028583756</v>
      </c>
      <c r="K126">
        <f t="shared" si="16"/>
        <v>0</v>
      </c>
      <c r="L126">
        <f t="shared" si="10"/>
        <v>0</v>
      </c>
      <c r="M126">
        <f t="shared" si="11"/>
        <v>0</v>
      </c>
      <c r="N126">
        <f t="shared" si="17"/>
        <v>6</v>
      </c>
      <c r="O126">
        <f t="shared" si="18"/>
        <v>10</v>
      </c>
      <c r="P126">
        <f t="shared" si="12"/>
        <v>1</v>
      </c>
      <c r="R126">
        <f t="shared" si="13"/>
        <v>0</v>
      </c>
      <c r="S126">
        <f t="shared" si="14"/>
        <v>0</v>
      </c>
      <c r="T126">
        <f t="shared" si="15"/>
        <v>0</v>
      </c>
    </row>
    <row r="127" spans="10:20" x14ac:dyDescent="0.25">
      <c r="J127">
        <v>0.98123053024231299</v>
      </c>
      <c r="K127">
        <f t="shared" si="16"/>
        <v>1</v>
      </c>
      <c r="L127">
        <f t="shared" si="10"/>
        <v>0.98123053024231299</v>
      </c>
      <c r="M127">
        <f t="shared" si="11"/>
        <v>1</v>
      </c>
      <c r="N127">
        <f t="shared" si="17"/>
        <v>6</v>
      </c>
      <c r="O127">
        <f t="shared" si="18"/>
        <v>10</v>
      </c>
      <c r="P127">
        <f t="shared" si="12"/>
        <v>1</v>
      </c>
      <c r="R127">
        <f t="shared" si="13"/>
        <v>10019</v>
      </c>
      <c r="S127">
        <f t="shared" si="14"/>
        <v>1</v>
      </c>
      <c r="T127">
        <f t="shared" si="15"/>
        <v>1</v>
      </c>
    </row>
    <row r="128" spans="10:20" x14ac:dyDescent="0.25">
      <c r="J128">
        <v>9.3962642104769123E-2</v>
      </c>
      <c r="K128">
        <f t="shared" si="16"/>
        <v>0</v>
      </c>
      <c r="L128">
        <f t="shared" si="10"/>
        <v>0</v>
      </c>
      <c r="M128">
        <f t="shared" si="11"/>
        <v>0</v>
      </c>
      <c r="N128">
        <f t="shared" si="17"/>
        <v>7</v>
      </c>
      <c r="O128">
        <f t="shared" si="18"/>
        <v>10</v>
      </c>
      <c r="P128">
        <f t="shared" si="12"/>
        <v>1</v>
      </c>
      <c r="R128">
        <f t="shared" si="13"/>
        <v>0</v>
      </c>
      <c r="S128">
        <f t="shared" si="14"/>
        <v>0</v>
      </c>
      <c r="T128">
        <f t="shared" si="15"/>
        <v>0</v>
      </c>
    </row>
    <row r="129" spans="10:20" x14ac:dyDescent="0.25">
      <c r="J129">
        <v>0.93061005481358139</v>
      </c>
      <c r="K129">
        <f t="shared" si="16"/>
        <v>1</v>
      </c>
      <c r="L129">
        <f t="shared" si="10"/>
        <v>0.93061005481358139</v>
      </c>
      <c r="M129">
        <f t="shared" si="11"/>
        <v>1</v>
      </c>
      <c r="N129">
        <f t="shared" si="17"/>
        <v>1</v>
      </c>
      <c r="O129">
        <f t="shared" si="18"/>
        <v>11</v>
      </c>
      <c r="P129">
        <f t="shared" si="12"/>
        <v>1</v>
      </c>
      <c r="R129">
        <f t="shared" si="13"/>
        <v>0</v>
      </c>
      <c r="S129">
        <f t="shared" si="14"/>
        <v>1</v>
      </c>
      <c r="T129">
        <f t="shared" si="15"/>
        <v>0</v>
      </c>
    </row>
    <row r="130" spans="10:20" x14ac:dyDescent="0.25">
      <c r="J130">
        <v>5.0407364789579079E-2</v>
      </c>
      <c r="K130">
        <f t="shared" si="16"/>
        <v>0</v>
      </c>
      <c r="L130">
        <f t="shared" si="10"/>
        <v>0</v>
      </c>
      <c r="M130">
        <f t="shared" si="11"/>
        <v>0</v>
      </c>
      <c r="N130">
        <f t="shared" si="17"/>
        <v>2</v>
      </c>
      <c r="O130">
        <f t="shared" si="18"/>
        <v>11</v>
      </c>
      <c r="P130">
        <f t="shared" si="12"/>
        <v>1</v>
      </c>
      <c r="R130">
        <f t="shared" si="13"/>
        <v>0</v>
      </c>
      <c r="S130">
        <f t="shared" si="14"/>
        <v>0</v>
      </c>
      <c r="T130">
        <f t="shared" si="15"/>
        <v>0</v>
      </c>
    </row>
    <row r="131" spans="10:20" x14ac:dyDescent="0.25">
      <c r="J131">
        <v>0.1304178576789824</v>
      </c>
      <c r="K131">
        <f t="shared" si="16"/>
        <v>1</v>
      </c>
      <c r="L131">
        <f t="shared" si="10"/>
        <v>0.1304178576789824</v>
      </c>
      <c r="M131">
        <f t="shared" si="11"/>
        <v>1</v>
      </c>
      <c r="N131">
        <f t="shared" si="17"/>
        <v>2</v>
      </c>
      <c r="O131">
        <f t="shared" si="18"/>
        <v>11</v>
      </c>
      <c r="P131">
        <f t="shared" si="12"/>
        <v>1</v>
      </c>
      <c r="R131">
        <f t="shared" si="13"/>
        <v>5</v>
      </c>
      <c r="S131">
        <f t="shared" si="14"/>
        <v>1</v>
      </c>
      <c r="T131">
        <f t="shared" si="15"/>
        <v>0</v>
      </c>
    </row>
    <row r="132" spans="10:20" x14ac:dyDescent="0.25">
      <c r="J132">
        <v>0.52089241349770121</v>
      </c>
      <c r="K132">
        <f t="shared" si="16"/>
        <v>0</v>
      </c>
      <c r="L132">
        <f t="shared" si="10"/>
        <v>0</v>
      </c>
      <c r="M132">
        <f t="shared" si="11"/>
        <v>0</v>
      </c>
      <c r="N132">
        <f t="shared" si="17"/>
        <v>3</v>
      </c>
      <c r="O132">
        <f t="shared" si="18"/>
        <v>11</v>
      </c>
      <c r="P132">
        <f t="shared" si="12"/>
        <v>1</v>
      </c>
      <c r="R132">
        <f t="shared" si="13"/>
        <v>0</v>
      </c>
      <c r="S132">
        <f t="shared" si="14"/>
        <v>0</v>
      </c>
      <c r="T132">
        <f t="shared" si="15"/>
        <v>0</v>
      </c>
    </row>
    <row r="133" spans="10:20" x14ac:dyDescent="0.25">
      <c r="J133">
        <v>0.73609843874752634</v>
      </c>
      <c r="K133">
        <f t="shared" si="16"/>
        <v>1</v>
      </c>
      <c r="L133">
        <f t="shared" si="10"/>
        <v>0.73609843874752634</v>
      </c>
      <c r="M133">
        <f t="shared" si="11"/>
        <v>1</v>
      </c>
      <c r="N133">
        <f t="shared" si="17"/>
        <v>3</v>
      </c>
      <c r="O133">
        <f t="shared" si="18"/>
        <v>11</v>
      </c>
      <c r="P133">
        <f t="shared" si="12"/>
        <v>1</v>
      </c>
      <c r="R133">
        <f t="shared" si="13"/>
        <v>20</v>
      </c>
      <c r="S133">
        <f t="shared" si="14"/>
        <v>1</v>
      </c>
      <c r="T133">
        <f t="shared" si="15"/>
        <v>0</v>
      </c>
    </row>
    <row r="134" spans="10:20" x14ac:dyDescent="0.25">
      <c r="J134">
        <v>0.26909667808467597</v>
      </c>
      <c r="K134">
        <f t="shared" si="16"/>
        <v>0</v>
      </c>
      <c r="L134">
        <f t="shared" si="10"/>
        <v>0</v>
      </c>
      <c r="M134">
        <f t="shared" si="11"/>
        <v>0</v>
      </c>
      <c r="N134">
        <f t="shared" si="17"/>
        <v>4</v>
      </c>
      <c r="O134">
        <f t="shared" si="18"/>
        <v>11</v>
      </c>
      <c r="P134">
        <f t="shared" si="12"/>
        <v>1</v>
      </c>
      <c r="R134">
        <f t="shared" si="13"/>
        <v>0</v>
      </c>
      <c r="S134">
        <f t="shared" si="14"/>
        <v>0</v>
      </c>
      <c r="T134">
        <f t="shared" si="15"/>
        <v>0</v>
      </c>
    </row>
    <row r="135" spans="10:20" x14ac:dyDescent="0.25">
      <c r="J135">
        <v>0.1419571627481474</v>
      </c>
      <c r="K135">
        <f t="shared" si="16"/>
        <v>1</v>
      </c>
      <c r="L135">
        <f t="shared" si="10"/>
        <v>0.1419571627481474</v>
      </c>
      <c r="M135">
        <f t="shared" si="11"/>
        <v>1</v>
      </c>
      <c r="N135">
        <f t="shared" si="17"/>
        <v>4</v>
      </c>
      <c r="O135">
        <f t="shared" si="18"/>
        <v>11</v>
      </c>
      <c r="P135">
        <f t="shared" si="12"/>
        <v>1</v>
      </c>
      <c r="R135">
        <f t="shared" si="13"/>
        <v>120</v>
      </c>
      <c r="S135">
        <f t="shared" si="14"/>
        <v>1</v>
      </c>
      <c r="T135">
        <f t="shared" si="15"/>
        <v>0</v>
      </c>
    </row>
    <row r="136" spans="10:20" x14ac:dyDescent="0.25">
      <c r="J136">
        <v>8.5641673092647808E-2</v>
      </c>
      <c r="K136">
        <f t="shared" si="16"/>
        <v>0</v>
      </c>
      <c r="L136">
        <f t="shared" ref="L136:L199" si="19">K136*J136</f>
        <v>0</v>
      </c>
      <c r="M136">
        <f t="shared" ref="M136:M199" si="20">IF(L136&gt;$M$2,1,0)</f>
        <v>0</v>
      </c>
      <c r="N136">
        <f t="shared" si="17"/>
        <v>5</v>
      </c>
      <c r="O136">
        <f t="shared" si="18"/>
        <v>11</v>
      </c>
      <c r="P136">
        <f t="shared" ref="P136:P199" si="21">IF(INDEX($B$7:$H$1029,O136,2)&gt;0,1,0)</f>
        <v>1</v>
      </c>
      <c r="R136">
        <f t="shared" ref="R136:R199" si="22">IF(  M136&gt;0,INDEX($B$7:$H$1029,O136,N136),0)*P136</f>
        <v>0</v>
      </c>
      <c r="S136">
        <f t="shared" ref="S136:S199" si="23">M136*P136</f>
        <v>0</v>
      </c>
      <c r="T136">
        <f t="shared" ref="T136:T199" si="24">IF(N137=$N$2,1,0)*P136</f>
        <v>0</v>
      </c>
    </row>
    <row r="137" spans="10:20" x14ac:dyDescent="0.25">
      <c r="J137">
        <v>0.72534689845051581</v>
      </c>
      <c r="K137">
        <f t="shared" ref="K137:K200" si="25">IF(K136=1,0,1)</f>
        <v>1</v>
      </c>
      <c r="L137">
        <f t="shared" si="19"/>
        <v>0.72534689845051581</v>
      </c>
      <c r="M137">
        <f t="shared" si="20"/>
        <v>1</v>
      </c>
      <c r="N137">
        <f t="shared" ref="N137:N200" si="26">IF(N136&lt;$N$2,N136+M136,1)</f>
        <v>5</v>
      </c>
      <c r="O137">
        <f t="shared" si="18"/>
        <v>11</v>
      </c>
      <c r="P137">
        <f t="shared" si="21"/>
        <v>1</v>
      </c>
      <c r="R137">
        <f t="shared" si="22"/>
        <v>1020</v>
      </c>
      <c r="S137">
        <f t="shared" si="23"/>
        <v>1</v>
      </c>
      <c r="T137">
        <f t="shared" si="24"/>
        <v>0</v>
      </c>
    </row>
    <row r="138" spans="10:20" x14ac:dyDescent="0.25">
      <c r="J138">
        <v>0.23569612038000765</v>
      </c>
      <c r="K138">
        <f t="shared" si="25"/>
        <v>0</v>
      </c>
      <c r="L138">
        <f t="shared" si="19"/>
        <v>0</v>
      </c>
      <c r="M138">
        <f t="shared" si="20"/>
        <v>0</v>
      </c>
      <c r="N138">
        <f t="shared" si="26"/>
        <v>6</v>
      </c>
      <c r="O138">
        <f t="shared" si="18"/>
        <v>11</v>
      </c>
      <c r="P138">
        <f t="shared" si="21"/>
        <v>1</v>
      </c>
      <c r="R138">
        <f t="shared" si="22"/>
        <v>0</v>
      </c>
      <c r="S138">
        <f t="shared" si="23"/>
        <v>0</v>
      </c>
      <c r="T138">
        <f t="shared" si="24"/>
        <v>0</v>
      </c>
    </row>
    <row r="139" spans="10:20" x14ac:dyDescent="0.25">
      <c r="J139">
        <v>0.43144471758283376</v>
      </c>
      <c r="K139">
        <f t="shared" si="25"/>
        <v>1</v>
      </c>
      <c r="L139">
        <f t="shared" si="19"/>
        <v>0.43144471758283376</v>
      </c>
      <c r="M139">
        <f t="shared" si="20"/>
        <v>1</v>
      </c>
      <c r="N139">
        <f t="shared" si="26"/>
        <v>6</v>
      </c>
      <c r="O139">
        <f t="shared" si="18"/>
        <v>11</v>
      </c>
      <c r="P139">
        <f t="shared" si="21"/>
        <v>1</v>
      </c>
      <c r="R139">
        <f t="shared" si="22"/>
        <v>10020</v>
      </c>
      <c r="S139">
        <f t="shared" si="23"/>
        <v>1</v>
      </c>
      <c r="T139">
        <f t="shared" si="24"/>
        <v>1</v>
      </c>
    </row>
    <row r="140" spans="10:20" x14ac:dyDescent="0.25">
      <c r="J140">
        <v>0.35253626584376252</v>
      </c>
      <c r="K140">
        <f t="shared" si="25"/>
        <v>0</v>
      </c>
      <c r="L140">
        <f t="shared" si="19"/>
        <v>0</v>
      </c>
      <c r="M140">
        <f t="shared" si="20"/>
        <v>0</v>
      </c>
      <c r="N140">
        <f t="shared" si="26"/>
        <v>7</v>
      </c>
      <c r="O140">
        <f t="shared" si="18"/>
        <v>11</v>
      </c>
      <c r="P140">
        <f t="shared" si="21"/>
        <v>1</v>
      </c>
      <c r="R140">
        <f t="shared" si="22"/>
        <v>0</v>
      </c>
      <c r="S140">
        <f t="shared" si="23"/>
        <v>0</v>
      </c>
      <c r="T140">
        <f t="shared" si="24"/>
        <v>0</v>
      </c>
    </row>
    <row r="141" spans="10:20" x14ac:dyDescent="0.25">
      <c r="J141">
        <v>0.49535136743792973</v>
      </c>
      <c r="K141">
        <f t="shared" si="25"/>
        <v>1</v>
      </c>
      <c r="L141">
        <f t="shared" si="19"/>
        <v>0.49535136743792973</v>
      </c>
      <c r="M141">
        <f t="shared" si="20"/>
        <v>1</v>
      </c>
      <c r="N141">
        <f t="shared" si="26"/>
        <v>1</v>
      </c>
      <c r="O141">
        <f t="shared" si="18"/>
        <v>12</v>
      </c>
      <c r="P141">
        <f t="shared" si="21"/>
        <v>1</v>
      </c>
      <c r="R141">
        <f t="shared" si="22"/>
        <v>0</v>
      </c>
      <c r="S141">
        <f t="shared" si="23"/>
        <v>1</v>
      </c>
      <c r="T141">
        <f t="shared" si="24"/>
        <v>0</v>
      </c>
    </row>
    <row r="142" spans="10:20" x14ac:dyDescent="0.25">
      <c r="J142">
        <v>0.24520881952641782</v>
      </c>
      <c r="K142">
        <f t="shared" si="25"/>
        <v>0</v>
      </c>
      <c r="L142">
        <f t="shared" si="19"/>
        <v>0</v>
      </c>
      <c r="M142">
        <f t="shared" si="20"/>
        <v>0</v>
      </c>
      <c r="N142">
        <f t="shared" si="26"/>
        <v>2</v>
      </c>
      <c r="O142">
        <f t="shared" si="18"/>
        <v>12</v>
      </c>
      <c r="P142">
        <f t="shared" si="21"/>
        <v>1</v>
      </c>
      <c r="R142">
        <f t="shared" si="22"/>
        <v>0</v>
      </c>
      <c r="S142">
        <f t="shared" si="23"/>
        <v>0</v>
      </c>
      <c r="T142">
        <f t="shared" si="24"/>
        <v>0</v>
      </c>
    </row>
    <row r="143" spans="10:20" x14ac:dyDescent="0.25">
      <c r="J143">
        <v>0.32930537770788215</v>
      </c>
      <c r="K143">
        <f t="shared" si="25"/>
        <v>1</v>
      </c>
      <c r="L143">
        <f t="shared" si="19"/>
        <v>0.32930537770788215</v>
      </c>
      <c r="M143">
        <f t="shared" si="20"/>
        <v>1</v>
      </c>
      <c r="N143">
        <f t="shared" si="26"/>
        <v>2</v>
      </c>
      <c r="O143">
        <f t="shared" si="18"/>
        <v>12</v>
      </c>
      <c r="P143">
        <f t="shared" si="21"/>
        <v>1</v>
      </c>
      <c r="R143">
        <f t="shared" si="22"/>
        <v>5</v>
      </c>
      <c r="S143">
        <f t="shared" si="23"/>
        <v>1</v>
      </c>
      <c r="T143">
        <f t="shared" si="24"/>
        <v>0</v>
      </c>
    </row>
    <row r="144" spans="10:20" x14ac:dyDescent="0.25">
      <c r="J144">
        <v>3.6768787696768501E-2</v>
      </c>
      <c r="K144">
        <f t="shared" si="25"/>
        <v>0</v>
      </c>
      <c r="L144">
        <f t="shared" si="19"/>
        <v>0</v>
      </c>
      <c r="M144">
        <f t="shared" si="20"/>
        <v>0</v>
      </c>
      <c r="N144">
        <f t="shared" si="26"/>
        <v>3</v>
      </c>
      <c r="O144">
        <f t="shared" ref="O144:O207" si="27">IF(AND(N144=1,M144=1),O143+1,O143)</f>
        <v>12</v>
      </c>
      <c r="P144">
        <f t="shared" si="21"/>
        <v>1</v>
      </c>
      <c r="R144">
        <f t="shared" si="22"/>
        <v>0</v>
      </c>
      <c r="S144">
        <f t="shared" si="23"/>
        <v>0</v>
      </c>
      <c r="T144">
        <f t="shared" si="24"/>
        <v>0</v>
      </c>
    </row>
    <row r="145" spans="10:20" x14ac:dyDescent="0.25">
      <c r="J145">
        <v>0.41765065213760344</v>
      </c>
      <c r="K145">
        <f t="shared" si="25"/>
        <v>1</v>
      </c>
      <c r="L145">
        <f t="shared" si="19"/>
        <v>0.41765065213760344</v>
      </c>
      <c r="M145">
        <f t="shared" si="20"/>
        <v>1</v>
      </c>
      <c r="N145">
        <f t="shared" si="26"/>
        <v>3</v>
      </c>
      <c r="O145">
        <f t="shared" si="27"/>
        <v>12</v>
      </c>
      <c r="P145">
        <f t="shared" si="21"/>
        <v>1</v>
      </c>
      <c r="R145">
        <f t="shared" si="22"/>
        <v>21</v>
      </c>
      <c r="S145">
        <f t="shared" si="23"/>
        <v>1</v>
      </c>
      <c r="T145">
        <f t="shared" si="24"/>
        <v>0</v>
      </c>
    </row>
    <row r="146" spans="10:20" x14ac:dyDescent="0.25">
      <c r="J146">
        <v>0.57458104555659884</v>
      </c>
      <c r="K146">
        <f t="shared" si="25"/>
        <v>0</v>
      </c>
      <c r="L146">
        <f t="shared" si="19"/>
        <v>0</v>
      </c>
      <c r="M146">
        <f t="shared" si="20"/>
        <v>0</v>
      </c>
      <c r="N146">
        <f t="shared" si="26"/>
        <v>4</v>
      </c>
      <c r="O146">
        <f t="shared" si="27"/>
        <v>12</v>
      </c>
      <c r="P146">
        <f t="shared" si="21"/>
        <v>1</v>
      </c>
      <c r="R146">
        <f t="shared" si="22"/>
        <v>0</v>
      </c>
      <c r="S146">
        <f t="shared" si="23"/>
        <v>0</v>
      </c>
      <c r="T146">
        <f t="shared" si="24"/>
        <v>0</v>
      </c>
    </row>
    <row r="147" spans="10:20" x14ac:dyDescent="0.25">
      <c r="J147">
        <v>3.8194047074608384E-2</v>
      </c>
      <c r="K147">
        <f t="shared" si="25"/>
        <v>1</v>
      </c>
      <c r="L147">
        <f t="shared" si="19"/>
        <v>3.8194047074608384E-2</v>
      </c>
      <c r="M147">
        <f t="shared" si="20"/>
        <v>1</v>
      </c>
      <c r="N147">
        <f t="shared" si="26"/>
        <v>4</v>
      </c>
      <c r="O147">
        <f t="shared" si="27"/>
        <v>12</v>
      </c>
      <c r="P147">
        <f t="shared" si="21"/>
        <v>1</v>
      </c>
      <c r="R147">
        <f t="shared" si="22"/>
        <v>121</v>
      </c>
      <c r="S147">
        <f t="shared" si="23"/>
        <v>1</v>
      </c>
      <c r="T147">
        <f t="shared" si="24"/>
        <v>0</v>
      </c>
    </row>
    <row r="148" spans="10:20" x14ac:dyDescent="0.25">
      <c r="J148">
        <v>0.99003132343256495</v>
      </c>
      <c r="K148">
        <f t="shared" si="25"/>
        <v>0</v>
      </c>
      <c r="L148">
        <f t="shared" si="19"/>
        <v>0</v>
      </c>
      <c r="M148">
        <f t="shared" si="20"/>
        <v>0</v>
      </c>
      <c r="N148">
        <f t="shared" si="26"/>
        <v>5</v>
      </c>
      <c r="O148">
        <f t="shared" si="27"/>
        <v>12</v>
      </c>
      <c r="P148">
        <f t="shared" si="21"/>
        <v>1</v>
      </c>
      <c r="R148">
        <f t="shared" si="22"/>
        <v>0</v>
      </c>
      <c r="S148">
        <f t="shared" si="23"/>
        <v>0</v>
      </c>
      <c r="T148">
        <f t="shared" si="24"/>
        <v>0</v>
      </c>
    </row>
    <row r="149" spans="10:20" x14ac:dyDescent="0.25">
      <c r="J149">
        <v>0.60168786926181395</v>
      </c>
      <c r="K149">
        <f t="shared" si="25"/>
        <v>1</v>
      </c>
      <c r="L149">
        <f t="shared" si="19"/>
        <v>0.60168786926181395</v>
      </c>
      <c r="M149">
        <f t="shared" si="20"/>
        <v>1</v>
      </c>
      <c r="N149">
        <f t="shared" si="26"/>
        <v>5</v>
      </c>
      <c r="O149">
        <f t="shared" si="27"/>
        <v>12</v>
      </c>
      <c r="P149">
        <f t="shared" si="21"/>
        <v>1</v>
      </c>
      <c r="R149">
        <f t="shared" si="22"/>
        <v>1021</v>
      </c>
      <c r="S149">
        <f t="shared" si="23"/>
        <v>1</v>
      </c>
      <c r="T149">
        <f t="shared" si="24"/>
        <v>0</v>
      </c>
    </row>
    <row r="150" spans="10:20" x14ac:dyDescent="0.25">
      <c r="J150">
        <v>5.5231207797973192E-2</v>
      </c>
      <c r="K150">
        <f t="shared" si="25"/>
        <v>0</v>
      </c>
      <c r="L150">
        <f t="shared" si="19"/>
        <v>0</v>
      </c>
      <c r="M150">
        <f t="shared" si="20"/>
        <v>0</v>
      </c>
      <c r="N150">
        <f t="shared" si="26"/>
        <v>6</v>
      </c>
      <c r="O150">
        <f t="shared" si="27"/>
        <v>12</v>
      </c>
      <c r="P150">
        <f t="shared" si="21"/>
        <v>1</v>
      </c>
      <c r="R150">
        <f t="shared" si="22"/>
        <v>0</v>
      </c>
      <c r="S150">
        <f t="shared" si="23"/>
        <v>0</v>
      </c>
      <c r="T150">
        <f t="shared" si="24"/>
        <v>0</v>
      </c>
    </row>
    <row r="151" spans="10:20" x14ac:dyDescent="0.25">
      <c r="J151">
        <v>0.10346730922772063</v>
      </c>
      <c r="K151">
        <f t="shared" si="25"/>
        <v>1</v>
      </c>
      <c r="L151">
        <f t="shared" si="19"/>
        <v>0.10346730922772063</v>
      </c>
      <c r="M151">
        <f t="shared" si="20"/>
        <v>1</v>
      </c>
      <c r="N151">
        <f t="shared" si="26"/>
        <v>6</v>
      </c>
      <c r="O151">
        <f t="shared" si="27"/>
        <v>12</v>
      </c>
      <c r="P151">
        <f t="shared" si="21"/>
        <v>1</v>
      </c>
      <c r="R151">
        <f t="shared" si="22"/>
        <v>10021</v>
      </c>
      <c r="S151">
        <f t="shared" si="23"/>
        <v>1</v>
      </c>
      <c r="T151">
        <f t="shared" si="24"/>
        <v>1</v>
      </c>
    </row>
    <row r="152" spans="10:20" x14ac:dyDescent="0.25">
      <c r="J152">
        <v>8.7964085282232984E-2</v>
      </c>
      <c r="K152">
        <f t="shared" si="25"/>
        <v>0</v>
      </c>
      <c r="L152">
        <f t="shared" si="19"/>
        <v>0</v>
      </c>
      <c r="M152">
        <f t="shared" si="20"/>
        <v>0</v>
      </c>
      <c r="N152">
        <f t="shared" si="26"/>
        <v>7</v>
      </c>
      <c r="O152">
        <f t="shared" si="27"/>
        <v>12</v>
      </c>
      <c r="P152">
        <f t="shared" si="21"/>
        <v>1</v>
      </c>
      <c r="R152">
        <f t="shared" si="22"/>
        <v>0</v>
      </c>
      <c r="S152">
        <f t="shared" si="23"/>
        <v>0</v>
      </c>
      <c r="T152">
        <f t="shared" si="24"/>
        <v>0</v>
      </c>
    </row>
    <row r="153" spans="10:20" x14ac:dyDescent="0.25">
      <c r="J153">
        <v>0.1355647172642821</v>
      </c>
      <c r="K153">
        <f t="shared" si="25"/>
        <v>1</v>
      </c>
      <c r="L153">
        <f t="shared" si="19"/>
        <v>0.1355647172642821</v>
      </c>
      <c r="M153">
        <f t="shared" si="20"/>
        <v>1</v>
      </c>
      <c r="N153">
        <f t="shared" si="26"/>
        <v>1</v>
      </c>
      <c r="O153">
        <f t="shared" si="27"/>
        <v>13</v>
      </c>
      <c r="P153">
        <f t="shared" si="21"/>
        <v>1</v>
      </c>
      <c r="R153">
        <f t="shared" si="22"/>
        <v>0</v>
      </c>
      <c r="S153">
        <f t="shared" si="23"/>
        <v>1</v>
      </c>
      <c r="T153">
        <f t="shared" si="24"/>
        <v>0</v>
      </c>
    </row>
    <row r="154" spans="10:20" x14ac:dyDescent="0.25">
      <c r="J154">
        <v>0.33963982806822857</v>
      </c>
      <c r="K154">
        <f t="shared" si="25"/>
        <v>0</v>
      </c>
      <c r="L154">
        <f t="shared" si="19"/>
        <v>0</v>
      </c>
      <c r="M154">
        <f t="shared" si="20"/>
        <v>0</v>
      </c>
      <c r="N154">
        <f t="shared" si="26"/>
        <v>2</v>
      </c>
      <c r="O154">
        <f t="shared" si="27"/>
        <v>13</v>
      </c>
      <c r="P154">
        <f t="shared" si="21"/>
        <v>1</v>
      </c>
      <c r="R154">
        <f t="shared" si="22"/>
        <v>0</v>
      </c>
      <c r="S154">
        <f t="shared" si="23"/>
        <v>0</v>
      </c>
      <c r="T154">
        <f t="shared" si="24"/>
        <v>0</v>
      </c>
    </row>
    <row r="155" spans="10:20" x14ac:dyDescent="0.25">
      <c r="J155">
        <v>0.67525784850767323</v>
      </c>
      <c r="K155">
        <f t="shared" si="25"/>
        <v>1</v>
      </c>
      <c r="L155">
        <f t="shared" si="19"/>
        <v>0.67525784850767323</v>
      </c>
      <c r="M155">
        <f t="shared" si="20"/>
        <v>1</v>
      </c>
      <c r="N155">
        <f t="shared" si="26"/>
        <v>2</v>
      </c>
      <c r="O155">
        <f t="shared" si="27"/>
        <v>13</v>
      </c>
      <c r="P155">
        <f t="shared" si="21"/>
        <v>1</v>
      </c>
      <c r="R155">
        <f t="shared" si="22"/>
        <v>5</v>
      </c>
      <c r="S155">
        <f t="shared" si="23"/>
        <v>1</v>
      </c>
      <c r="T155">
        <f t="shared" si="24"/>
        <v>0</v>
      </c>
    </row>
    <row r="156" spans="10:20" x14ac:dyDescent="0.25">
      <c r="J156">
        <v>0.13717669740201288</v>
      </c>
      <c r="K156">
        <f t="shared" si="25"/>
        <v>0</v>
      </c>
      <c r="L156">
        <f t="shared" si="19"/>
        <v>0</v>
      </c>
      <c r="M156">
        <f t="shared" si="20"/>
        <v>0</v>
      </c>
      <c r="N156">
        <f t="shared" si="26"/>
        <v>3</v>
      </c>
      <c r="O156">
        <f t="shared" si="27"/>
        <v>13</v>
      </c>
      <c r="P156">
        <f t="shared" si="21"/>
        <v>1</v>
      </c>
      <c r="R156">
        <f t="shared" si="22"/>
        <v>0</v>
      </c>
      <c r="S156">
        <f t="shared" si="23"/>
        <v>0</v>
      </c>
      <c r="T156">
        <f t="shared" si="24"/>
        <v>0</v>
      </c>
    </row>
    <row r="157" spans="10:20" x14ac:dyDescent="0.25">
      <c r="J157">
        <v>0.96613482468781342</v>
      </c>
      <c r="K157">
        <f t="shared" si="25"/>
        <v>1</v>
      </c>
      <c r="L157">
        <f t="shared" si="19"/>
        <v>0.96613482468781342</v>
      </c>
      <c r="M157">
        <f t="shared" si="20"/>
        <v>1</v>
      </c>
      <c r="N157">
        <f t="shared" si="26"/>
        <v>3</v>
      </c>
      <c r="O157">
        <f t="shared" si="27"/>
        <v>13</v>
      </c>
      <c r="P157">
        <f t="shared" si="21"/>
        <v>1</v>
      </c>
      <c r="R157">
        <f t="shared" si="22"/>
        <v>22</v>
      </c>
      <c r="S157">
        <f t="shared" si="23"/>
        <v>1</v>
      </c>
      <c r="T157">
        <f t="shared" si="24"/>
        <v>0</v>
      </c>
    </row>
    <row r="158" spans="10:20" x14ac:dyDescent="0.25">
      <c r="J158">
        <v>4.5211871096662692E-2</v>
      </c>
      <c r="K158">
        <f t="shared" si="25"/>
        <v>0</v>
      </c>
      <c r="L158">
        <f t="shared" si="19"/>
        <v>0</v>
      </c>
      <c r="M158">
        <f t="shared" si="20"/>
        <v>0</v>
      </c>
      <c r="N158">
        <f t="shared" si="26"/>
        <v>4</v>
      </c>
      <c r="O158">
        <f t="shared" si="27"/>
        <v>13</v>
      </c>
      <c r="P158">
        <f t="shared" si="21"/>
        <v>1</v>
      </c>
      <c r="R158">
        <f t="shared" si="22"/>
        <v>0</v>
      </c>
      <c r="S158">
        <f t="shared" si="23"/>
        <v>0</v>
      </c>
      <c r="T158">
        <f t="shared" si="24"/>
        <v>0</v>
      </c>
    </row>
    <row r="159" spans="10:20" x14ac:dyDescent="0.25">
      <c r="J159">
        <v>0.24692609462459902</v>
      </c>
      <c r="K159">
        <f t="shared" si="25"/>
        <v>1</v>
      </c>
      <c r="L159">
        <f t="shared" si="19"/>
        <v>0.24692609462459902</v>
      </c>
      <c r="M159">
        <f t="shared" si="20"/>
        <v>1</v>
      </c>
      <c r="N159">
        <f t="shared" si="26"/>
        <v>4</v>
      </c>
      <c r="O159">
        <f t="shared" si="27"/>
        <v>13</v>
      </c>
      <c r="P159">
        <f t="shared" si="21"/>
        <v>1</v>
      </c>
      <c r="R159">
        <f t="shared" si="22"/>
        <v>122</v>
      </c>
      <c r="S159">
        <f t="shared" si="23"/>
        <v>1</v>
      </c>
      <c r="T159">
        <f t="shared" si="24"/>
        <v>0</v>
      </c>
    </row>
    <row r="160" spans="10:20" x14ac:dyDescent="0.25">
      <c r="J160">
        <v>2.872751852984512E-2</v>
      </c>
      <c r="K160">
        <f t="shared" si="25"/>
        <v>0</v>
      </c>
      <c r="L160">
        <f t="shared" si="19"/>
        <v>0</v>
      </c>
      <c r="M160">
        <f t="shared" si="20"/>
        <v>0</v>
      </c>
      <c r="N160">
        <f t="shared" si="26"/>
        <v>5</v>
      </c>
      <c r="O160">
        <f t="shared" si="27"/>
        <v>13</v>
      </c>
      <c r="P160">
        <f t="shared" si="21"/>
        <v>1</v>
      </c>
      <c r="R160">
        <f t="shared" si="22"/>
        <v>0</v>
      </c>
      <c r="S160">
        <f t="shared" si="23"/>
        <v>0</v>
      </c>
      <c r="T160">
        <f t="shared" si="24"/>
        <v>0</v>
      </c>
    </row>
    <row r="161" spans="10:20" x14ac:dyDescent="0.25">
      <c r="J161">
        <v>0.36090807907736999</v>
      </c>
      <c r="K161">
        <f t="shared" si="25"/>
        <v>1</v>
      </c>
      <c r="L161">
        <f t="shared" si="19"/>
        <v>0.36090807907736999</v>
      </c>
      <c r="M161">
        <f t="shared" si="20"/>
        <v>1</v>
      </c>
      <c r="N161">
        <f t="shared" si="26"/>
        <v>5</v>
      </c>
      <c r="O161">
        <f t="shared" si="27"/>
        <v>13</v>
      </c>
      <c r="P161">
        <f t="shared" si="21"/>
        <v>1</v>
      </c>
      <c r="R161">
        <f t="shared" si="22"/>
        <v>1022</v>
      </c>
      <c r="S161">
        <f t="shared" si="23"/>
        <v>1</v>
      </c>
      <c r="T161">
        <f t="shared" si="24"/>
        <v>0</v>
      </c>
    </row>
    <row r="162" spans="10:20" x14ac:dyDescent="0.25">
      <c r="J162">
        <v>0.78985255465019133</v>
      </c>
      <c r="K162">
        <f t="shared" si="25"/>
        <v>0</v>
      </c>
      <c r="L162">
        <f t="shared" si="19"/>
        <v>0</v>
      </c>
      <c r="M162">
        <f t="shared" si="20"/>
        <v>0</v>
      </c>
      <c r="N162">
        <f t="shared" si="26"/>
        <v>6</v>
      </c>
      <c r="O162">
        <f t="shared" si="27"/>
        <v>13</v>
      </c>
      <c r="P162">
        <f t="shared" si="21"/>
        <v>1</v>
      </c>
      <c r="R162">
        <f t="shared" si="22"/>
        <v>0</v>
      </c>
      <c r="S162">
        <f t="shared" si="23"/>
        <v>0</v>
      </c>
      <c r="T162">
        <f t="shared" si="24"/>
        <v>0</v>
      </c>
    </row>
    <row r="163" spans="10:20" x14ac:dyDescent="0.25">
      <c r="J163">
        <v>0.67842595030637498</v>
      </c>
      <c r="K163">
        <f t="shared" si="25"/>
        <v>1</v>
      </c>
      <c r="L163">
        <f t="shared" si="19"/>
        <v>0.67842595030637498</v>
      </c>
      <c r="M163">
        <f t="shared" si="20"/>
        <v>1</v>
      </c>
      <c r="N163">
        <f t="shared" si="26"/>
        <v>6</v>
      </c>
      <c r="O163">
        <f t="shared" si="27"/>
        <v>13</v>
      </c>
      <c r="P163">
        <f t="shared" si="21"/>
        <v>1</v>
      </c>
      <c r="R163">
        <f t="shared" si="22"/>
        <v>10022</v>
      </c>
      <c r="S163">
        <f t="shared" si="23"/>
        <v>1</v>
      </c>
      <c r="T163">
        <f t="shared" si="24"/>
        <v>1</v>
      </c>
    </row>
    <row r="164" spans="10:20" x14ac:dyDescent="0.25">
      <c r="J164">
        <v>0.55349503735910854</v>
      </c>
      <c r="K164">
        <f t="shared" si="25"/>
        <v>0</v>
      </c>
      <c r="L164">
        <f t="shared" si="19"/>
        <v>0</v>
      </c>
      <c r="M164">
        <f t="shared" si="20"/>
        <v>0</v>
      </c>
      <c r="N164">
        <f t="shared" si="26"/>
        <v>7</v>
      </c>
      <c r="O164">
        <f t="shared" si="27"/>
        <v>13</v>
      </c>
      <c r="P164">
        <f t="shared" si="21"/>
        <v>1</v>
      </c>
      <c r="R164">
        <f t="shared" si="22"/>
        <v>0</v>
      </c>
      <c r="S164">
        <f t="shared" si="23"/>
        <v>0</v>
      </c>
      <c r="T164">
        <f t="shared" si="24"/>
        <v>0</v>
      </c>
    </row>
    <row r="165" spans="10:20" x14ac:dyDescent="0.25">
      <c r="J165">
        <v>0.45910707421252683</v>
      </c>
      <c r="K165">
        <f t="shared" si="25"/>
        <v>1</v>
      </c>
      <c r="L165">
        <f t="shared" si="19"/>
        <v>0.45910707421252683</v>
      </c>
      <c r="M165">
        <f t="shared" si="20"/>
        <v>1</v>
      </c>
      <c r="N165">
        <f t="shared" si="26"/>
        <v>1</v>
      </c>
      <c r="O165">
        <f t="shared" si="27"/>
        <v>14</v>
      </c>
      <c r="P165">
        <f t="shared" si="21"/>
        <v>1</v>
      </c>
      <c r="R165">
        <f t="shared" si="22"/>
        <v>0</v>
      </c>
      <c r="S165">
        <f t="shared" si="23"/>
        <v>1</v>
      </c>
      <c r="T165">
        <f t="shared" si="24"/>
        <v>0</v>
      </c>
    </row>
    <row r="166" spans="10:20" x14ac:dyDescent="0.25">
      <c r="J166">
        <v>7.1204695534547224E-2</v>
      </c>
      <c r="K166">
        <f t="shared" si="25"/>
        <v>0</v>
      </c>
      <c r="L166">
        <f t="shared" si="19"/>
        <v>0</v>
      </c>
      <c r="M166">
        <f t="shared" si="20"/>
        <v>0</v>
      </c>
      <c r="N166">
        <f t="shared" si="26"/>
        <v>2</v>
      </c>
      <c r="O166">
        <f t="shared" si="27"/>
        <v>14</v>
      </c>
      <c r="P166">
        <f t="shared" si="21"/>
        <v>1</v>
      </c>
      <c r="R166">
        <f t="shared" si="22"/>
        <v>0</v>
      </c>
      <c r="S166">
        <f t="shared" si="23"/>
        <v>0</v>
      </c>
      <c r="T166">
        <f t="shared" si="24"/>
        <v>0</v>
      </c>
    </row>
    <row r="167" spans="10:20" x14ac:dyDescent="0.25">
      <c r="J167">
        <v>0.30739986455322821</v>
      </c>
      <c r="K167">
        <f t="shared" si="25"/>
        <v>1</v>
      </c>
      <c r="L167">
        <f t="shared" si="19"/>
        <v>0.30739986455322821</v>
      </c>
      <c r="M167">
        <f t="shared" si="20"/>
        <v>1</v>
      </c>
      <c r="N167">
        <f t="shared" si="26"/>
        <v>2</v>
      </c>
      <c r="O167">
        <f t="shared" si="27"/>
        <v>14</v>
      </c>
      <c r="P167">
        <f t="shared" si="21"/>
        <v>1</v>
      </c>
      <c r="R167">
        <f t="shared" si="22"/>
        <v>5</v>
      </c>
      <c r="S167">
        <f t="shared" si="23"/>
        <v>1</v>
      </c>
      <c r="T167">
        <f t="shared" si="24"/>
        <v>0</v>
      </c>
    </row>
    <row r="168" spans="10:20" x14ac:dyDescent="0.25">
      <c r="J168">
        <v>0.18211238672024899</v>
      </c>
      <c r="K168">
        <f t="shared" si="25"/>
        <v>0</v>
      </c>
      <c r="L168">
        <f t="shared" si="19"/>
        <v>0</v>
      </c>
      <c r="M168">
        <f t="shared" si="20"/>
        <v>0</v>
      </c>
      <c r="N168">
        <f t="shared" si="26"/>
        <v>3</v>
      </c>
      <c r="O168">
        <f t="shared" si="27"/>
        <v>14</v>
      </c>
      <c r="P168">
        <f t="shared" si="21"/>
        <v>1</v>
      </c>
      <c r="R168">
        <f t="shared" si="22"/>
        <v>0</v>
      </c>
      <c r="S168">
        <f t="shared" si="23"/>
        <v>0</v>
      </c>
      <c r="T168">
        <f t="shared" si="24"/>
        <v>0</v>
      </c>
    </row>
    <row r="169" spans="10:20" x14ac:dyDescent="0.25">
      <c r="J169">
        <v>0.31662726913530725</v>
      </c>
      <c r="K169">
        <f t="shared" si="25"/>
        <v>1</v>
      </c>
      <c r="L169">
        <f t="shared" si="19"/>
        <v>0.31662726913530725</v>
      </c>
      <c r="M169">
        <f t="shared" si="20"/>
        <v>1</v>
      </c>
      <c r="N169">
        <f t="shared" si="26"/>
        <v>3</v>
      </c>
      <c r="O169">
        <f t="shared" si="27"/>
        <v>14</v>
      </c>
      <c r="P169">
        <f t="shared" si="21"/>
        <v>1</v>
      </c>
      <c r="R169">
        <f t="shared" si="22"/>
        <v>23</v>
      </c>
      <c r="S169">
        <f t="shared" si="23"/>
        <v>1</v>
      </c>
      <c r="T169">
        <f t="shared" si="24"/>
        <v>0</v>
      </c>
    </row>
    <row r="170" spans="10:20" x14ac:dyDescent="0.25">
      <c r="J170">
        <v>0.65025148411916245</v>
      </c>
      <c r="K170">
        <f t="shared" si="25"/>
        <v>0</v>
      </c>
      <c r="L170">
        <f t="shared" si="19"/>
        <v>0</v>
      </c>
      <c r="M170">
        <f t="shared" si="20"/>
        <v>0</v>
      </c>
      <c r="N170">
        <f t="shared" si="26"/>
        <v>4</v>
      </c>
      <c r="O170">
        <f t="shared" si="27"/>
        <v>14</v>
      </c>
      <c r="P170">
        <f t="shared" si="21"/>
        <v>1</v>
      </c>
      <c r="R170">
        <f t="shared" si="22"/>
        <v>0</v>
      </c>
      <c r="S170">
        <f t="shared" si="23"/>
        <v>0</v>
      </c>
      <c r="T170">
        <f t="shared" si="24"/>
        <v>0</v>
      </c>
    </row>
    <row r="171" spans="10:20" x14ac:dyDescent="0.25">
      <c r="J171">
        <v>0.38150112577026674</v>
      </c>
      <c r="K171">
        <f t="shared" si="25"/>
        <v>1</v>
      </c>
      <c r="L171">
        <f t="shared" si="19"/>
        <v>0.38150112577026674</v>
      </c>
      <c r="M171">
        <f t="shared" si="20"/>
        <v>1</v>
      </c>
      <c r="N171">
        <f t="shared" si="26"/>
        <v>4</v>
      </c>
      <c r="O171">
        <f t="shared" si="27"/>
        <v>14</v>
      </c>
      <c r="P171">
        <f t="shared" si="21"/>
        <v>1</v>
      </c>
      <c r="R171">
        <f t="shared" si="22"/>
        <v>123</v>
      </c>
      <c r="S171">
        <f t="shared" si="23"/>
        <v>1</v>
      </c>
      <c r="T171">
        <f t="shared" si="24"/>
        <v>0</v>
      </c>
    </row>
    <row r="172" spans="10:20" x14ac:dyDescent="0.25">
      <c r="J172">
        <v>0.78309004463308596</v>
      </c>
      <c r="K172">
        <f t="shared" si="25"/>
        <v>0</v>
      </c>
      <c r="L172">
        <f t="shared" si="19"/>
        <v>0</v>
      </c>
      <c r="M172">
        <f t="shared" si="20"/>
        <v>0</v>
      </c>
      <c r="N172">
        <f t="shared" si="26"/>
        <v>5</v>
      </c>
      <c r="O172">
        <f t="shared" si="27"/>
        <v>14</v>
      </c>
      <c r="P172">
        <f t="shared" si="21"/>
        <v>1</v>
      </c>
      <c r="R172">
        <f t="shared" si="22"/>
        <v>0</v>
      </c>
      <c r="S172">
        <f t="shared" si="23"/>
        <v>0</v>
      </c>
      <c r="T172">
        <f t="shared" si="24"/>
        <v>0</v>
      </c>
    </row>
    <row r="173" spans="10:20" x14ac:dyDescent="0.25">
      <c r="J173">
        <v>6.3586487046525919E-2</v>
      </c>
      <c r="K173">
        <f t="shared" si="25"/>
        <v>1</v>
      </c>
      <c r="L173">
        <f t="shared" si="19"/>
        <v>6.3586487046525919E-2</v>
      </c>
      <c r="M173">
        <f t="shared" si="20"/>
        <v>1</v>
      </c>
      <c r="N173">
        <f t="shared" si="26"/>
        <v>5</v>
      </c>
      <c r="O173">
        <f t="shared" si="27"/>
        <v>14</v>
      </c>
      <c r="P173">
        <f t="shared" si="21"/>
        <v>1</v>
      </c>
      <c r="R173">
        <f t="shared" si="22"/>
        <v>1023</v>
      </c>
      <c r="S173">
        <f t="shared" si="23"/>
        <v>1</v>
      </c>
      <c r="T173">
        <f t="shared" si="24"/>
        <v>0</v>
      </c>
    </row>
    <row r="174" spans="10:20" x14ac:dyDescent="0.25">
      <c r="J174">
        <v>0.99878882233437483</v>
      </c>
      <c r="K174">
        <f t="shared" si="25"/>
        <v>0</v>
      </c>
      <c r="L174">
        <f t="shared" si="19"/>
        <v>0</v>
      </c>
      <c r="M174">
        <f t="shared" si="20"/>
        <v>0</v>
      </c>
      <c r="N174">
        <f t="shared" si="26"/>
        <v>6</v>
      </c>
      <c r="O174">
        <f t="shared" si="27"/>
        <v>14</v>
      </c>
      <c r="P174">
        <f t="shared" si="21"/>
        <v>1</v>
      </c>
      <c r="R174">
        <f t="shared" si="22"/>
        <v>0</v>
      </c>
      <c r="S174">
        <f t="shared" si="23"/>
        <v>0</v>
      </c>
      <c r="T174">
        <f t="shared" si="24"/>
        <v>0</v>
      </c>
    </row>
    <row r="175" spans="10:20" x14ac:dyDescent="0.25">
      <c r="J175">
        <v>0.86638009477985711</v>
      </c>
      <c r="K175">
        <f t="shared" si="25"/>
        <v>1</v>
      </c>
      <c r="L175">
        <f t="shared" si="19"/>
        <v>0.86638009477985711</v>
      </c>
      <c r="M175">
        <f t="shared" si="20"/>
        <v>1</v>
      </c>
      <c r="N175">
        <f t="shared" si="26"/>
        <v>6</v>
      </c>
      <c r="O175">
        <f t="shared" si="27"/>
        <v>14</v>
      </c>
      <c r="P175">
        <f t="shared" si="21"/>
        <v>1</v>
      </c>
      <c r="R175">
        <f t="shared" si="22"/>
        <v>10023</v>
      </c>
      <c r="S175">
        <f t="shared" si="23"/>
        <v>1</v>
      </c>
      <c r="T175">
        <f t="shared" si="24"/>
        <v>1</v>
      </c>
    </row>
    <row r="176" spans="10:20" x14ac:dyDescent="0.25">
      <c r="J176">
        <v>0.96249096878248586</v>
      </c>
      <c r="K176">
        <f t="shared" si="25"/>
        <v>0</v>
      </c>
      <c r="L176">
        <f t="shared" si="19"/>
        <v>0</v>
      </c>
      <c r="M176">
        <f t="shared" si="20"/>
        <v>0</v>
      </c>
      <c r="N176">
        <f t="shared" si="26"/>
        <v>7</v>
      </c>
      <c r="O176">
        <f t="shared" si="27"/>
        <v>14</v>
      </c>
      <c r="P176">
        <f t="shared" si="21"/>
        <v>1</v>
      </c>
      <c r="R176">
        <f t="shared" si="22"/>
        <v>0</v>
      </c>
      <c r="S176">
        <f t="shared" si="23"/>
        <v>0</v>
      </c>
      <c r="T176">
        <f t="shared" si="24"/>
        <v>0</v>
      </c>
    </row>
    <row r="177" spans="10:20" x14ac:dyDescent="0.25">
      <c r="J177">
        <v>0.85680320395196807</v>
      </c>
      <c r="K177">
        <f t="shared" si="25"/>
        <v>1</v>
      </c>
      <c r="L177">
        <f t="shared" si="19"/>
        <v>0.85680320395196807</v>
      </c>
      <c r="M177">
        <f t="shared" si="20"/>
        <v>1</v>
      </c>
      <c r="N177">
        <f t="shared" si="26"/>
        <v>1</v>
      </c>
      <c r="O177">
        <f t="shared" si="27"/>
        <v>15</v>
      </c>
      <c r="P177">
        <f t="shared" si="21"/>
        <v>1</v>
      </c>
      <c r="R177">
        <f t="shared" si="22"/>
        <v>0</v>
      </c>
      <c r="S177">
        <f t="shared" si="23"/>
        <v>1</v>
      </c>
      <c r="T177">
        <f t="shared" si="24"/>
        <v>0</v>
      </c>
    </row>
    <row r="178" spans="10:20" x14ac:dyDescent="0.25">
      <c r="J178">
        <v>0.24970984362360593</v>
      </c>
      <c r="K178">
        <f t="shared" si="25"/>
        <v>0</v>
      </c>
      <c r="L178">
        <f t="shared" si="19"/>
        <v>0</v>
      </c>
      <c r="M178">
        <f t="shared" si="20"/>
        <v>0</v>
      </c>
      <c r="N178">
        <f t="shared" si="26"/>
        <v>2</v>
      </c>
      <c r="O178">
        <f t="shared" si="27"/>
        <v>15</v>
      </c>
      <c r="P178">
        <f t="shared" si="21"/>
        <v>1</v>
      </c>
      <c r="R178">
        <f t="shared" si="22"/>
        <v>0</v>
      </c>
      <c r="S178">
        <f t="shared" si="23"/>
        <v>0</v>
      </c>
      <c r="T178">
        <f t="shared" si="24"/>
        <v>0</v>
      </c>
    </row>
    <row r="179" spans="10:20" x14ac:dyDescent="0.25">
      <c r="J179">
        <v>0.44934917749298642</v>
      </c>
      <c r="K179">
        <f t="shared" si="25"/>
        <v>1</v>
      </c>
      <c r="L179">
        <f t="shared" si="19"/>
        <v>0.44934917749298642</v>
      </c>
      <c r="M179">
        <f t="shared" si="20"/>
        <v>1</v>
      </c>
      <c r="N179">
        <f t="shared" si="26"/>
        <v>2</v>
      </c>
      <c r="O179">
        <f t="shared" si="27"/>
        <v>15</v>
      </c>
      <c r="P179">
        <f t="shared" si="21"/>
        <v>1</v>
      </c>
      <c r="R179">
        <f t="shared" si="22"/>
        <v>5</v>
      </c>
      <c r="S179">
        <f t="shared" si="23"/>
        <v>1</v>
      </c>
      <c r="T179">
        <f t="shared" si="24"/>
        <v>0</v>
      </c>
    </row>
    <row r="180" spans="10:20" x14ac:dyDescent="0.25">
      <c r="J180">
        <v>5.6587000956271338E-2</v>
      </c>
      <c r="K180">
        <f t="shared" si="25"/>
        <v>0</v>
      </c>
      <c r="L180">
        <f t="shared" si="19"/>
        <v>0</v>
      </c>
      <c r="M180">
        <f t="shared" si="20"/>
        <v>0</v>
      </c>
      <c r="N180">
        <f t="shared" si="26"/>
        <v>3</v>
      </c>
      <c r="O180">
        <f t="shared" si="27"/>
        <v>15</v>
      </c>
      <c r="P180">
        <f t="shared" si="21"/>
        <v>1</v>
      </c>
      <c r="R180">
        <f t="shared" si="22"/>
        <v>0</v>
      </c>
      <c r="S180">
        <f t="shared" si="23"/>
        <v>0</v>
      </c>
      <c r="T180">
        <f t="shared" si="24"/>
        <v>0</v>
      </c>
    </row>
    <row r="181" spans="10:20" x14ac:dyDescent="0.25">
      <c r="J181">
        <v>0.80627540591123481</v>
      </c>
      <c r="K181">
        <f t="shared" si="25"/>
        <v>1</v>
      </c>
      <c r="L181">
        <f t="shared" si="19"/>
        <v>0.80627540591123481</v>
      </c>
      <c r="M181">
        <f t="shared" si="20"/>
        <v>1</v>
      </c>
      <c r="N181">
        <f t="shared" si="26"/>
        <v>3</v>
      </c>
      <c r="O181">
        <f t="shared" si="27"/>
        <v>15</v>
      </c>
      <c r="P181">
        <f t="shared" si="21"/>
        <v>1</v>
      </c>
      <c r="R181">
        <f t="shared" si="22"/>
        <v>24</v>
      </c>
      <c r="S181">
        <f t="shared" si="23"/>
        <v>1</v>
      </c>
      <c r="T181">
        <f t="shared" si="24"/>
        <v>0</v>
      </c>
    </row>
    <row r="182" spans="10:20" x14ac:dyDescent="0.25">
      <c r="J182">
        <v>0.95954250009417374</v>
      </c>
      <c r="K182">
        <f t="shared" si="25"/>
        <v>0</v>
      </c>
      <c r="L182">
        <f t="shared" si="19"/>
        <v>0</v>
      </c>
      <c r="M182">
        <f t="shared" si="20"/>
        <v>0</v>
      </c>
      <c r="N182">
        <f t="shared" si="26"/>
        <v>4</v>
      </c>
      <c r="O182">
        <f t="shared" si="27"/>
        <v>15</v>
      </c>
      <c r="P182">
        <f t="shared" si="21"/>
        <v>1</v>
      </c>
      <c r="R182">
        <f t="shared" si="22"/>
        <v>0</v>
      </c>
      <c r="S182">
        <f t="shared" si="23"/>
        <v>0</v>
      </c>
      <c r="T182">
        <f t="shared" si="24"/>
        <v>0</v>
      </c>
    </row>
    <row r="183" spans="10:20" x14ac:dyDescent="0.25">
      <c r="J183">
        <v>0.85713727377394866</v>
      </c>
      <c r="K183">
        <f t="shared" si="25"/>
        <v>1</v>
      </c>
      <c r="L183">
        <f t="shared" si="19"/>
        <v>0.85713727377394866</v>
      </c>
      <c r="M183">
        <f t="shared" si="20"/>
        <v>1</v>
      </c>
      <c r="N183">
        <f t="shared" si="26"/>
        <v>4</v>
      </c>
      <c r="O183">
        <f t="shared" si="27"/>
        <v>15</v>
      </c>
      <c r="P183">
        <f t="shared" si="21"/>
        <v>1</v>
      </c>
      <c r="R183">
        <f t="shared" si="22"/>
        <v>124</v>
      </c>
      <c r="S183">
        <f t="shared" si="23"/>
        <v>1</v>
      </c>
      <c r="T183">
        <f t="shared" si="24"/>
        <v>0</v>
      </c>
    </row>
    <row r="184" spans="10:20" x14ac:dyDescent="0.25">
      <c r="J184">
        <v>0.23696847070786986</v>
      </c>
      <c r="K184">
        <f t="shared" si="25"/>
        <v>0</v>
      </c>
      <c r="L184">
        <f t="shared" si="19"/>
        <v>0</v>
      </c>
      <c r="M184">
        <f t="shared" si="20"/>
        <v>0</v>
      </c>
      <c r="N184">
        <f t="shared" si="26"/>
        <v>5</v>
      </c>
      <c r="O184">
        <f t="shared" si="27"/>
        <v>15</v>
      </c>
      <c r="P184">
        <f t="shared" si="21"/>
        <v>1</v>
      </c>
      <c r="R184">
        <f t="shared" si="22"/>
        <v>0</v>
      </c>
      <c r="S184">
        <f t="shared" si="23"/>
        <v>0</v>
      </c>
      <c r="T184">
        <f t="shared" si="24"/>
        <v>0</v>
      </c>
    </row>
    <row r="185" spans="10:20" x14ac:dyDescent="0.25">
      <c r="J185">
        <v>0.70975282380128057</v>
      </c>
      <c r="K185">
        <f t="shared" si="25"/>
        <v>1</v>
      </c>
      <c r="L185">
        <f t="shared" si="19"/>
        <v>0.70975282380128057</v>
      </c>
      <c r="M185">
        <f t="shared" si="20"/>
        <v>1</v>
      </c>
      <c r="N185">
        <f t="shared" si="26"/>
        <v>5</v>
      </c>
      <c r="O185">
        <f t="shared" si="27"/>
        <v>15</v>
      </c>
      <c r="P185">
        <f t="shared" si="21"/>
        <v>1</v>
      </c>
      <c r="R185">
        <f t="shared" si="22"/>
        <v>1024</v>
      </c>
      <c r="S185">
        <f t="shared" si="23"/>
        <v>1</v>
      </c>
      <c r="T185">
        <f t="shared" si="24"/>
        <v>0</v>
      </c>
    </row>
    <row r="186" spans="10:20" x14ac:dyDescent="0.25">
      <c r="J186">
        <v>0.74635379138183289</v>
      </c>
      <c r="K186">
        <f t="shared" si="25"/>
        <v>0</v>
      </c>
      <c r="L186">
        <f t="shared" si="19"/>
        <v>0</v>
      </c>
      <c r="M186">
        <f t="shared" si="20"/>
        <v>0</v>
      </c>
      <c r="N186">
        <f t="shared" si="26"/>
        <v>6</v>
      </c>
      <c r="O186">
        <f t="shared" si="27"/>
        <v>15</v>
      </c>
      <c r="P186">
        <f t="shared" si="21"/>
        <v>1</v>
      </c>
      <c r="R186">
        <f t="shared" si="22"/>
        <v>0</v>
      </c>
      <c r="S186">
        <f t="shared" si="23"/>
        <v>0</v>
      </c>
      <c r="T186">
        <f t="shared" si="24"/>
        <v>0</v>
      </c>
    </row>
    <row r="187" spans="10:20" x14ac:dyDescent="0.25">
      <c r="J187">
        <v>0.36894958153464508</v>
      </c>
      <c r="K187">
        <f t="shared" si="25"/>
        <v>1</v>
      </c>
      <c r="L187">
        <f t="shared" si="19"/>
        <v>0.36894958153464508</v>
      </c>
      <c r="M187">
        <f t="shared" si="20"/>
        <v>1</v>
      </c>
      <c r="N187">
        <f t="shared" si="26"/>
        <v>6</v>
      </c>
      <c r="O187">
        <f t="shared" si="27"/>
        <v>15</v>
      </c>
      <c r="P187">
        <f t="shared" si="21"/>
        <v>1</v>
      </c>
      <c r="R187">
        <f t="shared" si="22"/>
        <v>10024</v>
      </c>
      <c r="S187">
        <f t="shared" si="23"/>
        <v>1</v>
      </c>
      <c r="T187">
        <f t="shared" si="24"/>
        <v>1</v>
      </c>
    </row>
    <row r="188" spans="10:20" x14ac:dyDescent="0.25">
      <c r="J188">
        <v>0.95672021699342946</v>
      </c>
      <c r="K188">
        <f t="shared" si="25"/>
        <v>0</v>
      </c>
      <c r="L188">
        <f t="shared" si="19"/>
        <v>0</v>
      </c>
      <c r="M188">
        <f t="shared" si="20"/>
        <v>0</v>
      </c>
      <c r="N188">
        <f t="shared" si="26"/>
        <v>7</v>
      </c>
      <c r="O188">
        <f t="shared" si="27"/>
        <v>15</v>
      </c>
      <c r="P188">
        <f t="shared" si="21"/>
        <v>1</v>
      </c>
      <c r="R188">
        <f t="shared" si="22"/>
        <v>0</v>
      </c>
      <c r="S188">
        <f t="shared" si="23"/>
        <v>0</v>
      </c>
      <c r="T188">
        <f t="shared" si="24"/>
        <v>0</v>
      </c>
    </row>
    <row r="189" spans="10:20" x14ac:dyDescent="0.25">
      <c r="J189">
        <v>0.50160354863519041</v>
      </c>
      <c r="K189">
        <f t="shared" si="25"/>
        <v>1</v>
      </c>
      <c r="L189">
        <f t="shared" si="19"/>
        <v>0.50160354863519041</v>
      </c>
      <c r="M189">
        <f t="shared" si="20"/>
        <v>1</v>
      </c>
      <c r="N189">
        <f t="shared" si="26"/>
        <v>1</v>
      </c>
      <c r="O189">
        <f t="shared" si="27"/>
        <v>16</v>
      </c>
      <c r="P189">
        <f t="shared" si="21"/>
        <v>1</v>
      </c>
      <c r="R189">
        <f t="shared" si="22"/>
        <v>0</v>
      </c>
      <c r="S189">
        <f t="shared" si="23"/>
        <v>1</v>
      </c>
      <c r="T189">
        <f t="shared" si="24"/>
        <v>0</v>
      </c>
    </row>
    <row r="190" spans="10:20" x14ac:dyDescent="0.25">
      <c r="J190">
        <v>0.80959374538574957</v>
      </c>
      <c r="K190">
        <f t="shared" si="25"/>
        <v>0</v>
      </c>
      <c r="L190">
        <f t="shared" si="19"/>
        <v>0</v>
      </c>
      <c r="M190">
        <f t="shared" si="20"/>
        <v>0</v>
      </c>
      <c r="N190">
        <f t="shared" si="26"/>
        <v>2</v>
      </c>
      <c r="O190">
        <f t="shared" si="27"/>
        <v>16</v>
      </c>
      <c r="P190">
        <f t="shared" si="21"/>
        <v>1</v>
      </c>
      <c r="R190">
        <f t="shared" si="22"/>
        <v>0</v>
      </c>
      <c r="S190">
        <f t="shared" si="23"/>
        <v>0</v>
      </c>
      <c r="T190">
        <f t="shared" si="24"/>
        <v>0</v>
      </c>
    </row>
    <row r="191" spans="10:20" x14ac:dyDescent="0.25">
      <c r="J191">
        <v>0.62001173559207579</v>
      </c>
      <c r="K191">
        <f t="shared" si="25"/>
        <v>1</v>
      </c>
      <c r="L191">
        <f t="shared" si="19"/>
        <v>0.62001173559207579</v>
      </c>
      <c r="M191">
        <f t="shared" si="20"/>
        <v>1</v>
      </c>
      <c r="N191">
        <f t="shared" si="26"/>
        <v>2</v>
      </c>
      <c r="O191">
        <f t="shared" si="27"/>
        <v>16</v>
      </c>
      <c r="P191">
        <f t="shared" si="21"/>
        <v>1</v>
      </c>
      <c r="R191">
        <f t="shared" si="22"/>
        <v>5</v>
      </c>
      <c r="S191">
        <f t="shared" si="23"/>
        <v>1</v>
      </c>
      <c r="T191">
        <f t="shared" si="24"/>
        <v>0</v>
      </c>
    </row>
    <row r="192" spans="10:20" x14ac:dyDescent="0.25">
      <c r="J192">
        <v>6.1652907316158245E-2</v>
      </c>
      <c r="K192">
        <f t="shared" si="25"/>
        <v>0</v>
      </c>
      <c r="L192">
        <f t="shared" si="19"/>
        <v>0</v>
      </c>
      <c r="M192">
        <f t="shared" si="20"/>
        <v>0</v>
      </c>
      <c r="N192">
        <f t="shared" si="26"/>
        <v>3</v>
      </c>
      <c r="O192">
        <f t="shared" si="27"/>
        <v>16</v>
      </c>
      <c r="P192">
        <f t="shared" si="21"/>
        <v>1</v>
      </c>
      <c r="R192">
        <f t="shared" si="22"/>
        <v>0</v>
      </c>
      <c r="S192">
        <f t="shared" si="23"/>
        <v>0</v>
      </c>
      <c r="T192">
        <f t="shared" si="24"/>
        <v>0</v>
      </c>
    </row>
    <row r="193" spans="10:20" x14ac:dyDescent="0.25">
      <c r="J193">
        <v>0.9384913518632032</v>
      </c>
      <c r="K193">
        <f t="shared" si="25"/>
        <v>1</v>
      </c>
      <c r="L193">
        <f t="shared" si="19"/>
        <v>0.9384913518632032</v>
      </c>
      <c r="M193">
        <f t="shared" si="20"/>
        <v>1</v>
      </c>
      <c r="N193">
        <f t="shared" si="26"/>
        <v>3</v>
      </c>
      <c r="O193">
        <f t="shared" si="27"/>
        <v>16</v>
      </c>
      <c r="P193">
        <f t="shared" si="21"/>
        <v>1</v>
      </c>
      <c r="R193">
        <f t="shared" si="22"/>
        <v>25</v>
      </c>
      <c r="S193">
        <f t="shared" si="23"/>
        <v>1</v>
      </c>
      <c r="T193">
        <f t="shared" si="24"/>
        <v>0</v>
      </c>
    </row>
    <row r="194" spans="10:20" x14ac:dyDescent="0.25">
      <c r="J194">
        <v>8.550707779733191E-2</v>
      </c>
      <c r="K194">
        <f t="shared" si="25"/>
        <v>0</v>
      </c>
      <c r="L194">
        <f t="shared" si="19"/>
        <v>0</v>
      </c>
      <c r="M194">
        <f t="shared" si="20"/>
        <v>0</v>
      </c>
      <c r="N194">
        <f t="shared" si="26"/>
        <v>4</v>
      </c>
      <c r="O194">
        <f t="shared" si="27"/>
        <v>16</v>
      </c>
      <c r="P194">
        <f t="shared" si="21"/>
        <v>1</v>
      </c>
      <c r="R194">
        <f t="shared" si="22"/>
        <v>0</v>
      </c>
      <c r="S194">
        <f t="shared" si="23"/>
        <v>0</v>
      </c>
      <c r="T194">
        <f t="shared" si="24"/>
        <v>0</v>
      </c>
    </row>
    <row r="195" spans="10:20" x14ac:dyDescent="0.25">
      <c r="J195">
        <v>0.9612798275229647</v>
      </c>
      <c r="K195">
        <f t="shared" si="25"/>
        <v>1</v>
      </c>
      <c r="L195">
        <f t="shared" si="19"/>
        <v>0.9612798275229647</v>
      </c>
      <c r="M195">
        <f t="shared" si="20"/>
        <v>1</v>
      </c>
      <c r="N195">
        <f t="shared" si="26"/>
        <v>4</v>
      </c>
      <c r="O195">
        <f t="shared" si="27"/>
        <v>16</v>
      </c>
      <c r="P195">
        <f t="shared" si="21"/>
        <v>1</v>
      </c>
      <c r="R195">
        <f t="shared" si="22"/>
        <v>125</v>
      </c>
      <c r="S195">
        <f t="shared" si="23"/>
        <v>1</v>
      </c>
      <c r="T195">
        <f t="shared" si="24"/>
        <v>0</v>
      </c>
    </row>
    <row r="196" spans="10:20" x14ac:dyDescent="0.25">
      <c r="J196">
        <v>0.3172071003169411</v>
      </c>
      <c r="K196">
        <f t="shared" si="25"/>
        <v>0</v>
      </c>
      <c r="L196">
        <f t="shared" si="19"/>
        <v>0</v>
      </c>
      <c r="M196">
        <f t="shared" si="20"/>
        <v>0</v>
      </c>
      <c r="N196">
        <f t="shared" si="26"/>
        <v>5</v>
      </c>
      <c r="O196">
        <f t="shared" si="27"/>
        <v>16</v>
      </c>
      <c r="P196">
        <f t="shared" si="21"/>
        <v>1</v>
      </c>
      <c r="R196">
        <f t="shared" si="22"/>
        <v>0</v>
      </c>
      <c r="S196">
        <f t="shared" si="23"/>
        <v>0</v>
      </c>
      <c r="T196">
        <f t="shared" si="24"/>
        <v>0</v>
      </c>
    </row>
    <row r="197" spans="10:20" x14ac:dyDescent="0.25">
      <c r="J197">
        <v>0.51289794087024743</v>
      </c>
      <c r="K197">
        <f t="shared" si="25"/>
        <v>1</v>
      </c>
      <c r="L197">
        <f t="shared" si="19"/>
        <v>0.51289794087024743</v>
      </c>
      <c r="M197">
        <f t="shared" si="20"/>
        <v>1</v>
      </c>
      <c r="N197">
        <f t="shared" si="26"/>
        <v>5</v>
      </c>
      <c r="O197">
        <f t="shared" si="27"/>
        <v>16</v>
      </c>
      <c r="P197">
        <f t="shared" si="21"/>
        <v>1</v>
      </c>
      <c r="R197">
        <f t="shared" si="22"/>
        <v>1025</v>
      </c>
      <c r="S197">
        <f t="shared" si="23"/>
        <v>1</v>
      </c>
      <c r="T197">
        <f t="shared" si="24"/>
        <v>0</v>
      </c>
    </row>
    <row r="198" spans="10:20" x14ac:dyDescent="0.25">
      <c r="J198">
        <v>0.69830344623240392</v>
      </c>
      <c r="K198">
        <f t="shared" si="25"/>
        <v>0</v>
      </c>
      <c r="L198">
        <f t="shared" si="19"/>
        <v>0</v>
      </c>
      <c r="M198">
        <f t="shared" si="20"/>
        <v>0</v>
      </c>
      <c r="N198">
        <f t="shared" si="26"/>
        <v>6</v>
      </c>
      <c r="O198">
        <f t="shared" si="27"/>
        <v>16</v>
      </c>
      <c r="P198">
        <f t="shared" si="21"/>
        <v>1</v>
      </c>
      <c r="R198">
        <f t="shared" si="22"/>
        <v>0</v>
      </c>
      <c r="S198">
        <f t="shared" si="23"/>
        <v>0</v>
      </c>
      <c r="T198">
        <f t="shared" si="24"/>
        <v>0</v>
      </c>
    </row>
    <row r="199" spans="10:20" x14ac:dyDescent="0.25">
      <c r="J199">
        <v>0.93491957113472424</v>
      </c>
      <c r="K199">
        <f t="shared" si="25"/>
        <v>1</v>
      </c>
      <c r="L199">
        <f t="shared" si="19"/>
        <v>0.93491957113472424</v>
      </c>
      <c r="M199">
        <f t="shared" si="20"/>
        <v>1</v>
      </c>
      <c r="N199">
        <f t="shared" si="26"/>
        <v>6</v>
      </c>
      <c r="O199">
        <f t="shared" si="27"/>
        <v>16</v>
      </c>
      <c r="P199">
        <f t="shared" si="21"/>
        <v>1</v>
      </c>
      <c r="R199">
        <f t="shared" si="22"/>
        <v>10025</v>
      </c>
      <c r="S199">
        <f t="shared" si="23"/>
        <v>1</v>
      </c>
      <c r="T199">
        <f t="shared" si="24"/>
        <v>1</v>
      </c>
    </row>
    <row r="200" spans="10:20" x14ac:dyDescent="0.25">
      <c r="J200">
        <v>0.30943641899218721</v>
      </c>
      <c r="K200">
        <f t="shared" si="25"/>
        <v>0</v>
      </c>
      <c r="L200">
        <f t="shared" ref="L200:L263" si="28">K200*J200</f>
        <v>0</v>
      </c>
      <c r="M200">
        <f t="shared" ref="M200:M263" si="29">IF(L200&gt;$M$2,1,0)</f>
        <v>0</v>
      </c>
      <c r="N200">
        <f t="shared" si="26"/>
        <v>7</v>
      </c>
      <c r="O200">
        <f t="shared" si="27"/>
        <v>16</v>
      </c>
      <c r="P200">
        <f t="shared" ref="P200:P263" si="30">IF(INDEX($B$7:$H$1029,O200,2)&gt;0,1,0)</f>
        <v>1</v>
      </c>
      <c r="R200">
        <f t="shared" ref="R200:R263" si="31">IF(  M200&gt;0,INDEX($B$7:$H$1029,O200,N200),0)*P200</f>
        <v>0</v>
      </c>
      <c r="S200">
        <f t="shared" ref="S200:S263" si="32">M200*P200</f>
        <v>0</v>
      </c>
      <c r="T200">
        <f t="shared" ref="T200:T263" si="33">IF(N201=$N$2,1,0)*P200</f>
        <v>0</v>
      </c>
    </row>
    <row r="201" spans="10:20" x14ac:dyDescent="0.25">
      <c r="J201">
        <v>0.11144660408110929</v>
      </c>
      <c r="K201">
        <f t="shared" ref="K201:K264" si="34">IF(K200=1,0,1)</f>
        <v>1</v>
      </c>
      <c r="L201">
        <f t="shared" si="28"/>
        <v>0.11144660408110929</v>
      </c>
      <c r="M201">
        <f t="shared" si="29"/>
        <v>1</v>
      </c>
      <c r="N201">
        <f t="shared" ref="N201:N264" si="35">IF(N200&lt;$N$2,N200+M200,1)</f>
        <v>1</v>
      </c>
      <c r="O201">
        <f t="shared" si="27"/>
        <v>17</v>
      </c>
      <c r="P201">
        <f t="shared" si="30"/>
        <v>1</v>
      </c>
      <c r="R201">
        <f t="shared" si="31"/>
        <v>0</v>
      </c>
      <c r="S201">
        <f t="shared" si="32"/>
        <v>1</v>
      </c>
      <c r="T201">
        <f t="shared" si="33"/>
        <v>0</v>
      </c>
    </row>
    <row r="202" spans="10:20" x14ac:dyDescent="0.25">
      <c r="J202">
        <v>0.82542417239370047</v>
      </c>
      <c r="K202">
        <f t="shared" si="34"/>
        <v>0</v>
      </c>
      <c r="L202">
        <f t="shared" si="28"/>
        <v>0</v>
      </c>
      <c r="M202">
        <f t="shared" si="29"/>
        <v>0</v>
      </c>
      <c r="N202">
        <f t="shared" si="35"/>
        <v>2</v>
      </c>
      <c r="O202">
        <f t="shared" si="27"/>
        <v>17</v>
      </c>
      <c r="P202">
        <f t="shared" si="30"/>
        <v>1</v>
      </c>
      <c r="R202">
        <f t="shared" si="31"/>
        <v>0</v>
      </c>
      <c r="S202">
        <f t="shared" si="32"/>
        <v>0</v>
      </c>
      <c r="T202">
        <f t="shared" si="33"/>
        <v>0</v>
      </c>
    </row>
    <row r="203" spans="10:20" x14ac:dyDescent="0.25">
      <c r="J203">
        <v>0.86882082597833976</v>
      </c>
      <c r="K203">
        <f t="shared" si="34"/>
        <v>1</v>
      </c>
      <c r="L203">
        <f t="shared" si="28"/>
        <v>0.86882082597833976</v>
      </c>
      <c r="M203">
        <f t="shared" si="29"/>
        <v>1</v>
      </c>
      <c r="N203">
        <f t="shared" si="35"/>
        <v>2</v>
      </c>
      <c r="O203">
        <f t="shared" si="27"/>
        <v>17</v>
      </c>
      <c r="P203">
        <f t="shared" si="30"/>
        <v>1</v>
      </c>
      <c r="R203">
        <f t="shared" si="31"/>
        <v>5</v>
      </c>
      <c r="S203">
        <f t="shared" si="32"/>
        <v>1</v>
      </c>
      <c r="T203">
        <f t="shared" si="33"/>
        <v>0</v>
      </c>
    </row>
    <row r="204" spans="10:20" x14ac:dyDescent="0.25">
      <c r="J204">
        <v>0.444919317446133</v>
      </c>
      <c r="K204">
        <f t="shared" si="34"/>
        <v>0</v>
      </c>
      <c r="L204">
        <f t="shared" si="28"/>
        <v>0</v>
      </c>
      <c r="M204">
        <f t="shared" si="29"/>
        <v>0</v>
      </c>
      <c r="N204">
        <f t="shared" si="35"/>
        <v>3</v>
      </c>
      <c r="O204">
        <f t="shared" si="27"/>
        <v>17</v>
      </c>
      <c r="P204">
        <f t="shared" si="30"/>
        <v>1</v>
      </c>
      <c r="R204">
        <f t="shared" si="31"/>
        <v>0</v>
      </c>
      <c r="S204">
        <f t="shared" si="32"/>
        <v>0</v>
      </c>
      <c r="T204">
        <f t="shared" si="33"/>
        <v>0</v>
      </c>
    </row>
    <row r="205" spans="10:20" x14ac:dyDescent="0.25">
      <c r="J205">
        <v>0.94509910866900815</v>
      </c>
      <c r="K205">
        <f t="shared" si="34"/>
        <v>1</v>
      </c>
      <c r="L205">
        <f t="shared" si="28"/>
        <v>0.94509910866900815</v>
      </c>
      <c r="M205">
        <f t="shared" si="29"/>
        <v>1</v>
      </c>
      <c r="N205">
        <f t="shared" si="35"/>
        <v>3</v>
      </c>
      <c r="O205">
        <f t="shared" si="27"/>
        <v>17</v>
      </c>
      <c r="P205">
        <f t="shared" si="30"/>
        <v>1</v>
      </c>
      <c r="R205">
        <f t="shared" si="31"/>
        <v>26</v>
      </c>
      <c r="S205">
        <f t="shared" si="32"/>
        <v>1</v>
      </c>
      <c r="T205">
        <f t="shared" si="33"/>
        <v>0</v>
      </c>
    </row>
    <row r="206" spans="10:20" x14ac:dyDescent="0.25">
      <c r="J206">
        <v>0.3034220338572039</v>
      </c>
      <c r="K206">
        <f t="shared" si="34"/>
        <v>0</v>
      </c>
      <c r="L206">
        <f t="shared" si="28"/>
        <v>0</v>
      </c>
      <c r="M206">
        <f t="shared" si="29"/>
        <v>0</v>
      </c>
      <c r="N206">
        <f t="shared" si="35"/>
        <v>4</v>
      </c>
      <c r="O206">
        <f t="shared" si="27"/>
        <v>17</v>
      </c>
      <c r="P206">
        <f t="shared" si="30"/>
        <v>1</v>
      </c>
      <c r="R206">
        <f t="shared" si="31"/>
        <v>0</v>
      </c>
      <c r="S206">
        <f t="shared" si="32"/>
        <v>0</v>
      </c>
      <c r="T206">
        <f t="shared" si="33"/>
        <v>0</v>
      </c>
    </row>
    <row r="207" spans="10:20" x14ac:dyDescent="0.25">
      <c r="J207">
        <v>0.33651573371178978</v>
      </c>
      <c r="K207">
        <f t="shared" si="34"/>
        <v>1</v>
      </c>
      <c r="L207">
        <f t="shared" si="28"/>
        <v>0.33651573371178978</v>
      </c>
      <c r="M207">
        <f t="shared" si="29"/>
        <v>1</v>
      </c>
      <c r="N207">
        <f t="shared" si="35"/>
        <v>4</v>
      </c>
      <c r="O207">
        <f t="shared" si="27"/>
        <v>17</v>
      </c>
      <c r="P207">
        <f t="shared" si="30"/>
        <v>1</v>
      </c>
      <c r="R207">
        <f t="shared" si="31"/>
        <v>126</v>
      </c>
      <c r="S207">
        <f t="shared" si="32"/>
        <v>1</v>
      </c>
      <c r="T207">
        <f t="shared" si="33"/>
        <v>0</v>
      </c>
    </row>
    <row r="208" spans="10:20" x14ac:dyDescent="0.25">
      <c r="J208">
        <v>5.0466970594631455E-5</v>
      </c>
      <c r="K208">
        <f t="shared" si="34"/>
        <v>0</v>
      </c>
      <c r="L208">
        <f t="shared" si="28"/>
        <v>0</v>
      </c>
      <c r="M208">
        <f t="shared" si="29"/>
        <v>0</v>
      </c>
      <c r="N208">
        <f t="shared" si="35"/>
        <v>5</v>
      </c>
      <c r="O208">
        <f t="shared" ref="O208:O271" si="36">IF(AND(N208=1,M208=1),O207+1,O207)</f>
        <v>17</v>
      </c>
      <c r="P208">
        <f t="shared" si="30"/>
        <v>1</v>
      </c>
      <c r="R208">
        <f t="shared" si="31"/>
        <v>0</v>
      </c>
      <c r="S208">
        <f t="shared" si="32"/>
        <v>0</v>
      </c>
      <c r="T208">
        <f t="shared" si="33"/>
        <v>0</v>
      </c>
    </row>
    <row r="209" spans="10:20" x14ac:dyDescent="0.25">
      <c r="J209">
        <v>0.37292822573156192</v>
      </c>
      <c r="K209">
        <f t="shared" si="34"/>
        <v>1</v>
      </c>
      <c r="L209">
        <f t="shared" si="28"/>
        <v>0.37292822573156192</v>
      </c>
      <c r="M209">
        <f t="shared" si="29"/>
        <v>1</v>
      </c>
      <c r="N209">
        <f t="shared" si="35"/>
        <v>5</v>
      </c>
      <c r="O209">
        <f t="shared" si="36"/>
        <v>17</v>
      </c>
      <c r="P209">
        <f t="shared" si="30"/>
        <v>1</v>
      </c>
      <c r="R209">
        <f t="shared" si="31"/>
        <v>1026</v>
      </c>
      <c r="S209">
        <f t="shared" si="32"/>
        <v>1</v>
      </c>
      <c r="T209">
        <f t="shared" si="33"/>
        <v>0</v>
      </c>
    </row>
    <row r="210" spans="10:20" x14ac:dyDescent="0.25">
      <c r="J210">
        <v>0.43781643189387698</v>
      </c>
      <c r="K210">
        <f t="shared" si="34"/>
        <v>0</v>
      </c>
      <c r="L210">
        <f t="shared" si="28"/>
        <v>0</v>
      </c>
      <c r="M210">
        <f t="shared" si="29"/>
        <v>0</v>
      </c>
      <c r="N210">
        <f t="shared" si="35"/>
        <v>6</v>
      </c>
      <c r="O210">
        <f t="shared" si="36"/>
        <v>17</v>
      </c>
      <c r="P210">
        <f t="shared" si="30"/>
        <v>1</v>
      </c>
      <c r="R210">
        <f t="shared" si="31"/>
        <v>0</v>
      </c>
      <c r="S210">
        <f t="shared" si="32"/>
        <v>0</v>
      </c>
      <c r="T210">
        <f t="shared" si="33"/>
        <v>0</v>
      </c>
    </row>
    <row r="211" spans="10:20" x14ac:dyDescent="0.25">
      <c r="J211">
        <v>0.66514416037149349</v>
      </c>
      <c r="K211">
        <f t="shared" si="34"/>
        <v>1</v>
      </c>
      <c r="L211">
        <f t="shared" si="28"/>
        <v>0.66514416037149349</v>
      </c>
      <c r="M211">
        <f t="shared" si="29"/>
        <v>1</v>
      </c>
      <c r="N211">
        <f t="shared" si="35"/>
        <v>6</v>
      </c>
      <c r="O211">
        <f t="shared" si="36"/>
        <v>17</v>
      </c>
      <c r="P211">
        <f t="shared" si="30"/>
        <v>1</v>
      </c>
      <c r="R211">
        <f t="shared" si="31"/>
        <v>10026</v>
      </c>
      <c r="S211">
        <f t="shared" si="32"/>
        <v>1</v>
      </c>
      <c r="T211">
        <f t="shared" si="33"/>
        <v>1</v>
      </c>
    </row>
    <row r="212" spans="10:20" x14ac:dyDescent="0.25">
      <c r="J212">
        <v>0.93155752839006323</v>
      </c>
      <c r="K212">
        <f t="shared" si="34"/>
        <v>0</v>
      </c>
      <c r="L212">
        <f t="shared" si="28"/>
        <v>0</v>
      </c>
      <c r="M212">
        <f t="shared" si="29"/>
        <v>0</v>
      </c>
      <c r="N212">
        <f t="shared" si="35"/>
        <v>7</v>
      </c>
      <c r="O212">
        <f t="shared" si="36"/>
        <v>17</v>
      </c>
      <c r="P212">
        <f t="shared" si="30"/>
        <v>1</v>
      </c>
      <c r="R212">
        <f t="shared" si="31"/>
        <v>0</v>
      </c>
      <c r="S212">
        <f t="shared" si="32"/>
        <v>0</v>
      </c>
      <c r="T212">
        <f t="shared" si="33"/>
        <v>0</v>
      </c>
    </row>
    <row r="213" spans="10:20" x14ac:dyDescent="0.25">
      <c r="J213">
        <v>0.89577256932346638</v>
      </c>
      <c r="K213">
        <f t="shared" si="34"/>
        <v>1</v>
      </c>
      <c r="L213">
        <f t="shared" si="28"/>
        <v>0.89577256932346638</v>
      </c>
      <c r="M213">
        <f t="shared" si="29"/>
        <v>1</v>
      </c>
      <c r="N213">
        <f t="shared" si="35"/>
        <v>1</v>
      </c>
      <c r="O213">
        <f t="shared" si="36"/>
        <v>18</v>
      </c>
      <c r="P213">
        <f t="shared" si="30"/>
        <v>1</v>
      </c>
      <c r="R213">
        <f t="shared" si="31"/>
        <v>0</v>
      </c>
      <c r="S213">
        <f t="shared" si="32"/>
        <v>1</v>
      </c>
      <c r="T213">
        <f t="shared" si="33"/>
        <v>0</v>
      </c>
    </row>
    <row r="214" spans="10:20" x14ac:dyDescent="0.25">
      <c r="J214">
        <v>0.78354714175192208</v>
      </c>
      <c r="K214">
        <f t="shared" si="34"/>
        <v>0</v>
      </c>
      <c r="L214">
        <f t="shared" si="28"/>
        <v>0</v>
      </c>
      <c r="M214">
        <f t="shared" si="29"/>
        <v>0</v>
      </c>
      <c r="N214">
        <f t="shared" si="35"/>
        <v>2</v>
      </c>
      <c r="O214">
        <f t="shared" si="36"/>
        <v>18</v>
      </c>
      <c r="P214">
        <f t="shared" si="30"/>
        <v>1</v>
      </c>
      <c r="R214">
        <f t="shared" si="31"/>
        <v>0</v>
      </c>
      <c r="S214">
        <f t="shared" si="32"/>
        <v>0</v>
      </c>
      <c r="T214">
        <f t="shared" si="33"/>
        <v>0</v>
      </c>
    </row>
    <row r="215" spans="10:20" x14ac:dyDescent="0.25">
      <c r="J215">
        <v>0.34149171963213121</v>
      </c>
      <c r="K215">
        <f t="shared" si="34"/>
        <v>1</v>
      </c>
      <c r="L215">
        <f t="shared" si="28"/>
        <v>0.34149171963213121</v>
      </c>
      <c r="M215">
        <f t="shared" si="29"/>
        <v>1</v>
      </c>
      <c r="N215">
        <f t="shared" si="35"/>
        <v>2</v>
      </c>
      <c r="O215">
        <f t="shared" si="36"/>
        <v>18</v>
      </c>
      <c r="P215">
        <f t="shared" si="30"/>
        <v>1</v>
      </c>
      <c r="R215">
        <f t="shared" si="31"/>
        <v>5</v>
      </c>
      <c r="S215">
        <f t="shared" si="32"/>
        <v>1</v>
      </c>
      <c r="T215">
        <f t="shared" si="33"/>
        <v>0</v>
      </c>
    </row>
    <row r="216" spans="10:20" x14ac:dyDescent="0.25">
      <c r="J216">
        <v>0.33726698639964159</v>
      </c>
      <c r="K216">
        <f t="shared" si="34"/>
        <v>0</v>
      </c>
      <c r="L216">
        <f t="shared" si="28"/>
        <v>0</v>
      </c>
      <c r="M216">
        <f t="shared" si="29"/>
        <v>0</v>
      </c>
      <c r="N216">
        <f t="shared" si="35"/>
        <v>3</v>
      </c>
      <c r="O216">
        <f t="shared" si="36"/>
        <v>18</v>
      </c>
      <c r="P216">
        <f t="shared" si="30"/>
        <v>1</v>
      </c>
      <c r="R216">
        <f t="shared" si="31"/>
        <v>0</v>
      </c>
      <c r="S216">
        <f t="shared" si="32"/>
        <v>0</v>
      </c>
      <c r="T216">
        <f t="shared" si="33"/>
        <v>0</v>
      </c>
    </row>
    <row r="217" spans="10:20" x14ac:dyDescent="0.25">
      <c r="J217">
        <v>0.60733856609198833</v>
      </c>
      <c r="K217">
        <f t="shared" si="34"/>
        <v>1</v>
      </c>
      <c r="L217">
        <f t="shared" si="28"/>
        <v>0.60733856609198833</v>
      </c>
      <c r="M217">
        <f t="shared" si="29"/>
        <v>1</v>
      </c>
      <c r="N217">
        <f t="shared" si="35"/>
        <v>3</v>
      </c>
      <c r="O217">
        <f t="shared" si="36"/>
        <v>18</v>
      </c>
      <c r="P217">
        <f t="shared" si="30"/>
        <v>1</v>
      </c>
      <c r="R217">
        <f t="shared" si="31"/>
        <v>27</v>
      </c>
      <c r="S217">
        <f t="shared" si="32"/>
        <v>1</v>
      </c>
      <c r="T217">
        <f t="shared" si="33"/>
        <v>0</v>
      </c>
    </row>
    <row r="218" spans="10:20" x14ac:dyDescent="0.25">
      <c r="J218">
        <v>0.73578823053988229</v>
      </c>
      <c r="K218">
        <f t="shared" si="34"/>
        <v>0</v>
      </c>
      <c r="L218">
        <f t="shared" si="28"/>
        <v>0</v>
      </c>
      <c r="M218">
        <f t="shared" si="29"/>
        <v>0</v>
      </c>
      <c r="N218">
        <f t="shared" si="35"/>
        <v>4</v>
      </c>
      <c r="O218">
        <f t="shared" si="36"/>
        <v>18</v>
      </c>
      <c r="P218">
        <f t="shared" si="30"/>
        <v>1</v>
      </c>
      <c r="R218">
        <f t="shared" si="31"/>
        <v>0</v>
      </c>
      <c r="S218">
        <f t="shared" si="32"/>
        <v>0</v>
      </c>
      <c r="T218">
        <f t="shared" si="33"/>
        <v>0</v>
      </c>
    </row>
    <row r="219" spans="10:20" x14ac:dyDescent="0.25">
      <c r="J219">
        <v>0.60813372880803895</v>
      </c>
      <c r="K219">
        <f t="shared" si="34"/>
        <v>1</v>
      </c>
      <c r="L219">
        <f t="shared" si="28"/>
        <v>0.60813372880803895</v>
      </c>
      <c r="M219">
        <f t="shared" si="29"/>
        <v>1</v>
      </c>
      <c r="N219">
        <f t="shared" si="35"/>
        <v>4</v>
      </c>
      <c r="O219">
        <f t="shared" si="36"/>
        <v>18</v>
      </c>
      <c r="P219">
        <f t="shared" si="30"/>
        <v>1</v>
      </c>
      <c r="R219">
        <f t="shared" si="31"/>
        <v>127</v>
      </c>
      <c r="S219">
        <f t="shared" si="32"/>
        <v>1</v>
      </c>
      <c r="T219">
        <f t="shared" si="33"/>
        <v>0</v>
      </c>
    </row>
    <row r="220" spans="10:20" x14ac:dyDescent="0.25">
      <c r="J220">
        <v>0.9812566927386972</v>
      </c>
      <c r="K220">
        <f t="shared" si="34"/>
        <v>0</v>
      </c>
      <c r="L220">
        <f t="shared" si="28"/>
        <v>0</v>
      </c>
      <c r="M220">
        <f t="shared" si="29"/>
        <v>0</v>
      </c>
      <c r="N220">
        <f t="shared" si="35"/>
        <v>5</v>
      </c>
      <c r="O220">
        <f t="shared" si="36"/>
        <v>18</v>
      </c>
      <c r="P220">
        <f t="shared" si="30"/>
        <v>1</v>
      </c>
      <c r="R220">
        <f t="shared" si="31"/>
        <v>0</v>
      </c>
      <c r="S220">
        <f t="shared" si="32"/>
        <v>0</v>
      </c>
      <c r="T220">
        <f t="shared" si="33"/>
        <v>0</v>
      </c>
    </row>
    <row r="221" spans="10:20" x14ac:dyDescent="0.25">
      <c r="J221">
        <v>8.9101631731560937E-2</v>
      </c>
      <c r="K221">
        <f t="shared" si="34"/>
        <v>1</v>
      </c>
      <c r="L221">
        <f t="shared" si="28"/>
        <v>8.9101631731560937E-2</v>
      </c>
      <c r="M221">
        <f t="shared" si="29"/>
        <v>1</v>
      </c>
      <c r="N221">
        <f t="shared" si="35"/>
        <v>5</v>
      </c>
      <c r="O221">
        <f t="shared" si="36"/>
        <v>18</v>
      </c>
      <c r="P221">
        <f t="shared" si="30"/>
        <v>1</v>
      </c>
      <c r="R221">
        <f t="shared" si="31"/>
        <v>1027</v>
      </c>
      <c r="S221">
        <f t="shared" si="32"/>
        <v>1</v>
      </c>
      <c r="T221">
        <f t="shared" si="33"/>
        <v>0</v>
      </c>
    </row>
    <row r="222" spans="10:20" x14ac:dyDescent="0.25">
      <c r="J222">
        <v>0.68967534653201068</v>
      </c>
      <c r="K222">
        <f t="shared" si="34"/>
        <v>0</v>
      </c>
      <c r="L222">
        <f t="shared" si="28"/>
        <v>0</v>
      </c>
      <c r="M222">
        <f t="shared" si="29"/>
        <v>0</v>
      </c>
      <c r="N222">
        <f t="shared" si="35"/>
        <v>6</v>
      </c>
      <c r="O222">
        <f t="shared" si="36"/>
        <v>18</v>
      </c>
      <c r="P222">
        <f t="shared" si="30"/>
        <v>1</v>
      </c>
      <c r="R222">
        <f t="shared" si="31"/>
        <v>0</v>
      </c>
      <c r="S222">
        <f t="shared" si="32"/>
        <v>0</v>
      </c>
      <c r="T222">
        <f t="shared" si="33"/>
        <v>0</v>
      </c>
    </row>
    <row r="223" spans="10:20" x14ac:dyDescent="0.25">
      <c r="J223">
        <v>0.48820329083807301</v>
      </c>
      <c r="K223">
        <f t="shared" si="34"/>
        <v>1</v>
      </c>
      <c r="L223">
        <f t="shared" si="28"/>
        <v>0.48820329083807301</v>
      </c>
      <c r="M223">
        <f t="shared" si="29"/>
        <v>1</v>
      </c>
      <c r="N223">
        <f t="shared" si="35"/>
        <v>6</v>
      </c>
      <c r="O223">
        <f t="shared" si="36"/>
        <v>18</v>
      </c>
      <c r="P223">
        <f t="shared" si="30"/>
        <v>1</v>
      </c>
      <c r="R223">
        <f t="shared" si="31"/>
        <v>10027</v>
      </c>
      <c r="S223">
        <f t="shared" si="32"/>
        <v>1</v>
      </c>
      <c r="T223">
        <f t="shared" si="33"/>
        <v>1</v>
      </c>
    </row>
    <row r="224" spans="10:20" x14ac:dyDescent="0.25">
      <c r="J224">
        <v>0.79575540054965499</v>
      </c>
      <c r="K224">
        <f t="shared" si="34"/>
        <v>0</v>
      </c>
      <c r="L224">
        <f t="shared" si="28"/>
        <v>0</v>
      </c>
      <c r="M224">
        <f t="shared" si="29"/>
        <v>0</v>
      </c>
      <c r="N224">
        <f t="shared" si="35"/>
        <v>7</v>
      </c>
      <c r="O224">
        <f t="shared" si="36"/>
        <v>18</v>
      </c>
      <c r="P224">
        <f t="shared" si="30"/>
        <v>1</v>
      </c>
      <c r="R224">
        <f t="shared" si="31"/>
        <v>0</v>
      </c>
      <c r="S224">
        <f t="shared" si="32"/>
        <v>0</v>
      </c>
      <c r="T224">
        <f t="shared" si="33"/>
        <v>0</v>
      </c>
    </row>
    <row r="225" spans="10:20" x14ac:dyDescent="0.25">
      <c r="J225">
        <v>0.62655838053493673</v>
      </c>
      <c r="K225">
        <f t="shared" si="34"/>
        <v>1</v>
      </c>
      <c r="L225">
        <f t="shared" si="28"/>
        <v>0.62655838053493673</v>
      </c>
      <c r="M225">
        <f t="shared" si="29"/>
        <v>1</v>
      </c>
      <c r="N225">
        <f t="shared" si="35"/>
        <v>1</v>
      </c>
      <c r="O225">
        <f t="shared" si="36"/>
        <v>19</v>
      </c>
      <c r="P225">
        <f t="shared" si="30"/>
        <v>1</v>
      </c>
      <c r="R225">
        <f t="shared" si="31"/>
        <v>0</v>
      </c>
      <c r="S225">
        <f t="shared" si="32"/>
        <v>1</v>
      </c>
      <c r="T225">
        <f t="shared" si="33"/>
        <v>0</v>
      </c>
    </row>
    <row r="226" spans="10:20" x14ac:dyDescent="0.25">
      <c r="J226">
        <v>1.0794574447816174E-2</v>
      </c>
      <c r="K226">
        <f t="shared" si="34"/>
        <v>0</v>
      </c>
      <c r="L226">
        <f t="shared" si="28"/>
        <v>0</v>
      </c>
      <c r="M226">
        <f t="shared" si="29"/>
        <v>0</v>
      </c>
      <c r="N226">
        <f t="shared" si="35"/>
        <v>2</v>
      </c>
      <c r="O226">
        <f t="shared" si="36"/>
        <v>19</v>
      </c>
      <c r="P226">
        <f t="shared" si="30"/>
        <v>1</v>
      </c>
      <c r="R226">
        <f t="shared" si="31"/>
        <v>0</v>
      </c>
      <c r="S226">
        <f t="shared" si="32"/>
        <v>0</v>
      </c>
      <c r="T226">
        <f t="shared" si="33"/>
        <v>0</v>
      </c>
    </row>
    <row r="227" spans="10:20" x14ac:dyDescent="0.25">
      <c r="J227">
        <v>0.75098580854311192</v>
      </c>
      <c r="K227">
        <f t="shared" si="34"/>
        <v>1</v>
      </c>
      <c r="L227">
        <f t="shared" si="28"/>
        <v>0.75098580854311192</v>
      </c>
      <c r="M227">
        <f t="shared" si="29"/>
        <v>1</v>
      </c>
      <c r="N227">
        <f t="shared" si="35"/>
        <v>2</v>
      </c>
      <c r="O227">
        <f t="shared" si="36"/>
        <v>19</v>
      </c>
      <c r="P227">
        <f t="shared" si="30"/>
        <v>1</v>
      </c>
      <c r="R227">
        <f t="shared" si="31"/>
        <v>5</v>
      </c>
      <c r="S227">
        <f t="shared" si="32"/>
        <v>1</v>
      </c>
      <c r="T227">
        <f t="shared" si="33"/>
        <v>0</v>
      </c>
    </row>
    <row r="228" spans="10:20" x14ac:dyDescent="0.25">
      <c r="J228">
        <v>0.14312065965492249</v>
      </c>
      <c r="K228">
        <f t="shared" si="34"/>
        <v>0</v>
      </c>
      <c r="L228">
        <f t="shared" si="28"/>
        <v>0</v>
      </c>
      <c r="M228">
        <f t="shared" si="29"/>
        <v>0</v>
      </c>
      <c r="N228">
        <f t="shared" si="35"/>
        <v>3</v>
      </c>
      <c r="O228">
        <f t="shared" si="36"/>
        <v>19</v>
      </c>
      <c r="P228">
        <f t="shared" si="30"/>
        <v>1</v>
      </c>
      <c r="R228">
        <f t="shared" si="31"/>
        <v>0</v>
      </c>
      <c r="S228">
        <f t="shared" si="32"/>
        <v>0</v>
      </c>
      <c r="T228">
        <f t="shared" si="33"/>
        <v>0</v>
      </c>
    </row>
    <row r="229" spans="10:20" x14ac:dyDescent="0.25">
      <c r="J229">
        <v>0.27157516072072196</v>
      </c>
      <c r="K229">
        <f t="shared" si="34"/>
        <v>1</v>
      </c>
      <c r="L229">
        <f t="shared" si="28"/>
        <v>0.27157516072072196</v>
      </c>
      <c r="M229">
        <f t="shared" si="29"/>
        <v>1</v>
      </c>
      <c r="N229">
        <f t="shared" si="35"/>
        <v>3</v>
      </c>
      <c r="O229">
        <f t="shared" si="36"/>
        <v>19</v>
      </c>
      <c r="P229">
        <f t="shared" si="30"/>
        <v>1</v>
      </c>
      <c r="R229">
        <f t="shared" si="31"/>
        <v>28</v>
      </c>
      <c r="S229">
        <f t="shared" si="32"/>
        <v>1</v>
      </c>
      <c r="T229">
        <f t="shared" si="33"/>
        <v>0</v>
      </c>
    </row>
    <row r="230" spans="10:20" x14ac:dyDescent="0.25">
      <c r="J230">
        <v>0.88360350273393029</v>
      </c>
      <c r="K230">
        <f t="shared" si="34"/>
        <v>0</v>
      </c>
      <c r="L230">
        <f t="shared" si="28"/>
        <v>0</v>
      </c>
      <c r="M230">
        <f t="shared" si="29"/>
        <v>0</v>
      </c>
      <c r="N230">
        <f t="shared" si="35"/>
        <v>4</v>
      </c>
      <c r="O230">
        <f t="shared" si="36"/>
        <v>19</v>
      </c>
      <c r="P230">
        <f t="shared" si="30"/>
        <v>1</v>
      </c>
      <c r="R230">
        <f t="shared" si="31"/>
        <v>0</v>
      </c>
      <c r="S230">
        <f t="shared" si="32"/>
        <v>0</v>
      </c>
      <c r="T230">
        <f t="shared" si="33"/>
        <v>0</v>
      </c>
    </row>
    <row r="231" spans="10:20" x14ac:dyDescent="0.25">
      <c r="J231">
        <v>0.60186071710942401</v>
      </c>
      <c r="K231">
        <f t="shared" si="34"/>
        <v>1</v>
      </c>
      <c r="L231">
        <f t="shared" si="28"/>
        <v>0.60186071710942401</v>
      </c>
      <c r="M231">
        <f t="shared" si="29"/>
        <v>1</v>
      </c>
      <c r="N231">
        <f t="shared" si="35"/>
        <v>4</v>
      </c>
      <c r="O231">
        <f t="shared" si="36"/>
        <v>19</v>
      </c>
      <c r="P231">
        <f t="shared" si="30"/>
        <v>1</v>
      </c>
      <c r="R231">
        <f t="shared" si="31"/>
        <v>128</v>
      </c>
      <c r="S231">
        <f t="shared" si="32"/>
        <v>1</v>
      </c>
      <c r="T231">
        <f t="shared" si="33"/>
        <v>0</v>
      </c>
    </row>
    <row r="232" spans="10:20" x14ac:dyDescent="0.25">
      <c r="J232">
        <v>0.17529315961483627</v>
      </c>
      <c r="K232">
        <f t="shared" si="34"/>
        <v>0</v>
      </c>
      <c r="L232">
        <f t="shared" si="28"/>
        <v>0</v>
      </c>
      <c r="M232">
        <f t="shared" si="29"/>
        <v>0</v>
      </c>
      <c r="N232">
        <f t="shared" si="35"/>
        <v>5</v>
      </c>
      <c r="O232">
        <f t="shared" si="36"/>
        <v>19</v>
      </c>
      <c r="P232">
        <f t="shared" si="30"/>
        <v>1</v>
      </c>
      <c r="R232">
        <f t="shared" si="31"/>
        <v>0</v>
      </c>
      <c r="S232">
        <f t="shared" si="32"/>
        <v>0</v>
      </c>
      <c r="T232">
        <f t="shared" si="33"/>
        <v>0</v>
      </c>
    </row>
    <row r="233" spans="10:20" x14ac:dyDescent="0.25">
      <c r="J233">
        <v>0.98425466241912352</v>
      </c>
      <c r="K233">
        <f t="shared" si="34"/>
        <v>1</v>
      </c>
      <c r="L233">
        <f t="shared" si="28"/>
        <v>0.98425466241912352</v>
      </c>
      <c r="M233">
        <f t="shared" si="29"/>
        <v>1</v>
      </c>
      <c r="N233">
        <f t="shared" si="35"/>
        <v>5</v>
      </c>
      <c r="O233">
        <f t="shared" si="36"/>
        <v>19</v>
      </c>
      <c r="P233">
        <f t="shared" si="30"/>
        <v>1</v>
      </c>
      <c r="R233">
        <f t="shared" si="31"/>
        <v>1028</v>
      </c>
      <c r="S233">
        <f t="shared" si="32"/>
        <v>1</v>
      </c>
      <c r="T233">
        <f t="shared" si="33"/>
        <v>0</v>
      </c>
    </row>
    <row r="234" spans="10:20" x14ac:dyDescent="0.25">
      <c r="J234">
        <v>0.39500291939729792</v>
      </c>
      <c r="K234">
        <f t="shared" si="34"/>
        <v>0</v>
      </c>
      <c r="L234">
        <f t="shared" si="28"/>
        <v>0</v>
      </c>
      <c r="M234">
        <f t="shared" si="29"/>
        <v>0</v>
      </c>
      <c r="N234">
        <f t="shared" si="35"/>
        <v>6</v>
      </c>
      <c r="O234">
        <f t="shared" si="36"/>
        <v>19</v>
      </c>
      <c r="P234">
        <f t="shared" si="30"/>
        <v>1</v>
      </c>
      <c r="R234">
        <f t="shared" si="31"/>
        <v>0</v>
      </c>
      <c r="S234">
        <f t="shared" si="32"/>
        <v>0</v>
      </c>
      <c r="T234">
        <f t="shared" si="33"/>
        <v>0</v>
      </c>
    </row>
    <row r="235" spans="10:20" x14ac:dyDescent="0.25">
      <c r="J235">
        <v>0.51796346372897506</v>
      </c>
      <c r="K235">
        <f t="shared" si="34"/>
        <v>1</v>
      </c>
      <c r="L235">
        <f t="shared" si="28"/>
        <v>0.51796346372897506</v>
      </c>
      <c r="M235">
        <f t="shared" si="29"/>
        <v>1</v>
      </c>
      <c r="N235">
        <f t="shared" si="35"/>
        <v>6</v>
      </c>
      <c r="O235">
        <f t="shared" si="36"/>
        <v>19</v>
      </c>
      <c r="P235">
        <f t="shared" si="30"/>
        <v>1</v>
      </c>
      <c r="R235">
        <f t="shared" si="31"/>
        <v>10028</v>
      </c>
      <c r="S235">
        <f t="shared" si="32"/>
        <v>1</v>
      </c>
      <c r="T235">
        <f t="shared" si="33"/>
        <v>1</v>
      </c>
    </row>
    <row r="236" spans="10:20" x14ac:dyDescent="0.25">
      <c r="J236">
        <v>0.38443822878648115</v>
      </c>
      <c r="K236">
        <f t="shared" si="34"/>
        <v>0</v>
      </c>
      <c r="L236">
        <f t="shared" si="28"/>
        <v>0</v>
      </c>
      <c r="M236">
        <f t="shared" si="29"/>
        <v>0</v>
      </c>
      <c r="N236">
        <f t="shared" si="35"/>
        <v>7</v>
      </c>
      <c r="O236">
        <f t="shared" si="36"/>
        <v>19</v>
      </c>
      <c r="P236">
        <f t="shared" si="30"/>
        <v>1</v>
      </c>
      <c r="R236">
        <f t="shared" si="31"/>
        <v>0</v>
      </c>
      <c r="S236">
        <f t="shared" si="32"/>
        <v>0</v>
      </c>
      <c r="T236">
        <f t="shared" si="33"/>
        <v>0</v>
      </c>
    </row>
    <row r="237" spans="10:20" x14ac:dyDescent="0.25">
      <c r="J237">
        <v>0.27619197685622843</v>
      </c>
      <c r="K237">
        <f t="shared" si="34"/>
        <v>1</v>
      </c>
      <c r="L237">
        <f t="shared" si="28"/>
        <v>0.27619197685622843</v>
      </c>
      <c r="M237">
        <f t="shared" si="29"/>
        <v>1</v>
      </c>
      <c r="N237">
        <f t="shared" si="35"/>
        <v>1</v>
      </c>
      <c r="O237">
        <f t="shared" si="36"/>
        <v>20</v>
      </c>
      <c r="P237">
        <f t="shared" si="30"/>
        <v>1</v>
      </c>
      <c r="R237">
        <f t="shared" si="31"/>
        <v>0</v>
      </c>
      <c r="S237">
        <f t="shared" si="32"/>
        <v>1</v>
      </c>
      <c r="T237">
        <f t="shared" si="33"/>
        <v>0</v>
      </c>
    </row>
    <row r="238" spans="10:20" x14ac:dyDescent="0.25">
      <c r="J238">
        <v>0.46178441607895471</v>
      </c>
      <c r="K238">
        <f t="shared" si="34"/>
        <v>0</v>
      </c>
      <c r="L238">
        <f t="shared" si="28"/>
        <v>0</v>
      </c>
      <c r="M238">
        <f t="shared" si="29"/>
        <v>0</v>
      </c>
      <c r="N238">
        <f t="shared" si="35"/>
        <v>2</v>
      </c>
      <c r="O238">
        <f t="shared" si="36"/>
        <v>20</v>
      </c>
      <c r="P238">
        <f t="shared" si="30"/>
        <v>1</v>
      </c>
      <c r="R238">
        <f t="shared" si="31"/>
        <v>0</v>
      </c>
      <c r="S238">
        <f t="shared" si="32"/>
        <v>0</v>
      </c>
      <c r="T238">
        <f t="shared" si="33"/>
        <v>0</v>
      </c>
    </row>
    <row r="239" spans="10:20" x14ac:dyDescent="0.25">
      <c r="J239">
        <v>0.99745231644869181</v>
      </c>
      <c r="K239">
        <f t="shared" si="34"/>
        <v>1</v>
      </c>
      <c r="L239">
        <f t="shared" si="28"/>
        <v>0.99745231644869181</v>
      </c>
      <c r="M239">
        <f t="shared" si="29"/>
        <v>1</v>
      </c>
      <c r="N239">
        <f t="shared" si="35"/>
        <v>2</v>
      </c>
      <c r="O239">
        <f t="shared" si="36"/>
        <v>20</v>
      </c>
      <c r="P239">
        <f t="shared" si="30"/>
        <v>1</v>
      </c>
      <c r="R239">
        <f t="shared" si="31"/>
        <v>5</v>
      </c>
      <c r="S239">
        <f t="shared" si="32"/>
        <v>1</v>
      </c>
      <c r="T239">
        <f t="shared" si="33"/>
        <v>0</v>
      </c>
    </row>
    <row r="240" spans="10:20" x14ac:dyDescent="0.25">
      <c r="J240">
        <v>0.99470486889608212</v>
      </c>
      <c r="K240">
        <f t="shared" si="34"/>
        <v>0</v>
      </c>
      <c r="L240">
        <f t="shared" si="28"/>
        <v>0</v>
      </c>
      <c r="M240">
        <f t="shared" si="29"/>
        <v>0</v>
      </c>
      <c r="N240">
        <f t="shared" si="35"/>
        <v>3</v>
      </c>
      <c r="O240">
        <f t="shared" si="36"/>
        <v>20</v>
      </c>
      <c r="P240">
        <f t="shared" si="30"/>
        <v>1</v>
      </c>
      <c r="R240">
        <f t="shared" si="31"/>
        <v>0</v>
      </c>
      <c r="S240">
        <f t="shared" si="32"/>
        <v>0</v>
      </c>
      <c r="T240">
        <f t="shared" si="33"/>
        <v>0</v>
      </c>
    </row>
    <row r="241" spans="10:20" x14ac:dyDescent="0.25">
      <c r="J241">
        <v>0.88766431174823446</v>
      </c>
      <c r="K241">
        <f t="shared" si="34"/>
        <v>1</v>
      </c>
      <c r="L241">
        <f t="shared" si="28"/>
        <v>0.88766431174823446</v>
      </c>
      <c r="M241">
        <f t="shared" si="29"/>
        <v>1</v>
      </c>
      <c r="N241">
        <f t="shared" si="35"/>
        <v>3</v>
      </c>
      <c r="O241">
        <f t="shared" si="36"/>
        <v>20</v>
      </c>
      <c r="P241">
        <f t="shared" si="30"/>
        <v>1</v>
      </c>
      <c r="R241">
        <f t="shared" si="31"/>
        <v>29</v>
      </c>
      <c r="S241">
        <f t="shared" si="32"/>
        <v>1</v>
      </c>
      <c r="T241">
        <f t="shared" si="33"/>
        <v>0</v>
      </c>
    </row>
    <row r="242" spans="10:20" x14ac:dyDescent="0.25">
      <c r="J242">
        <v>0.66691845899713675</v>
      </c>
      <c r="K242">
        <f t="shared" si="34"/>
        <v>0</v>
      </c>
      <c r="L242">
        <f t="shared" si="28"/>
        <v>0</v>
      </c>
      <c r="M242">
        <f t="shared" si="29"/>
        <v>0</v>
      </c>
      <c r="N242">
        <f t="shared" si="35"/>
        <v>4</v>
      </c>
      <c r="O242">
        <f t="shared" si="36"/>
        <v>20</v>
      </c>
      <c r="P242">
        <f t="shared" si="30"/>
        <v>1</v>
      </c>
      <c r="R242">
        <f t="shared" si="31"/>
        <v>0</v>
      </c>
      <c r="S242">
        <f t="shared" si="32"/>
        <v>0</v>
      </c>
      <c r="T242">
        <f t="shared" si="33"/>
        <v>0</v>
      </c>
    </row>
    <row r="243" spans="10:20" x14ac:dyDescent="0.25">
      <c r="J243">
        <v>0.41442898697046449</v>
      </c>
      <c r="K243">
        <f t="shared" si="34"/>
        <v>1</v>
      </c>
      <c r="L243">
        <f t="shared" si="28"/>
        <v>0.41442898697046449</v>
      </c>
      <c r="M243">
        <f t="shared" si="29"/>
        <v>1</v>
      </c>
      <c r="N243">
        <f t="shared" si="35"/>
        <v>4</v>
      </c>
      <c r="O243">
        <f t="shared" si="36"/>
        <v>20</v>
      </c>
      <c r="P243">
        <f t="shared" si="30"/>
        <v>1</v>
      </c>
      <c r="R243">
        <f t="shared" si="31"/>
        <v>129</v>
      </c>
      <c r="S243">
        <f t="shared" si="32"/>
        <v>1</v>
      </c>
      <c r="T243">
        <f t="shared" si="33"/>
        <v>0</v>
      </c>
    </row>
    <row r="244" spans="10:20" x14ac:dyDescent="0.25">
      <c r="J244">
        <v>0.78967439036147169</v>
      </c>
      <c r="K244">
        <f t="shared" si="34"/>
        <v>0</v>
      </c>
      <c r="L244">
        <f t="shared" si="28"/>
        <v>0</v>
      </c>
      <c r="M244">
        <f t="shared" si="29"/>
        <v>0</v>
      </c>
      <c r="N244">
        <f t="shared" si="35"/>
        <v>5</v>
      </c>
      <c r="O244">
        <f t="shared" si="36"/>
        <v>20</v>
      </c>
      <c r="P244">
        <f t="shared" si="30"/>
        <v>1</v>
      </c>
      <c r="R244">
        <f t="shared" si="31"/>
        <v>0</v>
      </c>
      <c r="S244">
        <f t="shared" si="32"/>
        <v>0</v>
      </c>
      <c r="T244">
        <f t="shared" si="33"/>
        <v>0</v>
      </c>
    </row>
    <row r="245" spans="10:20" x14ac:dyDescent="0.25">
      <c r="J245">
        <v>2.2708667269056848E-3</v>
      </c>
      <c r="K245">
        <f t="shared" si="34"/>
        <v>1</v>
      </c>
      <c r="L245">
        <f t="shared" si="28"/>
        <v>2.2708667269056848E-3</v>
      </c>
      <c r="M245">
        <f t="shared" si="29"/>
        <v>1</v>
      </c>
      <c r="N245">
        <f t="shared" si="35"/>
        <v>5</v>
      </c>
      <c r="O245">
        <f t="shared" si="36"/>
        <v>20</v>
      </c>
      <c r="P245">
        <f t="shared" si="30"/>
        <v>1</v>
      </c>
      <c r="R245">
        <f t="shared" si="31"/>
        <v>1029</v>
      </c>
      <c r="S245">
        <f t="shared" si="32"/>
        <v>1</v>
      </c>
      <c r="T245">
        <f t="shared" si="33"/>
        <v>0</v>
      </c>
    </row>
    <row r="246" spans="10:20" x14ac:dyDescent="0.25">
      <c r="J246">
        <v>0.58203084141074135</v>
      </c>
      <c r="K246">
        <f t="shared" si="34"/>
        <v>0</v>
      </c>
      <c r="L246">
        <f t="shared" si="28"/>
        <v>0</v>
      </c>
      <c r="M246">
        <f t="shared" si="29"/>
        <v>0</v>
      </c>
      <c r="N246">
        <f t="shared" si="35"/>
        <v>6</v>
      </c>
      <c r="O246">
        <f t="shared" si="36"/>
        <v>20</v>
      </c>
      <c r="P246">
        <f t="shared" si="30"/>
        <v>1</v>
      </c>
      <c r="R246">
        <f t="shared" si="31"/>
        <v>0</v>
      </c>
      <c r="S246">
        <f t="shared" si="32"/>
        <v>0</v>
      </c>
      <c r="T246">
        <f t="shared" si="33"/>
        <v>0</v>
      </c>
    </row>
    <row r="247" spans="10:20" x14ac:dyDescent="0.25">
      <c r="J247">
        <v>0.22959509942491962</v>
      </c>
      <c r="K247">
        <f t="shared" si="34"/>
        <v>1</v>
      </c>
      <c r="L247">
        <f t="shared" si="28"/>
        <v>0.22959509942491962</v>
      </c>
      <c r="M247">
        <f t="shared" si="29"/>
        <v>1</v>
      </c>
      <c r="N247">
        <f t="shared" si="35"/>
        <v>6</v>
      </c>
      <c r="O247">
        <f t="shared" si="36"/>
        <v>20</v>
      </c>
      <c r="P247">
        <f t="shared" si="30"/>
        <v>1</v>
      </c>
      <c r="R247">
        <f t="shared" si="31"/>
        <v>10029</v>
      </c>
      <c r="S247">
        <f t="shared" si="32"/>
        <v>1</v>
      </c>
      <c r="T247">
        <f t="shared" si="33"/>
        <v>1</v>
      </c>
    </row>
    <row r="248" spans="10:20" x14ac:dyDescent="0.25">
      <c r="J248">
        <v>0.45159359556478962</v>
      </c>
      <c r="K248">
        <f t="shared" si="34"/>
        <v>0</v>
      </c>
      <c r="L248">
        <f t="shared" si="28"/>
        <v>0</v>
      </c>
      <c r="M248">
        <f t="shared" si="29"/>
        <v>0</v>
      </c>
      <c r="N248">
        <f t="shared" si="35"/>
        <v>7</v>
      </c>
      <c r="O248">
        <f t="shared" si="36"/>
        <v>20</v>
      </c>
      <c r="P248">
        <f t="shared" si="30"/>
        <v>1</v>
      </c>
      <c r="R248">
        <f t="shared" si="31"/>
        <v>0</v>
      </c>
      <c r="S248">
        <f t="shared" si="32"/>
        <v>0</v>
      </c>
      <c r="T248">
        <f t="shared" si="33"/>
        <v>0</v>
      </c>
    </row>
    <row r="249" spans="10:20" x14ac:dyDescent="0.25">
      <c r="J249">
        <v>0.97689665630287659</v>
      </c>
      <c r="K249">
        <f t="shared" si="34"/>
        <v>1</v>
      </c>
      <c r="L249">
        <f t="shared" si="28"/>
        <v>0.97689665630287659</v>
      </c>
      <c r="M249">
        <f t="shared" si="29"/>
        <v>1</v>
      </c>
      <c r="N249">
        <f t="shared" si="35"/>
        <v>1</v>
      </c>
      <c r="O249">
        <f t="shared" si="36"/>
        <v>21</v>
      </c>
      <c r="P249">
        <f t="shared" si="30"/>
        <v>1</v>
      </c>
      <c r="R249">
        <f t="shared" si="31"/>
        <v>0</v>
      </c>
      <c r="S249">
        <f t="shared" si="32"/>
        <v>1</v>
      </c>
      <c r="T249">
        <f t="shared" si="33"/>
        <v>0</v>
      </c>
    </row>
    <row r="250" spans="10:20" x14ac:dyDescent="0.25">
      <c r="J250">
        <v>0.28910054460721679</v>
      </c>
      <c r="K250">
        <f t="shared" si="34"/>
        <v>0</v>
      </c>
      <c r="L250">
        <f t="shared" si="28"/>
        <v>0</v>
      </c>
      <c r="M250">
        <f t="shared" si="29"/>
        <v>0</v>
      </c>
      <c r="N250">
        <f t="shared" si="35"/>
        <v>2</v>
      </c>
      <c r="O250">
        <f t="shared" si="36"/>
        <v>21</v>
      </c>
      <c r="P250">
        <f t="shared" si="30"/>
        <v>1</v>
      </c>
      <c r="R250">
        <f t="shared" si="31"/>
        <v>0</v>
      </c>
      <c r="S250">
        <f t="shared" si="32"/>
        <v>0</v>
      </c>
      <c r="T250">
        <f t="shared" si="33"/>
        <v>0</v>
      </c>
    </row>
    <row r="251" spans="10:20" x14ac:dyDescent="0.25">
      <c r="J251">
        <v>0.17141830463355634</v>
      </c>
      <c r="K251">
        <f t="shared" si="34"/>
        <v>1</v>
      </c>
      <c r="L251">
        <f t="shared" si="28"/>
        <v>0.17141830463355634</v>
      </c>
      <c r="M251">
        <f t="shared" si="29"/>
        <v>1</v>
      </c>
      <c r="N251">
        <f t="shared" si="35"/>
        <v>2</v>
      </c>
      <c r="O251">
        <f t="shared" si="36"/>
        <v>21</v>
      </c>
      <c r="P251">
        <f t="shared" si="30"/>
        <v>1</v>
      </c>
      <c r="R251">
        <f t="shared" si="31"/>
        <v>5</v>
      </c>
      <c r="S251">
        <f t="shared" si="32"/>
        <v>1</v>
      </c>
      <c r="T251">
        <f t="shared" si="33"/>
        <v>0</v>
      </c>
    </row>
    <row r="252" spans="10:20" x14ac:dyDescent="0.25">
      <c r="J252">
        <v>0.68201897006261469</v>
      </c>
      <c r="K252">
        <f t="shared" si="34"/>
        <v>0</v>
      </c>
      <c r="L252">
        <f t="shared" si="28"/>
        <v>0</v>
      </c>
      <c r="M252">
        <f t="shared" si="29"/>
        <v>0</v>
      </c>
      <c r="N252">
        <f t="shared" si="35"/>
        <v>3</v>
      </c>
      <c r="O252">
        <f t="shared" si="36"/>
        <v>21</v>
      </c>
      <c r="P252">
        <f t="shared" si="30"/>
        <v>1</v>
      </c>
      <c r="R252">
        <f t="shared" si="31"/>
        <v>0</v>
      </c>
      <c r="S252">
        <f t="shared" si="32"/>
        <v>0</v>
      </c>
      <c r="T252">
        <f t="shared" si="33"/>
        <v>0</v>
      </c>
    </row>
    <row r="253" spans="10:20" x14ac:dyDescent="0.25">
      <c r="J253">
        <v>0.9200074449821104</v>
      </c>
      <c r="K253">
        <f t="shared" si="34"/>
        <v>1</v>
      </c>
      <c r="L253">
        <f t="shared" si="28"/>
        <v>0.9200074449821104</v>
      </c>
      <c r="M253">
        <f t="shared" si="29"/>
        <v>1</v>
      </c>
      <c r="N253">
        <f t="shared" si="35"/>
        <v>3</v>
      </c>
      <c r="O253">
        <f t="shared" si="36"/>
        <v>21</v>
      </c>
      <c r="P253">
        <f t="shared" si="30"/>
        <v>1</v>
      </c>
      <c r="R253">
        <f t="shared" si="31"/>
        <v>30</v>
      </c>
      <c r="S253">
        <f t="shared" si="32"/>
        <v>1</v>
      </c>
      <c r="T253">
        <f t="shared" si="33"/>
        <v>0</v>
      </c>
    </row>
    <row r="254" spans="10:20" x14ac:dyDescent="0.25">
      <c r="J254">
        <v>0.46476043309598258</v>
      </c>
      <c r="K254">
        <f t="shared" si="34"/>
        <v>0</v>
      </c>
      <c r="L254">
        <f t="shared" si="28"/>
        <v>0</v>
      </c>
      <c r="M254">
        <f t="shared" si="29"/>
        <v>0</v>
      </c>
      <c r="N254">
        <f t="shared" si="35"/>
        <v>4</v>
      </c>
      <c r="O254">
        <f t="shared" si="36"/>
        <v>21</v>
      </c>
      <c r="P254">
        <f t="shared" si="30"/>
        <v>1</v>
      </c>
      <c r="R254">
        <f t="shared" si="31"/>
        <v>0</v>
      </c>
      <c r="S254">
        <f t="shared" si="32"/>
        <v>0</v>
      </c>
      <c r="T254">
        <f t="shared" si="33"/>
        <v>0</v>
      </c>
    </row>
    <row r="255" spans="10:20" x14ac:dyDescent="0.25">
      <c r="J255">
        <v>0.65433627317782528</v>
      </c>
      <c r="K255">
        <f t="shared" si="34"/>
        <v>1</v>
      </c>
      <c r="L255">
        <f t="shared" si="28"/>
        <v>0.65433627317782528</v>
      </c>
      <c r="M255">
        <f t="shared" si="29"/>
        <v>1</v>
      </c>
      <c r="N255">
        <f t="shared" si="35"/>
        <v>4</v>
      </c>
      <c r="O255">
        <f t="shared" si="36"/>
        <v>21</v>
      </c>
      <c r="P255">
        <f t="shared" si="30"/>
        <v>1</v>
      </c>
      <c r="R255">
        <f t="shared" si="31"/>
        <v>130</v>
      </c>
      <c r="S255">
        <f t="shared" si="32"/>
        <v>1</v>
      </c>
      <c r="T255">
        <f t="shared" si="33"/>
        <v>0</v>
      </c>
    </row>
    <row r="256" spans="10:20" x14ac:dyDescent="0.25">
      <c r="J256">
        <v>0.4577876234864674</v>
      </c>
      <c r="K256">
        <f t="shared" si="34"/>
        <v>0</v>
      </c>
      <c r="L256">
        <f t="shared" si="28"/>
        <v>0</v>
      </c>
      <c r="M256">
        <f t="shared" si="29"/>
        <v>0</v>
      </c>
      <c r="N256">
        <f t="shared" si="35"/>
        <v>5</v>
      </c>
      <c r="O256">
        <f t="shared" si="36"/>
        <v>21</v>
      </c>
      <c r="P256">
        <f t="shared" si="30"/>
        <v>1</v>
      </c>
      <c r="R256">
        <f t="shared" si="31"/>
        <v>0</v>
      </c>
      <c r="S256">
        <f t="shared" si="32"/>
        <v>0</v>
      </c>
      <c r="T256">
        <f t="shared" si="33"/>
        <v>0</v>
      </c>
    </row>
    <row r="257" spans="10:20" x14ac:dyDescent="0.25">
      <c r="J257">
        <v>0.49876892475587919</v>
      </c>
      <c r="K257">
        <f t="shared" si="34"/>
        <v>1</v>
      </c>
      <c r="L257">
        <f t="shared" si="28"/>
        <v>0.49876892475587919</v>
      </c>
      <c r="M257">
        <f t="shared" si="29"/>
        <v>1</v>
      </c>
      <c r="N257">
        <f t="shared" si="35"/>
        <v>5</v>
      </c>
      <c r="O257">
        <f t="shared" si="36"/>
        <v>21</v>
      </c>
      <c r="P257">
        <f t="shared" si="30"/>
        <v>1</v>
      </c>
      <c r="R257">
        <f t="shared" si="31"/>
        <v>1030</v>
      </c>
      <c r="S257">
        <f t="shared" si="32"/>
        <v>1</v>
      </c>
      <c r="T257">
        <f t="shared" si="33"/>
        <v>0</v>
      </c>
    </row>
    <row r="258" spans="10:20" x14ac:dyDescent="0.25">
      <c r="J258">
        <v>0.90094910414353746</v>
      </c>
      <c r="K258">
        <f t="shared" si="34"/>
        <v>0</v>
      </c>
      <c r="L258">
        <f t="shared" si="28"/>
        <v>0</v>
      </c>
      <c r="M258">
        <f t="shared" si="29"/>
        <v>0</v>
      </c>
      <c r="N258">
        <f t="shared" si="35"/>
        <v>6</v>
      </c>
      <c r="O258">
        <f t="shared" si="36"/>
        <v>21</v>
      </c>
      <c r="P258">
        <f t="shared" si="30"/>
        <v>1</v>
      </c>
      <c r="R258">
        <f t="shared" si="31"/>
        <v>0</v>
      </c>
      <c r="S258">
        <f t="shared" si="32"/>
        <v>0</v>
      </c>
      <c r="T258">
        <f t="shared" si="33"/>
        <v>0</v>
      </c>
    </row>
    <row r="259" spans="10:20" x14ac:dyDescent="0.25">
      <c r="J259">
        <v>0.96080316468046889</v>
      </c>
      <c r="K259">
        <f t="shared" si="34"/>
        <v>1</v>
      </c>
      <c r="L259">
        <f t="shared" si="28"/>
        <v>0.96080316468046889</v>
      </c>
      <c r="M259">
        <f t="shared" si="29"/>
        <v>1</v>
      </c>
      <c r="N259">
        <f t="shared" si="35"/>
        <v>6</v>
      </c>
      <c r="O259">
        <f t="shared" si="36"/>
        <v>21</v>
      </c>
      <c r="P259">
        <f t="shared" si="30"/>
        <v>1</v>
      </c>
      <c r="R259">
        <f t="shared" si="31"/>
        <v>10030</v>
      </c>
      <c r="S259">
        <f t="shared" si="32"/>
        <v>1</v>
      </c>
      <c r="T259">
        <f t="shared" si="33"/>
        <v>1</v>
      </c>
    </row>
    <row r="260" spans="10:20" x14ac:dyDescent="0.25">
      <c r="J260">
        <v>1.7331676683979724E-2</v>
      </c>
      <c r="K260">
        <f t="shared" si="34"/>
        <v>0</v>
      </c>
      <c r="L260">
        <f t="shared" si="28"/>
        <v>0</v>
      </c>
      <c r="M260">
        <f t="shared" si="29"/>
        <v>0</v>
      </c>
      <c r="N260">
        <f t="shared" si="35"/>
        <v>7</v>
      </c>
      <c r="O260">
        <f t="shared" si="36"/>
        <v>21</v>
      </c>
      <c r="P260">
        <f t="shared" si="30"/>
        <v>1</v>
      </c>
      <c r="R260">
        <f t="shared" si="31"/>
        <v>0</v>
      </c>
      <c r="S260">
        <f t="shared" si="32"/>
        <v>0</v>
      </c>
      <c r="T260">
        <f t="shared" si="33"/>
        <v>0</v>
      </c>
    </row>
    <row r="261" spans="10:20" x14ac:dyDescent="0.25">
      <c r="J261">
        <v>0.43108141049257065</v>
      </c>
      <c r="K261">
        <f t="shared" si="34"/>
        <v>1</v>
      </c>
      <c r="L261">
        <f t="shared" si="28"/>
        <v>0.43108141049257065</v>
      </c>
      <c r="M261">
        <f t="shared" si="29"/>
        <v>1</v>
      </c>
      <c r="N261">
        <f t="shared" si="35"/>
        <v>1</v>
      </c>
      <c r="O261">
        <f t="shared" si="36"/>
        <v>22</v>
      </c>
      <c r="P261">
        <f t="shared" si="30"/>
        <v>1</v>
      </c>
      <c r="R261">
        <f t="shared" si="31"/>
        <v>0</v>
      </c>
      <c r="S261">
        <f t="shared" si="32"/>
        <v>1</v>
      </c>
      <c r="T261">
        <f t="shared" si="33"/>
        <v>0</v>
      </c>
    </row>
    <row r="262" spans="10:20" x14ac:dyDescent="0.25">
      <c r="J262">
        <v>8.5361111266550216E-2</v>
      </c>
      <c r="K262">
        <f t="shared" si="34"/>
        <v>0</v>
      </c>
      <c r="L262">
        <f t="shared" si="28"/>
        <v>0</v>
      </c>
      <c r="M262">
        <f t="shared" si="29"/>
        <v>0</v>
      </c>
      <c r="N262">
        <f t="shared" si="35"/>
        <v>2</v>
      </c>
      <c r="O262">
        <f t="shared" si="36"/>
        <v>22</v>
      </c>
      <c r="P262">
        <f t="shared" si="30"/>
        <v>1</v>
      </c>
      <c r="R262">
        <f t="shared" si="31"/>
        <v>0</v>
      </c>
      <c r="S262">
        <f t="shared" si="32"/>
        <v>0</v>
      </c>
      <c r="T262">
        <f t="shared" si="33"/>
        <v>0</v>
      </c>
    </row>
    <row r="263" spans="10:20" x14ac:dyDescent="0.25">
      <c r="J263">
        <v>4.168972903030399E-2</v>
      </c>
      <c r="K263">
        <f t="shared" si="34"/>
        <v>1</v>
      </c>
      <c r="L263">
        <f t="shared" si="28"/>
        <v>4.168972903030399E-2</v>
      </c>
      <c r="M263">
        <f t="shared" si="29"/>
        <v>1</v>
      </c>
      <c r="N263">
        <f t="shared" si="35"/>
        <v>2</v>
      </c>
      <c r="O263">
        <f t="shared" si="36"/>
        <v>22</v>
      </c>
      <c r="P263">
        <f t="shared" si="30"/>
        <v>1</v>
      </c>
      <c r="R263">
        <f t="shared" si="31"/>
        <v>5</v>
      </c>
      <c r="S263">
        <f t="shared" si="32"/>
        <v>1</v>
      </c>
      <c r="T263">
        <f t="shared" si="33"/>
        <v>0</v>
      </c>
    </row>
    <row r="264" spans="10:20" x14ac:dyDescent="0.25">
      <c r="J264">
        <v>1.6291513908439526E-2</v>
      </c>
      <c r="K264">
        <f t="shared" si="34"/>
        <v>0</v>
      </c>
      <c r="L264">
        <f t="shared" ref="L264:L279" si="37">K264*J264</f>
        <v>0</v>
      </c>
      <c r="M264">
        <f t="shared" ref="M264:M327" si="38">IF(L264&gt;$M$2,1,0)</f>
        <v>0</v>
      </c>
      <c r="N264">
        <f t="shared" si="35"/>
        <v>3</v>
      </c>
      <c r="O264">
        <f t="shared" si="36"/>
        <v>22</v>
      </c>
      <c r="P264">
        <f t="shared" ref="P264:P327" si="39">IF(INDEX($B$7:$H$1029,O264,2)&gt;0,1,0)</f>
        <v>1</v>
      </c>
      <c r="R264">
        <f t="shared" ref="R264:R327" si="40">IF(  M264&gt;0,INDEX($B$7:$H$1029,O264,N264),0)*P264</f>
        <v>0</v>
      </c>
      <c r="S264">
        <f t="shared" ref="S264:S327" si="41">M264*P264</f>
        <v>0</v>
      </c>
      <c r="T264">
        <f t="shared" ref="T264:T327" si="42">IF(N265=$N$2,1,0)*P264</f>
        <v>0</v>
      </c>
    </row>
    <row r="265" spans="10:20" x14ac:dyDescent="0.25">
      <c r="J265">
        <v>0.18796773304443748</v>
      </c>
      <c r="K265">
        <f t="shared" ref="K265:K279" si="43">IF(K264=1,0,1)</f>
        <v>1</v>
      </c>
      <c r="L265">
        <f t="shared" si="37"/>
        <v>0.18796773304443748</v>
      </c>
      <c r="M265">
        <f t="shared" si="38"/>
        <v>1</v>
      </c>
      <c r="N265">
        <f t="shared" ref="N265:N279" si="44">IF(N264&lt;$N$2,N264+M264,1)</f>
        <v>3</v>
      </c>
      <c r="O265">
        <f t="shared" si="36"/>
        <v>22</v>
      </c>
      <c r="P265">
        <f t="shared" si="39"/>
        <v>1</v>
      </c>
      <c r="R265">
        <f t="shared" si="40"/>
        <v>31</v>
      </c>
      <c r="S265">
        <f t="shared" si="41"/>
        <v>1</v>
      </c>
      <c r="T265">
        <f t="shared" si="42"/>
        <v>0</v>
      </c>
    </row>
    <row r="266" spans="10:20" x14ac:dyDescent="0.25">
      <c r="J266">
        <v>0.59992083929607121</v>
      </c>
      <c r="K266">
        <f t="shared" si="43"/>
        <v>0</v>
      </c>
      <c r="L266">
        <f t="shared" si="37"/>
        <v>0</v>
      </c>
      <c r="M266">
        <f t="shared" si="38"/>
        <v>0</v>
      </c>
      <c r="N266">
        <f t="shared" si="44"/>
        <v>4</v>
      </c>
      <c r="O266">
        <f t="shared" si="36"/>
        <v>22</v>
      </c>
      <c r="P266">
        <f t="shared" si="39"/>
        <v>1</v>
      </c>
      <c r="R266">
        <f t="shared" si="40"/>
        <v>0</v>
      </c>
      <c r="S266">
        <f t="shared" si="41"/>
        <v>0</v>
      </c>
      <c r="T266">
        <f t="shared" si="42"/>
        <v>0</v>
      </c>
    </row>
    <row r="267" spans="10:20" x14ac:dyDescent="0.25">
      <c r="J267">
        <v>0.44186938289140032</v>
      </c>
      <c r="K267">
        <f t="shared" si="43"/>
        <v>1</v>
      </c>
      <c r="L267">
        <f t="shared" si="37"/>
        <v>0.44186938289140032</v>
      </c>
      <c r="M267">
        <f t="shared" si="38"/>
        <v>1</v>
      </c>
      <c r="N267">
        <f t="shared" si="44"/>
        <v>4</v>
      </c>
      <c r="O267">
        <f t="shared" si="36"/>
        <v>22</v>
      </c>
      <c r="P267">
        <f t="shared" si="39"/>
        <v>1</v>
      </c>
      <c r="R267">
        <f t="shared" si="40"/>
        <v>131</v>
      </c>
      <c r="S267">
        <f t="shared" si="41"/>
        <v>1</v>
      </c>
      <c r="T267">
        <f t="shared" si="42"/>
        <v>0</v>
      </c>
    </row>
    <row r="268" spans="10:20" x14ac:dyDescent="0.25">
      <c r="J268">
        <v>0.99102354500603307</v>
      </c>
      <c r="K268">
        <f t="shared" si="43"/>
        <v>0</v>
      </c>
      <c r="L268">
        <f t="shared" si="37"/>
        <v>0</v>
      </c>
      <c r="M268">
        <f t="shared" si="38"/>
        <v>0</v>
      </c>
      <c r="N268">
        <f t="shared" si="44"/>
        <v>5</v>
      </c>
      <c r="O268">
        <f t="shared" si="36"/>
        <v>22</v>
      </c>
      <c r="P268">
        <f t="shared" si="39"/>
        <v>1</v>
      </c>
      <c r="R268">
        <f t="shared" si="40"/>
        <v>0</v>
      </c>
      <c r="S268">
        <f t="shared" si="41"/>
        <v>0</v>
      </c>
      <c r="T268">
        <f t="shared" si="42"/>
        <v>0</v>
      </c>
    </row>
    <row r="269" spans="10:20" x14ac:dyDescent="0.25">
      <c r="J269">
        <v>0.63295834161465203</v>
      </c>
      <c r="K269">
        <f t="shared" si="43"/>
        <v>1</v>
      </c>
      <c r="L269">
        <f t="shared" si="37"/>
        <v>0.63295834161465203</v>
      </c>
      <c r="M269">
        <f t="shared" si="38"/>
        <v>1</v>
      </c>
      <c r="N269">
        <f t="shared" si="44"/>
        <v>5</v>
      </c>
      <c r="O269">
        <f t="shared" si="36"/>
        <v>22</v>
      </c>
      <c r="P269">
        <f t="shared" si="39"/>
        <v>1</v>
      </c>
      <c r="R269">
        <f t="shared" si="40"/>
        <v>1031</v>
      </c>
      <c r="S269">
        <f t="shared" si="41"/>
        <v>1</v>
      </c>
      <c r="T269">
        <f t="shared" si="42"/>
        <v>0</v>
      </c>
    </row>
    <row r="270" spans="10:20" x14ac:dyDescent="0.25">
      <c r="J270">
        <v>0.877208976936655</v>
      </c>
      <c r="K270">
        <f t="shared" si="43"/>
        <v>0</v>
      </c>
      <c r="L270">
        <f t="shared" si="37"/>
        <v>0</v>
      </c>
      <c r="M270">
        <f t="shared" si="38"/>
        <v>0</v>
      </c>
      <c r="N270">
        <f t="shared" si="44"/>
        <v>6</v>
      </c>
      <c r="O270">
        <f t="shared" si="36"/>
        <v>22</v>
      </c>
      <c r="P270">
        <f t="shared" si="39"/>
        <v>1</v>
      </c>
      <c r="R270">
        <f t="shared" si="40"/>
        <v>0</v>
      </c>
      <c r="S270">
        <f t="shared" si="41"/>
        <v>0</v>
      </c>
      <c r="T270">
        <f t="shared" si="42"/>
        <v>0</v>
      </c>
    </row>
    <row r="271" spans="10:20" x14ac:dyDescent="0.25">
      <c r="J271">
        <v>0.65885113714070442</v>
      </c>
      <c r="K271">
        <f t="shared" si="43"/>
        <v>1</v>
      </c>
      <c r="L271">
        <f t="shared" si="37"/>
        <v>0.65885113714070442</v>
      </c>
      <c r="M271">
        <f t="shared" si="38"/>
        <v>1</v>
      </c>
      <c r="N271">
        <f t="shared" si="44"/>
        <v>6</v>
      </c>
      <c r="O271">
        <f t="shared" si="36"/>
        <v>22</v>
      </c>
      <c r="P271">
        <f t="shared" si="39"/>
        <v>1</v>
      </c>
      <c r="R271">
        <f t="shared" si="40"/>
        <v>10031</v>
      </c>
      <c r="S271">
        <f t="shared" si="41"/>
        <v>1</v>
      </c>
      <c r="T271">
        <f t="shared" si="42"/>
        <v>1</v>
      </c>
    </row>
    <row r="272" spans="10:20" x14ac:dyDescent="0.25">
      <c r="J272">
        <v>0.85819922568389062</v>
      </c>
      <c r="K272">
        <f t="shared" si="43"/>
        <v>0</v>
      </c>
      <c r="L272">
        <f t="shared" si="37"/>
        <v>0</v>
      </c>
      <c r="M272">
        <f t="shared" si="38"/>
        <v>0</v>
      </c>
      <c r="N272">
        <f t="shared" si="44"/>
        <v>7</v>
      </c>
      <c r="O272">
        <f t="shared" ref="O272:O279" si="45">IF(AND(N272=1,M272=1),O271+1,O271)</f>
        <v>22</v>
      </c>
      <c r="P272">
        <f t="shared" si="39"/>
        <v>1</v>
      </c>
      <c r="R272">
        <f t="shared" si="40"/>
        <v>0</v>
      </c>
      <c r="S272">
        <f t="shared" si="41"/>
        <v>0</v>
      </c>
      <c r="T272">
        <f t="shared" si="42"/>
        <v>0</v>
      </c>
    </row>
    <row r="273" spans="10:20" x14ac:dyDescent="0.25">
      <c r="J273">
        <v>0.8710035096520794</v>
      </c>
      <c r="K273">
        <f t="shared" si="43"/>
        <v>1</v>
      </c>
      <c r="L273">
        <f t="shared" si="37"/>
        <v>0.8710035096520794</v>
      </c>
      <c r="M273">
        <f t="shared" si="38"/>
        <v>1</v>
      </c>
      <c r="N273">
        <f t="shared" si="44"/>
        <v>1</v>
      </c>
      <c r="O273">
        <f t="shared" si="45"/>
        <v>23</v>
      </c>
      <c r="P273">
        <f t="shared" si="39"/>
        <v>1</v>
      </c>
      <c r="R273">
        <f t="shared" si="40"/>
        <v>0</v>
      </c>
      <c r="S273">
        <f t="shared" si="41"/>
        <v>1</v>
      </c>
      <c r="T273">
        <f t="shared" si="42"/>
        <v>0</v>
      </c>
    </row>
    <row r="274" spans="10:20" x14ac:dyDescent="0.25">
      <c r="J274">
        <v>0.35715494885893262</v>
      </c>
      <c r="K274">
        <f t="shared" si="43"/>
        <v>0</v>
      </c>
      <c r="L274">
        <f t="shared" si="37"/>
        <v>0</v>
      </c>
      <c r="M274">
        <f t="shared" si="38"/>
        <v>0</v>
      </c>
      <c r="N274">
        <f t="shared" si="44"/>
        <v>2</v>
      </c>
      <c r="O274">
        <f t="shared" si="45"/>
        <v>23</v>
      </c>
      <c r="P274">
        <f t="shared" si="39"/>
        <v>1</v>
      </c>
      <c r="R274">
        <f t="shared" si="40"/>
        <v>0</v>
      </c>
      <c r="S274">
        <f t="shared" si="41"/>
        <v>0</v>
      </c>
      <c r="T274">
        <f t="shared" si="42"/>
        <v>0</v>
      </c>
    </row>
    <row r="275" spans="10:20" x14ac:dyDescent="0.25">
      <c r="J275">
        <v>0.28813778551999325</v>
      </c>
      <c r="K275">
        <f t="shared" si="43"/>
        <v>1</v>
      </c>
      <c r="L275">
        <f t="shared" si="37"/>
        <v>0.28813778551999325</v>
      </c>
      <c r="M275">
        <f t="shared" si="38"/>
        <v>1</v>
      </c>
      <c r="N275">
        <f t="shared" si="44"/>
        <v>2</v>
      </c>
      <c r="O275">
        <f t="shared" si="45"/>
        <v>23</v>
      </c>
      <c r="P275">
        <f t="shared" si="39"/>
        <v>1</v>
      </c>
      <c r="R275">
        <f t="shared" si="40"/>
        <v>5</v>
      </c>
      <c r="S275">
        <f t="shared" si="41"/>
        <v>1</v>
      </c>
      <c r="T275">
        <f t="shared" si="42"/>
        <v>0</v>
      </c>
    </row>
    <row r="276" spans="10:20" x14ac:dyDescent="0.25">
      <c r="J276">
        <v>0.42043775802089733</v>
      </c>
      <c r="K276">
        <f t="shared" si="43"/>
        <v>0</v>
      </c>
      <c r="L276">
        <f t="shared" si="37"/>
        <v>0</v>
      </c>
      <c r="M276">
        <f t="shared" si="38"/>
        <v>0</v>
      </c>
      <c r="N276">
        <f t="shared" si="44"/>
        <v>3</v>
      </c>
      <c r="O276">
        <f t="shared" si="45"/>
        <v>23</v>
      </c>
      <c r="P276">
        <f t="shared" si="39"/>
        <v>1</v>
      </c>
      <c r="R276">
        <f t="shared" si="40"/>
        <v>0</v>
      </c>
      <c r="S276">
        <f t="shared" si="41"/>
        <v>0</v>
      </c>
      <c r="T276">
        <f t="shared" si="42"/>
        <v>0</v>
      </c>
    </row>
    <row r="277" spans="10:20" x14ac:dyDescent="0.25">
      <c r="J277">
        <v>0.65741150722865549</v>
      </c>
      <c r="K277">
        <f t="shared" si="43"/>
        <v>1</v>
      </c>
      <c r="L277">
        <f t="shared" si="37"/>
        <v>0.65741150722865549</v>
      </c>
      <c r="M277">
        <f t="shared" si="38"/>
        <v>1</v>
      </c>
      <c r="N277">
        <f t="shared" si="44"/>
        <v>3</v>
      </c>
      <c r="O277">
        <f t="shared" si="45"/>
        <v>23</v>
      </c>
      <c r="P277">
        <f t="shared" si="39"/>
        <v>1</v>
      </c>
      <c r="R277">
        <f t="shared" si="40"/>
        <v>32</v>
      </c>
      <c r="S277">
        <f t="shared" si="41"/>
        <v>1</v>
      </c>
      <c r="T277">
        <f t="shared" si="42"/>
        <v>0</v>
      </c>
    </row>
    <row r="278" spans="10:20" x14ac:dyDescent="0.25">
      <c r="J278">
        <v>0.46004051590717743</v>
      </c>
      <c r="K278">
        <f t="shared" si="43"/>
        <v>0</v>
      </c>
      <c r="L278">
        <f t="shared" si="37"/>
        <v>0</v>
      </c>
      <c r="M278">
        <f t="shared" si="38"/>
        <v>0</v>
      </c>
      <c r="N278">
        <f t="shared" si="44"/>
        <v>4</v>
      </c>
      <c r="O278">
        <f t="shared" si="45"/>
        <v>23</v>
      </c>
      <c r="P278">
        <f t="shared" si="39"/>
        <v>1</v>
      </c>
      <c r="R278">
        <f t="shared" si="40"/>
        <v>0</v>
      </c>
      <c r="S278">
        <f t="shared" si="41"/>
        <v>0</v>
      </c>
      <c r="T278">
        <f t="shared" si="42"/>
        <v>0</v>
      </c>
    </row>
    <row r="279" spans="10:20" x14ac:dyDescent="0.25">
      <c r="J279">
        <v>0.4218826325516406</v>
      </c>
      <c r="K279">
        <f t="shared" si="43"/>
        <v>1</v>
      </c>
      <c r="L279">
        <f t="shared" si="37"/>
        <v>0.4218826325516406</v>
      </c>
      <c r="M279">
        <f t="shared" si="38"/>
        <v>1</v>
      </c>
      <c r="N279">
        <f t="shared" si="44"/>
        <v>4</v>
      </c>
      <c r="O279">
        <f t="shared" si="45"/>
        <v>23</v>
      </c>
      <c r="P279">
        <f t="shared" si="39"/>
        <v>1</v>
      </c>
      <c r="R279">
        <f t="shared" si="40"/>
        <v>132</v>
      </c>
      <c r="S279">
        <f t="shared" si="41"/>
        <v>1</v>
      </c>
      <c r="T279">
        <f t="shared" si="42"/>
        <v>0</v>
      </c>
    </row>
    <row r="280" spans="10:20" x14ac:dyDescent="0.25">
      <c r="J280">
        <v>0.88138959986644194</v>
      </c>
      <c r="K280">
        <f t="shared" ref="K280:K343" si="46">IF(K279=1,0,1)</f>
        <v>0</v>
      </c>
      <c r="L280">
        <f t="shared" ref="L280:L343" si="47">K280*J280</f>
        <v>0</v>
      </c>
      <c r="M280">
        <f t="shared" si="38"/>
        <v>0</v>
      </c>
      <c r="N280">
        <f t="shared" ref="N280:N343" si="48">IF(N279&lt;$N$2,N279+M279,1)</f>
        <v>5</v>
      </c>
      <c r="O280">
        <f t="shared" ref="O280:O343" si="49">IF(AND(N280=1,M280=1),O279+1,O279)</f>
        <v>23</v>
      </c>
      <c r="P280">
        <f t="shared" si="39"/>
        <v>1</v>
      </c>
      <c r="R280">
        <f t="shared" si="40"/>
        <v>0</v>
      </c>
      <c r="S280">
        <f t="shared" si="41"/>
        <v>0</v>
      </c>
      <c r="T280">
        <f t="shared" si="42"/>
        <v>0</v>
      </c>
    </row>
    <row r="281" spans="10:20" x14ac:dyDescent="0.25">
      <c r="J281">
        <v>0.32428409954462611</v>
      </c>
      <c r="K281">
        <f t="shared" si="46"/>
        <v>1</v>
      </c>
      <c r="L281">
        <f t="shared" si="47"/>
        <v>0.32428409954462611</v>
      </c>
      <c r="M281">
        <f t="shared" si="38"/>
        <v>1</v>
      </c>
      <c r="N281">
        <f t="shared" si="48"/>
        <v>5</v>
      </c>
      <c r="O281">
        <f t="shared" si="49"/>
        <v>23</v>
      </c>
      <c r="P281">
        <f t="shared" si="39"/>
        <v>1</v>
      </c>
      <c r="R281">
        <f t="shared" si="40"/>
        <v>1032</v>
      </c>
      <c r="S281">
        <f t="shared" si="41"/>
        <v>1</v>
      </c>
      <c r="T281">
        <f t="shared" si="42"/>
        <v>0</v>
      </c>
    </row>
    <row r="282" spans="10:20" x14ac:dyDescent="0.25">
      <c r="J282">
        <v>0.5007907133857562</v>
      </c>
      <c r="K282">
        <f t="shared" si="46"/>
        <v>0</v>
      </c>
      <c r="L282">
        <f t="shared" si="47"/>
        <v>0</v>
      </c>
      <c r="M282">
        <f t="shared" si="38"/>
        <v>0</v>
      </c>
      <c r="N282">
        <f t="shared" si="48"/>
        <v>6</v>
      </c>
      <c r="O282">
        <f t="shared" si="49"/>
        <v>23</v>
      </c>
      <c r="P282">
        <f t="shared" si="39"/>
        <v>1</v>
      </c>
      <c r="R282">
        <f t="shared" si="40"/>
        <v>0</v>
      </c>
      <c r="S282">
        <f t="shared" si="41"/>
        <v>0</v>
      </c>
      <c r="T282">
        <f t="shared" si="42"/>
        <v>0</v>
      </c>
    </row>
    <row r="283" spans="10:20" x14ac:dyDescent="0.25">
      <c r="J283">
        <v>0.25208042463219282</v>
      </c>
      <c r="K283">
        <f t="shared" si="46"/>
        <v>1</v>
      </c>
      <c r="L283">
        <f t="shared" si="47"/>
        <v>0.25208042463219282</v>
      </c>
      <c r="M283">
        <f t="shared" si="38"/>
        <v>1</v>
      </c>
      <c r="N283">
        <f t="shared" si="48"/>
        <v>6</v>
      </c>
      <c r="O283">
        <f t="shared" si="49"/>
        <v>23</v>
      </c>
      <c r="P283">
        <f t="shared" si="39"/>
        <v>1</v>
      </c>
      <c r="R283">
        <f t="shared" si="40"/>
        <v>10032</v>
      </c>
      <c r="S283">
        <f t="shared" si="41"/>
        <v>1</v>
      </c>
      <c r="T283">
        <f t="shared" si="42"/>
        <v>1</v>
      </c>
    </row>
    <row r="284" spans="10:20" x14ac:dyDescent="0.25">
      <c r="J284">
        <v>0.29982222997259955</v>
      </c>
      <c r="K284">
        <f t="shared" si="46"/>
        <v>0</v>
      </c>
      <c r="L284">
        <f t="shared" si="47"/>
        <v>0</v>
      </c>
      <c r="M284">
        <f t="shared" si="38"/>
        <v>0</v>
      </c>
      <c r="N284">
        <f t="shared" si="48"/>
        <v>7</v>
      </c>
      <c r="O284">
        <f t="shared" si="49"/>
        <v>23</v>
      </c>
      <c r="P284">
        <f t="shared" si="39"/>
        <v>1</v>
      </c>
      <c r="R284">
        <f t="shared" si="40"/>
        <v>0</v>
      </c>
      <c r="S284">
        <f t="shared" si="41"/>
        <v>0</v>
      </c>
      <c r="T284">
        <f t="shared" si="42"/>
        <v>0</v>
      </c>
    </row>
    <row r="285" spans="10:20" x14ac:dyDescent="0.25">
      <c r="J285">
        <v>0.88792816834361632</v>
      </c>
      <c r="K285">
        <f t="shared" si="46"/>
        <v>1</v>
      </c>
      <c r="L285">
        <f t="shared" si="47"/>
        <v>0.88792816834361632</v>
      </c>
      <c r="M285">
        <f t="shared" si="38"/>
        <v>1</v>
      </c>
      <c r="N285">
        <f t="shared" si="48"/>
        <v>1</v>
      </c>
      <c r="O285">
        <f t="shared" si="49"/>
        <v>24</v>
      </c>
      <c r="P285">
        <f t="shared" si="39"/>
        <v>1</v>
      </c>
      <c r="R285">
        <f t="shared" si="40"/>
        <v>0</v>
      </c>
      <c r="S285">
        <f t="shared" si="41"/>
        <v>1</v>
      </c>
      <c r="T285">
        <f t="shared" si="42"/>
        <v>0</v>
      </c>
    </row>
    <row r="286" spans="10:20" x14ac:dyDescent="0.25">
      <c r="J286">
        <v>6.171957156546759E-2</v>
      </c>
      <c r="K286">
        <f t="shared" si="46"/>
        <v>0</v>
      </c>
      <c r="L286">
        <f t="shared" si="47"/>
        <v>0</v>
      </c>
      <c r="M286">
        <f t="shared" si="38"/>
        <v>0</v>
      </c>
      <c r="N286">
        <f t="shared" si="48"/>
        <v>2</v>
      </c>
      <c r="O286">
        <f t="shared" si="49"/>
        <v>24</v>
      </c>
      <c r="P286">
        <f t="shared" si="39"/>
        <v>1</v>
      </c>
      <c r="R286">
        <f t="shared" si="40"/>
        <v>0</v>
      </c>
      <c r="S286">
        <f t="shared" si="41"/>
        <v>0</v>
      </c>
      <c r="T286">
        <f t="shared" si="42"/>
        <v>0</v>
      </c>
    </row>
    <row r="287" spans="10:20" x14ac:dyDescent="0.25">
      <c r="J287">
        <v>0.12100551895931422</v>
      </c>
      <c r="K287">
        <f t="shared" si="46"/>
        <v>1</v>
      </c>
      <c r="L287">
        <f t="shared" si="47"/>
        <v>0.12100551895931422</v>
      </c>
      <c r="M287">
        <f t="shared" si="38"/>
        <v>1</v>
      </c>
      <c r="N287">
        <f t="shared" si="48"/>
        <v>2</v>
      </c>
      <c r="O287">
        <f t="shared" si="49"/>
        <v>24</v>
      </c>
      <c r="P287">
        <f t="shared" si="39"/>
        <v>1</v>
      </c>
      <c r="R287">
        <f t="shared" si="40"/>
        <v>5</v>
      </c>
      <c r="S287">
        <f t="shared" si="41"/>
        <v>1</v>
      </c>
      <c r="T287">
        <f t="shared" si="42"/>
        <v>0</v>
      </c>
    </row>
    <row r="288" spans="10:20" x14ac:dyDescent="0.25">
      <c r="J288">
        <v>0.59653712741883891</v>
      </c>
      <c r="K288">
        <f t="shared" si="46"/>
        <v>0</v>
      </c>
      <c r="L288">
        <f t="shared" si="47"/>
        <v>0</v>
      </c>
      <c r="M288">
        <f t="shared" si="38"/>
        <v>0</v>
      </c>
      <c r="N288">
        <f t="shared" si="48"/>
        <v>3</v>
      </c>
      <c r="O288">
        <f t="shared" si="49"/>
        <v>24</v>
      </c>
      <c r="P288">
        <f t="shared" si="39"/>
        <v>1</v>
      </c>
      <c r="R288">
        <f t="shared" si="40"/>
        <v>0</v>
      </c>
      <c r="S288">
        <f t="shared" si="41"/>
        <v>0</v>
      </c>
      <c r="T288">
        <f t="shared" si="42"/>
        <v>0</v>
      </c>
    </row>
    <row r="289" spans="10:20" x14ac:dyDescent="0.25">
      <c r="J289">
        <v>0.72607799061369749</v>
      </c>
      <c r="K289">
        <f t="shared" si="46"/>
        <v>1</v>
      </c>
      <c r="L289">
        <f t="shared" si="47"/>
        <v>0.72607799061369749</v>
      </c>
      <c r="M289">
        <f t="shared" si="38"/>
        <v>1</v>
      </c>
      <c r="N289">
        <f t="shared" si="48"/>
        <v>3</v>
      </c>
      <c r="O289">
        <f t="shared" si="49"/>
        <v>24</v>
      </c>
      <c r="P289">
        <f t="shared" si="39"/>
        <v>1</v>
      </c>
      <c r="R289">
        <f t="shared" si="40"/>
        <v>33</v>
      </c>
      <c r="S289">
        <f t="shared" si="41"/>
        <v>1</v>
      </c>
      <c r="T289">
        <f t="shared" si="42"/>
        <v>0</v>
      </c>
    </row>
    <row r="290" spans="10:20" x14ac:dyDescent="0.25">
      <c r="J290">
        <v>0.58111287060262728</v>
      </c>
      <c r="K290">
        <f t="shared" si="46"/>
        <v>0</v>
      </c>
      <c r="L290">
        <f t="shared" si="47"/>
        <v>0</v>
      </c>
      <c r="M290">
        <f t="shared" si="38"/>
        <v>0</v>
      </c>
      <c r="N290">
        <f t="shared" si="48"/>
        <v>4</v>
      </c>
      <c r="O290">
        <f t="shared" si="49"/>
        <v>24</v>
      </c>
      <c r="P290">
        <f t="shared" si="39"/>
        <v>1</v>
      </c>
      <c r="R290">
        <f t="shared" si="40"/>
        <v>0</v>
      </c>
      <c r="S290">
        <f t="shared" si="41"/>
        <v>0</v>
      </c>
      <c r="T290">
        <f t="shared" si="42"/>
        <v>0</v>
      </c>
    </row>
    <row r="291" spans="10:20" x14ac:dyDescent="0.25">
      <c r="J291">
        <v>0.61934640648773365</v>
      </c>
      <c r="K291">
        <f t="shared" si="46"/>
        <v>1</v>
      </c>
      <c r="L291">
        <f t="shared" si="47"/>
        <v>0.61934640648773365</v>
      </c>
      <c r="M291">
        <f t="shared" si="38"/>
        <v>1</v>
      </c>
      <c r="N291">
        <f t="shared" si="48"/>
        <v>4</v>
      </c>
      <c r="O291">
        <f t="shared" si="49"/>
        <v>24</v>
      </c>
      <c r="P291">
        <f t="shared" si="39"/>
        <v>1</v>
      </c>
      <c r="R291">
        <f t="shared" si="40"/>
        <v>133</v>
      </c>
      <c r="S291">
        <f t="shared" si="41"/>
        <v>1</v>
      </c>
      <c r="T291">
        <f t="shared" si="42"/>
        <v>0</v>
      </c>
    </row>
    <row r="292" spans="10:20" x14ac:dyDescent="0.25">
      <c r="J292">
        <v>0.11179459335264508</v>
      </c>
      <c r="K292">
        <f t="shared" si="46"/>
        <v>0</v>
      </c>
      <c r="L292">
        <f t="shared" si="47"/>
        <v>0</v>
      </c>
      <c r="M292">
        <f t="shared" si="38"/>
        <v>0</v>
      </c>
      <c r="N292">
        <f t="shared" si="48"/>
        <v>5</v>
      </c>
      <c r="O292">
        <f t="shared" si="49"/>
        <v>24</v>
      </c>
      <c r="P292">
        <f t="shared" si="39"/>
        <v>1</v>
      </c>
      <c r="R292">
        <f t="shared" si="40"/>
        <v>0</v>
      </c>
      <c r="S292">
        <f t="shared" si="41"/>
        <v>0</v>
      </c>
      <c r="T292">
        <f t="shared" si="42"/>
        <v>0</v>
      </c>
    </row>
    <row r="293" spans="10:20" x14ac:dyDescent="0.25">
      <c r="J293">
        <v>0.87361972533084264</v>
      </c>
      <c r="K293">
        <f t="shared" si="46"/>
        <v>1</v>
      </c>
      <c r="L293">
        <f t="shared" si="47"/>
        <v>0.87361972533084264</v>
      </c>
      <c r="M293">
        <f t="shared" si="38"/>
        <v>1</v>
      </c>
      <c r="N293">
        <f t="shared" si="48"/>
        <v>5</v>
      </c>
      <c r="O293">
        <f t="shared" si="49"/>
        <v>24</v>
      </c>
      <c r="P293">
        <f t="shared" si="39"/>
        <v>1</v>
      </c>
      <c r="R293">
        <f t="shared" si="40"/>
        <v>1033</v>
      </c>
      <c r="S293">
        <f t="shared" si="41"/>
        <v>1</v>
      </c>
      <c r="T293">
        <f t="shared" si="42"/>
        <v>0</v>
      </c>
    </row>
    <row r="294" spans="10:20" x14ac:dyDescent="0.25">
      <c r="J294">
        <v>0.57317932335266886</v>
      </c>
      <c r="K294">
        <f t="shared" si="46"/>
        <v>0</v>
      </c>
      <c r="L294">
        <f t="shared" si="47"/>
        <v>0</v>
      </c>
      <c r="M294">
        <f t="shared" si="38"/>
        <v>0</v>
      </c>
      <c r="N294">
        <f t="shared" si="48"/>
        <v>6</v>
      </c>
      <c r="O294">
        <f t="shared" si="49"/>
        <v>24</v>
      </c>
      <c r="P294">
        <f t="shared" si="39"/>
        <v>1</v>
      </c>
      <c r="R294">
        <f t="shared" si="40"/>
        <v>0</v>
      </c>
      <c r="S294">
        <f t="shared" si="41"/>
        <v>0</v>
      </c>
      <c r="T294">
        <f t="shared" si="42"/>
        <v>0</v>
      </c>
    </row>
    <row r="295" spans="10:20" x14ac:dyDescent="0.25">
      <c r="J295">
        <v>0.24086280229061185</v>
      </c>
      <c r="K295">
        <f t="shared" si="46"/>
        <v>1</v>
      </c>
      <c r="L295">
        <f t="shared" si="47"/>
        <v>0.24086280229061185</v>
      </c>
      <c r="M295">
        <f t="shared" si="38"/>
        <v>1</v>
      </c>
      <c r="N295">
        <f t="shared" si="48"/>
        <v>6</v>
      </c>
      <c r="O295">
        <f t="shared" si="49"/>
        <v>24</v>
      </c>
      <c r="P295">
        <f t="shared" si="39"/>
        <v>1</v>
      </c>
      <c r="R295">
        <f t="shared" si="40"/>
        <v>10033</v>
      </c>
      <c r="S295">
        <f t="shared" si="41"/>
        <v>1</v>
      </c>
      <c r="T295">
        <f t="shared" si="42"/>
        <v>1</v>
      </c>
    </row>
    <row r="296" spans="10:20" x14ac:dyDescent="0.25">
      <c r="J296">
        <v>0.46883955988385217</v>
      </c>
      <c r="K296">
        <f t="shared" si="46"/>
        <v>0</v>
      </c>
      <c r="L296">
        <f t="shared" si="47"/>
        <v>0</v>
      </c>
      <c r="M296">
        <f t="shared" si="38"/>
        <v>0</v>
      </c>
      <c r="N296">
        <f t="shared" si="48"/>
        <v>7</v>
      </c>
      <c r="O296">
        <f t="shared" si="49"/>
        <v>24</v>
      </c>
      <c r="P296">
        <f t="shared" si="39"/>
        <v>1</v>
      </c>
      <c r="R296">
        <f t="shared" si="40"/>
        <v>0</v>
      </c>
      <c r="S296">
        <f t="shared" si="41"/>
        <v>0</v>
      </c>
      <c r="T296">
        <f t="shared" si="42"/>
        <v>0</v>
      </c>
    </row>
    <row r="297" spans="10:20" x14ac:dyDescent="0.25">
      <c r="J297">
        <v>0.14187388043410154</v>
      </c>
      <c r="K297">
        <f t="shared" si="46"/>
        <v>1</v>
      </c>
      <c r="L297">
        <f t="shared" si="47"/>
        <v>0.14187388043410154</v>
      </c>
      <c r="M297">
        <f t="shared" si="38"/>
        <v>1</v>
      </c>
      <c r="N297">
        <f t="shared" si="48"/>
        <v>1</v>
      </c>
      <c r="O297">
        <f t="shared" si="49"/>
        <v>25</v>
      </c>
      <c r="P297">
        <f t="shared" si="39"/>
        <v>1</v>
      </c>
      <c r="R297">
        <f t="shared" si="40"/>
        <v>0</v>
      </c>
      <c r="S297">
        <f t="shared" si="41"/>
        <v>1</v>
      </c>
      <c r="T297">
        <f t="shared" si="42"/>
        <v>0</v>
      </c>
    </row>
    <row r="298" spans="10:20" x14ac:dyDescent="0.25">
      <c r="J298">
        <v>2.6447681728153705E-2</v>
      </c>
      <c r="K298">
        <f t="shared" si="46"/>
        <v>0</v>
      </c>
      <c r="L298">
        <f t="shared" si="47"/>
        <v>0</v>
      </c>
      <c r="M298">
        <f t="shared" si="38"/>
        <v>0</v>
      </c>
      <c r="N298">
        <f t="shared" si="48"/>
        <v>2</v>
      </c>
      <c r="O298">
        <f t="shared" si="49"/>
        <v>25</v>
      </c>
      <c r="P298">
        <f t="shared" si="39"/>
        <v>1</v>
      </c>
      <c r="R298">
        <f t="shared" si="40"/>
        <v>0</v>
      </c>
      <c r="S298">
        <f t="shared" si="41"/>
        <v>0</v>
      </c>
      <c r="T298">
        <f t="shared" si="42"/>
        <v>0</v>
      </c>
    </row>
    <row r="299" spans="10:20" x14ac:dyDescent="0.25">
      <c r="J299">
        <v>0.61450589061869509</v>
      </c>
      <c r="K299">
        <f t="shared" si="46"/>
        <v>1</v>
      </c>
      <c r="L299">
        <f t="shared" si="47"/>
        <v>0.61450589061869509</v>
      </c>
      <c r="M299">
        <f t="shared" si="38"/>
        <v>1</v>
      </c>
      <c r="N299">
        <f t="shared" si="48"/>
        <v>2</v>
      </c>
      <c r="O299">
        <f t="shared" si="49"/>
        <v>25</v>
      </c>
      <c r="P299">
        <f t="shared" si="39"/>
        <v>1</v>
      </c>
      <c r="R299">
        <f t="shared" si="40"/>
        <v>5</v>
      </c>
      <c r="S299">
        <f t="shared" si="41"/>
        <v>1</v>
      </c>
      <c r="T299">
        <f t="shared" si="42"/>
        <v>0</v>
      </c>
    </row>
    <row r="300" spans="10:20" x14ac:dyDescent="0.25">
      <c r="J300">
        <v>0.29567490308532329</v>
      </c>
      <c r="K300">
        <f t="shared" si="46"/>
        <v>0</v>
      </c>
      <c r="L300">
        <f t="shared" si="47"/>
        <v>0</v>
      </c>
      <c r="M300">
        <f t="shared" si="38"/>
        <v>0</v>
      </c>
      <c r="N300">
        <f t="shared" si="48"/>
        <v>3</v>
      </c>
      <c r="O300">
        <f t="shared" si="49"/>
        <v>25</v>
      </c>
      <c r="P300">
        <f t="shared" si="39"/>
        <v>1</v>
      </c>
      <c r="R300">
        <f t="shared" si="40"/>
        <v>0</v>
      </c>
      <c r="S300">
        <f t="shared" si="41"/>
        <v>0</v>
      </c>
      <c r="T300">
        <f t="shared" si="42"/>
        <v>0</v>
      </c>
    </row>
    <row r="301" spans="10:20" x14ac:dyDescent="0.25">
      <c r="J301">
        <v>0.74937432642178459</v>
      </c>
      <c r="K301">
        <f t="shared" si="46"/>
        <v>1</v>
      </c>
      <c r="L301">
        <f t="shared" si="47"/>
        <v>0.74937432642178459</v>
      </c>
      <c r="M301">
        <f t="shared" si="38"/>
        <v>1</v>
      </c>
      <c r="N301">
        <f t="shared" si="48"/>
        <v>3</v>
      </c>
      <c r="O301">
        <f t="shared" si="49"/>
        <v>25</v>
      </c>
      <c r="P301">
        <f t="shared" si="39"/>
        <v>1</v>
      </c>
      <c r="R301">
        <f t="shared" si="40"/>
        <v>34</v>
      </c>
      <c r="S301">
        <f t="shared" si="41"/>
        <v>1</v>
      </c>
      <c r="T301">
        <f t="shared" si="42"/>
        <v>0</v>
      </c>
    </row>
    <row r="302" spans="10:20" x14ac:dyDescent="0.25">
      <c r="J302">
        <v>0.10972022893666622</v>
      </c>
      <c r="K302">
        <f t="shared" si="46"/>
        <v>0</v>
      </c>
      <c r="L302">
        <f t="shared" si="47"/>
        <v>0</v>
      </c>
      <c r="M302">
        <f t="shared" si="38"/>
        <v>0</v>
      </c>
      <c r="N302">
        <f t="shared" si="48"/>
        <v>4</v>
      </c>
      <c r="O302">
        <f t="shared" si="49"/>
        <v>25</v>
      </c>
      <c r="P302">
        <f t="shared" si="39"/>
        <v>1</v>
      </c>
      <c r="R302">
        <f t="shared" si="40"/>
        <v>0</v>
      </c>
      <c r="S302">
        <f t="shared" si="41"/>
        <v>0</v>
      </c>
      <c r="T302">
        <f t="shared" si="42"/>
        <v>0</v>
      </c>
    </row>
    <row r="303" spans="10:20" x14ac:dyDescent="0.25">
      <c r="J303">
        <v>0.81802001532089552</v>
      </c>
      <c r="K303">
        <f t="shared" si="46"/>
        <v>1</v>
      </c>
      <c r="L303">
        <f t="shared" si="47"/>
        <v>0.81802001532089552</v>
      </c>
      <c r="M303">
        <f t="shared" si="38"/>
        <v>1</v>
      </c>
      <c r="N303">
        <f t="shared" si="48"/>
        <v>4</v>
      </c>
      <c r="O303">
        <f t="shared" si="49"/>
        <v>25</v>
      </c>
      <c r="P303">
        <f t="shared" si="39"/>
        <v>1</v>
      </c>
      <c r="R303">
        <f t="shared" si="40"/>
        <v>134</v>
      </c>
      <c r="S303">
        <f t="shared" si="41"/>
        <v>1</v>
      </c>
      <c r="T303">
        <f t="shared" si="42"/>
        <v>0</v>
      </c>
    </row>
    <row r="304" spans="10:20" x14ac:dyDescent="0.25">
      <c r="J304">
        <v>0.50859513649306454</v>
      </c>
      <c r="K304">
        <f t="shared" si="46"/>
        <v>0</v>
      </c>
      <c r="L304">
        <f t="shared" si="47"/>
        <v>0</v>
      </c>
      <c r="M304">
        <f t="shared" si="38"/>
        <v>0</v>
      </c>
      <c r="N304">
        <f t="shared" si="48"/>
        <v>5</v>
      </c>
      <c r="O304">
        <f t="shared" si="49"/>
        <v>25</v>
      </c>
      <c r="P304">
        <f t="shared" si="39"/>
        <v>1</v>
      </c>
      <c r="R304">
        <f t="shared" si="40"/>
        <v>0</v>
      </c>
      <c r="S304">
        <f t="shared" si="41"/>
        <v>0</v>
      </c>
      <c r="T304">
        <f t="shared" si="42"/>
        <v>0</v>
      </c>
    </row>
    <row r="305" spans="10:20" x14ac:dyDescent="0.25">
      <c r="J305">
        <v>0.27636981079718725</v>
      </c>
      <c r="K305">
        <f t="shared" si="46"/>
        <v>1</v>
      </c>
      <c r="L305">
        <f t="shared" si="47"/>
        <v>0.27636981079718725</v>
      </c>
      <c r="M305">
        <f t="shared" si="38"/>
        <v>1</v>
      </c>
      <c r="N305">
        <f t="shared" si="48"/>
        <v>5</v>
      </c>
      <c r="O305">
        <f t="shared" si="49"/>
        <v>25</v>
      </c>
      <c r="P305">
        <f t="shared" si="39"/>
        <v>1</v>
      </c>
      <c r="R305">
        <f t="shared" si="40"/>
        <v>1034</v>
      </c>
      <c r="S305">
        <f t="shared" si="41"/>
        <v>1</v>
      </c>
      <c r="T305">
        <f t="shared" si="42"/>
        <v>0</v>
      </c>
    </row>
    <row r="306" spans="10:20" x14ac:dyDescent="0.25">
      <c r="J306">
        <v>0.42581284091562532</v>
      </c>
      <c r="K306">
        <f t="shared" si="46"/>
        <v>0</v>
      </c>
      <c r="L306">
        <f t="shared" si="47"/>
        <v>0</v>
      </c>
      <c r="M306">
        <f t="shared" si="38"/>
        <v>0</v>
      </c>
      <c r="N306">
        <f t="shared" si="48"/>
        <v>6</v>
      </c>
      <c r="O306">
        <f t="shared" si="49"/>
        <v>25</v>
      </c>
      <c r="P306">
        <f t="shared" si="39"/>
        <v>1</v>
      </c>
      <c r="R306">
        <f t="shared" si="40"/>
        <v>0</v>
      </c>
      <c r="S306">
        <f t="shared" si="41"/>
        <v>0</v>
      </c>
      <c r="T306">
        <f t="shared" si="42"/>
        <v>0</v>
      </c>
    </row>
    <row r="307" spans="10:20" x14ac:dyDescent="0.25">
      <c r="J307">
        <v>0.83972439745784233</v>
      </c>
      <c r="K307">
        <f t="shared" si="46"/>
        <v>1</v>
      </c>
      <c r="L307">
        <f t="shared" si="47"/>
        <v>0.83972439745784233</v>
      </c>
      <c r="M307">
        <f t="shared" si="38"/>
        <v>1</v>
      </c>
      <c r="N307">
        <f t="shared" si="48"/>
        <v>6</v>
      </c>
      <c r="O307">
        <f t="shared" si="49"/>
        <v>25</v>
      </c>
      <c r="P307">
        <f t="shared" si="39"/>
        <v>1</v>
      </c>
      <c r="R307">
        <f t="shared" si="40"/>
        <v>10034</v>
      </c>
      <c r="S307">
        <f t="shared" si="41"/>
        <v>1</v>
      </c>
      <c r="T307">
        <f t="shared" si="42"/>
        <v>1</v>
      </c>
    </row>
    <row r="308" spans="10:20" x14ac:dyDescent="0.25">
      <c r="J308">
        <v>0.2370013870337585</v>
      </c>
      <c r="K308">
        <f t="shared" si="46"/>
        <v>0</v>
      </c>
      <c r="L308">
        <f t="shared" si="47"/>
        <v>0</v>
      </c>
      <c r="M308">
        <f t="shared" si="38"/>
        <v>0</v>
      </c>
      <c r="N308">
        <f t="shared" si="48"/>
        <v>7</v>
      </c>
      <c r="O308">
        <f t="shared" si="49"/>
        <v>25</v>
      </c>
      <c r="P308">
        <f t="shared" si="39"/>
        <v>1</v>
      </c>
      <c r="R308">
        <f t="shared" si="40"/>
        <v>0</v>
      </c>
      <c r="S308">
        <f t="shared" si="41"/>
        <v>0</v>
      </c>
      <c r="T308">
        <f t="shared" si="42"/>
        <v>0</v>
      </c>
    </row>
    <row r="309" spans="10:20" x14ac:dyDescent="0.25">
      <c r="J309">
        <v>0.29840030916934746</v>
      </c>
      <c r="K309">
        <f t="shared" si="46"/>
        <v>1</v>
      </c>
      <c r="L309">
        <f t="shared" si="47"/>
        <v>0.29840030916934746</v>
      </c>
      <c r="M309">
        <f t="shared" si="38"/>
        <v>1</v>
      </c>
      <c r="N309">
        <f t="shared" si="48"/>
        <v>1</v>
      </c>
      <c r="O309">
        <f t="shared" si="49"/>
        <v>26</v>
      </c>
      <c r="P309">
        <f t="shared" si="39"/>
        <v>1</v>
      </c>
      <c r="R309">
        <f t="shared" si="40"/>
        <v>1</v>
      </c>
      <c r="S309">
        <f t="shared" si="41"/>
        <v>1</v>
      </c>
      <c r="T309">
        <f t="shared" si="42"/>
        <v>0</v>
      </c>
    </row>
    <row r="310" spans="10:20" x14ac:dyDescent="0.25">
      <c r="J310">
        <v>0.90544038072205701</v>
      </c>
      <c r="K310">
        <f t="shared" si="46"/>
        <v>0</v>
      </c>
      <c r="L310">
        <f t="shared" si="47"/>
        <v>0</v>
      </c>
      <c r="M310">
        <f t="shared" si="38"/>
        <v>0</v>
      </c>
      <c r="N310">
        <f t="shared" si="48"/>
        <v>2</v>
      </c>
      <c r="O310">
        <f t="shared" si="49"/>
        <v>26</v>
      </c>
      <c r="P310">
        <f t="shared" si="39"/>
        <v>1</v>
      </c>
      <c r="R310">
        <f t="shared" si="40"/>
        <v>0</v>
      </c>
      <c r="S310">
        <f t="shared" si="41"/>
        <v>0</v>
      </c>
      <c r="T310">
        <f t="shared" si="42"/>
        <v>0</v>
      </c>
    </row>
    <row r="311" spans="10:20" x14ac:dyDescent="0.25">
      <c r="J311">
        <v>9.733314570810736E-2</v>
      </c>
      <c r="K311">
        <f t="shared" si="46"/>
        <v>1</v>
      </c>
      <c r="L311">
        <f t="shared" si="47"/>
        <v>9.733314570810736E-2</v>
      </c>
      <c r="M311">
        <f t="shared" si="38"/>
        <v>1</v>
      </c>
      <c r="N311">
        <f t="shared" si="48"/>
        <v>2</v>
      </c>
      <c r="O311">
        <f t="shared" si="49"/>
        <v>26</v>
      </c>
      <c r="P311">
        <f t="shared" si="39"/>
        <v>1</v>
      </c>
      <c r="R311">
        <f t="shared" si="40"/>
        <v>5</v>
      </c>
      <c r="S311">
        <f t="shared" si="41"/>
        <v>1</v>
      </c>
      <c r="T311">
        <f t="shared" si="42"/>
        <v>0</v>
      </c>
    </row>
    <row r="312" spans="10:20" x14ac:dyDescent="0.25">
      <c r="J312">
        <v>0.33504812408540918</v>
      </c>
      <c r="K312">
        <f t="shared" si="46"/>
        <v>0</v>
      </c>
      <c r="L312">
        <f t="shared" si="47"/>
        <v>0</v>
      </c>
      <c r="M312">
        <f t="shared" si="38"/>
        <v>0</v>
      </c>
      <c r="N312">
        <f t="shared" si="48"/>
        <v>3</v>
      </c>
      <c r="O312">
        <f t="shared" si="49"/>
        <v>26</v>
      </c>
      <c r="P312">
        <f t="shared" si="39"/>
        <v>1</v>
      </c>
      <c r="R312">
        <f t="shared" si="40"/>
        <v>0</v>
      </c>
      <c r="S312">
        <f t="shared" si="41"/>
        <v>0</v>
      </c>
      <c r="T312">
        <f t="shared" si="42"/>
        <v>0</v>
      </c>
    </row>
    <row r="313" spans="10:20" x14ac:dyDescent="0.25">
      <c r="J313">
        <v>0.56988121540601078</v>
      </c>
      <c r="K313">
        <f t="shared" si="46"/>
        <v>1</v>
      </c>
      <c r="L313">
        <f t="shared" si="47"/>
        <v>0.56988121540601078</v>
      </c>
      <c r="M313">
        <f t="shared" si="38"/>
        <v>1</v>
      </c>
      <c r="N313">
        <f t="shared" si="48"/>
        <v>3</v>
      </c>
      <c r="O313">
        <f t="shared" si="49"/>
        <v>26</v>
      </c>
      <c r="P313">
        <f t="shared" si="39"/>
        <v>1</v>
      </c>
      <c r="R313">
        <f t="shared" si="40"/>
        <v>35</v>
      </c>
      <c r="S313">
        <f t="shared" si="41"/>
        <v>1</v>
      </c>
      <c r="T313">
        <f t="shared" si="42"/>
        <v>0</v>
      </c>
    </row>
    <row r="314" spans="10:20" x14ac:dyDescent="0.25">
      <c r="J314">
        <v>1.8419461661661085E-2</v>
      </c>
      <c r="K314">
        <f t="shared" si="46"/>
        <v>0</v>
      </c>
      <c r="L314">
        <f t="shared" si="47"/>
        <v>0</v>
      </c>
      <c r="M314">
        <f t="shared" si="38"/>
        <v>0</v>
      </c>
      <c r="N314">
        <f t="shared" si="48"/>
        <v>4</v>
      </c>
      <c r="O314">
        <f t="shared" si="49"/>
        <v>26</v>
      </c>
      <c r="P314">
        <f t="shared" si="39"/>
        <v>1</v>
      </c>
      <c r="R314">
        <f t="shared" si="40"/>
        <v>0</v>
      </c>
      <c r="S314">
        <f t="shared" si="41"/>
        <v>0</v>
      </c>
      <c r="T314">
        <f t="shared" si="42"/>
        <v>0</v>
      </c>
    </row>
    <row r="315" spans="10:20" x14ac:dyDescent="0.25">
      <c r="J315">
        <v>0.54015853266775926</v>
      </c>
      <c r="K315">
        <f t="shared" si="46"/>
        <v>1</v>
      </c>
      <c r="L315">
        <f t="shared" si="47"/>
        <v>0.54015853266775926</v>
      </c>
      <c r="M315">
        <f t="shared" si="38"/>
        <v>1</v>
      </c>
      <c r="N315">
        <f t="shared" si="48"/>
        <v>4</v>
      </c>
      <c r="O315">
        <f t="shared" si="49"/>
        <v>26</v>
      </c>
      <c r="P315">
        <f t="shared" si="39"/>
        <v>1</v>
      </c>
      <c r="R315">
        <f t="shared" si="40"/>
        <v>135</v>
      </c>
      <c r="S315">
        <f t="shared" si="41"/>
        <v>1</v>
      </c>
      <c r="T315">
        <f t="shared" si="42"/>
        <v>0</v>
      </c>
    </row>
    <row r="316" spans="10:20" x14ac:dyDescent="0.25">
      <c r="J316">
        <v>0.73766524311394344</v>
      </c>
      <c r="K316">
        <f t="shared" si="46"/>
        <v>0</v>
      </c>
      <c r="L316">
        <f t="shared" si="47"/>
        <v>0</v>
      </c>
      <c r="M316">
        <f t="shared" si="38"/>
        <v>0</v>
      </c>
      <c r="N316">
        <f t="shared" si="48"/>
        <v>5</v>
      </c>
      <c r="O316">
        <f t="shared" si="49"/>
        <v>26</v>
      </c>
      <c r="P316">
        <f t="shared" si="39"/>
        <v>1</v>
      </c>
      <c r="R316">
        <f t="shared" si="40"/>
        <v>0</v>
      </c>
      <c r="S316">
        <f t="shared" si="41"/>
        <v>0</v>
      </c>
      <c r="T316">
        <f t="shared" si="42"/>
        <v>0</v>
      </c>
    </row>
    <row r="317" spans="10:20" x14ac:dyDescent="0.25">
      <c r="J317">
        <v>0.90725974464374104</v>
      </c>
      <c r="K317">
        <f t="shared" si="46"/>
        <v>1</v>
      </c>
      <c r="L317">
        <f t="shared" si="47"/>
        <v>0.90725974464374104</v>
      </c>
      <c r="M317">
        <f t="shared" si="38"/>
        <v>1</v>
      </c>
      <c r="N317">
        <f t="shared" si="48"/>
        <v>5</v>
      </c>
      <c r="O317">
        <f t="shared" si="49"/>
        <v>26</v>
      </c>
      <c r="P317">
        <f t="shared" si="39"/>
        <v>1</v>
      </c>
      <c r="R317">
        <f t="shared" si="40"/>
        <v>1035</v>
      </c>
      <c r="S317">
        <f t="shared" si="41"/>
        <v>1</v>
      </c>
      <c r="T317">
        <f t="shared" si="42"/>
        <v>0</v>
      </c>
    </row>
    <row r="318" spans="10:20" x14ac:dyDescent="0.25">
      <c r="J318">
        <v>0.8729864910721149</v>
      </c>
      <c r="K318">
        <f t="shared" si="46"/>
        <v>0</v>
      </c>
      <c r="L318">
        <f t="shared" si="47"/>
        <v>0</v>
      </c>
      <c r="M318">
        <f t="shared" si="38"/>
        <v>0</v>
      </c>
      <c r="N318">
        <f t="shared" si="48"/>
        <v>6</v>
      </c>
      <c r="O318">
        <f t="shared" si="49"/>
        <v>26</v>
      </c>
      <c r="P318">
        <f t="shared" si="39"/>
        <v>1</v>
      </c>
      <c r="R318">
        <f t="shared" si="40"/>
        <v>0</v>
      </c>
      <c r="S318">
        <f t="shared" si="41"/>
        <v>0</v>
      </c>
      <c r="T318">
        <f t="shared" si="42"/>
        <v>0</v>
      </c>
    </row>
    <row r="319" spans="10:20" x14ac:dyDescent="0.25">
      <c r="J319">
        <v>0.88315124653269395</v>
      </c>
      <c r="K319">
        <f t="shared" si="46"/>
        <v>1</v>
      </c>
      <c r="L319">
        <f t="shared" si="47"/>
        <v>0.88315124653269395</v>
      </c>
      <c r="M319">
        <f t="shared" si="38"/>
        <v>1</v>
      </c>
      <c r="N319">
        <f t="shared" si="48"/>
        <v>6</v>
      </c>
      <c r="O319">
        <f t="shared" si="49"/>
        <v>26</v>
      </c>
      <c r="P319">
        <f t="shared" si="39"/>
        <v>1</v>
      </c>
      <c r="R319">
        <f t="shared" si="40"/>
        <v>10035</v>
      </c>
      <c r="S319">
        <f t="shared" si="41"/>
        <v>1</v>
      </c>
      <c r="T319">
        <f t="shared" si="42"/>
        <v>1</v>
      </c>
    </row>
    <row r="320" spans="10:20" x14ac:dyDescent="0.25">
      <c r="J320">
        <v>0.64734708682799524</v>
      </c>
      <c r="K320">
        <f t="shared" si="46"/>
        <v>0</v>
      </c>
      <c r="L320">
        <f t="shared" si="47"/>
        <v>0</v>
      </c>
      <c r="M320">
        <f t="shared" si="38"/>
        <v>0</v>
      </c>
      <c r="N320">
        <f t="shared" si="48"/>
        <v>7</v>
      </c>
      <c r="O320">
        <f t="shared" si="49"/>
        <v>26</v>
      </c>
      <c r="P320">
        <f t="shared" si="39"/>
        <v>1</v>
      </c>
      <c r="R320">
        <f t="shared" si="40"/>
        <v>0</v>
      </c>
      <c r="S320">
        <f t="shared" si="41"/>
        <v>0</v>
      </c>
      <c r="T320">
        <f t="shared" si="42"/>
        <v>0</v>
      </c>
    </row>
    <row r="321" spans="10:20" x14ac:dyDescent="0.25">
      <c r="J321">
        <v>0.3906056314573334</v>
      </c>
      <c r="K321">
        <f t="shared" si="46"/>
        <v>1</v>
      </c>
      <c r="L321">
        <f t="shared" si="47"/>
        <v>0.3906056314573334</v>
      </c>
      <c r="M321">
        <f t="shared" si="38"/>
        <v>1</v>
      </c>
      <c r="N321">
        <f t="shared" si="48"/>
        <v>1</v>
      </c>
      <c r="O321">
        <f t="shared" si="49"/>
        <v>27</v>
      </c>
      <c r="P321">
        <f t="shared" si="39"/>
        <v>1</v>
      </c>
      <c r="R321">
        <f t="shared" si="40"/>
        <v>1</v>
      </c>
      <c r="S321">
        <f t="shared" si="41"/>
        <v>1</v>
      </c>
      <c r="T321">
        <f t="shared" si="42"/>
        <v>0</v>
      </c>
    </row>
    <row r="322" spans="10:20" x14ac:dyDescent="0.25">
      <c r="J322">
        <v>0.97571484026925637</v>
      </c>
      <c r="K322">
        <f t="shared" si="46"/>
        <v>0</v>
      </c>
      <c r="L322">
        <f t="shared" si="47"/>
        <v>0</v>
      </c>
      <c r="M322">
        <f t="shared" si="38"/>
        <v>0</v>
      </c>
      <c r="N322">
        <f t="shared" si="48"/>
        <v>2</v>
      </c>
      <c r="O322">
        <f t="shared" si="49"/>
        <v>27</v>
      </c>
      <c r="P322">
        <f t="shared" si="39"/>
        <v>1</v>
      </c>
      <c r="R322">
        <f t="shared" si="40"/>
        <v>0</v>
      </c>
      <c r="S322">
        <f t="shared" si="41"/>
        <v>0</v>
      </c>
      <c r="T322">
        <f t="shared" si="42"/>
        <v>0</v>
      </c>
    </row>
    <row r="323" spans="10:20" x14ac:dyDescent="0.25">
      <c r="J323">
        <v>0.89002756117737802</v>
      </c>
      <c r="K323">
        <f t="shared" si="46"/>
        <v>1</v>
      </c>
      <c r="L323">
        <f t="shared" si="47"/>
        <v>0.89002756117737802</v>
      </c>
      <c r="M323">
        <f t="shared" si="38"/>
        <v>1</v>
      </c>
      <c r="N323">
        <f t="shared" si="48"/>
        <v>2</v>
      </c>
      <c r="O323">
        <f t="shared" si="49"/>
        <v>27</v>
      </c>
      <c r="P323">
        <f t="shared" si="39"/>
        <v>1</v>
      </c>
      <c r="R323">
        <f t="shared" si="40"/>
        <v>6</v>
      </c>
      <c r="S323">
        <f t="shared" si="41"/>
        <v>1</v>
      </c>
      <c r="T323">
        <f t="shared" si="42"/>
        <v>0</v>
      </c>
    </row>
    <row r="324" spans="10:20" x14ac:dyDescent="0.25">
      <c r="J324">
        <v>0.37672056348642402</v>
      </c>
      <c r="K324">
        <f t="shared" si="46"/>
        <v>0</v>
      </c>
      <c r="L324">
        <f t="shared" si="47"/>
        <v>0</v>
      </c>
      <c r="M324">
        <f t="shared" si="38"/>
        <v>0</v>
      </c>
      <c r="N324">
        <f t="shared" si="48"/>
        <v>3</v>
      </c>
      <c r="O324">
        <f t="shared" si="49"/>
        <v>27</v>
      </c>
      <c r="P324">
        <f t="shared" si="39"/>
        <v>1</v>
      </c>
      <c r="R324">
        <f t="shared" si="40"/>
        <v>0</v>
      </c>
      <c r="S324">
        <f t="shared" si="41"/>
        <v>0</v>
      </c>
      <c r="T324">
        <f t="shared" si="42"/>
        <v>0</v>
      </c>
    </row>
    <row r="325" spans="10:20" x14ac:dyDescent="0.25">
      <c r="J325">
        <v>1.7685632931247253E-2</v>
      </c>
      <c r="K325">
        <f t="shared" si="46"/>
        <v>1</v>
      </c>
      <c r="L325">
        <f t="shared" si="47"/>
        <v>1.7685632931247253E-2</v>
      </c>
      <c r="M325">
        <f t="shared" si="38"/>
        <v>1</v>
      </c>
      <c r="N325">
        <f t="shared" si="48"/>
        <v>3</v>
      </c>
      <c r="O325">
        <f t="shared" si="49"/>
        <v>27</v>
      </c>
      <c r="P325">
        <f t="shared" si="39"/>
        <v>1</v>
      </c>
      <c r="R325">
        <f t="shared" si="40"/>
        <v>36</v>
      </c>
      <c r="S325">
        <f t="shared" si="41"/>
        <v>1</v>
      </c>
      <c r="T325">
        <f t="shared" si="42"/>
        <v>0</v>
      </c>
    </row>
    <row r="326" spans="10:20" x14ac:dyDescent="0.25">
      <c r="J326">
        <v>0.14818805212905084</v>
      </c>
      <c r="K326">
        <f t="shared" si="46"/>
        <v>0</v>
      </c>
      <c r="L326">
        <f t="shared" si="47"/>
        <v>0</v>
      </c>
      <c r="M326">
        <f t="shared" si="38"/>
        <v>0</v>
      </c>
      <c r="N326">
        <f t="shared" si="48"/>
        <v>4</v>
      </c>
      <c r="O326">
        <f t="shared" si="49"/>
        <v>27</v>
      </c>
      <c r="P326">
        <f t="shared" si="39"/>
        <v>1</v>
      </c>
      <c r="R326">
        <f t="shared" si="40"/>
        <v>0</v>
      </c>
      <c r="S326">
        <f t="shared" si="41"/>
        <v>0</v>
      </c>
      <c r="T326">
        <f t="shared" si="42"/>
        <v>0</v>
      </c>
    </row>
    <row r="327" spans="10:20" x14ac:dyDescent="0.25">
      <c r="J327">
        <v>6.6843550032418264E-3</v>
      </c>
      <c r="K327">
        <f t="shared" si="46"/>
        <v>1</v>
      </c>
      <c r="L327">
        <f t="shared" si="47"/>
        <v>6.6843550032418264E-3</v>
      </c>
      <c r="M327">
        <f t="shared" si="38"/>
        <v>1</v>
      </c>
      <c r="N327">
        <f t="shared" si="48"/>
        <v>4</v>
      </c>
      <c r="O327">
        <f t="shared" si="49"/>
        <v>27</v>
      </c>
      <c r="P327">
        <f t="shared" si="39"/>
        <v>1</v>
      </c>
      <c r="R327">
        <f t="shared" si="40"/>
        <v>136</v>
      </c>
      <c r="S327">
        <f t="shared" si="41"/>
        <v>1</v>
      </c>
      <c r="T327">
        <f t="shared" si="42"/>
        <v>0</v>
      </c>
    </row>
    <row r="328" spans="10:20" x14ac:dyDescent="0.25">
      <c r="J328">
        <v>8.8925670348954489E-2</v>
      </c>
      <c r="K328">
        <f t="shared" si="46"/>
        <v>0</v>
      </c>
      <c r="L328">
        <f t="shared" si="47"/>
        <v>0</v>
      </c>
      <c r="M328">
        <f t="shared" ref="M328:M391" si="50">IF(L328&gt;$M$2,1,0)</f>
        <v>0</v>
      </c>
      <c r="N328">
        <f t="shared" si="48"/>
        <v>5</v>
      </c>
      <c r="O328">
        <f t="shared" si="49"/>
        <v>27</v>
      </c>
      <c r="P328">
        <f t="shared" ref="P328:P391" si="51">IF(INDEX($B$7:$H$1029,O328,2)&gt;0,1,0)</f>
        <v>1</v>
      </c>
      <c r="R328">
        <f t="shared" ref="R328:R391" si="52">IF(  M328&gt;0,INDEX($B$7:$H$1029,O328,N328),0)*P328</f>
        <v>0</v>
      </c>
      <c r="S328">
        <f t="shared" ref="S328:S391" si="53">M328*P328</f>
        <v>0</v>
      </c>
      <c r="T328">
        <f t="shared" ref="T328:T391" si="54">IF(N329=$N$2,1,0)*P328</f>
        <v>0</v>
      </c>
    </row>
    <row r="329" spans="10:20" x14ac:dyDescent="0.25">
      <c r="J329">
        <v>0.80995684543773327</v>
      </c>
      <c r="K329">
        <f t="shared" si="46"/>
        <v>1</v>
      </c>
      <c r="L329">
        <f t="shared" si="47"/>
        <v>0.80995684543773327</v>
      </c>
      <c r="M329">
        <f t="shared" si="50"/>
        <v>1</v>
      </c>
      <c r="N329">
        <f t="shared" si="48"/>
        <v>5</v>
      </c>
      <c r="O329">
        <f t="shared" si="49"/>
        <v>27</v>
      </c>
      <c r="P329">
        <f t="shared" si="51"/>
        <v>1</v>
      </c>
      <c r="R329">
        <f t="shared" si="52"/>
        <v>1036</v>
      </c>
      <c r="S329">
        <f t="shared" si="53"/>
        <v>1</v>
      </c>
      <c r="T329">
        <f t="shared" si="54"/>
        <v>0</v>
      </c>
    </row>
    <row r="330" spans="10:20" x14ac:dyDescent="0.25">
      <c r="J330">
        <v>0.65023575095087471</v>
      </c>
      <c r="K330">
        <f t="shared" si="46"/>
        <v>0</v>
      </c>
      <c r="L330">
        <f t="shared" si="47"/>
        <v>0</v>
      </c>
      <c r="M330">
        <f t="shared" si="50"/>
        <v>0</v>
      </c>
      <c r="N330">
        <f t="shared" si="48"/>
        <v>6</v>
      </c>
      <c r="O330">
        <f t="shared" si="49"/>
        <v>27</v>
      </c>
      <c r="P330">
        <f t="shared" si="51"/>
        <v>1</v>
      </c>
      <c r="R330">
        <f t="shared" si="52"/>
        <v>0</v>
      </c>
      <c r="S330">
        <f t="shared" si="53"/>
        <v>0</v>
      </c>
      <c r="T330">
        <f t="shared" si="54"/>
        <v>0</v>
      </c>
    </row>
    <row r="331" spans="10:20" x14ac:dyDescent="0.25">
      <c r="J331">
        <v>0.72749183435193254</v>
      </c>
      <c r="K331">
        <f t="shared" si="46"/>
        <v>1</v>
      </c>
      <c r="L331">
        <f t="shared" si="47"/>
        <v>0.72749183435193254</v>
      </c>
      <c r="M331">
        <f t="shared" si="50"/>
        <v>1</v>
      </c>
      <c r="N331">
        <f t="shared" si="48"/>
        <v>6</v>
      </c>
      <c r="O331">
        <f t="shared" si="49"/>
        <v>27</v>
      </c>
      <c r="P331">
        <f t="shared" si="51"/>
        <v>1</v>
      </c>
      <c r="R331">
        <f t="shared" si="52"/>
        <v>10036</v>
      </c>
      <c r="S331">
        <f t="shared" si="53"/>
        <v>1</v>
      </c>
      <c r="T331">
        <f t="shared" si="54"/>
        <v>1</v>
      </c>
    </row>
    <row r="332" spans="10:20" x14ac:dyDescent="0.25">
      <c r="J332">
        <v>0.2592395943636292</v>
      </c>
      <c r="K332">
        <f t="shared" si="46"/>
        <v>0</v>
      </c>
      <c r="L332">
        <f t="shared" si="47"/>
        <v>0</v>
      </c>
      <c r="M332">
        <f t="shared" si="50"/>
        <v>0</v>
      </c>
      <c r="N332">
        <f t="shared" si="48"/>
        <v>7</v>
      </c>
      <c r="O332">
        <f t="shared" si="49"/>
        <v>27</v>
      </c>
      <c r="P332">
        <f t="shared" si="51"/>
        <v>1</v>
      </c>
      <c r="R332">
        <f t="shared" si="52"/>
        <v>0</v>
      </c>
      <c r="S332">
        <f t="shared" si="53"/>
        <v>0</v>
      </c>
      <c r="T332">
        <f t="shared" si="54"/>
        <v>0</v>
      </c>
    </row>
    <row r="333" spans="10:20" x14ac:dyDescent="0.25">
      <c r="J333">
        <v>0.81034054922054966</v>
      </c>
      <c r="K333">
        <f t="shared" si="46"/>
        <v>1</v>
      </c>
      <c r="L333">
        <f t="shared" si="47"/>
        <v>0.81034054922054966</v>
      </c>
      <c r="M333">
        <f t="shared" si="50"/>
        <v>1</v>
      </c>
      <c r="N333">
        <f t="shared" si="48"/>
        <v>1</v>
      </c>
      <c r="O333">
        <f t="shared" si="49"/>
        <v>28</v>
      </c>
      <c r="P333">
        <f t="shared" si="51"/>
        <v>1</v>
      </c>
      <c r="R333">
        <f t="shared" si="52"/>
        <v>1</v>
      </c>
      <c r="S333">
        <f t="shared" si="53"/>
        <v>1</v>
      </c>
      <c r="T333">
        <f t="shared" si="54"/>
        <v>0</v>
      </c>
    </row>
    <row r="334" spans="10:20" x14ac:dyDescent="0.25">
      <c r="J334">
        <v>0.51957867840189387</v>
      </c>
      <c r="K334">
        <f t="shared" si="46"/>
        <v>0</v>
      </c>
      <c r="L334">
        <f t="shared" si="47"/>
        <v>0</v>
      </c>
      <c r="M334">
        <f t="shared" si="50"/>
        <v>0</v>
      </c>
      <c r="N334">
        <f t="shared" si="48"/>
        <v>2</v>
      </c>
      <c r="O334">
        <f t="shared" si="49"/>
        <v>28</v>
      </c>
      <c r="P334">
        <f t="shared" si="51"/>
        <v>1</v>
      </c>
      <c r="R334">
        <f t="shared" si="52"/>
        <v>0</v>
      </c>
      <c r="S334">
        <f t="shared" si="53"/>
        <v>0</v>
      </c>
      <c r="T334">
        <f t="shared" si="54"/>
        <v>0</v>
      </c>
    </row>
    <row r="335" spans="10:20" x14ac:dyDescent="0.25">
      <c r="J335">
        <v>0.31453551584248607</v>
      </c>
      <c r="K335">
        <f t="shared" si="46"/>
        <v>1</v>
      </c>
      <c r="L335">
        <f t="shared" si="47"/>
        <v>0.31453551584248607</v>
      </c>
      <c r="M335">
        <f t="shared" si="50"/>
        <v>1</v>
      </c>
      <c r="N335">
        <f t="shared" si="48"/>
        <v>2</v>
      </c>
      <c r="O335">
        <f t="shared" si="49"/>
        <v>28</v>
      </c>
      <c r="P335">
        <f t="shared" si="51"/>
        <v>1</v>
      </c>
      <c r="R335">
        <f t="shared" si="52"/>
        <v>7</v>
      </c>
      <c r="S335">
        <f t="shared" si="53"/>
        <v>1</v>
      </c>
      <c r="T335">
        <f t="shared" si="54"/>
        <v>0</v>
      </c>
    </row>
    <row r="336" spans="10:20" x14ac:dyDescent="0.25">
      <c r="J336">
        <v>0.44652479472936624</v>
      </c>
      <c r="K336">
        <f t="shared" si="46"/>
        <v>0</v>
      </c>
      <c r="L336">
        <f t="shared" si="47"/>
        <v>0</v>
      </c>
      <c r="M336">
        <f t="shared" si="50"/>
        <v>0</v>
      </c>
      <c r="N336">
        <f t="shared" si="48"/>
        <v>3</v>
      </c>
      <c r="O336">
        <f t="shared" si="49"/>
        <v>28</v>
      </c>
      <c r="P336">
        <f t="shared" si="51"/>
        <v>1</v>
      </c>
      <c r="R336">
        <f t="shared" si="52"/>
        <v>0</v>
      </c>
      <c r="S336">
        <f t="shared" si="53"/>
        <v>0</v>
      </c>
      <c r="T336">
        <f t="shared" si="54"/>
        <v>0</v>
      </c>
    </row>
    <row r="337" spans="10:20" x14ac:dyDescent="0.25">
      <c r="J337">
        <v>0.4785769182977998</v>
      </c>
      <c r="K337">
        <f t="shared" si="46"/>
        <v>1</v>
      </c>
      <c r="L337">
        <f t="shared" si="47"/>
        <v>0.4785769182977998</v>
      </c>
      <c r="M337">
        <f t="shared" si="50"/>
        <v>1</v>
      </c>
      <c r="N337">
        <f t="shared" si="48"/>
        <v>3</v>
      </c>
      <c r="O337">
        <f t="shared" si="49"/>
        <v>28</v>
      </c>
      <c r="P337">
        <f t="shared" si="51"/>
        <v>1</v>
      </c>
      <c r="R337">
        <f t="shared" si="52"/>
        <v>37</v>
      </c>
      <c r="S337">
        <f t="shared" si="53"/>
        <v>1</v>
      </c>
      <c r="T337">
        <f t="shared" si="54"/>
        <v>0</v>
      </c>
    </row>
    <row r="338" spans="10:20" x14ac:dyDescent="0.25">
      <c r="J338">
        <v>0.38768399769102135</v>
      </c>
      <c r="K338">
        <f t="shared" si="46"/>
        <v>0</v>
      </c>
      <c r="L338">
        <f t="shared" si="47"/>
        <v>0</v>
      </c>
      <c r="M338">
        <f t="shared" si="50"/>
        <v>0</v>
      </c>
      <c r="N338">
        <f t="shared" si="48"/>
        <v>4</v>
      </c>
      <c r="O338">
        <f t="shared" si="49"/>
        <v>28</v>
      </c>
      <c r="P338">
        <f t="shared" si="51"/>
        <v>1</v>
      </c>
      <c r="R338">
        <f t="shared" si="52"/>
        <v>0</v>
      </c>
      <c r="S338">
        <f t="shared" si="53"/>
        <v>0</v>
      </c>
      <c r="T338">
        <f t="shared" si="54"/>
        <v>0</v>
      </c>
    </row>
    <row r="339" spans="10:20" x14ac:dyDescent="0.25">
      <c r="J339">
        <v>0.15846563021914051</v>
      </c>
      <c r="K339">
        <f t="shared" si="46"/>
        <v>1</v>
      </c>
      <c r="L339">
        <f t="shared" si="47"/>
        <v>0.15846563021914051</v>
      </c>
      <c r="M339">
        <f t="shared" si="50"/>
        <v>1</v>
      </c>
      <c r="N339">
        <f t="shared" si="48"/>
        <v>4</v>
      </c>
      <c r="O339">
        <f t="shared" si="49"/>
        <v>28</v>
      </c>
      <c r="P339">
        <f t="shared" si="51"/>
        <v>1</v>
      </c>
      <c r="R339">
        <f t="shared" si="52"/>
        <v>137</v>
      </c>
      <c r="S339">
        <f t="shared" si="53"/>
        <v>1</v>
      </c>
      <c r="T339">
        <f t="shared" si="54"/>
        <v>0</v>
      </c>
    </row>
    <row r="340" spans="10:20" x14ac:dyDescent="0.25">
      <c r="J340">
        <v>0.16019049909788552</v>
      </c>
      <c r="K340">
        <f t="shared" si="46"/>
        <v>0</v>
      </c>
      <c r="L340">
        <f t="shared" si="47"/>
        <v>0</v>
      </c>
      <c r="M340">
        <f t="shared" si="50"/>
        <v>0</v>
      </c>
      <c r="N340">
        <f t="shared" si="48"/>
        <v>5</v>
      </c>
      <c r="O340">
        <f t="shared" si="49"/>
        <v>28</v>
      </c>
      <c r="P340">
        <f t="shared" si="51"/>
        <v>1</v>
      </c>
      <c r="R340">
        <f t="shared" si="52"/>
        <v>0</v>
      </c>
      <c r="S340">
        <f t="shared" si="53"/>
        <v>0</v>
      </c>
      <c r="T340">
        <f t="shared" si="54"/>
        <v>0</v>
      </c>
    </row>
    <row r="341" spans="10:20" x14ac:dyDescent="0.25">
      <c r="J341">
        <v>0.51054022921672892</v>
      </c>
      <c r="K341">
        <f t="shared" si="46"/>
        <v>1</v>
      </c>
      <c r="L341">
        <f t="shared" si="47"/>
        <v>0.51054022921672892</v>
      </c>
      <c r="M341">
        <f t="shared" si="50"/>
        <v>1</v>
      </c>
      <c r="N341">
        <f t="shared" si="48"/>
        <v>5</v>
      </c>
      <c r="O341">
        <f t="shared" si="49"/>
        <v>28</v>
      </c>
      <c r="P341">
        <f t="shared" si="51"/>
        <v>1</v>
      </c>
      <c r="R341">
        <f t="shared" si="52"/>
        <v>1037</v>
      </c>
      <c r="S341">
        <f t="shared" si="53"/>
        <v>1</v>
      </c>
      <c r="T341">
        <f t="shared" si="54"/>
        <v>0</v>
      </c>
    </row>
    <row r="342" spans="10:20" x14ac:dyDescent="0.25">
      <c r="J342">
        <v>0.59167198001195509</v>
      </c>
      <c r="K342">
        <f t="shared" si="46"/>
        <v>0</v>
      </c>
      <c r="L342">
        <f t="shared" si="47"/>
        <v>0</v>
      </c>
      <c r="M342">
        <f t="shared" si="50"/>
        <v>0</v>
      </c>
      <c r="N342">
        <f t="shared" si="48"/>
        <v>6</v>
      </c>
      <c r="O342">
        <f t="shared" si="49"/>
        <v>28</v>
      </c>
      <c r="P342">
        <f t="shared" si="51"/>
        <v>1</v>
      </c>
      <c r="R342">
        <f t="shared" si="52"/>
        <v>0</v>
      </c>
      <c r="S342">
        <f t="shared" si="53"/>
        <v>0</v>
      </c>
      <c r="T342">
        <f t="shared" si="54"/>
        <v>0</v>
      </c>
    </row>
    <row r="343" spans="10:20" x14ac:dyDescent="0.25">
      <c r="J343">
        <v>0.41484492330468115</v>
      </c>
      <c r="K343">
        <f t="shared" si="46"/>
        <v>1</v>
      </c>
      <c r="L343">
        <f t="shared" si="47"/>
        <v>0.41484492330468115</v>
      </c>
      <c r="M343">
        <f t="shared" si="50"/>
        <v>1</v>
      </c>
      <c r="N343">
        <f t="shared" si="48"/>
        <v>6</v>
      </c>
      <c r="O343">
        <f t="shared" si="49"/>
        <v>28</v>
      </c>
      <c r="P343">
        <f t="shared" si="51"/>
        <v>1</v>
      </c>
      <c r="R343">
        <f t="shared" si="52"/>
        <v>10037</v>
      </c>
      <c r="S343">
        <f t="shared" si="53"/>
        <v>1</v>
      </c>
      <c r="T343">
        <f t="shared" si="54"/>
        <v>1</v>
      </c>
    </row>
    <row r="344" spans="10:20" x14ac:dyDescent="0.25">
      <c r="J344">
        <v>0.37635716823735321</v>
      </c>
      <c r="K344">
        <f t="shared" ref="K344:K407" si="55">IF(K343=1,0,1)</f>
        <v>0</v>
      </c>
      <c r="L344">
        <f t="shared" ref="L344:L407" si="56">K344*J344</f>
        <v>0</v>
      </c>
      <c r="M344">
        <f t="shared" si="50"/>
        <v>0</v>
      </c>
      <c r="N344">
        <f t="shared" ref="N344:N407" si="57">IF(N343&lt;$N$2,N343+M343,1)</f>
        <v>7</v>
      </c>
      <c r="O344">
        <f t="shared" ref="O344:O407" si="58">IF(AND(N344=1,M344=1),O343+1,O343)</f>
        <v>28</v>
      </c>
      <c r="P344">
        <f t="shared" si="51"/>
        <v>1</v>
      </c>
      <c r="R344">
        <f t="shared" si="52"/>
        <v>0</v>
      </c>
      <c r="S344">
        <f t="shared" si="53"/>
        <v>0</v>
      </c>
      <c r="T344">
        <f t="shared" si="54"/>
        <v>0</v>
      </c>
    </row>
    <row r="345" spans="10:20" x14ac:dyDescent="0.25">
      <c r="J345">
        <v>0.95147773263889457</v>
      </c>
      <c r="K345">
        <f t="shared" si="55"/>
        <v>1</v>
      </c>
      <c r="L345">
        <f t="shared" si="56"/>
        <v>0.95147773263889457</v>
      </c>
      <c r="M345">
        <f t="shared" si="50"/>
        <v>1</v>
      </c>
      <c r="N345">
        <f t="shared" si="57"/>
        <v>1</v>
      </c>
      <c r="O345">
        <f t="shared" si="58"/>
        <v>29</v>
      </c>
      <c r="P345">
        <f t="shared" si="51"/>
        <v>1</v>
      </c>
      <c r="R345">
        <f t="shared" si="52"/>
        <v>0</v>
      </c>
      <c r="S345">
        <f t="shared" si="53"/>
        <v>1</v>
      </c>
      <c r="T345">
        <f t="shared" si="54"/>
        <v>0</v>
      </c>
    </row>
    <row r="346" spans="10:20" x14ac:dyDescent="0.25">
      <c r="J346">
        <v>0.21644519735451173</v>
      </c>
      <c r="K346">
        <f t="shared" si="55"/>
        <v>0</v>
      </c>
      <c r="L346">
        <f t="shared" si="56"/>
        <v>0</v>
      </c>
      <c r="M346">
        <f t="shared" si="50"/>
        <v>0</v>
      </c>
      <c r="N346">
        <f t="shared" si="57"/>
        <v>2</v>
      </c>
      <c r="O346">
        <f t="shared" si="58"/>
        <v>29</v>
      </c>
      <c r="P346">
        <f t="shared" si="51"/>
        <v>1</v>
      </c>
      <c r="R346">
        <f t="shared" si="52"/>
        <v>0</v>
      </c>
      <c r="S346">
        <f t="shared" si="53"/>
        <v>0</v>
      </c>
      <c r="T346">
        <f t="shared" si="54"/>
        <v>0</v>
      </c>
    </row>
    <row r="347" spans="10:20" x14ac:dyDescent="0.25">
      <c r="J347">
        <v>0.86439446465815084</v>
      </c>
      <c r="K347">
        <f t="shared" si="55"/>
        <v>1</v>
      </c>
      <c r="L347">
        <f t="shared" si="56"/>
        <v>0.86439446465815084</v>
      </c>
      <c r="M347">
        <f t="shared" si="50"/>
        <v>1</v>
      </c>
      <c r="N347">
        <f t="shared" si="57"/>
        <v>2</v>
      </c>
      <c r="O347">
        <f t="shared" si="58"/>
        <v>29</v>
      </c>
      <c r="P347">
        <f t="shared" si="51"/>
        <v>1</v>
      </c>
      <c r="R347">
        <f t="shared" si="52"/>
        <v>8</v>
      </c>
      <c r="S347">
        <f t="shared" si="53"/>
        <v>1</v>
      </c>
      <c r="T347">
        <f t="shared" si="54"/>
        <v>0</v>
      </c>
    </row>
    <row r="348" spans="10:20" x14ac:dyDescent="0.25">
      <c r="J348">
        <v>0.67541074971197446</v>
      </c>
      <c r="K348">
        <f t="shared" si="55"/>
        <v>0</v>
      </c>
      <c r="L348">
        <f t="shared" si="56"/>
        <v>0</v>
      </c>
      <c r="M348">
        <f t="shared" si="50"/>
        <v>0</v>
      </c>
      <c r="N348">
        <f t="shared" si="57"/>
        <v>3</v>
      </c>
      <c r="O348">
        <f t="shared" si="58"/>
        <v>29</v>
      </c>
      <c r="P348">
        <f t="shared" si="51"/>
        <v>1</v>
      </c>
      <c r="R348">
        <f t="shared" si="52"/>
        <v>0</v>
      </c>
      <c r="S348">
        <f t="shared" si="53"/>
        <v>0</v>
      </c>
      <c r="T348">
        <f t="shared" si="54"/>
        <v>0</v>
      </c>
    </row>
    <row r="349" spans="10:20" x14ac:dyDescent="0.25">
      <c r="J349">
        <v>0.72109005936362414</v>
      </c>
      <c r="K349">
        <f t="shared" si="55"/>
        <v>1</v>
      </c>
      <c r="L349">
        <f t="shared" si="56"/>
        <v>0.72109005936362414</v>
      </c>
      <c r="M349">
        <f t="shared" si="50"/>
        <v>1</v>
      </c>
      <c r="N349">
        <f t="shared" si="57"/>
        <v>3</v>
      </c>
      <c r="O349">
        <f t="shared" si="58"/>
        <v>29</v>
      </c>
      <c r="P349">
        <f t="shared" si="51"/>
        <v>1</v>
      </c>
      <c r="R349">
        <f t="shared" si="52"/>
        <v>38</v>
      </c>
      <c r="S349">
        <f t="shared" si="53"/>
        <v>1</v>
      </c>
      <c r="T349">
        <f t="shared" si="54"/>
        <v>0</v>
      </c>
    </row>
    <row r="350" spans="10:20" x14ac:dyDescent="0.25">
      <c r="J350">
        <v>0.78340960142027583</v>
      </c>
      <c r="K350">
        <f t="shared" si="55"/>
        <v>0</v>
      </c>
      <c r="L350">
        <f t="shared" si="56"/>
        <v>0</v>
      </c>
      <c r="M350">
        <f t="shared" si="50"/>
        <v>0</v>
      </c>
      <c r="N350">
        <f t="shared" si="57"/>
        <v>4</v>
      </c>
      <c r="O350">
        <f t="shared" si="58"/>
        <v>29</v>
      </c>
      <c r="P350">
        <f t="shared" si="51"/>
        <v>1</v>
      </c>
      <c r="R350">
        <f t="shared" si="52"/>
        <v>0</v>
      </c>
      <c r="S350">
        <f t="shared" si="53"/>
        <v>0</v>
      </c>
      <c r="T350">
        <f t="shared" si="54"/>
        <v>0</v>
      </c>
    </row>
    <row r="351" spans="10:20" x14ac:dyDescent="0.25">
      <c r="J351">
        <v>0.96829490118067318</v>
      </c>
      <c r="K351">
        <f t="shared" si="55"/>
        <v>1</v>
      </c>
      <c r="L351">
        <f t="shared" si="56"/>
        <v>0.96829490118067318</v>
      </c>
      <c r="M351">
        <f t="shared" si="50"/>
        <v>1</v>
      </c>
      <c r="N351">
        <f t="shared" si="57"/>
        <v>4</v>
      </c>
      <c r="O351">
        <f t="shared" si="58"/>
        <v>29</v>
      </c>
      <c r="P351">
        <f t="shared" si="51"/>
        <v>1</v>
      </c>
      <c r="R351">
        <f t="shared" si="52"/>
        <v>138</v>
      </c>
      <c r="S351">
        <f t="shared" si="53"/>
        <v>1</v>
      </c>
      <c r="T351">
        <f t="shared" si="54"/>
        <v>0</v>
      </c>
    </row>
    <row r="352" spans="10:20" x14ac:dyDescent="0.25">
      <c r="J352">
        <v>0.9818702763055035</v>
      </c>
      <c r="K352">
        <f t="shared" si="55"/>
        <v>0</v>
      </c>
      <c r="L352">
        <f t="shared" si="56"/>
        <v>0</v>
      </c>
      <c r="M352">
        <f t="shared" si="50"/>
        <v>0</v>
      </c>
      <c r="N352">
        <f t="shared" si="57"/>
        <v>5</v>
      </c>
      <c r="O352">
        <f t="shared" si="58"/>
        <v>29</v>
      </c>
      <c r="P352">
        <f t="shared" si="51"/>
        <v>1</v>
      </c>
      <c r="R352">
        <f t="shared" si="52"/>
        <v>0</v>
      </c>
      <c r="S352">
        <f t="shared" si="53"/>
        <v>0</v>
      </c>
      <c r="T352">
        <f t="shared" si="54"/>
        <v>0</v>
      </c>
    </row>
    <row r="353" spans="10:20" x14ac:dyDescent="0.25">
      <c r="J353">
        <v>0.7371753435203009</v>
      </c>
      <c r="K353">
        <f t="shared" si="55"/>
        <v>1</v>
      </c>
      <c r="L353">
        <f t="shared" si="56"/>
        <v>0.7371753435203009</v>
      </c>
      <c r="M353">
        <f t="shared" si="50"/>
        <v>1</v>
      </c>
      <c r="N353">
        <f t="shared" si="57"/>
        <v>5</v>
      </c>
      <c r="O353">
        <f t="shared" si="58"/>
        <v>29</v>
      </c>
      <c r="P353">
        <f t="shared" si="51"/>
        <v>1</v>
      </c>
      <c r="R353">
        <f t="shared" si="52"/>
        <v>1038</v>
      </c>
      <c r="S353">
        <f t="shared" si="53"/>
        <v>1</v>
      </c>
      <c r="T353">
        <f t="shared" si="54"/>
        <v>0</v>
      </c>
    </row>
    <row r="354" spans="10:20" x14ac:dyDescent="0.25">
      <c r="J354">
        <v>0.34160845564529185</v>
      </c>
      <c r="K354">
        <f t="shared" si="55"/>
        <v>0</v>
      </c>
      <c r="L354">
        <f t="shared" si="56"/>
        <v>0</v>
      </c>
      <c r="M354">
        <f t="shared" si="50"/>
        <v>0</v>
      </c>
      <c r="N354">
        <f t="shared" si="57"/>
        <v>6</v>
      </c>
      <c r="O354">
        <f t="shared" si="58"/>
        <v>29</v>
      </c>
      <c r="P354">
        <f t="shared" si="51"/>
        <v>1</v>
      </c>
      <c r="R354">
        <f t="shared" si="52"/>
        <v>0</v>
      </c>
      <c r="S354">
        <f t="shared" si="53"/>
        <v>0</v>
      </c>
      <c r="T354">
        <f t="shared" si="54"/>
        <v>0</v>
      </c>
    </row>
    <row r="355" spans="10:20" x14ac:dyDescent="0.25">
      <c r="J355">
        <v>0.32194012010751061</v>
      </c>
      <c r="K355">
        <f t="shared" si="55"/>
        <v>1</v>
      </c>
      <c r="L355">
        <f t="shared" si="56"/>
        <v>0.32194012010751061</v>
      </c>
      <c r="M355">
        <f t="shared" si="50"/>
        <v>1</v>
      </c>
      <c r="N355">
        <f t="shared" si="57"/>
        <v>6</v>
      </c>
      <c r="O355">
        <f t="shared" si="58"/>
        <v>29</v>
      </c>
      <c r="P355">
        <f t="shared" si="51"/>
        <v>1</v>
      </c>
      <c r="R355">
        <f t="shared" si="52"/>
        <v>10038</v>
      </c>
      <c r="S355">
        <f t="shared" si="53"/>
        <v>1</v>
      </c>
      <c r="T355">
        <f t="shared" si="54"/>
        <v>1</v>
      </c>
    </row>
    <row r="356" spans="10:20" x14ac:dyDescent="0.25">
      <c r="J356">
        <v>0.32149109751875748</v>
      </c>
      <c r="K356">
        <f t="shared" si="55"/>
        <v>0</v>
      </c>
      <c r="L356">
        <f t="shared" si="56"/>
        <v>0</v>
      </c>
      <c r="M356">
        <f t="shared" si="50"/>
        <v>0</v>
      </c>
      <c r="N356">
        <f t="shared" si="57"/>
        <v>7</v>
      </c>
      <c r="O356">
        <f t="shared" si="58"/>
        <v>29</v>
      </c>
      <c r="P356">
        <f t="shared" si="51"/>
        <v>1</v>
      </c>
      <c r="R356">
        <f t="shared" si="52"/>
        <v>0</v>
      </c>
      <c r="S356">
        <f t="shared" si="53"/>
        <v>0</v>
      </c>
      <c r="T356">
        <f t="shared" si="54"/>
        <v>0</v>
      </c>
    </row>
    <row r="357" spans="10:20" x14ac:dyDescent="0.25">
      <c r="J357">
        <v>0.2361516130600172</v>
      </c>
      <c r="K357">
        <f t="shared" si="55"/>
        <v>1</v>
      </c>
      <c r="L357">
        <f t="shared" si="56"/>
        <v>0.2361516130600172</v>
      </c>
      <c r="M357">
        <f t="shared" si="50"/>
        <v>1</v>
      </c>
      <c r="N357">
        <f t="shared" si="57"/>
        <v>1</v>
      </c>
      <c r="O357">
        <f t="shared" si="58"/>
        <v>30</v>
      </c>
      <c r="P357">
        <f t="shared" si="51"/>
        <v>1</v>
      </c>
      <c r="R357">
        <f t="shared" si="52"/>
        <v>0</v>
      </c>
      <c r="S357">
        <f t="shared" si="53"/>
        <v>1</v>
      </c>
      <c r="T357">
        <f t="shared" si="54"/>
        <v>0</v>
      </c>
    </row>
    <row r="358" spans="10:20" x14ac:dyDescent="0.25">
      <c r="J358">
        <v>0.12463374080615541</v>
      </c>
      <c r="K358">
        <f t="shared" si="55"/>
        <v>0</v>
      </c>
      <c r="L358">
        <f t="shared" si="56"/>
        <v>0</v>
      </c>
      <c r="M358">
        <f t="shared" si="50"/>
        <v>0</v>
      </c>
      <c r="N358">
        <f t="shared" si="57"/>
        <v>2</v>
      </c>
      <c r="O358">
        <f t="shared" si="58"/>
        <v>30</v>
      </c>
      <c r="P358">
        <f t="shared" si="51"/>
        <v>1</v>
      </c>
      <c r="R358">
        <f t="shared" si="52"/>
        <v>0</v>
      </c>
      <c r="S358">
        <f t="shared" si="53"/>
        <v>0</v>
      </c>
      <c r="T358">
        <f t="shared" si="54"/>
        <v>0</v>
      </c>
    </row>
    <row r="359" spans="10:20" x14ac:dyDescent="0.25">
      <c r="J359">
        <v>0.51079948035705824</v>
      </c>
      <c r="K359">
        <f t="shared" si="55"/>
        <v>1</v>
      </c>
      <c r="L359">
        <f t="shared" si="56"/>
        <v>0.51079948035705824</v>
      </c>
      <c r="M359">
        <f t="shared" si="50"/>
        <v>1</v>
      </c>
      <c r="N359">
        <f t="shared" si="57"/>
        <v>2</v>
      </c>
      <c r="O359">
        <f t="shared" si="58"/>
        <v>30</v>
      </c>
      <c r="P359">
        <f t="shared" si="51"/>
        <v>1</v>
      </c>
      <c r="R359">
        <f t="shared" si="52"/>
        <v>8</v>
      </c>
      <c r="S359">
        <f t="shared" si="53"/>
        <v>1</v>
      </c>
      <c r="T359">
        <f t="shared" si="54"/>
        <v>0</v>
      </c>
    </row>
    <row r="360" spans="10:20" x14ac:dyDescent="0.25">
      <c r="J360">
        <v>0.5399223028495197</v>
      </c>
      <c r="K360">
        <f t="shared" si="55"/>
        <v>0</v>
      </c>
      <c r="L360">
        <f t="shared" si="56"/>
        <v>0</v>
      </c>
      <c r="M360">
        <f t="shared" si="50"/>
        <v>0</v>
      </c>
      <c r="N360">
        <f t="shared" si="57"/>
        <v>3</v>
      </c>
      <c r="O360">
        <f t="shared" si="58"/>
        <v>30</v>
      </c>
      <c r="P360">
        <f t="shared" si="51"/>
        <v>1</v>
      </c>
      <c r="R360">
        <f t="shared" si="52"/>
        <v>0</v>
      </c>
      <c r="S360">
        <f t="shared" si="53"/>
        <v>0</v>
      </c>
      <c r="T360">
        <f t="shared" si="54"/>
        <v>0</v>
      </c>
    </row>
    <row r="361" spans="10:20" x14ac:dyDescent="0.25">
      <c r="J361">
        <v>9.6334447395519773E-2</v>
      </c>
      <c r="K361">
        <f t="shared" si="55"/>
        <v>1</v>
      </c>
      <c r="L361">
        <f t="shared" si="56"/>
        <v>9.6334447395519773E-2</v>
      </c>
      <c r="M361">
        <f t="shared" si="50"/>
        <v>1</v>
      </c>
      <c r="N361">
        <f t="shared" si="57"/>
        <v>3</v>
      </c>
      <c r="O361">
        <f t="shared" si="58"/>
        <v>30</v>
      </c>
      <c r="P361">
        <f t="shared" si="51"/>
        <v>1</v>
      </c>
      <c r="R361">
        <f t="shared" si="52"/>
        <v>39</v>
      </c>
      <c r="S361">
        <f t="shared" si="53"/>
        <v>1</v>
      </c>
      <c r="T361">
        <f t="shared" si="54"/>
        <v>0</v>
      </c>
    </row>
    <row r="362" spans="10:20" x14ac:dyDescent="0.25">
      <c r="J362">
        <v>0.83510154050355712</v>
      </c>
      <c r="K362">
        <f t="shared" si="55"/>
        <v>0</v>
      </c>
      <c r="L362">
        <f t="shared" si="56"/>
        <v>0</v>
      </c>
      <c r="M362">
        <f t="shared" si="50"/>
        <v>0</v>
      </c>
      <c r="N362">
        <f t="shared" si="57"/>
        <v>4</v>
      </c>
      <c r="O362">
        <f t="shared" si="58"/>
        <v>30</v>
      </c>
      <c r="P362">
        <f t="shared" si="51"/>
        <v>1</v>
      </c>
      <c r="R362">
        <f t="shared" si="52"/>
        <v>0</v>
      </c>
      <c r="S362">
        <f t="shared" si="53"/>
        <v>0</v>
      </c>
      <c r="T362">
        <f t="shared" si="54"/>
        <v>0</v>
      </c>
    </row>
    <row r="363" spans="10:20" x14ac:dyDescent="0.25">
      <c r="J363">
        <v>0.9922518886369186</v>
      </c>
      <c r="K363">
        <f t="shared" si="55"/>
        <v>1</v>
      </c>
      <c r="L363">
        <f t="shared" si="56"/>
        <v>0.9922518886369186</v>
      </c>
      <c r="M363">
        <f t="shared" si="50"/>
        <v>1</v>
      </c>
      <c r="N363">
        <f t="shared" si="57"/>
        <v>4</v>
      </c>
      <c r="O363">
        <f t="shared" si="58"/>
        <v>30</v>
      </c>
      <c r="P363">
        <f t="shared" si="51"/>
        <v>1</v>
      </c>
      <c r="R363">
        <f t="shared" si="52"/>
        <v>139</v>
      </c>
      <c r="S363">
        <f t="shared" si="53"/>
        <v>1</v>
      </c>
      <c r="T363">
        <f t="shared" si="54"/>
        <v>0</v>
      </c>
    </row>
    <row r="364" spans="10:20" x14ac:dyDescent="0.25">
      <c r="J364">
        <v>0.30068786630812983</v>
      </c>
      <c r="K364">
        <f t="shared" si="55"/>
        <v>0</v>
      </c>
      <c r="L364">
        <f t="shared" si="56"/>
        <v>0</v>
      </c>
      <c r="M364">
        <f t="shared" si="50"/>
        <v>0</v>
      </c>
      <c r="N364">
        <f t="shared" si="57"/>
        <v>5</v>
      </c>
      <c r="O364">
        <f t="shared" si="58"/>
        <v>30</v>
      </c>
      <c r="P364">
        <f t="shared" si="51"/>
        <v>1</v>
      </c>
      <c r="R364">
        <f t="shared" si="52"/>
        <v>0</v>
      </c>
      <c r="S364">
        <f t="shared" si="53"/>
        <v>0</v>
      </c>
      <c r="T364">
        <f t="shared" si="54"/>
        <v>0</v>
      </c>
    </row>
    <row r="365" spans="10:20" x14ac:dyDescent="0.25">
      <c r="J365">
        <v>0.89422060692575767</v>
      </c>
      <c r="K365">
        <f t="shared" si="55"/>
        <v>1</v>
      </c>
      <c r="L365">
        <f t="shared" si="56"/>
        <v>0.89422060692575767</v>
      </c>
      <c r="M365">
        <f t="shared" si="50"/>
        <v>1</v>
      </c>
      <c r="N365">
        <f t="shared" si="57"/>
        <v>5</v>
      </c>
      <c r="O365">
        <f t="shared" si="58"/>
        <v>30</v>
      </c>
      <c r="P365">
        <f t="shared" si="51"/>
        <v>1</v>
      </c>
      <c r="R365">
        <f t="shared" si="52"/>
        <v>1039</v>
      </c>
      <c r="S365">
        <f t="shared" si="53"/>
        <v>1</v>
      </c>
      <c r="T365">
        <f t="shared" si="54"/>
        <v>0</v>
      </c>
    </row>
    <row r="366" spans="10:20" x14ac:dyDescent="0.25">
      <c r="J366">
        <v>0.90181113278431302</v>
      </c>
      <c r="K366">
        <f t="shared" si="55"/>
        <v>0</v>
      </c>
      <c r="L366">
        <f t="shared" si="56"/>
        <v>0</v>
      </c>
      <c r="M366">
        <f t="shared" si="50"/>
        <v>0</v>
      </c>
      <c r="N366">
        <f t="shared" si="57"/>
        <v>6</v>
      </c>
      <c r="O366">
        <f t="shared" si="58"/>
        <v>30</v>
      </c>
      <c r="P366">
        <f t="shared" si="51"/>
        <v>1</v>
      </c>
      <c r="R366">
        <f t="shared" si="52"/>
        <v>0</v>
      </c>
      <c r="S366">
        <f t="shared" si="53"/>
        <v>0</v>
      </c>
      <c r="T366">
        <f t="shared" si="54"/>
        <v>0</v>
      </c>
    </row>
    <row r="367" spans="10:20" x14ac:dyDescent="0.25">
      <c r="J367">
        <v>3.0499968172985503E-2</v>
      </c>
      <c r="K367">
        <f t="shared" si="55"/>
        <v>1</v>
      </c>
      <c r="L367">
        <f t="shared" si="56"/>
        <v>3.0499968172985503E-2</v>
      </c>
      <c r="M367">
        <f t="shared" si="50"/>
        <v>1</v>
      </c>
      <c r="N367">
        <f t="shared" si="57"/>
        <v>6</v>
      </c>
      <c r="O367">
        <f t="shared" si="58"/>
        <v>30</v>
      </c>
      <c r="P367">
        <f t="shared" si="51"/>
        <v>1</v>
      </c>
      <c r="R367">
        <f t="shared" si="52"/>
        <v>10039</v>
      </c>
      <c r="S367">
        <f t="shared" si="53"/>
        <v>1</v>
      </c>
      <c r="T367">
        <f t="shared" si="54"/>
        <v>1</v>
      </c>
    </row>
    <row r="368" spans="10:20" x14ac:dyDescent="0.25">
      <c r="J368">
        <v>0.60405048152315433</v>
      </c>
      <c r="K368">
        <f t="shared" si="55"/>
        <v>0</v>
      </c>
      <c r="L368">
        <f t="shared" si="56"/>
        <v>0</v>
      </c>
      <c r="M368">
        <f t="shared" si="50"/>
        <v>0</v>
      </c>
      <c r="N368">
        <f t="shared" si="57"/>
        <v>7</v>
      </c>
      <c r="O368">
        <f t="shared" si="58"/>
        <v>30</v>
      </c>
      <c r="P368">
        <f t="shared" si="51"/>
        <v>1</v>
      </c>
      <c r="R368">
        <f t="shared" si="52"/>
        <v>0</v>
      </c>
      <c r="S368">
        <f t="shared" si="53"/>
        <v>0</v>
      </c>
      <c r="T368">
        <f t="shared" si="54"/>
        <v>0</v>
      </c>
    </row>
    <row r="369" spans="10:20" x14ac:dyDescent="0.25">
      <c r="J369">
        <v>0.57193443993374504</v>
      </c>
      <c r="K369">
        <f t="shared" si="55"/>
        <v>1</v>
      </c>
      <c r="L369">
        <f t="shared" si="56"/>
        <v>0.57193443993374504</v>
      </c>
      <c r="M369">
        <f t="shared" si="50"/>
        <v>1</v>
      </c>
      <c r="N369">
        <f t="shared" si="57"/>
        <v>1</v>
      </c>
      <c r="O369">
        <f t="shared" si="58"/>
        <v>31</v>
      </c>
      <c r="P369">
        <f t="shared" si="51"/>
        <v>1</v>
      </c>
      <c r="R369">
        <f t="shared" si="52"/>
        <v>0</v>
      </c>
      <c r="S369">
        <f t="shared" si="53"/>
        <v>1</v>
      </c>
      <c r="T369">
        <f t="shared" si="54"/>
        <v>0</v>
      </c>
    </row>
    <row r="370" spans="10:20" x14ac:dyDescent="0.25">
      <c r="J370">
        <v>0.65950048735333455</v>
      </c>
      <c r="K370">
        <f t="shared" si="55"/>
        <v>0</v>
      </c>
      <c r="L370">
        <f t="shared" si="56"/>
        <v>0</v>
      </c>
      <c r="M370">
        <f t="shared" si="50"/>
        <v>0</v>
      </c>
      <c r="N370">
        <f t="shared" si="57"/>
        <v>2</v>
      </c>
      <c r="O370">
        <f t="shared" si="58"/>
        <v>31</v>
      </c>
      <c r="P370">
        <f t="shared" si="51"/>
        <v>1</v>
      </c>
      <c r="R370">
        <f t="shared" si="52"/>
        <v>0</v>
      </c>
      <c r="S370">
        <f t="shared" si="53"/>
        <v>0</v>
      </c>
      <c r="T370">
        <f t="shared" si="54"/>
        <v>0</v>
      </c>
    </row>
    <row r="371" spans="10:20" x14ac:dyDescent="0.25">
      <c r="J371">
        <v>0.47742616878033683</v>
      </c>
      <c r="K371">
        <f t="shared" si="55"/>
        <v>1</v>
      </c>
      <c r="L371">
        <f t="shared" si="56"/>
        <v>0.47742616878033683</v>
      </c>
      <c r="M371">
        <f t="shared" si="50"/>
        <v>1</v>
      </c>
      <c r="N371">
        <f t="shared" si="57"/>
        <v>2</v>
      </c>
      <c r="O371">
        <f t="shared" si="58"/>
        <v>31</v>
      </c>
      <c r="P371">
        <f t="shared" si="51"/>
        <v>1</v>
      </c>
      <c r="R371">
        <f t="shared" si="52"/>
        <v>8</v>
      </c>
      <c r="S371">
        <f t="shared" si="53"/>
        <v>1</v>
      </c>
      <c r="T371">
        <f t="shared" si="54"/>
        <v>0</v>
      </c>
    </row>
    <row r="372" spans="10:20" x14ac:dyDescent="0.25">
      <c r="J372">
        <v>6.1118941977149288E-2</v>
      </c>
      <c r="K372">
        <f t="shared" si="55"/>
        <v>0</v>
      </c>
      <c r="L372">
        <f t="shared" si="56"/>
        <v>0</v>
      </c>
      <c r="M372">
        <f t="shared" si="50"/>
        <v>0</v>
      </c>
      <c r="N372">
        <f t="shared" si="57"/>
        <v>3</v>
      </c>
      <c r="O372">
        <f t="shared" si="58"/>
        <v>31</v>
      </c>
      <c r="P372">
        <f t="shared" si="51"/>
        <v>1</v>
      </c>
      <c r="R372">
        <f t="shared" si="52"/>
        <v>0</v>
      </c>
      <c r="S372">
        <f t="shared" si="53"/>
        <v>0</v>
      </c>
      <c r="T372">
        <f t="shared" si="54"/>
        <v>0</v>
      </c>
    </row>
    <row r="373" spans="10:20" x14ac:dyDescent="0.25">
      <c r="J373">
        <v>0.69272147145723673</v>
      </c>
      <c r="K373">
        <f t="shared" si="55"/>
        <v>1</v>
      </c>
      <c r="L373">
        <f t="shared" si="56"/>
        <v>0.69272147145723673</v>
      </c>
      <c r="M373">
        <f t="shared" si="50"/>
        <v>1</v>
      </c>
      <c r="N373">
        <f t="shared" si="57"/>
        <v>3</v>
      </c>
      <c r="O373">
        <f t="shared" si="58"/>
        <v>31</v>
      </c>
      <c r="P373">
        <f t="shared" si="51"/>
        <v>1</v>
      </c>
      <c r="R373">
        <f t="shared" si="52"/>
        <v>40</v>
      </c>
      <c r="S373">
        <f t="shared" si="53"/>
        <v>1</v>
      </c>
      <c r="T373">
        <f t="shared" si="54"/>
        <v>0</v>
      </c>
    </row>
    <row r="374" spans="10:20" x14ac:dyDescent="0.25">
      <c r="J374">
        <v>0.48433496685407151</v>
      </c>
      <c r="K374">
        <f t="shared" si="55"/>
        <v>0</v>
      </c>
      <c r="L374">
        <f t="shared" si="56"/>
        <v>0</v>
      </c>
      <c r="M374">
        <f t="shared" si="50"/>
        <v>0</v>
      </c>
      <c r="N374">
        <f t="shared" si="57"/>
        <v>4</v>
      </c>
      <c r="O374">
        <f t="shared" si="58"/>
        <v>31</v>
      </c>
      <c r="P374">
        <f t="shared" si="51"/>
        <v>1</v>
      </c>
      <c r="R374">
        <f t="shared" si="52"/>
        <v>0</v>
      </c>
      <c r="S374">
        <f t="shared" si="53"/>
        <v>0</v>
      </c>
      <c r="T374">
        <f t="shared" si="54"/>
        <v>0</v>
      </c>
    </row>
    <row r="375" spans="10:20" x14ac:dyDescent="0.25">
      <c r="J375">
        <v>0.15971338465111695</v>
      </c>
      <c r="K375">
        <f t="shared" si="55"/>
        <v>1</v>
      </c>
      <c r="L375">
        <f t="shared" si="56"/>
        <v>0.15971338465111695</v>
      </c>
      <c r="M375">
        <f t="shared" si="50"/>
        <v>1</v>
      </c>
      <c r="N375">
        <f t="shared" si="57"/>
        <v>4</v>
      </c>
      <c r="O375">
        <f t="shared" si="58"/>
        <v>31</v>
      </c>
      <c r="P375">
        <f t="shared" si="51"/>
        <v>1</v>
      </c>
      <c r="R375">
        <f t="shared" si="52"/>
        <v>140</v>
      </c>
      <c r="S375">
        <f t="shared" si="53"/>
        <v>1</v>
      </c>
      <c r="T375">
        <f t="shared" si="54"/>
        <v>0</v>
      </c>
    </row>
    <row r="376" spans="10:20" x14ac:dyDescent="0.25">
      <c r="J376">
        <v>4.8722081315778265E-2</v>
      </c>
      <c r="K376">
        <f t="shared" si="55"/>
        <v>0</v>
      </c>
      <c r="L376">
        <f t="shared" si="56"/>
        <v>0</v>
      </c>
      <c r="M376">
        <f t="shared" si="50"/>
        <v>0</v>
      </c>
      <c r="N376">
        <f t="shared" si="57"/>
        <v>5</v>
      </c>
      <c r="O376">
        <f t="shared" si="58"/>
        <v>31</v>
      </c>
      <c r="P376">
        <f t="shared" si="51"/>
        <v>1</v>
      </c>
      <c r="R376">
        <f t="shared" si="52"/>
        <v>0</v>
      </c>
      <c r="S376">
        <f t="shared" si="53"/>
        <v>0</v>
      </c>
      <c r="T376">
        <f t="shared" si="54"/>
        <v>0</v>
      </c>
    </row>
    <row r="377" spans="10:20" x14ac:dyDescent="0.25">
      <c r="J377">
        <v>0.86664552742477508</v>
      </c>
      <c r="K377">
        <f t="shared" si="55"/>
        <v>1</v>
      </c>
      <c r="L377">
        <f t="shared" si="56"/>
        <v>0.86664552742477508</v>
      </c>
      <c r="M377">
        <f t="shared" si="50"/>
        <v>1</v>
      </c>
      <c r="N377">
        <f t="shared" si="57"/>
        <v>5</v>
      </c>
      <c r="O377">
        <f t="shared" si="58"/>
        <v>31</v>
      </c>
      <c r="P377">
        <f t="shared" si="51"/>
        <v>1</v>
      </c>
      <c r="R377">
        <f t="shared" si="52"/>
        <v>1040</v>
      </c>
      <c r="S377">
        <f t="shared" si="53"/>
        <v>1</v>
      </c>
      <c r="T377">
        <f t="shared" si="54"/>
        <v>0</v>
      </c>
    </row>
    <row r="378" spans="10:20" x14ac:dyDescent="0.25">
      <c r="J378">
        <v>0.73954776990814974</v>
      </c>
      <c r="K378">
        <f t="shared" si="55"/>
        <v>0</v>
      </c>
      <c r="L378">
        <f t="shared" si="56"/>
        <v>0</v>
      </c>
      <c r="M378">
        <f t="shared" si="50"/>
        <v>0</v>
      </c>
      <c r="N378">
        <f t="shared" si="57"/>
        <v>6</v>
      </c>
      <c r="O378">
        <f t="shared" si="58"/>
        <v>31</v>
      </c>
      <c r="P378">
        <f t="shared" si="51"/>
        <v>1</v>
      </c>
      <c r="R378">
        <f t="shared" si="52"/>
        <v>0</v>
      </c>
      <c r="S378">
        <f t="shared" si="53"/>
        <v>0</v>
      </c>
      <c r="T378">
        <f t="shared" si="54"/>
        <v>0</v>
      </c>
    </row>
    <row r="379" spans="10:20" x14ac:dyDescent="0.25">
      <c r="J379">
        <v>0.83898944259844255</v>
      </c>
      <c r="K379">
        <f t="shared" si="55"/>
        <v>1</v>
      </c>
      <c r="L379">
        <f t="shared" si="56"/>
        <v>0.83898944259844255</v>
      </c>
      <c r="M379">
        <f t="shared" si="50"/>
        <v>1</v>
      </c>
      <c r="N379">
        <f t="shared" si="57"/>
        <v>6</v>
      </c>
      <c r="O379">
        <f t="shared" si="58"/>
        <v>31</v>
      </c>
      <c r="P379">
        <f t="shared" si="51"/>
        <v>1</v>
      </c>
      <c r="R379">
        <f t="shared" si="52"/>
        <v>10040</v>
      </c>
      <c r="S379">
        <f t="shared" si="53"/>
        <v>1</v>
      </c>
      <c r="T379">
        <f t="shared" si="54"/>
        <v>1</v>
      </c>
    </row>
    <row r="380" spans="10:20" x14ac:dyDescent="0.25">
      <c r="J380">
        <v>0.32784135390153168</v>
      </c>
      <c r="K380">
        <f t="shared" si="55"/>
        <v>0</v>
      </c>
      <c r="L380">
        <f t="shared" si="56"/>
        <v>0</v>
      </c>
      <c r="M380">
        <f t="shared" si="50"/>
        <v>0</v>
      </c>
      <c r="N380">
        <f t="shared" si="57"/>
        <v>7</v>
      </c>
      <c r="O380">
        <f t="shared" si="58"/>
        <v>31</v>
      </c>
      <c r="P380">
        <f t="shared" si="51"/>
        <v>1</v>
      </c>
      <c r="R380">
        <f t="shared" si="52"/>
        <v>0</v>
      </c>
      <c r="S380">
        <f t="shared" si="53"/>
        <v>0</v>
      </c>
      <c r="T380">
        <f t="shared" si="54"/>
        <v>0</v>
      </c>
    </row>
    <row r="381" spans="10:20" x14ac:dyDescent="0.25">
      <c r="J381">
        <v>0.24239760305918523</v>
      </c>
      <c r="K381">
        <f t="shared" si="55"/>
        <v>1</v>
      </c>
      <c r="L381">
        <f t="shared" si="56"/>
        <v>0.24239760305918523</v>
      </c>
      <c r="M381">
        <f t="shared" si="50"/>
        <v>1</v>
      </c>
      <c r="N381">
        <f t="shared" si="57"/>
        <v>1</v>
      </c>
      <c r="O381">
        <f t="shared" si="58"/>
        <v>32</v>
      </c>
      <c r="P381">
        <f t="shared" si="51"/>
        <v>1</v>
      </c>
      <c r="R381">
        <f t="shared" si="52"/>
        <v>0</v>
      </c>
      <c r="S381">
        <f t="shared" si="53"/>
        <v>1</v>
      </c>
      <c r="T381">
        <f t="shared" si="54"/>
        <v>0</v>
      </c>
    </row>
    <row r="382" spans="10:20" x14ac:dyDescent="0.25">
      <c r="J382">
        <v>0.92993736694272755</v>
      </c>
      <c r="K382">
        <f t="shared" si="55"/>
        <v>0</v>
      </c>
      <c r="L382">
        <f t="shared" si="56"/>
        <v>0</v>
      </c>
      <c r="M382">
        <f t="shared" si="50"/>
        <v>0</v>
      </c>
      <c r="N382">
        <f t="shared" si="57"/>
        <v>2</v>
      </c>
      <c r="O382">
        <f t="shared" si="58"/>
        <v>32</v>
      </c>
      <c r="P382">
        <f t="shared" si="51"/>
        <v>1</v>
      </c>
      <c r="R382">
        <f t="shared" si="52"/>
        <v>0</v>
      </c>
      <c r="S382">
        <f t="shared" si="53"/>
        <v>0</v>
      </c>
      <c r="T382">
        <f t="shared" si="54"/>
        <v>0</v>
      </c>
    </row>
    <row r="383" spans="10:20" x14ac:dyDescent="0.25">
      <c r="J383">
        <v>0.22634553131864332</v>
      </c>
      <c r="K383">
        <f t="shared" si="55"/>
        <v>1</v>
      </c>
      <c r="L383">
        <f t="shared" si="56"/>
        <v>0.22634553131864332</v>
      </c>
      <c r="M383">
        <f t="shared" si="50"/>
        <v>1</v>
      </c>
      <c r="N383">
        <f t="shared" si="57"/>
        <v>2</v>
      </c>
      <c r="O383">
        <f t="shared" si="58"/>
        <v>32</v>
      </c>
      <c r="P383">
        <f t="shared" si="51"/>
        <v>1</v>
      </c>
      <c r="R383">
        <f t="shared" si="52"/>
        <v>8</v>
      </c>
      <c r="S383">
        <f t="shared" si="53"/>
        <v>1</v>
      </c>
      <c r="T383">
        <f t="shared" si="54"/>
        <v>0</v>
      </c>
    </row>
    <row r="384" spans="10:20" x14ac:dyDescent="0.25">
      <c r="J384">
        <v>0.99241868768916597</v>
      </c>
      <c r="K384">
        <f t="shared" si="55"/>
        <v>0</v>
      </c>
      <c r="L384">
        <f t="shared" si="56"/>
        <v>0</v>
      </c>
      <c r="M384">
        <f t="shared" si="50"/>
        <v>0</v>
      </c>
      <c r="N384">
        <f t="shared" si="57"/>
        <v>3</v>
      </c>
      <c r="O384">
        <f t="shared" si="58"/>
        <v>32</v>
      </c>
      <c r="P384">
        <f t="shared" si="51"/>
        <v>1</v>
      </c>
      <c r="R384">
        <f t="shared" si="52"/>
        <v>0</v>
      </c>
      <c r="S384">
        <f t="shared" si="53"/>
        <v>0</v>
      </c>
      <c r="T384">
        <f t="shared" si="54"/>
        <v>0</v>
      </c>
    </row>
    <row r="385" spans="10:20" x14ac:dyDescent="0.25">
      <c r="J385">
        <v>0.71995853330035986</v>
      </c>
      <c r="K385">
        <f t="shared" si="55"/>
        <v>1</v>
      </c>
      <c r="L385">
        <f t="shared" si="56"/>
        <v>0.71995853330035986</v>
      </c>
      <c r="M385">
        <f t="shared" si="50"/>
        <v>1</v>
      </c>
      <c r="N385">
        <f t="shared" si="57"/>
        <v>3</v>
      </c>
      <c r="O385">
        <f t="shared" si="58"/>
        <v>32</v>
      </c>
      <c r="P385">
        <f t="shared" si="51"/>
        <v>1</v>
      </c>
      <c r="R385">
        <f t="shared" si="52"/>
        <v>41</v>
      </c>
      <c r="S385">
        <f t="shared" si="53"/>
        <v>1</v>
      </c>
      <c r="T385">
        <f t="shared" si="54"/>
        <v>0</v>
      </c>
    </row>
    <row r="386" spans="10:20" x14ac:dyDescent="0.25">
      <c r="J386">
        <v>3.8079794190902572E-2</v>
      </c>
      <c r="K386">
        <f t="shared" si="55"/>
        <v>0</v>
      </c>
      <c r="L386">
        <f t="shared" si="56"/>
        <v>0</v>
      </c>
      <c r="M386">
        <f t="shared" si="50"/>
        <v>0</v>
      </c>
      <c r="N386">
        <f t="shared" si="57"/>
        <v>4</v>
      </c>
      <c r="O386">
        <f t="shared" si="58"/>
        <v>32</v>
      </c>
      <c r="P386">
        <f t="shared" si="51"/>
        <v>1</v>
      </c>
      <c r="R386">
        <f t="shared" si="52"/>
        <v>0</v>
      </c>
      <c r="S386">
        <f t="shared" si="53"/>
        <v>0</v>
      </c>
      <c r="T386">
        <f t="shared" si="54"/>
        <v>0</v>
      </c>
    </row>
    <row r="387" spans="10:20" x14ac:dyDescent="0.25">
      <c r="J387">
        <v>0.61737696438450795</v>
      </c>
      <c r="K387">
        <f t="shared" si="55"/>
        <v>1</v>
      </c>
      <c r="L387">
        <f t="shared" si="56"/>
        <v>0.61737696438450795</v>
      </c>
      <c r="M387">
        <f t="shared" si="50"/>
        <v>1</v>
      </c>
      <c r="N387">
        <f t="shared" si="57"/>
        <v>4</v>
      </c>
      <c r="O387">
        <f t="shared" si="58"/>
        <v>32</v>
      </c>
      <c r="P387">
        <f t="shared" si="51"/>
        <v>1</v>
      </c>
      <c r="R387">
        <f t="shared" si="52"/>
        <v>141</v>
      </c>
      <c r="S387">
        <f t="shared" si="53"/>
        <v>1</v>
      </c>
      <c r="T387">
        <f t="shared" si="54"/>
        <v>0</v>
      </c>
    </row>
    <row r="388" spans="10:20" x14ac:dyDescent="0.25">
      <c r="J388">
        <v>0.88523837204085165</v>
      </c>
      <c r="K388">
        <f t="shared" si="55"/>
        <v>0</v>
      </c>
      <c r="L388">
        <f t="shared" si="56"/>
        <v>0</v>
      </c>
      <c r="M388">
        <f t="shared" si="50"/>
        <v>0</v>
      </c>
      <c r="N388">
        <f t="shared" si="57"/>
        <v>5</v>
      </c>
      <c r="O388">
        <f t="shared" si="58"/>
        <v>32</v>
      </c>
      <c r="P388">
        <f t="shared" si="51"/>
        <v>1</v>
      </c>
      <c r="R388">
        <f t="shared" si="52"/>
        <v>0</v>
      </c>
      <c r="S388">
        <f t="shared" si="53"/>
        <v>0</v>
      </c>
      <c r="T388">
        <f t="shared" si="54"/>
        <v>0</v>
      </c>
    </row>
    <row r="389" spans="10:20" x14ac:dyDescent="0.25">
      <c r="J389">
        <v>0.56643183119298679</v>
      </c>
      <c r="K389">
        <f t="shared" si="55"/>
        <v>1</v>
      </c>
      <c r="L389">
        <f t="shared" si="56"/>
        <v>0.56643183119298679</v>
      </c>
      <c r="M389">
        <f t="shared" si="50"/>
        <v>1</v>
      </c>
      <c r="N389">
        <f t="shared" si="57"/>
        <v>5</v>
      </c>
      <c r="O389">
        <f t="shared" si="58"/>
        <v>32</v>
      </c>
      <c r="P389">
        <f t="shared" si="51"/>
        <v>1</v>
      </c>
      <c r="R389">
        <f t="shared" si="52"/>
        <v>1041</v>
      </c>
      <c r="S389">
        <f t="shared" si="53"/>
        <v>1</v>
      </c>
      <c r="T389">
        <f t="shared" si="54"/>
        <v>0</v>
      </c>
    </row>
    <row r="390" spans="10:20" x14ac:dyDescent="0.25">
      <c r="J390">
        <v>2.0479538036356826E-2</v>
      </c>
      <c r="K390">
        <f t="shared" si="55"/>
        <v>0</v>
      </c>
      <c r="L390">
        <f t="shared" si="56"/>
        <v>0</v>
      </c>
      <c r="M390">
        <f t="shared" si="50"/>
        <v>0</v>
      </c>
      <c r="N390">
        <f t="shared" si="57"/>
        <v>6</v>
      </c>
      <c r="O390">
        <f t="shared" si="58"/>
        <v>32</v>
      </c>
      <c r="P390">
        <f t="shared" si="51"/>
        <v>1</v>
      </c>
      <c r="R390">
        <f t="shared" si="52"/>
        <v>0</v>
      </c>
      <c r="S390">
        <f t="shared" si="53"/>
        <v>0</v>
      </c>
      <c r="T390">
        <f t="shared" si="54"/>
        <v>0</v>
      </c>
    </row>
    <row r="391" spans="10:20" x14ac:dyDescent="0.25">
      <c r="J391">
        <v>0.17744585995129036</v>
      </c>
      <c r="K391">
        <f t="shared" si="55"/>
        <v>1</v>
      </c>
      <c r="L391">
        <f t="shared" si="56"/>
        <v>0.17744585995129036</v>
      </c>
      <c r="M391">
        <f t="shared" si="50"/>
        <v>1</v>
      </c>
      <c r="N391">
        <f t="shared" si="57"/>
        <v>6</v>
      </c>
      <c r="O391">
        <f t="shared" si="58"/>
        <v>32</v>
      </c>
      <c r="P391">
        <f t="shared" si="51"/>
        <v>1</v>
      </c>
      <c r="R391">
        <f t="shared" si="52"/>
        <v>10041</v>
      </c>
      <c r="S391">
        <f t="shared" si="53"/>
        <v>1</v>
      </c>
      <c r="T391">
        <f t="shared" si="54"/>
        <v>1</v>
      </c>
    </row>
    <row r="392" spans="10:20" x14ac:dyDescent="0.25">
      <c r="J392">
        <v>0.91221604968482328</v>
      </c>
      <c r="K392">
        <f t="shared" si="55"/>
        <v>0</v>
      </c>
      <c r="L392">
        <f t="shared" si="56"/>
        <v>0</v>
      </c>
      <c r="M392">
        <f t="shared" ref="M392:M455" si="59">IF(L392&gt;$M$2,1,0)</f>
        <v>0</v>
      </c>
      <c r="N392">
        <f t="shared" si="57"/>
        <v>7</v>
      </c>
      <c r="O392">
        <f t="shared" si="58"/>
        <v>32</v>
      </c>
      <c r="P392">
        <f t="shared" ref="P392:P455" si="60">IF(INDEX($B$7:$H$1029,O392,2)&gt;0,1,0)</f>
        <v>1</v>
      </c>
      <c r="R392">
        <f t="shared" ref="R392:R455" si="61">IF(  M392&gt;0,INDEX($B$7:$H$1029,O392,N392),0)*P392</f>
        <v>0</v>
      </c>
      <c r="S392">
        <f t="shared" ref="S392:S455" si="62">M392*P392</f>
        <v>0</v>
      </c>
      <c r="T392">
        <f t="shared" ref="T392:T455" si="63">IF(N393=$N$2,1,0)*P392</f>
        <v>0</v>
      </c>
    </row>
    <row r="393" spans="10:20" x14ac:dyDescent="0.25">
      <c r="J393">
        <v>0.99159370567808791</v>
      </c>
      <c r="K393">
        <f t="shared" si="55"/>
        <v>1</v>
      </c>
      <c r="L393">
        <f t="shared" si="56"/>
        <v>0.99159370567808791</v>
      </c>
      <c r="M393">
        <f t="shared" si="59"/>
        <v>1</v>
      </c>
      <c r="N393">
        <f t="shared" si="57"/>
        <v>1</v>
      </c>
      <c r="O393">
        <f t="shared" si="58"/>
        <v>33</v>
      </c>
      <c r="P393">
        <f t="shared" si="60"/>
        <v>1</v>
      </c>
      <c r="R393">
        <f t="shared" si="61"/>
        <v>0</v>
      </c>
      <c r="S393">
        <f t="shared" si="62"/>
        <v>1</v>
      </c>
      <c r="T393">
        <f t="shared" si="63"/>
        <v>0</v>
      </c>
    </row>
    <row r="394" spans="10:20" x14ac:dyDescent="0.25">
      <c r="J394">
        <v>0.86516475944768889</v>
      </c>
      <c r="K394">
        <f t="shared" si="55"/>
        <v>0</v>
      </c>
      <c r="L394">
        <f t="shared" si="56"/>
        <v>0</v>
      </c>
      <c r="M394">
        <f t="shared" si="59"/>
        <v>0</v>
      </c>
      <c r="N394">
        <f t="shared" si="57"/>
        <v>2</v>
      </c>
      <c r="O394">
        <f t="shared" si="58"/>
        <v>33</v>
      </c>
      <c r="P394">
        <f t="shared" si="60"/>
        <v>1</v>
      </c>
      <c r="R394">
        <f t="shared" si="61"/>
        <v>0</v>
      </c>
      <c r="S394">
        <f t="shared" si="62"/>
        <v>0</v>
      </c>
      <c r="T394">
        <f t="shared" si="63"/>
        <v>0</v>
      </c>
    </row>
    <row r="395" spans="10:20" x14ac:dyDescent="0.25">
      <c r="J395">
        <v>0.13152354335674732</v>
      </c>
      <c r="K395">
        <f t="shared" si="55"/>
        <v>1</v>
      </c>
      <c r="L395">
        <f t="shared" si="56"/>
        <v>0.13152354335674732</v>
      </c>
      <c r="M395">
        <f t="shared" si="59"/>
        <v>1</v>
      </c>
      <c r="N395">
        <f t="shared" si="57"/>
        <v>2</v>
      </c>
      <c r="O395">
        <f t="shared" si="58"/>
        <v>33</v>
      </c>
      <c r="P395">
        <f t="shared" si="60"/>
        <v>1</v>
      </c>
      <c r="R395">
        <f t="shared" si="61"/>
        <v>8</v>
      </c>
      <c r="S395">
        <f t="shared" si="62"/>
        <v>1</v>
      </c>
      <c r="T395">
        <f t="shared" si="63"/>
        <v>0</v>
      </c>
    </row>
    <row r="396" spans="10:20" x14ac:dyDescent="0.25">
      <c r="J396">
        <v>0.26865537172351739</v>
      </c>
      <c r="K396">
        <f t="shared" si="55"/>
        <v>0</v>
      </c>
      <c r="L396">
        <f t="shared" si="56"/>
        <v>0</v>
      </c>
      <c r="M396">
        <f t="shared" si="59"/>
        <v>0</v>
      </c>
      <c r="N396">
        <f t="shared" si="57"/>
        <v>3</v>
      </c>
      <c r="O396">
        <f t="shared" si="58"/>
        <v>33</v>
      </c>
      <c r="P396">
        <f t="shared" si="60"/>
        <v>1</v>
      </c>
      <c r="R396">
        <f t="shared" si="61"/>
        <v>0</v>
      </c>
      <c r="S396">
        <f t="shared" si="62"/>
        <v>0</v>
      </c>
      <c r="T396">
        <f t="shared" si="63"/>
        <v>0</v>
      </c>
    </row>
    <row r="397" spans="10:20" x14ac:dyDescent="0.25">
      <c r="J397">
        <v>0.932019239268016</v>
      </c>
      <c r="K397">
        <f t="shared" si="55"/>
        <v>1</v>
      </c>
      <c r="L397">
        <f t="shared" si="56"/>
        <v>0.932019239268016</v>
      </c>
      <c r="M397">
        <f t="shared" si="59"/>
        <v>1</v>
      </c>
      <c r="N397">
        <f t="shared" si="57"/>
        <v>3</v>
      </c>
      <c r="O397">
        <f t="shared" si="58"/>
        <v>33</v>
      </c>
      <c r="P397">
        <f t="shared" si="60"/>
        <v>1</v>
      </c>
      <c r="R397">
        <f t="shared" si="61"/>
        <v>42</v>
      </c>
      <c r="S397">
        <f t="shared" si="62"/>
        <v>1</v>
      </c>
      <c r="T397">
        <f t="shared" si="63"/>
        <v>0</v>
      </c>
    </row>
    <row r="398" spans="10:20" x14ac:dyDescent="0.25">
      <c r="J398">
        <v>0.69094962871094157</v>
      </c>
      <c r="K398">
        <f t="shared" si="55"/>
        <v>0</v>
      </c>
      <c r="L398">
        <f t="shared" si="56"/>
        <v>0</v>
      </c>
      <c r="M398">
        <f t="shared" si="59"/>
        <v>0</v>
      </c>
      <c r="N398">
        <f t="shared" si="57"/>
        <v>4</v>
      </c>
      <c r="O398">
        <f t="shared" si="58"/>
        <v>33</v>
      </c>
      <c r="P398">
        <f t="shared" si="60"/>
        <v>1</v>
      </c>
      <c r="R398">
        <f t="shared" si="61"/>
        <v>0</v>
      </c>
      <c r="S398">
        <f t="shared" si="62"/>
        <v>0</v>
      </c>
      <c r="T398">
        <f t="shared" si="63"/>
        <v>0</v>
      </c>
    </row>
    <row r="399" spans="10:20" x14ac:dyDescent="0.25">
      <c r="J399">
        <v>0.10601333127387536</v>
      </c>
      <c r="K399">
        <f t="shared" si="55"/>
        <v>1</v>
      </c>
      <c r="L399">
        <f t="shared" si="56"/>
        <v>0.10601333127387536</v>
      </c>
      <c r="M399">
        <f t="shared" si="59"/>
        <v>1</v>
      </c>
      <c r="N399">
        <f t="shared" si="57"/>
        <v>4</v>
      </c>
      <c r="O399">
        <f t="shared" si="58"/>
        <v>33</v>
      </c>
      <c r="P399">
        <f t="shared" si="60"/>
        <v>1</v>
      </c>
      <c r="R399">
        <f t="shared" si="61"/>
        <v>142</v>
      </c>
      <c r="S399">
        <f t="shared" si="62"/>
        <v>1</v>
      </c>
      <c r="T399">
        <f t="shared" si="63"/>
        <v>0</v>
      </c>
    </row>
    <row r="400" spans="10:20" x14ac:dyDescent="0.25">
      <c r="J400">
        <v>4.222950788437918E-2</v>
      </c>
      <c r="K400">
        <f t="shared" si="55"/>
        <v>0</v>
      </c>
      <c r="L400">
        <f t="shared" si="56"/>
        <v>0</v>
      </c>
      <c r="M400">
        <f t="shared" si="59"/>
        <v>0</v>
      </c>
      <c r="N400">
        <f t="shared" si="57"/>
        <v>5</v>
      </c>
      <c r="O400">
        <f t="shared" si="58"/>
        <v>33</v>
      </c>
      <c r="P400">
        <f t="shared" si="60"/>
        <v>1</v>
      </c>
      <c r="R400">
        <f t="shared" si="61"/>
        <v>0</v>
      </c>
      <c r="S400">
        <f t="shared" si="62"/>
        <v>0</v>
      </c>
      <c r="T400">
        <f t="shared" si="63"/>
        <v>0</v>
      </c>
    </row>
    <row r="401" spans="10:20" x14ac:dyDescent="0.25">
      <c r="J401">
        <v>0.18789995321524122</v>
      </c>
      <c r="K401">
        <f t="shared" si="55"/>
        <v>1</v>
      </c>
      <c r="L401">
        <f t="shared" si="56"/>
        <v>0.18789995321524122</v>
      </c>
      <c r="M401">
        <f t="shared" si="59"/>
        <v>1</v>
      </c>
      <c r="N401">
        <f t="shared" si="57"/>
        <v>5</v>
      </c>
      <c r="O401">
        <f t="shared" si="58"/>
        <v>33</v>
      </c>
      <c r="P401">
        <f t="shared" si="60"/>
        <v>1</v>
      </c>
      <c r="R401">
        <f t="shared" si="61"/>
        <v>1042</v>
      </c>
      <c r="S401">
        <f t="shared" si="62"/>
        <v>1</v>
      </c>
      <c r="T401">
        <f t="shared" si="63"/>
        <v>0</v>
      </c>
    </row>
    <row r="402" spans="10:20" x14ac:dyDescent="0.25">
      <c r="J402">
        <v>0.23671480509307985</v>
      </c>
      <c r="K402">
        <f t="shared" si="55"/>
        <v>0</v>
      </c>
      <c r="L402">
        <f t="shared" si="56"/>
        <v>0</v>
      </c>
      <c r="M402">
        <f t="shared" si="59"/>
        <v>0</v>
      </c>
      <c r="N402">
        <f t="shared" si="57"/>
        <v>6</v>
      </c>
      <c r="O402">
        <f t="shared" si="58"/>
        <v>33</v>
      </c>
      <c r="P402">
        <f t="shared" si="60"/>
        <v>1</v>
      </c>
      <c r="R402">
        <f t="shared" si="61"/>
        <v>0</v>
      </c>
      <c r="S402">
        <f t="shared" si="62"/>
        <v>0</v>
      </c>
      <c r="T402">
        <f t="shared" si="63"/>
        <v>0</v>
      </c>
    </row>
    <row r="403" spans="10:20" x14ac:dyDescent="0.25">
      <c r="J403">
        <v>0.88597290746146073</v>
      </c>
      <c r="K403">
        <f t="shared" si="55"/>
        <v>1</v>
      </c>
      <c r="L403">
        <f t="shared" si="56"/>
        <v>0.88597290746146073</v>
      </c>
      <c r="M403">
        <f t="shared" si="59"/>
        <v>1</v>
      </c>
      <c r="N403">
        <f t="shared" si="57"/>
        <v>6</v>
      </c>
      <c r="O403">
        <f t="shared" si="58"/>
        <v>33</v>
      </c>
      <c r="P403">
        <f t="shared" si="60"/>
        <v>1</v>
      </c>
      <c r="R403">
        <f t="shared" si="61"/>
        <v>10042</v>
      </c>
      <c r="S403">
        <f t="shared" si="62"/>
        <v>1</v>
      </c>
      <c r="T403">
        <f t="shared" si="63"/>
        <v>1</v>
      </c>
    </row>
    <row r="404" spans="10:20" x14ac:dyDescent="0.25">
      <c r="J404">
        <v>0.88276278248572293</v>
      </c>
      <c r="K404">
        <f t="shared" si="55"/>
        <v>0</v>
      </c>
      <c r="L404">
        <f t="shared" si="56"/>
        <v>0</v>
      </c>
      <c r="M404">
        <f t="shared" si="59"/>
        <v>0</v>
      </c>
      <c r="N404">
        <f t="shared" si="57"/>
        <v>7</v>
      </c>
      <c r="O404">
        <f t="shared" si="58"/>
        <v>33</v>
      </c>
      <c r="P404">
        <f t="shared" si="60"/>
        <v>1</v>
      </c>
      <c r="R404">
        <f t="shared" si="61"/>
        <v>0</v>
      </c>
      <c r="S404">
        <f t="shared" si="62"/>
        <v>0</v>
      </c>
      <c r="T404">
        <f t="shared" si="63"/>
        <v>0</v>
      </c>
    </row>
    <row r="405" spans="10:20" x14ac:dyDescent="0.25">
      <c r="J405">
        <v>7.9789122501796261E-2</v>
      </c>
      <c r="K405">
        <f t="shared" si="55"/>
        <v>1</v>
      </c>
      <c r="L405">
        <f t="shared" si="56"/>
        <v>7.9789122501796261E-2</v>
      </c>
      <c r="M405">
        <f t="shared" si="59"/>
        <v>1</v>
      </c>
      <c r="N405">
        <f t="shared" si="57"/>
        <v>1</v>
      </c>
      <c r="O405">
        <f t="shared" si="58"/>
        <v>34</v>
      </c>
      <c r="P405">
        <f t="shared" si="60"/>
        <v>1</v>
      </c>
      <c r="R405">
        <f t="shared" si="61"/>
        <v>0</v>
      </c>
      <c r="S405">
        <f t="shared" si="62"/>
        <v>1</v>
      </c>
      <c r="T405">
        <f t="shared" si="63"/>
        <v>0</v>
      </c>
    </row>
    <row r="406" spans="10:20" x14ac:dyDescent="0.25">
      <c r="J406">
        <v>0.72281362943747607</v>
      </c>
      <c r="K406">
        <f t="shared" si="55"/>
        <v>0</v>
      </c>
      <c r="L406">
        <f t="shared" si="56"/>
        <v>0</v>
      </c>
      <c r="M406">
        <f t="shared" si="59"/>
        <v>0</v>
      </c>
      <c r="N406">
        <f t="shared" si="57"/>
        <v>2</v>
      </c>
      <c r="O406">
        <f t="shared" si="58"/>
        <v>34</v>
      </c>
      <c r="P406">
        <f t="shared" si="60"/>
        <v>1</v>
      </c>
      <c r="R406">
        <f t="shared" si="61"/>
        <v>0</v>
      </c>
      <c r="S406">
        <f t="shared" si="62"/>
        <v>0</v>
      </c>
      <c r="T406">
        <f t="shared" si="63"/>
        <v>0</v>
      </c>
    </row>
    <row r="407" spans="10:20" x14ac:dyDescent="0.25">
      <c r="J407">
        <v>2.8249142720852882E-2</v>
      </c>
      <c r="K407">
        <f t="shared" si="55"/>
        <v>1</v>
      </c>
      <c r="L407">
        <f t="shared" si="56"/>
        <v>2.8249142720852882E-2</v>
      </c>
      <c r="M407">
        <f t="shared" si="59"/>
        <v>1</v>
      </c>
      <c r="N407">
        <f t="shared" si="57"/>
        <v>2</v>
      </c>
      <c r="O407">
        <f t="shared" si="58"/>
        <v>34</v>
      </c>
      <c r="P407">
        <f t="shared" si="60"/>
        <v>1</v>
      </c>
      <c r="R407">
        <f t="shared" si="61"/>
        <v>8</v>
      </c>
      <c r="S407">
        <f t="shared" si="62"/>
        <v>1</v>
      </c>
      <c r="T407">
        <f t="shared" si="63"/>
        <v>0</v>
      </c>
    </row>
    <row r="408" spans="10:20" x14ac:dyDescent="0.25">
      <c r="J408">
        <v>0.19756620192362029</v>
      </c>
      <c r="K408">
        <f t="shared" ref="K408:K471" si="64">IF(K407=1,0,1)</f>
        <v>0</v>
      </c>
      <c r="L408">
        <f t="shared" ref="L408:L471" si="65">K408*J408</f>
        <v>0</v>
      </c>
      <c r="M408">
        <f t="shared" si="59"/>
        <v>0</v>
      </c>
      <c r="N408">
        <f t="shared" ref="N408:N471" si="66">IF(N407&lt;$N$2,N407+M407,1)</f>
        <v>3</v>
      </c>
      <c r="O408">
        <f t="shared" ref="O408:O471" si="67">IF(AND(N408=1,M408=1),O407+1,O407)</f>
        <v>34</v>
      </c>
      <c r="P408">
        <f t="shared" si="60"/>
        <v>1</v>
      </c>
      <c r="R408">
        <f t="shared" si="61"/>
        <v>0</v>
      </c>
      <c r="S408">
        <f t="shared" si="62"/>
        <v>0</v>
      </c>
      <c r="T408">
        <f t="shared" si="63"/>
        <v>0</v>
      </c>
    </row>
    <row r="409" spans="10:20" x14ac:dyDescent="0.25">
      <c r="J409">
        <v>0.65306697847559381</v>
      </c>
      <c r="K409">
        <f t="shared" si="64"/>
        <v>1</v>
      </c>
      <c r="L409">
        <f t="shared" si="65"/>
        <v>0.65306697847559381</v>
      </c>
      <c r="M409">
        <f t="shared" si="59"/>
        <v>1</v>
      </c>
      <c r="N409">
        <f t="shared" si="66"/>
        <v>3</v>
      </c>
      <c r="O409">
        <f t="shared" si="67"/>
        <v>34</v>
      </c>
      <c r="P409">
        <f t="shared" si="60"/>
        <v>1</v>
      </c>
      <c r="R409">
        <f t="shared" si="61"/>
        <v>43</v>
      </c>
      <c r="S409">
        <f t="shared" si="62"/>
        <v>1</v>
      </c>
      <c r="T409">
        <f t="shared" si="63"/>
        <v>0</v>
      </c>
    </row>
    <row r="410" spans="10:20" x14ac:dyDescent="0.25">
      <c r="J410">
        <v>0.88704341594091507</v>
      </c>
      <c r="K410">
        <f t="shared" si="64"/>
        <v>0</v>
      </c>
      <c r="L410">
        <f t="shared" si="65"/>
        <v>0</v>
      </c>
      <c r="M410">
        <f t="shared" si="59"/>
        <v>0</v>
      </c>
      <c r="N410">
        <f t="shared" si="66"/>
        <v>4</v>
      </c>
      <c r="O410">
        <f t="shared" si="67"/>
        <v>34</v>
      </c>
      <c r="P410">
        <f t="shared" si="60"/>
        <v>1</v>
      </c>
      <c r="R410">
        <f t="shared" si="61"/>
        <v>0</v>
      </c>
      <c r="S410">
        <f t="shared" si="62"/>
        <v>0</v>
      </c>
      <c r="T410">
        <f t="shared" si="63"/>
        <v>0</v>
      </c>
    </row>
    <row r="411" spans="10:20" x14ac:dyDescent="0.25">
      <c r="J411">
        <v>0.51800856404574513</v>
      </c>
      <c r="K411">
        <f t="shared" si="64"/>
        <v>1</v>
      </c>
      <c r="L411">
        <f t="shared" si="65"/>
        <v>0.51800856404574513</v>
      </c>
      <c r="M411">
        <f t="shared" si="59"/>
        <v>1</v>
      </c>
      <c r="N411">
        <f t="shared" si="66"/>
        <v>4</v>
      </c>
      <c r="O411">
        <f t="shared" si="67"/>
        <v>34</v>
      </c>
      <c r="P411">
        <f t="shared" si="60"/>
        <v>1</v>
      </c>
      <c r="R411">
        <f t="shared" si="61"/>
        <v>143</v>
      </c>
      <c r="S411">
        <f t="shared" si="62"/>
        <v>1</v>
      </c>
      <c r="T411">
        <f t="shared" si="63"/>
        <v>0</v>
      </c>
    </row>
    <row r="412" spans="10:20" x14ac:dyDescent="0.25">
      <c r="J412">
        <v>0.29765405149461344</v>
      </c>
      <c r="K412">
        <f t="shared" si="64"/>
        <v>0</v>
      </c>
      <c r="L412">
        <f t="shared" si="65"/>
        <v>0</v>
      </c>
      <c r="M412">
        <f t="shared" si="59"/>
        <v>0</v>
      </c>
      <c r="N412">
        <f t="shared" si="66"/>
        <v>5</v>
      </c>
      <c r="O412">
        <f t="shared" si="67"/>
        <v>34</v>
      </c>
      <c r="P412">
        <f t="shared" si="60"/>
        <v>1</v>
      </c>
      <c r="R412">
        <f t="shared" si="61"/>
        <v>0</v>
      </c>
      <c r="S412">
        <f t="shared" si="62"/>
        <v>0</v>
      </c>
      <c r="T412">
        <f t="shared" si="63"/>
        <v>0</v>
      </c>
    </row>
    <row r="413" spans="10:20" x14ac:dyDescent="0.25">
      <c r="J413">
        <v>0.177947929599793</v>
      </c>
      <c r="K413">
        <f t="shared" si="64"/>
        <v>1</v>
      </c>
      <c r="L413">
        <f t="shared" si="65"/>
        <v>0.177947929599793</v>
      </c>
      <c r="M413">
        <f t="shared" si="59"/>
        <v>1</v>
      </c>
      <c r="N413">
        <f t="shared" si="66"/>
        <v>5</v>
      </c>
      <c r="O413">
        <f t="shared" si="67"/>
        <v>34</v>
      </c>
      <c r="P413">
        <f t="shared" si="60"/>
        <v>1</v>
      </c>
      <c r="R413">
        <f t="shared" si="61"/>
        <v>1043</v>
      </c>
      <c r="S413">
        <f t="shared" si="62"/>
        <v>1</v>
      </c>
      <c r="T413">
        <f t="shared" si="63"/>
        <v>0</v>
      </c>
    </row>
    <row r="414" spans="10:20" x14ac:dyDescent="0.25">
      <c r="J414">
        <v>0.48003766889981636</v>
      </c>
      <c r="K414">
        <f t="shared" si="64"/>
        <v>0</v>
      </c>
      <c r="L414">
        <f t="shared" si="65"/>
        <v>0</v>
      </c>
      <c r="M414">
        <f t="shared" si="59"/>
        <v>0</v>
      </c>
      <c r="N414">
        <f t="shared" si="66"/>
        <v>6</v>
      </c>
      <c r="O414">
        <f t="shared" si="67"/>
        <v>34</v>
      </c>
      <c r="P414">
        <f t="shared" si="60"/>
        <v>1</v>
      </c>
      <c r="R414">
        <f t="shared" si="61"/>
        <v>0</v>
      </c>
      <c r="S414">
        <f t="shared" si="62"/>
        <v>0</v>
      </c>
      <c r="T414">
        <f t="shared" si="63"/>
        <v>0</v>
      </c>
    </row>
    <row r="415" spans="10:20" x14ac:dyDescent="0.25">
      <c r="J415">
        <v>0.45666481157715344</v>
      </c>
      <c r="K415">
        <f t="shared" si="64"/>
        <v>1</v>
      </c>
      <c r="L415">
        <f t="shared" si="65"/>
        <v>0.45666481157715344</v>
      </c>
      <c r="M415">
        <f t="shared" si="59"/>
        <v>1</v>
      </c>
      <c r="N415">
        <f t="shared" si="66"/>
        <v>6</v>
      </c>
      <c r="O415">
        <f t="shared" si="67"/>
        <v>34</v>
      </c>
      <c r="P415">
        <f t="shared" si="60"/>
        <v>1</v>
      </c>
      <c r="R415">
        <f t="shared" si="61"/>
        <v>10043</v>
      </c>
      <c r="S415">
        <f t="shared" si="62"/>
        <v>1</v>
      </c>
      <c r="T415">
        <f t="shared" si="63"/>
        <v>1</v>
      </c>
    </row>
    <row r="416" spans="10:20" x14ac:dyDescent="0.25">
      <c r="J416">
        <v>0.8601968460570768</v>
      </c>
      <c r="K416">
        <f t="shared" si="64"/>
        <v>0</v>
      </c>
      <c r="L416">
        <f t="shared" si="65"/>
        <v>0</v>
      </c>
      <c r="M416">
        <f t="shared" si="59"/>
        <v>0</v>
      </c>
      <c r="N416">
        <f t="shared" si="66"/>
        <v>7</v>
      </c>
      <c r="O416">
        <f t="shared" si="67"/>
        <v>34</v>
      </c>
      <c r="P416">
        <f t="shared" si="60"/>
        <v>1</v>
      </c>
      <c r="R416">
        <f t="shared" si="61"/>
        <v>0</v>
      </c>
      <c r="S416">
        <f t="shared" si="62"/>
        <v>0</v>
      </c>
      <c r="T416">
        <f t="shared" si="63"/>
        <v>0</v>
      </c>
    </row>
    <row r="417" spans="10:20" x14ac:dyDescent="0.25">
      <c r="J417">
        <v>2.9828366945286011E-2</v>
      </c>
      <c r="K417">
        <f t="shared" si="64"/>
        <v>1</v>
      </c>
      <c r="L417">
        <f t="shared" si="65"/>
        <v>2.9828366945286011E-2</v>
      </c>
      <c r="M417">
        <f t="shared" si="59"/>
        <v>1</v>
      </c>
      <c r="N417">
        <f t="shared" si="66"/>
        <v>1</v>
      </c>
      <c r="O417">
        <f t="shared" si="67"/>
        <v>35</v>
      </c>
      <c r="P417">
        <f t="shared" si="60"/>
        <v>1</v>
      </c>
      <c r="R417">
        <f t="shared" si="61"/>
        <v>0</v>
      </c>
      <c r="S417">
        <f t="shared" si="62"/>
        <v>1</v>
      </c>
      <c r="T417">
        <f t="shared" si="63"/>
        <v>0</v>
      </c>
    </row>
    <row r="418" spans="10:20" x14ac:dyDescent="0.25">
      <c r="J418">
        <v>0.47754079995544441</v>
      </c>
      <c r="K418">
        <f t="shared" si="64"/>
        <v>0</v>
      </c>
      <c r="L418">
        <f t="shared" si="65"/>
        <v>0</v>
      </c>
      <c r="M418">
        <f t="shared" si="59"/>
        <v>0</v>
      </c>
      <c r="N418">
        <f t="shared" si="66"/>
        <v>2</v>
      </c>
      <c r="O418">
        <f t="shared" si="67"/>
        <v>35</v>
      </c>
      <c r="P418">
        <f t="shared" si="60"/>
        <v>1</v>
      </c>
      <c r="R418">
        <f t="shared" si="61"/>
        <v>0</v>
      </c>
      <c r="S418">
        <f t="shared" si="62"/>
        <v>0</v>
      </c>
      <c r="T418">
        <f t="shared" si="63"/>
        <v>0</v>
      </c>
    </row>
    <row r="419" spans="10:20" x14ac:dyDescent="0.25">
      <c r="J419">
        <v>0.50147036174154436</v>
      </c>
      <c r="K419">
        <f t="shared" si="64"/>
        <v>1</v>
      </c>
      <c r="L419">
        <f t="shared" si="65"/>
        <v>0.50147036174154436</v>
      </c>
      <c r="M419">
        <f t="shared" si="59"/>
        <v>1</v>
      </c>
      <c r="N419">
        <f t="shared" si="66"/>
        <v>2</v>
      </c>
      <c r="O419">
        <f t="shared" si="67"/>
        <v>35</v>
      </c>
      <c r="P419">
        <f t="shared" si="60"/>
        <v>1</v>
      </c>
      <c r="R419">
        <f t="shared" si="61"/>
        <v>8</v>
      </c>
      <c r="S419">
        <f t="shared" si="62"/>
        <v>1</v>
      </c>
      <c r="T419">
        <f t="shared" si="63"/>
        <v>0</v>
      </c>
    </row>
    <row r="420" spans="10:20" x14ac:dyDescent="0.25">
      <c r="J420">
        <v>0.53794038342444328</v>
      </c>
      <c r="K420">
        <f t="shared" si="64"/>
        <v>0</v>
      </c>
      <c r="L420">
        <f t="shared" si="65"/>
        <v>0</v>
      </c>
      <c r="M420">
        <f t="shared" si="59"/>
        <v>0</v>
      </c>
      <c r="N420">
        <f t="shared" si="66"/>
        <v>3</v>
      </c>
      <c r="O420">
        <f t="shared" si="67"/>
        <v>35</v>
      </c>
      <c r="P420">
        <f t="shared" si="60"/>
        <v>1</v>
      </c>
      <c r="R420">
        <f t="shared" si="61"/>
        <v>0</v>
      </c>
      <c r="S420">
        <f t="shared" si="62"/>
        <v>0</v>
      </c>
      <c r="T420">
        <f t="shared" si="63"/>
        <v>0</v>
      </c>
    </row>
    <row r="421" spans="10:20" x14ac:dyDescent="0.25">
      <c r="J421">
        <v>0.67249302854072135</v>
      </c>
      <c r="K421">
        <f t="shared" si="64"/>
        <v>1</v>
      </c>
      <c r="L421">
        <f t="shared" si="65"/>
        <v>0.67249302854072135</v>
      </c>
      <c r="M421">
        <f t="shared" si="59"/>
        <v>1</v>
      </c>
      <c r="N421">
        <f t="shared" si="66"/>
        <v>3</v>
      </c>
      <c r="O421">
        <f t="shared" si="67"/>
        <v>35</v>
      </c>
      <c r="P421">
        <f t="shared" si="60"/>
        <v>1</v>
      </c>
      <c r="R421">
        <f t="shared" si="61"/>
        <v>44</v>
      </c>
      <c r="S421">
        <f t="shared" si="62"/>
        <v>1</v>
      </c>
      <c r="T421">
        <f t="shared" si="63"/>
        <v>0</v>
      </c>
    </row>
    <row r="422" spans="10:20" x14ac:dyDescent="0.25">
      <c r="J422">
        <v>3.8572623095468495E-2</v>
      </c>
      <c r="K422">
        <f t="shared" si="64"/>
        <v>0</v>
      </c>
      <c r="L422">
        <f t="shared" si="65"/>
        <v>0</v>
      </c>
      <c r="M422">
        <f t="shared" si="59"/>
        <v>0</v>
      </c>
      <c r="N422">
        <f t="shared" si="66"/>
        <v>4</v>
      </c>
      <c r="O422">
        <f t="shared" si="67"/>
        <v>35</v>
      </c>
      <c r="P422">
        <f t="shared" si="60"/>
        <v>1</v>
      </c>
      <c r="R422">
        <f t="shared" si="61"/>
        <v>0</v>
      </c>
      <c r="S422">
        <f t="shared" si="62"/>
        <v>0</v>
      </c>
      <c r="T422">
        <f t="shared" si="63"/>
        <v>0</v>
      </c>
    </row>
    <row r="423" spans="10:20" x14ac:dyDescent="0.25">
      <c r="J423">
        <v>0.90486925005175689</v>
      </c>
      <c r="K423">
        <f t="shared" si="64"/>
        <v>1</v>
      </c>
      <c r="L423">
        <f t="shared" si="65"/>
        <v>0.90486925005175689</v>
      </c>
      <c r="M423">
        <f t="shared" si="59"/>
        <v>1</v>
      </c>
      <c r="N423">
        <f t="shared" si="66"/>
        <v>4</v>
      </c>
      <c r="O423">
        <f t="shared" si="67"/>
        <v>35</v>
      </c>
      <c r="P423">
        <f t="shared" si="60"/>
        <v>1</v>
      </c>
      <c r="R423">
        <f t="shared" si="61"/>
        <v>144</v>
      </c>
      <c r="S423">
        <f t="shared" si="62"/>
        <v>1</v>
      </c>
      <c r="T423">
        <f t="shared" si="63"/>
        <v>0</v>
      </c>
    </row>
    <row r="424" spans="10:20" x14ac:dyDescent="0.25">
      <c r="J424">
        <v>0.65645004754972991</v>
      </c>
      <c r="K424">
        <f t="shared" si="64"/>
        <v>0</v>
      </c>
      <c r="L424">
        <f t="shared" si="65"/>
        <v>0</v>
      </c>
      <c r="M424">
        <f t="shared" si="59"/>
        <v>0</v>
      </c>
      <c r="N424">
        <f t="shared" si="66"/>
        <v>5</v>
      </c>
      <c r="O424">
        <f t="shared" si="67"/>
        <v>35</v>
      </c>
      <c r="P424">
        <f t="shared" si="60"/>
        <v>1</v>
      </c>
      <c r="R424">
        <f t="shared" si="61"/>
        <v>0</v>
      </c>
      <c r="S424">
        <f t="shared" si="62"/>
        <v>0</v>
      </c>
      <c r="T424">
        <f t="shared" si="63"/>
        <v>0</v>
      </c>
    </row>
    <row r="425" spans="10:20" x14ac:dyDescent="0.25">
      <c r="J425">
        <v>0.76053766365324882</v>
      </c>
      <c r="K425">
        <f t="shared" si="64"/>
        <v>1</v>
      </c>
      <c r="L425">
        <f t="shared" si="65"/>
        <v>0.76053766365324882</v>
      </c>
      <c r="M425">
        <f t="shared" si="59"/>
        <v>1</v>
      </c>
      <c r="N425">
        <f t="shared" si="66"/>
        <v>5</v>
      </c>
      <c r="O425">
        <f t="shared" si="67"/>
        <v>35</v>
      </c>
      <c r="P425">
        <f t="shared" si="60"/>
        <v>1</v>
      </c>
      <c r="R425">
        <f t="shared" si="61"/>
        <v>1044</v>
      </c>
      <c r="S425">
        <f t="shared" si="62"/>
        <v>1</v>
      </c>
      <c r="T425">
        <f t="shared" si="63"/>
        <v>0</v>
      </c>
    </row>
    <row r="426" spans="10:20" x14ac:dyDescent="0.25">
      <c r="J426">
        <v>0.25289198806546442</v>
      </c>
      <c r="K426">
        <f t="shared" si="64"/>
        <v>0</v>
      </c>
      <c r="L426">
        <f t="shared" si="65"/>
        <v>0</v>
      </c>
      <c r="M426">
        <f t="shared" si="59"/>
        <v>0</v>
      </c>
      <c r="N426">
        <f t="shared" si="66"/>
        <v>6</v>
      </c>
      <c r="O426">
        <f t="shared" si="67"/>
        <v>35</v>
      </c>
      <c r="P426">
        <f t="shared" si="60"/>
        <v>1</v>
      </c>
      <c r="R426">
        <f t="shared" si="61"/>
        <v>0</v>
      </c>
      <c r="S426">
        <f t="shared" si="62"/>
        <v>0</v>
      </c>
      <c r="T426">
        <f t="shared" si="63"/>
        <v>0</v>
      </c>
    </row>
    <row r="427" spans="10:20" x14ac:dyDescent="0.25">
      <c r="J427">
        <v>0.38486055926318652</v>
      </c>
      <c r="K427">
        <f t="shared" si="64"/>
        <v>1</v>
      </c>
      <c r="L427">
        <f t="shared" si="65"/>
        <v>0.38486055926318652</v>
      </c>
      <c r="M427">
        <f t="shared" si="59"/>
        <v>1</v>
      </c>
      <c r="N427">
        <f t="shared" si="66"/>
        <v>6</v>
      </c>
      <c r="O427">
        <f t="shared" si="67"/>
        <v>35</v>
      </c>
      <c r="P427">
        <f t="shared" si="60"/>
        <v>1</v>
      </c>
      <c r="R427">
        <f t="shared" si="61"/>
        <v>10044</v>
      </c>
      <c r="S427">
        <f t="shared" si="62"/>
        <v>1</v>
      </c>
      <c r="T427">
        <f t="shared" si="63"/>
        <v>1</v>
      </c>
    </row>
    <row r="428" spans="10:20" x14ac:dyDescent="0.25">
      <c r="J428">
        <v>0.54207836240605456</v>
      </c>
      <c r="K428">
        <f t="shared" si="64"/>
        <v>0</v>
      </c>
      <c r="L428">
        <f t="shared" si="65"/>
        <v>0</v>
      </c>
      <c r="M428">
        <f t="shared" si="59"/>
        <v>0</v>
      </c>
      <c r="N428">
        <f t="shared" si="66"/>
        <v>7</v>
      </c>
      <c r="O428">
        <f t="shared" si="67"/>
        <v>35</v>
      </c>
      <c r="P428">
        <f t="shared" si="60"/>
        <v>1</v>
      </c>
      <c r="R428">
        <f t="shared" si="61"/>
        <v>0</v>
      </c>
      <c r="S428">
        <f t="shared" si="62"/>
        <v>0</v>
      </c>
      <c r="T428">
        <f t="shared" si="63"/>
        <v>0</v>
      </c>
    </row>
    <row r="429" spans="10:20" x14ac:dyDescent="0.25">
      <c r="J429">
        <v>0.12518944406409238</v>
      </c>
      <c r="K429">
        <f t="shared" si="64"/>
        <v>1</v>
      </c>
      <c r="L429">
        <f t="shared" si="65"/>
        <v>0.12518944406409238</v>
      </c>
      <c r="M429">
        <f t="shared" si="59"/>
        <v>1</v>
      </c>
      <c r="N429">
        <f t="shared" si="66"/>
        <v>1</v>
      </c>
      <c r="O429">
        <f t="shared" si="67"/>
        <v>36</v>
      </c>
      <c r="P429">
        <f t="shared" si="60"/>
        <v>1</v>
      </c>
      <c r="R429">
        <f t="shared" si="61"/>
        <v>0</v>
      </c>
      <c r="S429">
        <f t="shared" si="62"/>
        <v>1</v>
      </c>
      <c r="T429">
        <f t="shared" si="63"/>
        <v>0</v>
      </c>
    </row>
    <row r="430" spans="10:20" x14ac:dyDescent="0.25">
      <c r="J430">
        <v>0.40072501367270652</v>
      </c>
      <c r="K430">
        <f t="shared" si="64"/>
        <v>0</v>
      </c>
      <c r="L430">
        <f t="shared" si="65"/>
        <v>0</v>
      </c>
      <c r="M430">
        <f t="shared" si="59"/>
        <v>0</v>
      </c>
      <c r="N430">
        <f t="shared" si="66"/>
        <v>2</v>
      </c>
      <c r="O430">
        <f t="shared" si="67"/>
        <v>36</v>
      </c>
      <c r="P430">
        <f t="shared" si="60"/>
        <v>1</v>
      </c>
      <c r="R430">
        <f t="shared" si="61"/>
        <v>0</v>
      </c>
      <c r="S430">
        <f t="shared" si="62"/>
        <v>0</v>
      </c>
      <c r="T430">
        <f t="shared" si="63"/>
        <v>0</v>
      </c>
    </row>
    <row r="431" spans="10:20" x14ac:dyDescent="0.25">
      <c r="J431">
        <v>0.92229564916202</v>
      </c>
      <c r="K431">
        <f t="shared" si="64"/>
        <v>1</v>
      </c>
      <c r="L431">
        <f t="shared" si="65"/>
        <v>0.92229564916202</v>
      </c>
      <c r="M431">
        <f t="shared" si="59"/>
        <v>1</v>
      </c>
      <c r="N431">
        <f t="shared" si="66"/>
        <v>2</v>
      </c>
      <c r="O431">
        <f t="shared" si="67"/>
        <v>36</v>
      </c>
      <c r="P431">
        <f t="shared" si="60"/>
        <v>1</v>
      </c>
      <c r="R431">
        <f t="shared" si="61"/>
        <v>8</v>
      </c>
      <c r="S431">
        <f t="shared" si="62"/>
        <v>1</v>
      </c>
      <c r="T431">
        <f t="shared" si="63"/>
        <v>0</v>
      </c>
    </row>
    <row r="432" spans="10:20" x14ac:dyDescent="0.25">
      <c r="J432">
        <v>2.0681160637221252E-2</v>
      </c>
      <c r="K432">
        <f t="shared" si="64"/>
        <v>0</v>
      </c>
      <c r="L432">
        <f t="shared" si="65"/>
        <v>0</v>
      </c>
      <c r="M432">
        <f t="shared" si="59"/>
        <v>0</v>
      </c>
      <c r="N432">
        <f t="shared" si="66"/>
        <v>3</v>
      </c>
      <c r="O432">
        <f t="shared" si="67"/>
        <v>36</v>
      </c>
      <c r="P432">
        <f t="shared" si="60"/>
        <v>1</v>
      </c>
      <c r="R432">
        <f t="shared" si="61"/>
        <v>0</v>
      </c>
      <c r="S432">
        <f t="shared" si="62"/>
        <v>0</v>
      </c>
      <c r="T432">
        <f t="shared" si="63"/>
        <v>0</v>
      </c>
    </row>
    <row r="433" spans="10:20" x14ac:dyDescent="0.25">
      <c r="J433">
        <v>2.0653547400673822E-2</v>
      </c>
      <c r="K433">
        <f t="shared" si="64"/>
        <v>1</v>
      </c>
      <c r="L433">
        <f t="shared" si="65"/>
        <v>2.0653547400673822E-2</v>
      </c>
      <c r="M433">
        <f t="shared" si="59"/>
        <v>1</v>
      </c>
      <c r="N433">
        <f t="shared" si="66"/>
        <v>3</v>
      </c>
      <c r="O433">
        <f t="shared" si="67"/>
        <v>36</v>
      </c>
      <c r="P433">
        <f t="shared" si="60"/>
        <v>1</v>
      </c>
      <c r="R433">
        <f t="shared" si="61"/>
        <v>45</v>
      </c>
      <c r="S433">
        <f t="shared" si="62"/>
        <v>1</v>
      </c>
      <c r="T433">
        <f t="shared" si="63"/>
        <v>0</v>
      </c>
    </row>
    <row r="434" spans="10:20" x14ac:dyDescent="0.25">
      <c r="J434">
        <v>0.14750754845316916</v>
      </c>
      <c r="K434">
        <f t="shared" si="64"/>
        <v>0</v>
      </c>
      <c r="L434">
        <f t="shared" si="65"/>
        <v>0</v>
      </c>
      <c r="M434">
        <f t="shared" si="59"/>
        <v>0</v>
      </c>
      <c r="N434">
        <f t="shared" si="66"/>
        <v>4</v>
      </c>
      <c r="O434">
        <f t="shared" si="67"/>
        <v>36</v>
      </c>
      <c r="P434">
        <f t="shared" si="60"/>
        <v>1</v>
      </c>
      <c r="R434">
        <f t="shared" si="61"/>
        <v>0</v>
      </c>
      <c r="S434">
        <f t="shared" si="62"/>
        <v>0</v>
      </c>
      <c r="T434">
        <f t="shared" si="63"/>
        <v>0</v>
      </c>
    </row>
    <row r="435" spans="10:20" x14ac:dyDescent="0.25">
      <c r="J435">
        <v>0.4887471132662593</v>
      </c>
      <c r="K435">
        <f t="shared" si="64"/>
        <v>1</v>
      </c>
      <c r="L435">
        <f t="shared" si="65"/>
        <v>0.4887471132662593</v>
      </c>
      <c r="M435">
        <f t="shared" si="59"/>
        <v>1</v>
      </c>
      <c r="N435">
        <f t="shared" si="66"/>
        <v>4</v>
      </c>
      <c r="O435">
        <f t="shared" si="67"/>
        <v>36</v>
      </c>
      <c r="P435">
        <f t="shared" si="60"/>
        <v>1</v>
      </c>
      <c r="R435">
        <f t="shared" si="61"/>
        <v>145</v>
      </c>
      <c r="S435">
        <f t="shared" si="62"/>
        <v>1</v>
      </c>
      <c r="T435">
        <f t="shared" si="63"/>
        <v>0</v>
      </c>
    </row>
    <row r="436" spans="10:20" x14ac:dyDescent="0.25">
      <c r="J436">
        <v>0.10399965828672575</v>
      </c>
      <c r="K436">
        <f t="shared" si="64"/>
        <v>0</v>
      </c>
      <c r="L436">
        <f t="shared" si="65"/>
        <v>0</v>
      </c>
      <c r="M436">
        <f t="shared" si="59"/>
        <v>0</v>
      </c>
      <c r="N436">
        <f t="shared" si="66"/>
        <v>5</v>
      </c>
      <c r="O436">
        <f t="shared" si="67"/>
        <v>36</v>
      </c>
      <c r="P436">
        <f t="shared" si="60"/>
        <v>1</v>
      </c>
      <c r="R436">
        <f t="shared" si="61"/>
        <v>0</v>
      </c>
      <c r="S436">
        <f t="shared" si="62"/>
        <v>0</v>
      </c>
      <c r="T436">
        <f t="shared" si="63"/>
        <v>0</v>
      </c>
    </row>
    <row r="437" spans="10:20" x14ac:dyDescent="0.25">
      <c r="J437">
        <v>0.50763444295419191</v>
      </c>
      <c r="K437">
        <f t="shared" si="64"/>
        <v>1</v>
      </c>
      <c r="L437">
        <f t="shared" si="65"/>
        <v>0.50763444295419191</v>
      </c>
      <c r="M437">
        <f t="shared" si="59"/>
        <v>1</v>
      </c>
      <c r="N437">
        <f t="shared" si="66"/>
        <v>5</v>
      </c>
      <c r="O437">
        <f t="shared" si="67"/>
        <v>36</v>
      </c>
      <c r="P437">
        <f t="shared" si="60"/>
        <v>1</v>
      </c>
      <c r="R437">
        <f t="shared" si="61"/>
        <v>1045</v>
      </c>
      <c r="S437">
        <f t="shared" si="62"/>
        <v>1</v>
      </c>
      <c r="T437">
        <f t="shared" si="63"/>
        <v>0</v>
      </c>
    </row>
    <row r="438" spans="10:20" x14ac:dyDescent="0.25">
      <c r="J438">
        <v>0.42839563497071687</v>
      </c>
      <c r="K438">
        <f t="shared" si="64"/>
        <v>0</v>
      </c>
      <c r="L438">
        <f t="shared" si="65"/>
        <v>0</v>
      </c>
      <c r="M438">
        <f t="shared" si="59"/>
        <v>0</v>
      </c>
      <c r="N438">
        <f t="shared" si="66"/>
        <v>6</v>
      </c>
      <c r="O438">
        <f t="shared" si="67"/>
        <v>36</v>
      </c>
      <c r="P438">
        <f t="shared" si="60"/>
        <v>1</v>
      </c>
      <c r="R438">
        <f t="shared" si="61"/>
        <v>0</v>
      </c>
      <c r="S438">
        <f t="shared" si="62"/>
        <v>0</v>
      </c>
      <c r="T438">
        <f t="shared" si="63"/>
        <v>0</v>
      </c>
    </row>
    <row r="439" spans="10:20" x14ac:dyDescent="0.25">
      <c r="J439">
        <v>0.88104065902142603</v>
      </c>
      <c r="K439">
        <f t="shared" si="64"/>
        <v>1</v>
      </c>
      <c r="L439">
        <f t="shared" si="65"/>
        <v>0.88104065902142603</v>
      </c>
      <c r="M439">
        <f t="shared" si="59"/>
        <v>1</v>
      </c>
      <c r="N439">
        <f t="shared" si="66"/>
        <v>6</v>
      </c>
      <c r="O439">
        <f t="shared" si="67"/>
        <v>36</v>
      </c>
      <c r="P439">
        <f t="shared" si="60"/>
        <v>1</v>
      </c>
      <c r="R439">
        <f t="shared" si="61"/>
        <v>10045</v>
      </c>
      <c r="S439">
        <f t="shared" si="62"/>
        <v>1</v>
      </c>
      <c r="T439">
        <f t="shared" si="63"/>
        <v>1</v>
      </c>
    </row>
    <row r="440" spans="10:20" x14ac:dyDescent="0.25">
      <c r="J440">
        <v>0.31312590743676083</v>
      </c>
      <c r="K440">
        <f t="shared" si="64"/>
        <v>0</v>
      </c>
      <c r="L440">
        <f t="shared" si="65"/>
        <v>0</v>
      </c>
      <c r="M440">
        <f t="shared" si="59"/>
        <v>0</v>
      </c>
      <c r="N440">
        <f t="shared" si="66"/>
        <v>7</v>
      </c>
      <c r="O440">
        <f t="shared" si="67"/>
        <v>36</v>
      </c>
      <c r="P440">
        <f t="shared" si="60"/>
        <v>1</v>
      </c>
      <c r="R440">
        <f t="shared" si="61"/>
        <v>0</v>
      </c>
      <c r="S440">
        <f t="shared" si="62"/>
        <v>0</v>
      </c>
      <c r="T440">
        <f t="shared" si="63"/>
        <v>0</v>
      </c>
    </row>
    <row r="441" spans="10:20" x14ac:dyDescent="0.25">
      <c r="J441">
        <v>0.81007036307399916</v>
      </c>
      <c r="K441">
        <f t="shared" si="64"/>
        <v>1</v>
      </c>
      <c r="L441">
        <f t="shared" si="65"/>
        <v>0.81007036307399916</v>
      </c>
      <c r="M441">
        <f t="shared" si="59"/>
        <v>1</v>
      </c>
      <c r="N441">
        <f t="shared" si="66"/>
        <v>1</v>
      </c>
      <c r="O441">
        <f t="shared" si="67"/>
        <v>37</v>
      </c>
      <c r="P441">
        <f t="shared" si="60"/>
        <v>1</v>
      </c>
      <c r="R441">
        <f t="shared" si="61"/>
        <v>1</v>
      </c>
      <c r="S441">
        <f t="shared" si="62"/>
        <v>1</v>
      </c>
      <c r="T441">
        <f t="shared" si="63"/>
        <v>0</v>
      </c>
    </row>
    <row r="442" spans="10:20" x14ac:dyDescent="0.25">
      <c r="J442">
        <v>0.24693737553813933</v>
      </c>
      <c r="K442">
        <f t="shared" si="64"/>
        <v>0</v>
      </c>
      <c r="L442">
        <f t="shared" si="65"/>
        <v>0</v>
      </c>
      <c r="M442">
        <f t="shared" si="59"/>
        <v>0</v>
      </c>
      <c r="N442">
        <f t="shared" si="66"/>
        <v>2</v>
      </c>
      <c r="O442">
        <f t="shared" si="67"/>
        <v>37</v>
      </c>
      <c r="P442">
        <f t="shared" si="60"/>
        <v>1</v>
      </c>
      <c r="R442">
        <f t="shared" si="61"/>
        <v>0</v>
      </c>
      <c r="S442">
        <f t="shared" si="62"/>
        <v>0</v>
      </c>
      <c r="T442">
        <f t="shared" si="63"/>
        <v>0</v>
      </c>
    </row>
    <row r="443" spans="10:20" x14ac:dyDescent="0.25">
      <c r="J443">
        <v>0.73569484893074544</v>
      </c>
      <c r="K443">
        <f t="shared" si="64"/>
        <v>1</v>
      </c>
      <c r="L443">
        <f t="shared" si="65"/>
        <v>0.73569484893074544</v>
      </c>
      <c r="M443">
        <f t="shared" si="59"/>
        <v>1</v>
      </c>
      <c r="N443">
        <f t="shared" si="66"/>
        <v>2</v>
      </c>
      <c r="O443">
        <f t="shared" si="67"/>
        <v>37</v>
      </c>
      <c r="P443">
        <f t="shared" si="60"/>
        <v>1</v>
      </c>
      <c r="R443">
        <f t="shared" si="61"/>
        <v>8</v>
      </c>
      <c r="S443">
        <f t="shared" si="62"/>
        <v>1</v>
      </c>
      <c r="T443">
        <f t="shared" si="63"/>
        <v>0</v>
      </c>
    </row>
    <row r="444" spans="10:20" x14ac:dyDescent="0.25">
      <c r="J444">
        <v>0.36484630584983124</v>
      </c>
      <c r="K444">
        <f t="shared" si="64"/>
        <v>0</v>
      </c>
      <c r="L444">
        <f t="shared" si="65"/>
        <v>0</v>
      </c>
      <c r="M444">
        <f t="shared" si="59"/>
        <v>0</v>
      </c>
      <c r="N444">
        <f t="shared" si="66"/>
        <v>3</v>
      </c>
      <c r="O444">
        <f t="shared" si="67"/>
        <v>37</v>
      </c>
      <c r="P444">
        <f t="shared" si="60"/>
        <v>1</v>
      </c>
      <c r="R444">
        <f t="shared" si="61"/>
        <v>0</v>
      </c>
      <c r="S444">
        <f t="shared" si="62"/>
        <v>0</v>
      </c>
      <c r="T444">
        <f t="shared" si="63"/>
        <v>0</v>
      </c>
    </row>
    <row r="445" spans="10:20" x14ac:dyDescent="0.25">
      <c r="J445">
        <v>0.71398269745967091</v>
      </c>
      <c r="K445">
        <f t="shared" si="64"/>
        <v>1</v>
      </c>
      <c r="L445">
        <f t="shared" si="65"/>
        <v>0.71398269745967091</v>
      </c>
      <c r="M445">
        <f t="shared" si="59"/>
        <v>1</v>
      </c>
      <c r="N445">
        <f t="shared" si="66"/>
        <v>3</v>
      </c>
      <c r="O445">
        <f t="shared" si="67"/>
        <v>37</v>
      </c>
      <c r="P445">
        <f t="shared" si="60"/>
        <v>1</v>
      </c>
      <c r="R445">
        <f t="shared" si="61"/>
        <v>46</v>
      </c>
      <c r="S445">
        <f t="shared" si="62"/>
        <v>1</v>
      </c>
      <c r="T445">
        <f t="shared" si="63"/>
        <v>0</v>
      </c>
    </row>
    <row r="446" spans="10:20" x14ac:dyDescent="0.25">
      <c r="J446">
        <v>8.4831505425742471E-2</v>
      </c>
      <c r="K446">
        <f t="shared" si="64"/>
        <v>0</v>
      </c>
      <c r="L446">
        <f t="shared" si="65"/>
        <v>0</v>
      </c>
      <c r="M446">
        <f t="shared" si="59"/>
        <v>0</v>
      </c>
      <c r="N446">
        <f t="shared" si="66"/>
        <v>4</v>
      </c>
      <c r="O446">
        <f t="shared" si="67"/>
        <v>37</v>
      </c>
      <c r="P446">
        <f t="shared" si="60"/>
        <v>1</v>
      </c>
      <c r="R446">
        <f t="shared" si="61"/>
        <v>0</v>
      </c>
      <c r="S446">
        <f t="shared" si="62"/>
        <v>0</v>
      </c>
      <c r="T446">
        <f t="shared" si="63"/>
        <v>0</v>
      </c>
    </row>
    <row r="447" spans="10:20" x14ac:dyDescent="0.25">
      <c r="J447">
        <v>0.98675049988348429</v>
      </c>
      <c r="K447">
        <f t="shared" si="64"/>
        <v>1</v>
      </c>
      <c r="L447">
        <f t="shared" si="65"/>
        <v>0.98675049988348429</v>
      </c>
      <c r="M447">
        <f t="shared" si="59"/>
        <v>1</v>
      </c>
      <c r="N447">
        <f t="shared" si="66"/>
        <v>4</v>
      </c>
      <c r="O447">
        <f t="shared" si="67"/>
        <v>37</v>
      </c>
      <c r="P447">
        <f t="shared" si="60"/>
        <v>1</v>
      </c>
      <c r="R447">
        <f t="shared" si="61"/>
        <v>146</v>
      </c>
      <c r="S447">
        <f t="shared" si="62"/>
        <v>1</v>
      </c>
      <c r="T447">
        <f t="shared" si="63"/>
        <v>0</v>
      </c>
    </row>
    <row r="448" spans="10:20" x14ac:dyDescent="0.25">
      <c r="J448">
        <v>0.22488921424036601</v>
      </c>
      <c r="K448">
        <f t="shared" si="64"/>
        <v>0</v>
      </c>
      <c r="L448">
        <f t="shared" si="65"/>
        <v>0</v>
      </c>
      <c r="M448">
        <f t="shared" si="59"/>
        <v>0</v>
      </c>
      <c r="N448">
        <f t="shared" si="66"/>
        <v>5</v>
      </c>
      <c r="O448">
        <f t="shared" si="67"/>
        <v>37</v>
      </c>
      <c r="P448">
        <f t="shared" si="60"/>
        <v>1</v>
      </c>
      <c r="R448">
        <f t="shared" si="61"/>
        <v>0</v>
      </c>
      <c r="S448">
        <f t="shared" si="62"/>
        <v>0</v>
      </c>
      <c r="T448">
        <f t="shared" si="63"/>
        <v>0</v>
      </c>
    </row>
    <row r="449" spans="10:20" x14ac:dyDescent="0.25">
      <c r="J449">
        <v>0.89041691647110954</v>
      </c>
      <c r="K449">
        <f t="shared" si="64"/>
        <v>1</v>
      </c>
      <c r="L449">
        <f t="shared" si="65"/>
        <v>0.89041691647110954</v>
      </c>
      <c r="M449">
        <f t="shared" si="59"/>
        <v>1</v>
      </c>
      <c r="N449">
        <f t="shared" si="66"/>
        <v>5</v>
      </c>
      <c r="O449">
        <f t="shared" si="67"/>
        <v>37</v>
      </c>
      <c r="P449">
        <f t="shared" si="60"/>
        <v>1</v>
      </c>
      <c r="R449">
        <f t="shared" si="61"/>
        <v>1046</v>
      </c>
      <c r="S449">
        <f t="shared" si="62"/>
        <v>1</v>
      </c>
      <c r="T449">
        <f t="shared" si="63"/>
        <v>0</v>
      </c>
    </row>
    <row r="450" spans="10:20" x14ac:dyDescent="0.25">
      <c r="J450">
        <v>0.19482529053769171</v>
      </c>
      <c r="K450">
        <f t="shared" si="64"/>
        <v>0</v>
      </c>
      <c r="L450">
        <f t="shared" si="65"/>
        <v>0</v>
      </c>
      <c r="M450">
        <f t="shared" si="59"/>
        <v>0</v>
      </c>
      <c r="N450">
        <f t="shared" si="66"/>
        <v>6</v>
      </c>
      <c r="O450">
        <f t="shared" si="67"/>
        <v>37</v>
      </c>
      <c r="P450">
        <f t="shared" si="60"/>
        <v>1</v>
      </c>
      <c r="R450">
        <f t="shared" si="61"/>
        <v>0</v>
      </c>
      <c r="S450">
        <f t="shared" si="62"/>
        <v>0</v>
      </c>
      <c r="T450">
        <f t="shared" si="63"/>
        <v>0</v>
      </c>
    </row>
    <row r="451" spans="10:20" x14ac:dyDescent="0.25">
      <c r="J451">
        <v>0.8351256449236375</v>
      </c>
      <c r="K451">
        <f t="shared" si="64"/>
        <v>1</v>
      </c>
      <c r="L451">
        <f t="shared" si="65"/>
        <v>0.8351256449236375</v>
      </c>
      <c r="M451">
        <f t="shared" si="59"/>
        <v>1</v>
      </c>
      <c r="N451">
        <f t="shared" si="66"/>
        <v>6</v>
      </c>
      <c r="O451">
        <f t="shared" si="67"/>
        <v>37</v>
      </c>
      <c r="P451">
        <f t="shared" si="60"/>
        <v>1</v>
      </c>
      <c r="R451">
        <f t="shared" si="61"/>
        <v>10046</v>
      </c>
      <c r="S451">
        <f t="shared" si="62"/>
        <v>1</v>
      </c>
      <c r="T451">
        <f t="shared" si="63"/>
        <v>1</v>
      </c>
    </row>
    <row r="452" spans="10:20" x14ac:dyDescent="0.25">
      <c r="J452">
        <v>0.99565129825756549</v>
      </c>
      <c r="K452">
        <f t="shared" si="64"/>
        <v>0</v>
      </c>
      <c r="L452">
        <f t="shared" si="65"/>
        <v>0</v>
      </c>
      <c r="M452">
        <f t="shared" si="59"/>
        <v>0</v>
      </c>
      <c r="N452">
        <f t="shared" si="66"/>
        <v>7</v>
      </c>
      <c r="O452">
        <f t="shared" si="67"/>
        <v>37</v>
      </c>
      <c r="P452">
        <f t="shared" si="60"/>
        <v>1</v>
      </c>
      <c r="R452">
        <f t="shared" si="61"/>
        <v>0</v>
      </c>
      <c r="S452">
        <f t="shared" si="62"/>
        <v>0</v>
      </c>
      <c r="T452">
        <f t="shared" si="63"/>
        <v>0</v>
      </c>
    </row>
    <row r="453" spans="10:20" x14ac:dyDescent="0.25">
      <c r="J453">
        <v>0.8211094835843078</v>
      </c>
      <c r="K453">
        <f t="shared" si="64"/>
        <v>1</v>
      </c>
      <c r="L453">
        <f t="shared" si="65"/>
        <v>0.8211094835843078</v>
      </c>
      <c r="M453">
        <f t="shared" si="59"/>
        <v>1</v>
      </c>
      <c r="N453">
        <f t="shared" si="66"/>
        <v>1</v>
      </c>
      <c r="O453">
        <f t="shared" si="67"/>
        <v>38</v>
      </c>
      <c r="P453">
        <f t="shared" si="60"/>
        <v>0</v>
      </c>
      <c r="R453">
        <f t="shared" si="61"/>
        <v>0</v>
      </c>
      <c r="S453">
        <f t="shared" si="62"/>
        <v>0</v>
      </c>
      <c r="T453">
        <f t="shared" si="63"/>
        <v>0</v>
      </c>
    </row>
    <row r="454" spans="10:20" x14ac:dyDescent="0.25">
      <c r="J454">
        <v>0.69989906158885751</v>
      </c>
      <c r="K454">
        <f t="shared" si="64"/>
        <v>0</v>
      </c>
      <c r="L454">
        <f t="shared" si="65"/>
        <v>0</v>
      </c>
      <c r="M454">
        <f t="shared" si="59"/>
        <v>0</v>
      </c>
      <c r="N454">
        <f t="shared" si="66"/>
        <v>2</v>
      </c>
      <c r="O454">
        <f t="shared" si="67"/>
        <v>38</v>
      </c>
      <c r="P454">
        <f t="shared" si="60"/>
        <v>0</v>
      </c>
      <c r="R454">
        <f t="shared" si="61"/>
        <v>0</v>
      </c>
      <c r="S454">
        <f t="shared" si="62"/>
        <v>0</v>
      </c>
      <c r="T454">
        <f t="shared" si="63"/>
        <v>0</v>
      </c>
    </row>
    <row r="455" spans="10:20" x14ac:dyDescent="0.25">
      <c r="J455">
        <v>0.1769796403495093</v>
      </c>
      <c r="K455">
        <f t="shared" si="64"/>
        <v>1</v>
      </c>
      <c r="L455">
        <f t="shared" si="65"/>
        <v>0.1769796403495093</v>
      </c>
      <c r="M455">
        <f t="shared" si="59"/>
        <v>1</v>
      </c>
      <c r="N455">
        <f t="shared" si="66"/>
        <v>2</v>
      </c>
      <c r="O455">
        <f t="shared" si="67"/>
        <v>38</v>
      </c>
      <c r="P455">
        <f t="shared" si="60"/>
        <v>0</v>
      </c>
      <c r="R455">
        <f t="shared" si="61"/>
        <v>0</v>
      </c>
      <c r="S455">
        <f t="shared" si="62"/>
        <v>0</v>
      </c>
      <c r="T455">
        <f t="shared" si="63"/>
        <v>0</v>
      </c>
    </row>
    <row r="456" spans="10:20" x14ac:dyDescent="0.25">
      <c r="J456">
        <v>3.6311656953780136E-2</v>
      </c>
      <c r="K456">
        <f t="shared" si="64"/>
        <v>0</v>
      </c>
      <c r="L456">
        <f t="shared" si="65"/>
        <v>0</v>
      </c>
      <c r="M456">
        <f t="shared" ref="M456:M519" si="68">IF(L456&gt;$M$2,1,0)</f>
        <v>0</v>
      </c>
      <c r="N456">
        <f t="shared" si="66"/>
        <v>3</v>
      </c>
      <c r="O456">
        <f t="shared" si="67"/>
        <v>38</v>
      </c>
      <c r="P456">
        <f t="shared" ref="P456:P519" si="69">IF(INDEX($B$7:$H$1029,O456,2)&gt;0,1,0)</f>
        <v>0</v>
      </c>
      <c r="R456">
        <f t="shared" ref="R456:R519" si="70">IF(  M456&gt;0,INDEX($B$7:$H$1029,O456,N456),0)*P456</f>
        <v>0</v>
      </c>
      <c r="S456">
        <f t="shared" ref="S456:S519" si="71">M456*P456</f>
        <v>0</v>
      </c>
      <c r="T456">
        <f t="shared" ref="T456:T519" si="72">IF(N457=$N$2,1,0)*P456</f>
        <v>0</v>
      </c>
    </row>
    <row r="457" spans="10:20" x14ac:dyDescent="0.25">
      <c r="J457">
        <v>0.61458320985112969</v>
      </c>
      <c r="K457">
        <f t="shared" si="64"/>
        <v>1</v>
      </c>
      <c r="L457">
        <f t="shared" si="65"/>
        <v>0.61458320985112969</v>
      </c>
      <c r="M457">
        <f t="shared" si="68"/>
        <v>1</v>
      </c>
      <c r="N457">
        <f t="shared" si="66"/>
        <v>3</v>
      </c>
      <c r="O457">
        <f t="shared" si="67"/>
        <v>38</v>
      </c>
      <c r="P457">
        <f t="shared" si="69"/>
        <v>0</v>
      </c>
      <c r="R457">
        <f t="shared" si="70"/>
        <v>0</v>
      </c>
      <c r="S457">
        <f t="shared" si="71"/>
        <v>0</v>
      </c>
      <c r="T457">
        <f t="shared" si="72"/>
        <v>0</v>
      </c>
    </row>
    <row r="458" spans="10:20" x14ac:dyDescent="0.25">
      <c r="J458">
        <v>0.63096946623521377</v>
      </c>
      <c r="K458">
        <f t="shared" si="64"/>
        <v>0</v>
      </c>
      <c r="L458">
        <f t="shared" si="65"/>
        <v>0</v>
      </c>
      <c r="M458">
        <f t="shared" si="68"/>
        <v>0</v>
      </c>
      <c r="N458">
        <f t="shared" si="66"/>
        <v>4</v>
      </c>
      <c r="O458">
        <f t="shared" si="67"/>
        <v>38</v>
      </c>
      <c r="P458">
        <f t="shared" si="69"/>
        <v>0</v>
      </c>
      <c r="R458">
        <f t="shared" si="70"/>
        <v>0</v>
      </c>
      <c r="S458">
        <f t="shared" si="71"/>
        <v>0</v>
      </c>
      <c r="T458">
        <f t="shared" si="72"/>
        <v>0</v>
      </c>
    </row>
    <row r="459" spans="10:20" x14ac:dyDescent="0.25">
      <c r="J459">
        <v>0.46907179069094229</v>
      </c>
      <c r="K459">
        <f t="shared" si="64"/>
        <v>1</v>
      </c>
      <c r="L459">
        <f t="shared" si="65"/>
        <v>0.46907179069094229</v>
      </c>
      <c r="M459">
        <f t="shared" si="68"/>
        <v>1</v>
      </c>
      <c r="N459">
        <f t="shared" si="66"/>
        <v>4</v>
      </c>
      <c r="O459">
        <f t="shared" si="67"/>
        <v>38</v>
      </c>
      <c r="P459">
        <f t="shared" si="69"/>
        <v>0</v>
      </c>
      <c r="R459">
        <f t="shared" si="70"/>
        <v>0</v>
      </c>
      <c r="S459">
        <f t="shared" si="71"/>
        <v>0</v>
      </c>
      <c r="T459">
        <f t="shared" si="72"/>
        <v>0</v>
      </c>
    </row>
    <row r="460" spans="10:20" x14ac:dyDescent="0.25">
      <c r="J460">
        <v>0.43474239102525736</v>
      </c>
      <c r="K460">
        <f t="shared" si="64"/>
        <v>0</v>
      </c>
      <c r="L460">
        <f t="shared" si="65"/>
        <v>0</v>
      </c>
      <c r="M460">
        <f t="shared" si="68"/>
        <v>0</v>
      </c>
      <c r="N460">
        <f t="shared" si="66"/>
        <v>5</v>
      </c>
      <c r="O460">
        <f t="shared" si="67"/>
        <v>38</v>
      </c>
      <c r="P460">
        <f t="shared" si="69"/>
        <v>0</v>
      </c>
      <c r="R460">
        <f t="shared" si="70"/>
        <v>0</v>
      </c>
      <c r="S460">
        <f t="shared" si="71"/>
        <v>0</v>
      </c>
      <c r="T460">
        <f t="shared" si="72"/>
        <v>0</v>
      </c>
    </row>
    <row r="461" spans="10:20" x14ac:dyDescent="0.25">
      <c r="J461">
        <v>0.74185430459831414</v>
      </c>
      <c r="K461">
        <f t="shared" si="64"/>
        <v>1</v>
      </c>
      <c r="L461">
        <f t="shared" si="65"/>
        <v>0.74185430459831414</v>
      </c>
      <c r="M461">
        <f t="shared" si="68"/>
        <v>1</v>
      </c>
      <c r="N461">
        <f t="shared" si="66"/>
        <v>5</v>
      </c>
      <c r="O461">
        <f t="shared" si="67"/>
        <v>38</v>
      </c>
      <c r="P461">
        <f t="shared" si="69"/>
        <v>0</v>
      </c>
      <c r="R461">
        <f t="shared" si="70"/>
        <v>0</v>
      </c>
      <c r="S461">
        <f t="shared" si="71"/>
        <v>0</v>
      </c>
      <c r="T461">
        <f t="shared" si="72"/>
        <v>0</v>
      </c>
    </row>
    <row r="462" spans="10:20" x14ac:dyDescent="0.25">
      <c r="J462">
        <v>0.3279966981191097</v>
      </c>
      <c r="K462">
        <f t="shared" si="64"/>
        <v>0</v>
      </c>
      <c r="L462">
        <f t="shared" si="65"/>
        <v>0</v>
      </c>
      <c r="M462">
        <f t="shared" si="68"/>
        <v>0</v>
      </c>
      <c r="N462">
        <f t="shared" si="66"/>
        <v>6</v>
      </c>
      <c r="O462">
        <f t="shared" si="67"/>
        <v>38</v>
      </c>
      <c r="P462">
        <f t="shared" si="69"/>
        <v>0</v>
      </c>
      <c r="R462">
        <f t="shared" si="70"/>
        <v>0</v>
      </c>
      <c r="S462">
        <f t="shared" si="71"/>
        <v>0</v>
      </c>
      <c r="T462">
        <f t="shared" si="72"/>
        <v>0</v>
      </c>
    </row>
    <row r="463" spans="10:20" x14ac:dyDescent="0.25">
      <c r="J463">
        <v>0.32383803721811932</v>
      </c>
      <c r="K463">
        <f t="shared" si="64"/>
        <v>1</v>
      </c>
      <c r="L463">
        <f t="shared" si="65"/>
        <v>0.32383803721811932</v>
      </c>
      <c r="M463">
        <f t="shared" si="68"/>
        <v>1</v>
      </c>
      <c r="N463">
        <f t="shared" si="66"/>
        <v>6</v>
      </c>
      <c r="O463">
        <f t="shared" si="67"/>
        <v>38</v>
      </c>
      <c r="P463">
        <f t="shared" si="69"/>
        <v>0</v>
      </c>
      <c r="R463">
        <f t="shared" si="70"/>
        <v>0</v>
      </c>
      <c r="S463">
        <f t="shared" si="71"/>
        <v>0</v>
      </c>
      <c r="T463">
        <f t="shared" si="72"/>
        <v>0</v>
      </c>
    </row>
    <row r="464" spans="10:20" x14ac:dyDescent="0.25">
      <c r="J464">
        <v>0.57465854825056917</v>
      </c>
      <c r="K464">
        <f t="shared" si="64"/>
        <v>0</v>
      </c>
      <c r="L464">
        <f t="shared" si="65"/>
        <v>0</v>
      </c>
      <c r="M464">
        <f t="shared" si="68"/>
        <v>0</v>
      </c>
      <c r="N464">
        <f t="shared" si="66"/>
        <v>7</v>
      </c>
      <c r="O464">
        <f t="shared" si="67"/>
        <v>38</v>
      </c>
      <c r="P464">
        <f t="shared" si="69"/>
        <v>0</v>
      </c>
      <c r="R464">
        <f t="shared" si="70"/>
        <v>0</v>
      </c>
      <c r="S464">
        <f t="shared" si="71"/>
        <v>0</v>
      </c>
      <c r="T464">
        <f t="shared" si="72"/>
        <v>0</v>
      </c>
    </row>
    <row r="465" spans="10:20" x14ac:dyDescent="0.25">
      <c r="J465">
        <v>0.39788974141301992</v>
      </c>
      <c r="K465">
        <f t="shared" si="64"/>
        <v>1</v>
      </c>
      <c r="L465">
        <f t="shared" si="65"/>
        <v>0.39788974141301992</v>
      </c>
      <c r="M465">
        <f t="shared" si="68"/>
        <v>1</v>
      </c>
      <c r="N465">
        <f t="shared" si="66"/>
        <v>1</v>
      </c>
      <c r="O465">
        <f t="shared" si="67"/>
        <v>39</v>
      </c>
      <c r="P465">
        <f t="shared" si="69"/>
        <v>0</v>
      </c>
      <c r="R465">
        <f t="shared" si="70"/>
        <v>0</v>
      </c>
      <c r="S465">
        <f t="shared" si="71"/>
        <v>0</v>
      </c>
      <c r="T465">
        <f t="shared" si="72"/>
        <v>0</v>
      </c>
    </row>
    <row r="466" spans="10:20" x14ac:dyDescent="0.25">
      <c r="J466">
        <v>0.28218649881836666</v>
      </c>
      <c r="K466">
        <f t="shared" si="64"/>
        <v>0</v>
      </c>
      <c r="L466">
        <f t="shared" si="65"/>
        <v>0</v>
      </c>
      <c r="M466">
        <f t="shared" si="68"/>
        <v>0</v>
      </c>
      <c r="N466">
        <f t="shared" si="66"/>
        <v>2</v>
      </c>
      <c r="O466">
        <f t="shared" si="67"/>
        <v>39</v>
      </c>
      <c r="P466">
        <f t="shared" si="69"/>
        <v>0</v>
      </c>
      <c r="R466">
        <f t="shared" si="70"/>
        <v>0</v>
      </c>
      <c r="S466">
        <f t="shared" si="71"/>
        <v>0</v>
      </c>
      <c r="T466">
        <f t="shared" si="72"/>
        <v>0</v>
      </c>
    </row>
    <row r="467" spans="10:20" x14ac:dyDescent="0.25">
      <c r="J467">
        <v>5.281915923167646E-2</v>
      </c>
      <c r="K467">
        <f t="shared" si="64"/>
        <v>1</v>
      </c>
      <c r="L467">
        <f t="shared" si="65"/>
        <v>5.281915923167646E-2</v>
      </c>
      <c r="M467">
        <f t="shared" si="68"/>
        <v>1</v>
      </c>
      <c r="N467">
        <f t="shared" si="66"/>
        <v>2</v>
      </c>
      <c r="O467">
        <f t="shared" si="67"/>
        <v>39</v>
      </c>
      <c r="P467">
        <f t="shared" si="69"/>
        <v>0</v>
      </c>
      <c r="R467">
        <f t="shared" si="70"/>
        <v>0</v>
      </c>
      <c r="S467">
        <f t="shared" si="71"/>
        <v>0</v>
      </c>
      <c r="T467">
        <f t="shared" si="72"/>
        <v>0</v>
      </c>
    </row>
    <row r="468" spans="10:20" x14ac:dyDescent="0.25">
      <c r="J468">
        <v>1.8224858534135246E-2</v>
      </c>
      <c r="K468">
        <f t="shared" si="64"/>
        <v>0</v>
      </c>
      <c r="L468">
        <f t="shared" si="65"/>
        <v>0</v>
      </c>
      <c r="M468">
        <f t="shared" si="68"/>
        <v>0</v>
      </c>
      <c r="N468">
        <f t="shared" si="66"/>
        <v>3</v>
      </c>
      <c r="O468">
        <f t="shared" si="67"/>
        <v>39</v>
      </c>
      <c r="P468">
        <f t="shared" si="69"/>
        <v>0</v>
      </c>
      <c r="R468">
        <f t="shared" si="70"/>
        <v>0</v>
      </c>
      <c r="S468">
        <f t="shared" si="71"/>
        <v>0</v>
      </c>
      <c r="T468">
        <f t="shared" si="72"/>
        <v>0</v>
      </c>
    </row>
    <row r="469" spans="10:20" x14ac:dyDescent="0.25">
      <c r="J469">
        <v>0.2053657448839703</v>
      </c>
      <c r="K469">
        <f t="shared" si="64"/>
        <v>1</v>
      </c>
      <c r="L469">
        <f t="shared" si="65"/>
        <v>0.2053657448839703</v>
      </c>
      <c r="M469">
        <f t="shared" si="68"/>
        <v>1</v>
      </c>
      <c r="N469">
        <f t="shared" si="66"/>
        <v>3</v>
      </c>
      <c r="O469">
        <f t="shared" si="67"/>
        <v>39</v>
      </c>
      <c r="P469">
        <f t="shared" si="69"/>
        <v>0</v>
      </c>
      <c r="R469">
        <f t="shared" si="70"/>
        <v>0</v>
      </c>
      <c r="S469">
        <f t="shared" si="71"/>
        <v>0</v>
      </c>
      <c r="T469">
        <f t="shared" si="72"/>
        <v>0</v>
      </c>
    </row>
    <row r="470" spans="10:20" x14ac:dyDescent="0.25">
      <c r="J470">
        <v>0.8942630367477894</v>
      </c>
      <c r="K470">
        <f t="shared" si="64"/>
        <v>0</v>
      </c>
      <c r="L470">
        <f t="shared" si="65"/>
        <v>0</v>
      </c>
      <c r="M470">
        <f t="shared" si="68"/>
        <v>0</v>
      </c>
      <c r="N470">
        <f t="shared" si="66"/>
        <v>4</v>
      </c>
      <c r="O470">
        <f t="shared" si="67"/>
        <v>39</v>
      </c>
      <c r="P470">
        <f t="shared" si="69"/>
        <v>0</v>
      </c>
      <c r="R470">
        <f t="shared" si="70"/>
        <v>0</v>
      </c>
      <c r="S470">
        <f t="shared" si="71"/>
        <v>0</v>
      </c>
      <c r="T470">
        <f t="shared" si="72"/>
        <v>0</v>
      </c>
    </row>
    <row r="471" spans="10:20" x14ac:dyDescent="0.25">
      <c r="J471">
        <v>0.61523901797125047</v>
      </c>
      <c r="K471">
        <f t="shared" si="64"/>
        <v>1</v>
      </c>
      <c r="L471">
        <f t="shared" si="65"/>
        <v>0.61523901797125047</v>
      </c>
      <c r="M471">
        <f t="shared" si="68"/>
        <v>1</v>
      </c>
      <c r="N471">
        <f t="shared" si="66"/>
        <v>4</v>
      </c>
      <c r="O471">
        <f t="shared" si="67"/>
        <v>39</v>
      </c>
      <c r="P471">
        <f t="shared" si="69"/>
        <v>0</v>
      </c>
      <c r="R471">
        <f t="shared" si="70"/>
        <v>0</v>
      </c>
      <c r="S471">
        <f t="shared" si="71"/>
        <v>0</v>
      </c>
      <c r="T471">
        <f t="shared" si="72"/>
        <v>0</v>
      </c>
    </row>
    <row r="472" spans="10:20" x14ac:dyDescent="0.25">
      <c r="J472">
        <v>0.24049276814851006</v>
      </c>
      <c r="K472">
        <f t="shared" ref="K472:K535" si="73">IF(K471=1,0,1)</f>
        <v>0</v>
      </c>
      <c r="L472">
        <f t="shared" ref="L472:L535" si="74">K472*J472</f>
        <v>0</v>
      </c>
      <c r="M472">
        <f t="shared" si="68"/>
        <v>0</v>
      </c>
      <c r="N472">
        <f t="shared" ref="N472:N535" si="75">IF(N471&lt;$N$2,N471+M471,1)</f>
        <v>5</v>
      </c>
      <c r="O472">
        <f t="shared" ref="O472:O535" si="76">IF(AND(N472=1,M472=1),O471+1,O471)</f>
        <v>39</v>
      </c>
      <c r="P472">
        <f t="shared" si="69"/>
        <v>0</v>
      </c>
      <c r="R472">
        <f t="shared" si="70"/>
        <v>0</v>
      </c>
      <c r="S472">
        <f t="shared" si="71"/>
        <v>0</v>
      </c>
      <c r="T472">
        <f t="shared" si="72"/>
        <v>0</v>
      </c>
    </row>
    <row r="473" spans="10:20" x14ac:dyDescent="0.25">
      <c r="J473">
        <v>0.22934678375564754</v>
      </c>
      <c r="K473">
        <f t="shared" si="73"/>
        <v>1</v>
      </c>
      <c r="L473">
        <f t="shared" si="74"/>
        <v>0.22934678375564754</v>
      </c>
      <c r="M473">
        <f t="shared" si="68"/>
        <v>1</v>
      </c>
      <c r="N473">
        <f t="shared" si="75"/>
        <v>5</v>
      </c>
      <c r="O473">
        <f t="shared" si="76"/>
        <v>39</v>
      </c>
      <c r="P473">
        <f t="shared" si="69"/>
        <v>0</v>
      </c>
      <c r="R473">
        <f t="shared" si="70"/>
        <v>0</v>
      </c>
      <c r="S473">
        <f t="shared" si="71"/>
        <v>0</v>
      </c>
      <c r="T473">
        <f t="shared" si="72"/>
        <v>0</v>
      </c>
    </row>
    <row r="474" spans="10:20" x14ac:dyDescent="0.25">
      <c r="J474">
        <v>0.1110933381746757</v>
      </c>
      <c r="K474">
        <f t="shared" si="73"/>
        <v>0</v>
      </c>
      <c r="L474">
        <f t="shared" si="74"/>
        <v>0</v>
      </c>
      <c r="M474">
        <f t="shared" si="68"/>
        <v>0</v>
      </c>
      <c r="N474">
        <f t="shared" si="75"/>
        <v>6</v>
      </c>
      <c r="O474">
        <f t="shared" si="76"/>
        <v>39</v>
      </c>
      <c r="P474">
        <f t="shared" si="69"/>
        <v>0</v>
      </c>
      <c r="R474">
        <f t="shared" si="70"/>
        <v>0</v>
      </c>
      <c r="S474">
        <f t="shared" si="71"/>
        <v>0</v>
      </c>
      <c r="T474">
        <f t="shared" si="72"/>
        <v>0</v>
      </c>
    </row>
    <row r="475" spans="10:20" x14ac:dyDescent="0.25">
      <c r="J475">
        <v>0.27213467910362865</v>
      </c>
      <c r="K475">
        <f t="shared" si="73"/>
        <v>1</v>
      </c>
      <c r="L475">
        <f t="shared" si="74"/>
        <v>0.27213467910362865</v>
      </c>
      <c r="M475">
        <f t="shared" si="68"/>
        <v>1</v>
      </c>
      <c r="N475">
        <f t="shared" si="75"/>
        <v>6</v>
      </c>
      <c r="O475">
        <f t="shared" si="76"/>
        <v>39</v>
      </c>
      <c r="P475">
        <f t="shared" si="69"/>
        <v>0</v>
      </c>
      <c r="R475">
        <f t="shared" si="70"/>
        <v>0</v>
      </c>
      <c r="S475">
        <f t="shared" si="71"/>
        <v>0</v>
      </c>
      <c r="T475">
        <f t="shared" si="72"/>
        <v>0</v>
      </c>
    </row>
    <row r="476" spans="10:20" x14ac:dyDescent="0.25">
      <c r="J476">
        <v>0.33992896969441189</v>
      </c>
      <c r="K476">
        <f t="shared" si="73"/>
        <v>0</v>
      </c>
      <c r="L476">
        <f t="shared" si="74"/>
        <v>0</v>
      </c>
      <c r="M476">
        <f t="shared" si="68"/>
        <v>0</v>
      </c>
      <c r="N476">
        <f t="shared" si="75"/>
        <v>7</v>
      </c>
      <c r="O476">
        <f t="shared" si="76"/>
        <v>39</v>
      </c>
      <c r="P476">
        <f t="shared" si="69"/>
        <v>0</v>
      </c>
      <c r="R476">
        <f t="shared" si="70"/>
        <v>0</v>
      </c>
      <c r="S476">
        <f t="shared" si="71"/>
        <v>0</v>
      </c>
      <c r="T476">
        <f t="shared" si="72"/>
        <v>0</v>
      </c>
    </row>
    <row r="477" spans="10:20" x14ac:dyDescent="0.25">
      <c r="J477">
        <v>0.60862239918050764</v>
      </c>
      <c r="K477">
        <f t="shared" si="73"/>
        <v>1</v>
      </c>
      <c r="L477">
        <f t="shared" si="74"/>
        <v>0.60862239918050764</v>
      </c>
      <c r="M477">
        <f t="shared" si="68"/>
        <v>1</v>
      </c>
      <c r="N477">
        <f t="shared" si="75"/>
        <v>1</v>
      </c>
      <c r="O477">
        <f t="shared" si="76"/>
        <v>40</v>
      </c>
      <c r="P477">
        <f t="shared" si="69"/>
        <v>0</v>
      </c>
      <c r="R477">
        <f t="shared" si="70"/>
        <v>0</v>
      </c>
      <c r="S477">
        <f t="shared" si="71"/>
        <v>0</v>
      </c>
      <c r="T477">
        <f t="shared" si="72"/>
        <v>0</v>
      </c>
    </row>
    <row r="478" spans="10:20" x14ac:dyDescent="0.25">
      <c r="J478">
        <v>0.49260477695614413</v>
      </c>
      <c r="K478">
        <f t="shared" si="73"/>
        <v>0</v>
      </c>
      <c r="L478">
        <f t="shared" si="74"/>
        <v>0</v>
      </c>
      <c r="M478">
        <f t="shared" si="68"/>
        <v>0</v>
      </c>
      <c r="N478">
        <f t="shared" si="75"/>
        <v>2</v>
      </c>
      <c r="O478">
        <f t="shared" si="76"/>
        <v>40</v>
      </c>
      <c r="P478">
        <f t="shared" si="69"/>
        <v>0</v>
      </c>
      <c r="R478">
        <f t="shared" si="70"/>
        <v>0</v>
      </c>
      <c r="S478">
        <f t="shared" si="71"/>
        <v>0</v>
      </c>
      <c r="T478">
        <f t="shared" si="72"/>
        <v>0</v>
      </c>
    </row>
    <row r="479" spans="10:20" x14ac:dyDescent="0.25">
      <c r="J479">
        <v>0.50426168793308213</v>
      </c>
      <c r="K479">
        <f t="shared" si="73"/>
        <v>1</v>
      </c>
      <c r="L479">
        <f t="shared" si="74"/>
        <v>0.50426168793308213</v>
      </c>
      <c r="M479">
        <f t="shared" si="68"/>
        <v>1</v>
      </c>
      <c r="N479">
        <f t="shared" si="75"/>
        <v>2</v>
      </c>
      <c r="O479">
        <f t="shared" si="76"/>
        <v>40</v>
      </c>
      <c r="P479">
        <f t="shared" si="69"/>
        <v>0</v>
      </c>
      <c r="R479">
        <f t="shared" si="70"/>
        <v>0</v>
      </c>
      <c r="S479">
        <f t="shared" si="71"/>
        <v>0</v>
      </c>
      <c r="T479">
        <f t="shared" si="72"/>
        <v>0</v>
      </c>
    </row>
    <row r="480" spans="10:20" x14ac:dyDescent="0.25">
      <c r="J480">
        <v>0.51513806002114204</v>
      </c>
      <c r="K480">
        <f t="shared" si="73"/>
        <v>0</v>
      </c>
      <c r="L480">
        <f t="shared" si="74"/>
        <v>0</v>
      </c>
      <c r="M480">
        <f t="shared" si="68"/>
        <v>0</v>
      </c>
      <c r="N480">
        <f t="shared" si="75"/>
        <v>3</v>
      </c>
      <c r="O480">
        <f t="shared" si="76"/>
        <v>40</v>
      </c>
      <c r="P480">
        <f t="shared" si="69"/>
        <v>0</v>
      </c>
      <c r="R480">
        <f t="shared" si="70"/>
        <v>0</v>
      </c>
      <c r="S480">
        <f t="shared" si="71"/>
        <v>0</v>
      </c>
      <c r="T480">
        <f t="shared" si="72"/>
        <v>0</v>
      </c>
    </row>
    <row r="481" spans="10:20" x14ac:dyDescent="0.25">
      <c r="J481">
        <v>9.3620584398674045E-2</v>
      </c>
      <c r="K481">
        <f t="shared" si="73"/>
        <v>1</v>
      </c>
      <c r="L481">
        <f t="shared" si="74"/>
        <v>9.3620584398674045E-2</v>
      </c>
      <c r="M481">
        <f t="shared" si="68"/>
        <v>1</v>
      </c>
      <c r="N481">
        <f t="shared" si="75"/>
        <v>3</v>
      </c>
      <c r="O481">
        <f t="shared" si="76"/>
        <v>40</v>
      </c>
      <c r="P481">
        <f t="shared" si="69"/>
        <v>0</v>
      </c>
      <c r="R481">
        <f t="shared" si="70"/>
        <v>0</v>
      </c>
      <c r="S481">
        <f t="shared" si="71"/>
        <v>0</v>
      </c>
      <c r="T481">
        <f t="shared" si="72"/>
        <v>0</v>
      </c>
    </row>
    <row r="482" spans="10:20" x14ac:dyDescent="0.25">
      <c r="J482">
        <v>0.65188022234441867</v>
      </c>
      <c r="K482">
        <f t="shared" si="73"/>
        <v>0</v>
      </c>
      <c r="L482">
        <f t="shared" si="74"/>
        <v>0</v>
      </c>
      <c r="M482">
        <f t="shared" si="68"/>
        <v>0</v>
      </c>
      <c r="N482">
        <f t="shared" si="75"/>
        <v>4</v>
      </c>
      <c r="O482">
        <f t="shared" si="76"/>
        <v>40</v>
      </c>
      <c r="P482">
        <f t="shared" si="69"/>
        <v>0</v>
      </c>
      <c r="R482">
        <f t="shared" si="70"/>
        <v>0</v>
      </c>
      <c r="S482">
        <f t="shared" si="71"/>
        <v>0</v>
      </c>
      <c r="T482">
        <f t="shared" si="72"/>
        <v>0</v>
      </c>
    </row>
    <row r="483" spans="10:20" x14ac:dyDescent="0.25">
      <c r="J483">
        <v>0.58060294394222467</v>
      </c>
      <c r="K483">
        <f t="shared" si="73"/>
        <v>1</v>
      </c>
      <c r="L483">
        <f t="shared" si="74"/>
        <v>0.58060294394222467</v>
      </c>
      <c r="M483">
        <f t="shared" si="68"/>
        <v>1</v>
      </c>
      <c r="N483">
        <f t="shared" si="75"/>
        <v>4</v>
      </c>
      <c r="O483">
        <f t="shared" si="76"/>
        <v>40</v>
      </c>
      <c r="P483">
        <f t="shared" si="69"/>
        <v>0</v>
      </c>
      <c r="R483">
        <f t="shared" si="70"/>
        <v>0</v>
      </c>
      <c r="S483">
        <f t="shared" si="71"/>
        <v>0</v>
      </c>
      <c r="T483">
        <f t="shared" si="72"/>
        <v>0</v>
      </c>
    </row>
    <row r="484" spans="10:20" x14ac:dyDescent="0.25">
      <c r="J484">
        <v>0.20464134397271139</v>
      </c>
      <c r="K484">
        <f t="shared" si="73"/>
        <v>0</v>
      </c>
      <c r="L484">
        <f t="shared" si="74"/>
        <v>0</v>
      </c>
      <c r="M484">
        <f t="shared" si="68"/>
        <v>0</v>
      </c>
      <c r="N484">
        <f t="shared" si="75"/>
        <v>5</v>
      </c>
      <c r="O484">
        <f t="shared" si="76"/>
        <v>40</v>
      </c>
      <c r="P484">
        <f t="shared" si="69"/>
        <v>0</v>
      </c>
      <c r="R484">
        <f t="shared" si="70"/>
        <v>0</v>
      </c>
      <c r="S484">
        <f t="shared" si="71"/>
        <v>0</v>
      </c>
      <c r="T484">
        <f t="shared" si="72"/>
        <v>0</v>
      </c>
    </row>
    <row r="485" spans="10:20" x14ac:dyDescent="0.25">
      <c r="J485">
        <v>0.56893524561312048</v>
      </c>
      <c r="K485">
        <f t="shared" si="73"/>
        <v>1</v>
      </c>
      <c r="L485">
        <f t="shared" si="74"/>
        <v>0.56893524561312048</v>
      </c>
      <c r="M485">
        <f t="shared" si="68"/>
        <v>1</v>
      </c>
      <c r="N485">
        <f t="shared" si="75"/>
        <v>5</v>
      </c>
      <c r="O485">
        <f t="shared" si="76"/>
        <v>40</v>
      </c>
      <c r="P485">
        <f t="shared" si="69"/>
        <v>0</v>
      </c>
      <c r="R485">
        <f t="shared" si="70"/>
        <v>0</v>
      </c>
      <c r="S485">
        <f t="shared" si="71"/>
        <v>0</v>
      </c>
      <c r="T485">
        <f t="shared" si="72"/>
        <v>0</v>
      </c>
    </row>
    <row r="486" spans="10:20" x14ac:dyDescent="0.25">
      <c r="J486">
        <v>0.30052978116968809</v>
      </c>
      <c r="K486">
        <f t="shared" si="73"/>
        <v>0</v>
      </c>
      <c r="L486">
        <f t="shared" si="74"/>
        <v>0</v>
      </c>
      <c r="M486">
        <f t="shared" si="68"/>
        <v>0</v>
      </c>
      <c r="N486">
        <f t="shared" si="75"/>
        <v>6</v>
      </c>
      <c r="O486">
        <f t="shared" si="76"/>
        <v>40</v>
      </c>
      <c r="P486">
        <f t="shared" si="69"/>
        <v>0</v>
      </c>
      <c r="R486">
        <f t="shared" si="70"/>
        <v>0</v>
      </c>
      <c r="S486">
        <f t="shared" si="71"/>
        <v>0</v>
      </c>
      <c r="T486">
        <f t="shared" si="72"/>
        <v>0</v>
      </c>
    </row>
    <row r="487" spans="10:20" x14ac:dyDescent="0.25">
      <c r="J487">
        <v>0.83280486750138882</v>
      </c>
      <c r="K487">
        <f t="shared" si="73"/>
        <v>1</v>
      </c>
      <c r="L487">
        <f t="shared" si="74"/>
        <v>0.83280486750138882</v>
      </c>
      <c r="M487">
        <f t="shared" si="68"/>
        <v>1</v>
      </c>
      <c r="N487">
        <f t="shared" si="75"/>
        <v>6</v>
      </c>
      <c r="O487">
        <f t="shared" si="76"/>
        <v>40</v>
      </c>
      <c r="P487">
        <f t="shared" si="69"/>
        <v>0</v>
      </c>
      <c r="R487">
        <f t="shared" si="70"/>
        <v>0</v>
      </c>
      <c r="S487">
        <f t="shared" si="71"/>
        <v>0</v>
      </c>
      <c r="T487">
        <f t="shared" si="72"/>
        <v>0</v>
      </c>
    </row>
    <row r="488" spans="10:20" x14ac:dyDescent="0.25">
      <c r="J488">
        <v>0.53503824217268059</v>
      </c>
      <c r="K488">
        <f t="shared" si="73"/>
        <v>0</v>
      </c>
      <c r="L488">
        <f t="shared" si="74"/>
        <v>0</v>
      </c>
      <c r="M488">
        <f t="shared" si="68"/>
        <v>0</v>
      </c>
      <c r="N488">
        <f t="shared" si="75"/>
        <v>7</v>
      </c>
      <c r="O488">
        <f t="shared" si="76"/>
        <v>40</v>
      </c>
      <c r="P488">
        <f t="shared" si="69"/>
        <v>0</v>
      </c>
      <c r="R488">
        <f t="shared" si="70"/>
        <v>0</v>
      </c>
      <c r="S488">
        <f t="shared" si="71"/>
        <v>0</v>
      </c>
      <c r="T488">
        <f t="shared" si="72"/>
        <v>0</v>
      </c>
    </row>
    <row r="489" spans="10:20" x14ac:dyDescent="0.25">
      <c r="J489">
        <v>0.24441593828100316</v>
      </c>
      <c r="K489">
        <f t="shared" si="73"/>
        <v>1</v>
      </c>
      <c r="L489">
        <f t="shared" si="74"/>
        <v>0.24441593828100316</v>
      </c>
      <c r="M489">
        <f t="shared" si="68"/>
        <v>1</v>
      </c>
      <c r="N489">
        <f t="shared" si="75"/>
        <v>1</v>
      </c>
      <c r="O489">
        <f t="shared" si="76"/>
        <v>41</v>
      </c>
      <c r="P489">
        <f t="shared" si="69"/>
        <v>0</v>
      </c>
      <c r="R489">
        <f t="shared" si="70"/>
        <v>0</v>
      </c>
      <c r="S489">
        <f t="shared" si="71"/>
        <v>0</v>
      </c>
      <c r="T489">
        <f t="shared" si="72"/>
        <v>0</v>
      </c>
    </row>
    <row r="490" spans="10:20" x14ac:dyDescent="0.25">
      <c r="J490">
        <v>0.45969444290957318</v>
      </c>
      <c r="K490">
        <f t="shared" si="73"/>
        <v>0</v>
      </c>
      <c r="L490">
        <f t="shared" si="74"/>
        <v>0</v>
      </c>
      <c r="M490">
        <f t="shared" si="68"/>
        <v>0</v>
      </c>
      <c r="N490">
        <f t="shared" si="75"/>
        <v>2</v>
      </c>
      <c r="O490">
        <f t="shared" si="76"/>
        <v>41</v>
      </c>
      <c r="P490">
        <f t="shared" si="69"/>
        <v>0</v>
      </c>
      <c r="R490">
        <f t="shared" si="70"/>
        <v>0</v>
      </c>
      <c r="S490">
        <f t="shared" si="71"/>
        <v>0</v>
      </c>
      <c r="T490">
        <f t="shared" si="72"/>
        <v>0</v>
      </c>
    </row>
    <row r="491" spans="10:20" x14ac:dyDescent="0.25">
      <c r="J491">
        <v>1.3759669001407793E-2</v>
      </c>
      <c r="K491">
        <f t="shared" si="73"/>
        <v>1</v>
      </c>
      <c r="L491">
        <f t="shared" si="74"/>
        <v>1.3759669001407793E-2</v>
      </c>
      <c r="M491">
        <f t="shared" si="68"/>
        <v>1</v>
      </c>
      <c r="N491">
        <f t="shared" si="75"/>
        <v>2</v>
      </c>
      <c r="O491">
        <f t="shared" si="76"/>
        <v>41</v>
      </c>
      <c r="P491">
        <f t="shared" si="69"/>
        <v>0</v>
      </c>
      <c r="R491">
        <f t="shared" si="70"/>
        <v>0</v>
      </c>
      <c r="S491">
        <f t="shared" si="71"/>
        <v>0</v>
      </c>
      <c r="T491">
        <f t="shared" si="72"/>
        <v>0</v>
      </c>
    </row>
    <row r="492" spans="10:20" x14ac:dyDescent="0.25">
      <c r="J492">
        <v>0.842589854461952</v>
      </c>
      <c r="K492">
        <f t="shared" si="73"/>
        <v>0</v>
      </c>
      <c r="L492">
        <f t="shared" si="74"/>
        <v>0</v>
      </c>
      <c r="M492">
        <f t="shared" si="68"/>
        <v>0</v>
      </c>
      <c r="N492">
        <f t="shared" si="75"/>
        <v>3</v>
      </c>
      <c r="O492">
        <f t="shared" si="76"/>
        <v>41</v>
      </c>
      <c r="P492">
        <f t="shared" si="69"/>
        <v>0</v>
      </c>
      <c r="R492">
        <f t="shared" si="70"/>
        <v>0</v>
      </c>
      <c r="S492">
        <f t="shared" si="71"/>
        <v>0</v>
      </c>
      <c r="T492">
        <f t="shared" si="72"/>
        <v>0</v>
      </c>
    </row>
    <row r="493" spans="10:20" x14ac:dyDescent="0.25">
      <c r="J493">
        <v>0.49416535347875934</v>
      </c>
      <c r="K493">
        <f t="shared" si="73"/>
        <v>1</v>
      </c>
      <c r="L493">
        <f t="shared" si="74"/>
        <v>0.49416535347875934</v>
      </c>
      <c r="M493">
        <f t="shared" si="68"/>
        <v>1</v>
      </c>
      <c r="N493">
        <f t="shared" si="75"/>
        <v>3</v>
      </c>
      <c r="O493">
        <f t="shared" si="76"/>
        <v>41</v>
      </c>
      <c r="P493">
        <f t="shared" si="69"/>
        <v>0</v>
      </c>
      <c r="R493">
        <f t="shared" si="70"/>
        <v>0</v>
      </c>
      <c r="S493">
        <f t="shared" si="71"/>
        <v>0</v>
      </c>
      <c r="T493">
        <f t="shared" si="72"/>
        <v>0</v>
      </c>
    </row>
    <row r="494" spans="10:20" x14ac:dyDescent="0.25">
      <c r="J494">
        <v>0.17264406390461373</v>
      </c>
      <c r="K494">
        <f t="shared" si="73"/>
        <v>0</v>
      </c>
      <c r="L494">
        <f t="shared" si="74"/>
        <v>0</v>
      </c>
      <c r="M494">
        <f t="shared" si="68"/>
        <v>0</v>
      </c>
      <c r="N494">
        <f t="shared" si="75"/>
        <v>4</v>
      </c>
      <c r="O494">
        <f t="shared" si="76"/>
        <v>41</v>
      </c>
      <c r="P494">
        <f t="shared" si="69"/>
        <v>0</v>
      </c>
      <c r="R494">
        <f t="shared" si="70"/>
        <v>0</v>
      </c>
      <c r="S494">
        <f t="shared" si="71"/>
        <v>0</v>
      </c>
      <c r="T494">
        <f t="shared" si="72"/>
        <v>0</v>
      </c>
    </row>
    <row r="495" spans="10:20" x14ac:dyDescent="0.25">
      <c r="J495">
        <v>6.3739747506776911E-2</v>
      </c>
      <c r="K495">
        <f t="shared" si="73"/>
        <v>1</v>
      </c>
      <c r="L495">
        <f t="shared" si="74"/>
        <v>6.3739747506776911E-2</v>
      </c>
      <c r="M495">
        <f t="shared" si="68"/>
        <v>1</v>
      </c>
      <c r="N495">
        <f t="shared" si="75"/>
        <v>4</v>
      </c>
      <c r="O495">
        <f t="shared" si="76"/>
        <v>41</v>
      </c>
      <c r="P495">
        <f t="shared" si="69"/>
        <v>0</v>
      </c>
      <c r="R495">
        <f t="shared" si="70"/>
        <v>0</v>
      </c>
      <c r="S495">
        <f t="shared" si="71"/>
        <v>0</v>
      </c>
      <c r="T495">
        <f t="shared" si="72"/>
        <v>0</v>
      </c>
    </row>
    <row r="496" spans="10:20" x14ac:dyDescent="0.25">
      <c r="J496">
        <v>0.83498326407232981</v>
      </c>
      <c r="K496">
        <f t="shared" si="73"/>
        <v>0</v>
      </c>
      <c r="L496">
        <f t="shared" si="74"/>
        <v>0</v>
      </c>
      <c r="M496">
        <f t="shared" si="68"/>
        <v>0</v>
      </c>
      <c r="N496">
        <f t="shared" si="75"/>
        <v>5</v>
      </c>
      <c r="O496">
        <f t="shared" si="76"/>
        <v>41</v>
      </c>
      <c r="P496">
        <f t="shared" si="69"/>
        <v>0</v>
      </c>
      <c r="R496">
        <f t="shared" si="70"/>
        <v>0</v>
      </c>
      <c r="S496">
        <f t="shared" si="71"/>
        <v>0</v>
      </c>
      <c r="T496">
        <f t="shared" si="72"/>
        <v>0</v>
      </c>
    </row>
    <row r="497" spans="10:20" x14ac:dyDescent="0.25">
      <c r="J497">
        <v>0.73000689228182947</v>
      </c>
      <c r="K497">
        <f t="shared" si="73"/>
        <v>1</v>
      </c>
      <c r="L497">
        <f t="shared" si="74"/>
        <v>0.73000689228182947</v>
      </c>
      <c r="M497">
        <f t="shared" si="68"/>
        <v>1</v>
      </c>
      <c r="N497">
        <f t="shared" si="75"/>
        <v>5</v>
      </c>
      <c r="O497">
        <f t="shared" si="76"/>
        <v>41</v>
      </c>
      <c r="P497">
        <f t="shared" si="69"/>
        <v>0</v>
      </c>
      <c r="R497">
        <f t="shared" si="70"/>
        <v>0</v>
      </c>
      <c r="S497">
        <f t="shared" si="71"/>
        <v>0</v>
      </c>
      <c r="T497">
        <f t="shared" si="72"/>
        <v>0</v>
      </c>
    </row>
    <row r="498" spans="10:20" x14ac:dyDescent="0.25">
      <c r="J498">
        <v>0.15541361581787583</v>
      </c>
      <c r="K498">
        <f t="shared" si="73"/>
        <v>0</v>
      </c>
      <c r="L498">
        <f t="shared" si="74"/>
        <v>0</v>
      </c>
      <c r="M498">
        <f t="shared" si="68"/>
        <v>0</v>
      </c>
      <c r="N498">
        <f t="shared" si="75"/>
        <v>6</v>
      </c>
      <c r="O498">
        <f t="shared" si="76"/>
        <v>41</v>
      </c>
      <c r="P498">
        <f t="shared" si="69"/>
        <v>0</v>
      </c>
      <c r="R498">
        <f t="shared" si="70"/>
        <v>0</v>
      </c>
      <c r="S498">
        <f t="shared" si="71"/>
        <v>0</v>
      </c>
      <c r="T498">
        <f t="shared" si="72"/>
        <v>0</v>
      </c>
    </row>
    <row r="499" spans="10:20" x14ac:dyDescent="0.25">
      <c r="J499">
        <v>0.67741177299211086</v>
      </c>
      <c r="K499">
        <f t="shared" si="73"/>
        <v>1</v>
      </c>
      <c r="L499">
        <f t="shared" si="74"/>
        <v>0.67741177299211086</v>
      </c>
      <c r="M499">
        <f t="shared" si="68"/>
        <v>1</v>
      </c>
      <c r="N499">
        <f t="shared" si="75"/>
        <v>6</v>
      </c>
      <c r="O499">
        <f t="shared" si="76"/>
        <v>41</v>
      </c>
      <c r="P499">
        <f t="shared" si="69"/>
        <v>0</v>
      </c>
      <c r="R499">
        <f t="shared" si="70"/>
        <v>0</v>
      </c>
      <c r="S499">
        <f t="shared" si="71"/>
        <v>0</v>
      </c>
      <c r="T499">
        <f t="shared" si="72"/>
        <v>0</v>
      </c>
    </row>
    <row r="500" spans="10:20" x14ac:dyDescent="0.25">
      <c r="J500">
        <v>0.85969259161283029</v>
      </c>
      <c r="K500">
        <f t="shared" si="73"/>
        <v>0</v>
      </c>
      <c r="L500">
        <f t="shared" si="74"/>
        <v>0</v>
      </c>
      <c r="M500">
        <f t="shared" si="68"/>
        <v>0</v>
      </c>
      <c r="N500">
        <f t="shared" si="75"/>
        <v>7</v>
      </c>
      <c r="O500">
        <f t="shared" si="76"/>
        <v>41</v>
      </c>
      <c r="P500">
        <f t="shared" si="69"/>
        <v>0</v>
      </c>
      <c r="R500">
        <f t="shared" si="70"/>
        <v>0</v>
      </c>
      <c r="S500">
        <f t="shared" si="71"/>
        <v>0</v>
      </c>
      <c r="T500">
        <f t="shared" si="72"/>
        <v>0</v>
      </c>
    </row>
    <row r="501" spans="10:20" x14ac:dyDescent="0.25">
      <c r="J501">
        <v>0.97135871951507924</v>
      </c>
      <c r="K501">
        <f t="shared" si="73"/>
        <v>1</v>
      </c>
      <c r="L501">
        <f t="shared" si="74"/>
        <v>0.97135871951507924</v>
      </c>
      <c r="M501">
        <f t="shared" si="68"/>
        <v>1</v>
      </c>
      <c r="N501">
        <f t="shared" si="75"/>
        <v>1</v>
      </c>
      <c r="O501">
        <f t="shared" si="76"/>
        <v>42</v>
      </c>
      <c r="P501">
        <f t="shared" si="69"/>
        <v>0</v>
      </c>
      <c r="R501">
        <f t="shared" si="70"/>
        <v>0</v>
      </c>
      <c r="S501">
        <f t="shared" si="71"/>
        <v>0</v>
      </c>
      <c r="T501">
        <f t="shared" si="72"/>
        <v>0</v>
      </c>
    </row>
    <row r="502" spans="10:20" x14ac:dyDescent="0.25">
      <c r="J502">
        <v>0.41441655593540139</v>
      </c>
      <c r="K502">
        <f t="shared" si="73"/>
        <v>0</v>
      </c>
      <c r="L502">
        <f t="shared" si="74"/>
        <v>0</v>
      </c>
      <c r="M502">
        <f t="shared" si="68"/>
        <v>0</v>
      </c>
      <c r="N502">
        <f t="shared" si="75"/>
        <v>2</v>
      </c>
      <c r="O502">
        <f t="shared" si="76"/>
        <v>42</v>
      </c>
      <c r="P502">
        <f t="shared" si="69"/>
        <v>0</v>
      </c>
      <c r="R502">
        <f t="shared" si="70"/>
        <v>0</v>
      </c>
      <c r="S502">
        <f t="shared" si="71"/>
        <v>0</v>
      </c>
      <c r="T502">
        <f t="shared" si="72"/>
        <v>0</v>
      </c>
    </row>
    <row r="503" spans="10:20" x14ac:dyDescent="0.25">
      <c r="J503">
        <v>0.32380200387516267</v>
      </c>
      <c r="K503">
        <f t="shared" si="73"/>
        <v>1</v>
      </c>
      <c r="L503">
        <f t="shared" si="74"/>
        <v>0.32380200387516267</v>
      </c>
      <c r="M503">
        <f t="shared" si="68"/>
        <v>1</v>
      </c>
      <c r="N503">
        <f t="shared" si="75"/>
        <v>2</v>
      </c>
      <c r="O503">
        <f t="shared" si="76"/>
        <v>42</v>
      </c>
      <c r="P503">
        <f t="shared" si="69"/>
        <v>0</v>
      </c>
      <c r="R503">
        <f t="shared" si="70"/>
        <v>0</v>
      </c>
      <c r="S503">
        <f t="shared" si="71"/>
        <v>0</v>
      </c>
      <c r="T503">
        <f t="shared" si="72"/>
        <v>0</v>
      </c>
    </row>
    <row r="504" spans="10:20" x14ac:dyDescent="0.25">
      <c r="J504">
        <v>0.95901024253593181</v>
      </c>
      <c r="K504">
        <f t="shared" si="73"/>
        <v>0</v>
      </c>
      <c r="L504">
        <f t="shared" si="74"/>
        <v>0</v>
      </c>
      <c r="M504">
        <f t="shared" si="68"/>
        <v>0</v>
      </c>
      <c r="N504">
        <f t="shared" si="75"/>
        <v>3</v>
      </c>
      <c r="O504">
        <f t="shared" si="76"/>
        <v>42</v>
      </c>
      <c r="P504">
        <f t="shared" si="69"/>
        <v>0</v>
      </c>
      <c r="R504">
        <f t="shared" si="70"/>
        <v>0</v>
      </c>
      <c r="S504">
        <f t="shared" si="71"/>
        <v>0</v>
      </c>
      <c r="T504">
        <f t="shared" si="72"/>
        <v>0</v>
      </c>
    </row>
    <row r="505" spans="10:20" x14ac:dyDescent="0.25">
      <c r="J505">
        <v>0.99313709392226335</v>
      </c>
      <c r="K505">
        <f t="shared" si="73"/>
        <v>1</v>
      </c>
      <c r="L505">
        <f t="shared" si="74"/>
        <v>0.99313709392226335</v>
      </c>
      <c r="M505">
        <f t="shared" si="68"/>
        <v>1</v>
      </c>
      <c r="N505">
        <f t="shared" si="75"/>
        <v>3</v>
      </c>
      <c r="O505">
        <f t="shared" si="76"/>
        <v>42</v>
      </c>
      <c r="P505">
        <f t="shared" si="69"/>
        <v>0</v>
      </c>
      <c r="R505">
        <f t="shared" si="70"/>
        <v>0</v>
      </c>
      <c r="S505">
        <f t="shared" si="71"/>
        <v>0</v>
      </c>
      <c r="T505">
        <f t="shared" si="72"/>
        <v>0</v>
      </c>
    </row>
    <row r="506" spans="10:20" x14ac:dyDescent="0.25">
      <c r="J506">
        <v>0.96450385050176846</v>
      </c>
      <c r="K506">
        <f t="shared" si="73"/>
        <v>0</v>
      </c>
      <c r="L506">
        <f t="shared" si="74"/>
        <v>0</v>
      </c>
      <c r="M506">
        <f t="shared" si="68"/>
        <v>0</v>
      </c>
      <c r="N506">
        <f t="shared" si="75"/>
        <v>4</v>
      </c>
      <c r="O506">
        <f t="shared" si="76"/>
        <v>42</v>
      </c>
      <c r="P506">
        <f t="shared" si="69"/>
        <v>0</v>
      </c>
      <c r="R506">
        <f t="shared" si="70"/>
        <v>0</v>
      </c>
      <c r="S506">
        <f t="shared" si="71"/>
        <v>0</v>
      </c>
      <c r="T506">
        <f t="shared" si="72"/>
        <v>0</v>
      </c>
    </row>
    <row r="507" spans="10:20" x14ac:dyDescent="0.25">
      <c r="J507">
        <v>0.78484082228541496</v>
      </c>
      <c r="K507">
        <f t="shared" si="73"/>
        <v>1</v>
      </c>
      <c r="L507">
        <f t="shared" si="74"/>
        <v>0.78484082228541496</v>
      </c>
      <c r="M507">
        <f t="shared" si="68"/>
        <v>1</v>
      </c>
      <c r="N507">
        <f t="shared" si="75"/>
        <v>4</v>
      </c>
      <c r="O507">
        <f t="shared" si="76"/>
        <v>42</v>
      </c>
      <c r="P507">
        <f t="shared" si="69"/>
        <v>0</v>
      </c>
      <c r="R507">
        <f t="shared" si="70"/>
        <v>0</v>
      </c>
      <c r="S507">
        <f t="shared" si="71"/>
        <v>0</v>
      </c>
      <c r="T507">
        <f t="shared" si="72"/>
        <v>0</v>
      </c>
    </row>
    <row r="508" spans="10:20" x14ac:dyDescent="0.25">
      <c r="J508">
        <v>0.11527437401422969</v>
      </c>
      <c r="K508">
        <f t="shared" si="73"/>
        <v>0</v>
      </c>
      <c r="L508">
        <f t="shared" si="74"/>
        <v>0</v>
      </c>
      <c r="M508">
        <f t="shared" si="68"/>
        <v>0</v>
      </c>
      <c r="N508">
        <f t="shared" si="75"/>
        <v>5</v>
      </c>
      <c r="O508">
        <f t="shared" si="76"/>
        <v>42</v>
      </c>
      <c r="P508">
        <f t="shared" si="69"/>
        <v>0</v>
      </c>
      <c r="R508">
        <f t="shared" si="70"/>
        <v>0</v>
      </c>
      <c r="S508">
        <f t="shared" si="71"/>
        <v>0</v>
      </c>
      <c r="T508">
        <f t="shared" si="72"/>
        <v>0</v>
      </c>
    </row>
    <row r="509" spans="10:20" x14ac:dyDescent="0.25">
      <c r="J509">
        <v>0.39152623073596526</v>
      </c>
      <c r="K509">
        <f t="shared" si="73"/>
        <v>1</v>
      </c>
      <c r="L509">
        <f t="shared" si="74"/>
        <v>0.39152623073596526</v>
      </c>
      <c r="M509">
        <f t="shared" si="68"/>
        <v>1</v>
      </c>
      <c r="N509">
        <f t="shared" si="75"/>
        <v>5</v>
      </c>
      <c r="O509">
        <f t="shared" si="76"/>
        <v>42</v>
      </c>
      <c r="P509">
        <f t="shared" si="69"/>
        <v>0</v>
      </c>
      <c r="R509">
        <f t="shared" si="70"/>
        <v>0</v>
      </c>
      <c r="S509">
        <f t="shared" si="71"/>
        <v>0</v>
      </c>
      <c r="T509">
        <f t="shared" si="72"/>
        <v>0</v>
      </c>
    </row>
    <row r="510" spans="10:20" x14ac:dyDescent="0.25">
      <c r="J510">
        <v>0.40863396790455941</v>
      </c>
      <c r="K510">
        <f t="shared" si="73"/>
        <v>0</v>
      </c>
      <c r="L510">
        <f t="shared" si="74"/>
        <v>0</v>
      </c>
      <c r="M510">
        <f t="shared" si="68"/>
        <v>0</v>
      </c>
      <c r="N510">
        <f t="shared" si="75"/>
        <v>6</v>
      </c>
      <c r="O510">
        <f t="shared" si="76"/>
        <v>42</v>
      </c>
      <c r="P510">
        <f t="shared" si="69"/>
        <v>0</v>
      </c>
      <c r="R510">
        <f t="shared" si="70"/>
        <v>0</v>
      </c>
      <c r="S510">
        <f t="shared" si="71"/>
        <v>0</v>
      </c>
      <c r="T510">
        <f t="shared" si="72"/>
        <v>0</v>
      </c>
    </row>
    <row r="511" spans="10:20" x14ac:dyDescent="0.25">
      <c r="J511">
        <v>0.60461019105593172</v>
      </c>
      <c r="K511">
        <f t="shared" si="73"/>
        <v>1</v>
      </c>
      <c r="L511">
        <f t="shared" si="74"/>
        <v>0.60461019105593172</v>
      </c>
      <c r="M511">
        <f t="shared" si="68"/>
        <v>1</v>
      </c>
      <c r="N511">
        <f t="shared" si="75"/>
        <v>6</v>
      </c>
      <c r="O511">
        <f t="shared" si="76"/>
        <v>42</v>
      </c>
      <c r="P511">
        <f t="shared" si="69"/>
        <v>0</v>
      </c>
      <c r="R511">
        <f t="shared" si="70"/>
        <v>0</v>
      </c>
      <c r="S511">
        <f t="shared" si="71"/>
        <v>0</v>
      </c>
      <c r="T511">
        <f t="shared" si="72"/>
        <v>0</v>
      </c>
    </row>
    <row r="512" spans="10:20" x14ac:dyDescent="0.25">
      <c r="J512">
        <v>0.68522622027688662</v>
      </c>
      <c r="K512">
        <f t="shared" si="73"/>
        <v>0</v>
      </c>
      <c r="L512">
        <f t="shared" si="74"/>
        <v>0</v>
      </c>
      <c r="M512">
        <f t="shared" si="68"/>
        <v>0</v>
      </c>
      <c r="N512">
        <f t="shared" si="75"/>
        <v>7</v>
      </c>
      <c r="O512">
        <f t="shared" si="76"/>
        <v>42</v>
      </c>
      <c r="P512">
        <f t="shared" si="69"/>
        <v>0</v>
      </c>
      <c r="R512">
        <f t="shared" si="70"/>
        <v>0</v>
      </c>
      <c r="S512">
        <f t="shared" si="71"/>
        <v>0</v>
      </c>
      <c r="T512">
        <f t="shared" si="72"/>
        <v>0</v>
      </c>
    </row>
    <row r="513" spans="10:20" x14ac:dyDescent="0.25">
      <c r="J513">
        <v>8.1646723099310092E-2</v>
      </c>
      <c r="K513">
        <f t="shared" si="73"/>
        <v>1</v>
      </c>
      <c r="L513">
        <f t="shared" si="74"/>
        <v>8.1646723099310092E-2</v>
      </c>
      <c r="M513">
        <f t="shared" si="68"/>
        <v>1</v>
      </c>
      <c r="N513">
        <f t="shared" si="75"/>
        <v>1</v>
      </c>
      <c r="O513">
        <f t="shared" si="76"/>
        <v>43</v>
      </c>
      <c r="P513">
        <f t="shared" si="69"/>
        <v>0</v>
      </c>
      <c r="R513">
        <f t="shared" si="70"/>
        <v>0</v>
      </c>
      <c r="S513">
        <f t="shared" si="71"/>
        <v>0</v>
      </c>
      <c r="T513">
        <f t="shared" si="72"/>
        <v>0</v>
      </c>
    </row>
    <row r="514" spans="10:20" x14ac:dyDescent="0.25">
      <c r="J514">
        <v>0.87366031010946643</v>
      </c>
      <c r="K514">
        <f t="shared" si="73"/>
        <v>0</v>
      </c>
      <c r="L514">
        <f t="shared" si="74"/>
        <v>0</v>
      </c>
      <c r="M514">
        <f t="shared" si="68"/>
        <v>0</v>
      </c>
      <c r="N514">
        <f t="shared" si="75"/>
        <v>2</v>
      </c>
      <c r="O514">
        <f t="shared" si="76"/>
        <v>43</v>
      </c>
      <c r="P514">
        <f t="shared" si="69"/>
        <v>0</v>
      </c>
      <c r="R514">
        <f t="shared" si="70"/>
        <v>0</v>
      </c>
      <c r="S514">
        <f t="shared" si="71"/>
        <v>0</v>
      </c>
      <c r="T514">
        <f t="shared" si="72"/>
        <v>0</v>
      </c>
    </row>
    <row r="515" spans="10:20" x14ac:dyDescent="0.25">
      <c r="J515">
        <v>0.62689369786113525</v>
      </c>
      <c r="K515">
        <f t="shared" si="73"/>
        <v>1</v>
      </c>
      <c r="L515">
        <f t="shared" si="74"/>
        <v>0.62689369786113525</v>
      </c>
      <c r="M515">
        <f t="shared" si="68"/>
        <v>1</v>
      </c>
      <c r="N515">
        <f t="shared" si="75"/>
        <v>2</v>
      </c>
      <c r="O515">
        <f t="shared" si="76"/>
        <v>43</v>
      </c>
      <c r="P515">
        <f t="shared" si="69"/>
        <v>0</v>
      </c>
      <c r="R515">
        <f t="shared" si="70"/>
        <v>0</v>
      </c>
      <c r="S515">
        <f t="shared" si="71"/>
        <v>0</v>
      </c>
      <c r="T515">
        <f t="shared" si="72"/>
        <v>0</v>
      </c>
    </row>
    <row r="516" spans="10:20" x14ac:dyDescent="0.25">
      <c r="J516">
        <v>0.82376101463913842</v>
      </c>
      <c r="K516">
        <f t="shared" si="73"/>
        <v>0</v>
      </c>
      <c r="L516">
        <f t="shared" si="74"/>
        <v>0</v>
      </c>
      <c r="M516">
        <f t="shared" si="68"/>
        <v>0</v>
      </c>
      <c r="N516">
        <f t="shared" si="75"/>
        <v>3</v>
      </c>
      <c r="O516">
        <f t="shared" si="76"/>
        <v>43</v>
      </c>
      <c r="P516">
        <f t="shared" si="69"/>
        <v>0</v>
      </c>
      <c r="R516">
        <f t="shared" si="70"/>
        <v>0</v>
      </c>
      <c r="S516">
        <f t="shared" si="71"/>
        <v>0</v>
      </c>
      <c r="T516">
        <f t="shared" si="72"/>
        <v>0</v>
      </c>
    </row>
    <row r="517" spans="10:20" x14ac:dyDescent="0.25">
      <c r="J517">
        <v>0.4708435159000196</v>
      </c>
      <c r="K517">
        <f t="shared" si="73"/>
        <v>1</v>
      </c>
      <c r="L517">
        <f t="shared" si="74"/>
        <v>0.4708435159000196</v>
      </c>
      <c r="M517">
        <f t="shared" si="68"/>
        <v>1</v>
      </c>
      <c r="N517">
        <f t="shared" si="75"/>
        <v>3</v>
      </c>
      <c r="O517">
        <f t="shared" si="76"/>
        <v>43</v>
      </c>
      <c r="P517">
        <f t="shared" si="69"/>
        <v>0</v>
      </c>
      <c r="R517">
        <f t="shared" si="70"/>
        <v>0</v>
      </c>
      <c r="S517">
        <f t="shared" si="71"/>
        <v>0</v>
      </c>
      <c r="T517">
        <f t="shared" si="72"/>
        <v>0</v>
      </c>
    </row>
    <row r="518" spans="10:20" x14ac:dyDescent="0.25">
      <c r="J518">
        <v>0.87174287630580649</v>
      </c>
      <c r="K518">
        <f t="shared" si="73"/>
        <v>0</v>
      </c>
      <c r="L518">
        <f t="shared" si="74"/>
        <v>0</v>
      </c>
      <c r="M518">
        <f t="shared" si="68"/>
        <v>0</v>
      </c>
      <c r="N518">
        <f t="shared" si="75"/>
        <v>4</v>
      </c>
      <c r="O518">
        <f t="shared" si="76"/>
        <v>43</v>
      </c>
      <c r="P518">
        <f t="shared" si="69"/>
        <v>0</v>
      </c>
      <c r="R518">
        <f t="shared" si="70"/>
        <v>0</v>
      </c>
      <c r="S518">
        <f t="shared" si="71"/>
        <v>0</v>
      </c>
      <c r="T518">
        <f t="shared" si="72"/>
        <v>0</v>
      </c>
    </row>
    <row r="519" spans="10:20" x14ac:dyDescent="0.25">
      <c r="J519">
        <v>0.87338465391703113</v>
      </c>
      <c r="K519">
        <f t="shared" si="73"/>
        <v>1</v>
      </c>
      <c r="L519">
        <f t="shared" si="74"/>
        <v>0.87338465391703113</v>
      </c>
      <c r="M519">
        <f t="shared" si="68"/>
        <v>1</v>
      </c>
      <c r="N519">
        <f t="shared" si="75"/>
        <v>4</v>
      </c>
      <c r="O519">
        <f t="shared" si="76"/>
        <v>43</v>
      </c>
      <c r="P519">
        <f t="shared" si="69"/>
        <v>0</v>
      </c>
      <c r="R519">
        <f t="shared" si="70"/>
        <v>0</v>
      </c>
      <c r="S519">
        <f t="shared" si="71"/>
        <v>0</v>
      </c>
      <c r="T519">
        <f t="shared" si="72"/>
        <v>0</v>
      </c>
    </row>
    <row r="520" spans="10:20" x14ac:dyDescent="0.25">
      <c r="J520">
        <v>0.54986740218083807</v>
      </c>
      <c r="K520">
        <f t="shared" si="73"/>
        <v>0</v>
      </c>
      <c r="L520">
        <f t="shared" si="74"/>
        <v>0</v>
      </c>
      <c r="M520">
        <f t="shared" ref="M520:M583" si="77">IF(L520&gt;$M$2,1,0)</f>
        <v>0</v>
      </c>
      <c r="N520">
        <f t="shared" si="75"/>
        <v>5</v>
      </c>
      <c r="O520">
        <f t="shared" si="76"/>
        <v>43</v>
      </c>
      <c r="P520">
        <f t="shared" ref="P520:P583" si="78">IF(INDEX($B$7:$H$1029,O520,2)&gt;0,1,0)</f>
        <v>0</v>
      </c>
      <c r="R520">
        <f t="shared" ref="R520:R583" si="79">IF(  M520&gt;0,INDEX($B$7:$H$1029,O520,N520),0)*P520</f>
        <v>0</v>
      </c>
      <c r="S520">
        <f t="shared" ref="S520:S583" si="80">M520*P520</f>
        <v>0</v>
      </c>
      <c r="T520">
        <f t="shared" ref="T520:T583" si="81">IF(N521=$N$2,1,0)*P520</f>
        <v>0</v>
      </c>
    </row>
    <row r="521" spans="10:20" x14ac:dyDescent="0.25">
      <c r="J521">
        <v>0.27360288079175621</v>
      </c>
      <c r="K521">
        <f t="shared" si="73"/>
        <v>1</v>
      </c>
      <c r="L521">
        <f t="shared" si="74"/>
        <v>0.27360288079175621</v>
      </c>
      <c r="M521">
        <f t="shared" si="77"/>
        <v>1</v>
      </c>
      <c r="N521">
        <f t="shared" si="75"/>
        <v>5</v>
      </c>
      <c r="O521">
        <f t="shared" si="76"/>
        <v>43</v>
      </c>
      <c r="P521">
        <f t="shared" si="78"/>
        <v>0</v>
      </c>
      <c r="R521">
        <f t="shared" si="79"/>
        <v>0</v>
      </c>
      <c r="S521">
        <f t="shared" si="80"/>
        <v>0</v>
      </c>
      <c r="T521">
        <f t="shared" si="81"/>
        <v>0</v>
      </c>
    </row>
    <row r="522" spans="10:20" x14ac:dyDescent="0.25">
      <c r="J522">
        <v>0.18890217063129833</v>
      </c>
      <c r="K522">
        <f t="shared" si="73"/>
        <v>0</v>
      </c>
      <c r="L522">
        <f t="shared" si="74"/>
        <v>0</v>
      </c>
      <c r="M522">
        <f t="shared" si="77"/>
        <v>0</v>
      </c>
      <c r="N522">
        <f t="shared" si="75"/>
        <v>6</v>
      </c>
      <c r="O522">
        <f t="shared" si="76"/>
        <v>43</v>
      </c>
      <c r="P522">
        <f t="shared" si="78"/>
        <v>0</v>
      </c>
      <c r="R522">
        <f t="shared" si="79"/>
        <v>0</v>
      </c>
      <c r="S522">
        <f t="shared" si="80"/>
        <v>0</v>
      </c>
      <c r="T522">
        <f t="shared" si="81"/>
        <v>0</v>
      </c>
    </row>
    <row r="523" spans="10:20" x14ac:dyDescent="0.25">
      <c r="J523">
        <v>0.26131455304503326</v>
      </c>
      <c r="K523">
        <f t="shared" si="73"/>
        <v>1</v>
      </c>
      <c r="L523">
        <f t="shared" si="74"/>
        <v>0.26131455304503326</v>
      </c>
      <c r="M523">
        <f t="shared" si="77"/>
        <v>1</v>
      </c>
      <c r="N523">
        <f t="shared" si="75"/>
        <v>6</v>
      </c>
      <c r="O523">
        <f t="shared" si="76"/>
        <v>43</v>
      </c>
      <c r="P523">
        <f t="shared" si="78"/>
        <v>0</v>
      </c>
      <c r="R523">
        <f t="shared" si="79"/>
        <v>0</v>
      </c>
      <c r="S523">
        <f t="shared" si="80"/>
        <v>0</v>
      </c>
      <c r="T523">
        <f t="shared" si="81"/>
        <v>0</v>
      </c>
    </row>
    <row r="524" spans="10:20" x14ac:dyDescent="0.25">
      <c r="J524">
        <v>0.84295822503134676</v>
      </c>
      <c r="K524">
        <f t="shared" si="73"/>
        <v>0</v>
      </c>
      <c r="L524">
        <f t="shared" si="74"/>
        <v>0</v>
      </c>
      <c r="M524">
        <f t="shared" si="77"/>
        <v>0</v>
      </c>
      <c r="N524">
        <f t="shared" si="75"/>
        <v>7</v>
      </c>
      <c r="O524">
        <f t="shared" si="76"/>
        <v>43</v>
      </c>
      <c r="P524">
        <f t="shared" si="78"/>
        <v>0</v>
      </c>
      <c r="R524">
        <f t="shared" si="79"/>
        <v>0</v>
      </c>
      <c r="S524">
        <f t="shared" si="80"/>
        <v>0</v>
      </c>
      <c r="T524">
        <f t="shared" si="81"/>
        <v>0</v>
      </c>
    </row>
    <row r="525" spans="10:20" x14ac:dyDescent="0.25">
      <c r="J525">
        <v>0.81540104413767422</v>
      </c>
      <c r="K525">
        <f t="shared" si="73"/>
        <v>1</v>
      </c>
      <c r="L525">
        <f t="shared" si="74"/>
        <v>0.81540104413767422</v>
      </c>
      <c r="M525">
        <f t="shared" si="77"/>
        <v>1</v>
      </c>
      <c r="N525">
        <f t="shared" si="75"/>
        <v>1</v>
      </c>
      <c r="O525">
        <f t="shared" si="76"/>
        <v>44</v>
      </c>
      <c r="P525">
        <f t="shared" si="78"/>
        <v>0</v>
      </c>
      <c r="R525">
        <f t="shared" si="79"/>
        <v>0</v>
      </c>
      <c r="S525">
        <f t="shared" si="80"/>
        <v>0</v>
      </c>
      <c r="T525">
        <f t="shared" si="81"/>
        <v>0</v>
      </c>
    </row>
    <row r="526" spans="10:20" x14ac:dyDescent="0.25">
      <c r="J526">
        <v>0.12652143902835922</v>
      </c>
      <c r="K526">
        <f t="shared" si="73"/>
        <v>0</v>
      </c>
      <c r="L526">
        <f t="shared" si="74"/>
        <v>0</v>
      </c>
      <c r="M526">
        <f t="shared" si="77"/>
        <v>0</v>
      </c>
      <c r="N526">
        <f t="shared" si="75"/>
        <v>2</v>
      </c>
      <c r="O526">
        <f t="shared" si="76"/>
        <v>44</v>
      </c>
      <c r="P526">
        <f t="shared" si="78"/>
        <v>0</v>
      </c>
      <c r="R526">
        <f t="shared" si="79"/>
        <v>0</v>
      </c>
      <c r="S526">
        <f t="shared" si="80"/>
        <v>0</v>
      </c>
      <c r="T526">
        <f t="shared" si="81"/>
        <v>0</v>
      </c>
    </row>
    <row r="527" spans="10:20" x14ac:dyDescent="0.25">
      <c r="J527">
        <v>0.44805083664974099</v>
      </c>
      <c r="K527">
        <f t="shared" si="73"/>
        <v>1</v>
      </c>
      <c r="L527">
        <f t="shared" si="74"/>
        <v>0.44805083664974099</v>
      </c>
      <c r="M527">
        <f t="shared" si="77"/>
        <v>1</v>
      </c>
      <c r="N527">
        <f t="shared" si="75"/>
        <v>2</v>
      </c>
      <c r="O527">
        <f t="shared" si="76"/>
        <v>44</v>
      </c>
      <c r="P527">
        <f t="shared" si="78"/>
        <v>0</v>
      </c>
      <c r="R527">
        <f t="shared" si="79"/>
        <v>0</v>
      </c>
      <c r="S527">
        <f t="shared" si="80"/>
        <v>0</v>
      </c>
      <c r="T527">
        <f t="shared" si="81"/>
        <v>0</v>
      </c>
    </row>
    <row r="528" spans="10:20" x14ac:dyDescent="0.25">
      <c r="J528">
        <v>8.7263163023525658E-2</v>
      </c>
      <c r="K528">
        <f t="shared" si="73"/>
        <v>0</v>
      </c>
      <c r="L528">
        <f t="shared" si="74"/>
        <v>0</v>
      </c>
      <c r="M528">
        <f t="shared" si="77"/>
        <v>0</v>
      </c>
      <c r="N528">
        <f t="shared" si="75"/>
        <v>3</v>
      </c>
      <c r="O528">
        <f t="shared" si="76"/>
        <v>44</v>
      </c>
      <c r="P528">
        <f t="shared" si="78"/>
        <v>0</v>
      </c>
      <c r="R528">
        <f t="shared" si="79"/>
        <v>0</v>
      </c>
      <c r="S528">
        <f t="shared" si="80"/>
        <v>0</v>
      </c>
      <c r="T528">
        <f t="shared" si="81"/>
        <v>0</v>
      </c>
    </row>
    <row r="529" spans="10:20" x14ac:dyDescent="0.25">
      <c r="J529">
        <v>0.36714904595502762</v>
      </c>
      <c r="K529">
        <f t="shared" si="73"/>
        <v>1</v>
      </c>
      <c r="L529">
        <f t="shared" si="74"/>
        <v>0.36714904595502762</v>
      </c>
      <c r="M529">
        <f t="shared" si="77"/>
        <v>1</v>
      </c>
      <c r="N529">
        <f t="shared" si="75"/>
        <v>3</v>
      </c>
      <c r="O529">
        <f t="shared" si="76"/>
        <v>44</v>
      </c>
      <c r="P529">
        <f t="shared" si="78"/>
        <v>0</v>
      </c>
      <c r="R529">
        <f t="shared" si="79"/>
        <v>0</v>
      </c>
      <c r="S529">
        <f t="shared" si="80"/>
        <v>0</v>
      </c>
      <c r="T529">
        <f t="shared" si="81"/>
        <v>0</v>
      </c>
    </row>
    <row r="530" spans="10:20" x14ac:dyDescent="0.25">
      <c r="J530">
        <v>0.3103266831474002</v>
      </c>
      <c r="K530">
        <f t="shared" si="73"/>
        <v>0</v>
      </c>
      <c r="L530">
        <f t="shared" si="74"/>
        <v>0</v>
      </c>
      <c r="M530">
        <f t="shared" si="77"/>
        <v>0</v>
      </c>
      <c r="N530">
        <f t="shared" si="75"/>
        <v>4</v>
      </c>
      <c r="O530">
        <f t="shared" si="76"/>
        <v>44</v>
      </c>
      <c r="P530">
        <f t="shared" si="78"/>
        <v>0</v>
      </c>
      <c r="R530">
        <f t="shared" si="79"/>
        <v>0</v>
      </c>
      <c r="S530">
        <f t="shared" si="80"/>
        <v>0</v>
      </c>
      <c r="T530">
        <f t="shared" si="81"/>
        <v>0</v>
      </c>
    </row>
    <row r="531" spans="10:20" x14ac:dyDescent="0.25">
      <c r="J531">
        <v>0.18777444885479033</v>
      </c>
      <c r="K531">
        <f t="shared" si="73"/>
        <v>1</v>
      </c>
      <c r="L531">
        <f t="shared" si="74"/>
        <v>0.18777444885479033</v>
      </c>
      <c r="M531">
        <f t="shared" si="77"/>
        <v>1</v>
      </c>
      <c r="N531">
        <f t="shared" si="75"/>
        <v>4</v>
      </c>
      <c r="O531">
        <f t="shared" si="76"/>
        <v>44</v>
      </c>
      <c r="P531">
        <f t="shared" si="78"/>
        <v>0</v>
      </c>
      <c r="R531">
        <f t="shared" si="79"/>
        <v>0</v>
      </c>
      <c r="S531">
        <f t="shared" si="80"/>
        <v>0</v>
      </c>
      <c r="T531">
        <f t="shared" si="81"/>
        <v>0</v>
      </c>
    </row>
    <row r="532" spans="10:20" x14ac:dyDescent="0.25">
      <c r="J532">
        <v>0.47565128556750169</v>
      </c>
      <c r="K532">
        <f t="shared" si="73"/>
        <v>0</v>
      </c>
      <c r="L532">
        <f t="shared" si="74"/>
        <v>0</v>
      </c>
      <c r="M532">
        <f t="shared" si="77"/>
        <v>0</v>
      </c>
      <c r="N532">
        <f t="shared" si="75"/>
        <v>5</v>
      </c>
      <c r="O532">
        <f t="shared" si="76"/>
        <v>44</v>
      </c>
      <c r="P532">
        <f t="shared" si="78"/>
        <v>0</v>
      </c>
      <c r="R532">
        <f t="shared" si="79"/>
        <v>0</v>
      </c>
      <c r="S532">
        <f t="shared" si="80"/>
        <v>0</v>
      </c>
      <c r="T532">
        <f t="shared" si="81"/>
        <v>0</v>
      </c>
    </row>
    <row r="533" spans="10:20" x14ac:dyDescent="0.25">
      <c r="J533">
        <v>0.53320654186889571</v>
      </c>
      <c r="K533">
        <f t="shared" si="73"/>
        <v>1</v>
      </c>
      <c r="L533">
        <f t="shared" si="74"/>
        <v>0.53320654186889571</v>
      </c>
      <c r="M533">
        <f t="shared" si="77"/>
        <v>1</v>
      </c>
      <c r="N533">
        <f t="shared" si="75"/>
        <v>5</v>
      </c>
      <c r="O533">
        <f t="shared" si="76"/>
        <v>44</v>
      </c>
      <c r="P533">
        <f t="shared" si="78"/>
        <v>0</v>
      </c>
      <c r="R533">
        <f t="shared" si="79"/>
        <v>0</v>
      </c>
      <c r="S533">
        <f t="shared" si="80"/>
        <v>0</v>
      </c>
      <c r="T533">
        <f t="shared" si="81"/>
        <v>0</v>
      </c>
    </row>
    <row r="534" spans="10:20" x14ac:dyDescent="0.25">
      <c r="J534">
        <v>6.9909162972951688E-2</v>
      </c>
      <c r="K534">
        <f t="shared" si="73"/>
        <v>0</v>
      </c>
      <c r="L534">
        <f t="shared" si="74"/>
        <v>0</v>
      </c>
      <c r="M534">
        <f t="shared" si="77"/>
        <v>0</v>
      </c>
      <c r="N534">
        <f t="shared" si="75"/>
        <v>6</v>
      </c>
      <c r="O534">
        <f t="shared" si="76"/>
        <v>44</v>
      </c>
      <c r="P534">
        <f t="shared" si="78"/>
        <v>0</v>
      </c>
      <c r="R534">
        <f t="shared" si="79"/>
        <v>0</v>
      </c>
      <c r="S534">
        <f t="shared" si="80"/>
        <v>0</v>
      </c>
      <c r="T534">
        <f t="shared" si="81"/>
        <v>0</v>
      </c>
    </row>
    <row r="535" spans="10:20" x14ac:dyDescent="0.25">
      <c r="J535">
        <v>0.10171110331080901</v>
      </c>
      <c r="K535">
        <f t="shared" si="73"/>
        <v>1</v>
      </c>
      <c r="L535">
        <f t="shared" si="74"/>
        <v>0.10171110331080901</v>
      </c>
      <c r="M535">
        <f t="shared" si="77"/>
        <v>1</v>
      </c>
      <c r="N535">
        <f t="shared" si="75"/>
        <v>6</v>
      </c>
      <c r="O535">
        <f t="shared" si="76"/>
        <v>44</v>
      </c>
      <c r="P535">
        <f t="shared" si="78"/>
        <v>0</v>
      </c>
      <c r="R535">
        <f t="shared" si="79"/>
        <v>0</v>
      </c>
      <c r="S535">
        <f t="shared" si="80"/>
        <v>0</v>
      </c>
      <c r="T535">
        <f t="shared" si="81"/>
        <v>0</v>
      </c>
    </row>
    <row r="536" spans="10:20" x14ac:dyDescent="0.25">
      <c r="J536">
        <v>0.34058723532097646</v>
      </c>
      <c r="K536">
        <f t="shared" ref="K536:K599" si="82">IF(K535=1,0,1)</f>
        <v>0</v>
      </c>
      <c r="L536">
        <f t="shared" ref="L536:L599" si="83">K536*J536</f>
        <v>0</v>
      </c>
      <c r="M536">
        <f t="shared" si="77"/>
        <v>0</v>
      </c>
      <c r="N536">
        <f t="shared" ref="N536:N599" si="84">IF(N535&lt;$N$2,N535+M535,1)</f>
        <v>7</v>
      </c>
      <c r="O536">
        <f t="shared" ref="O536:O599" si="85">IF(AND(N536=1,M536=1),O535+1,O535)</f>
        <v>44</v>
      </c>
      <c r="P536">
        <f t="shared" si="78"/>
        <v>0</v>
      </c>
      <c r="R536">
        <f t="shared" si="79"/>
        <v>0</v>
      </c>
      <c r="S536">
        <f t="shared" si="80"/>
        <v>0</v>
      </c>
      <c r="T536">
        <f t="shared" si="81"/>
        <v>0</v>
      </c>
    </row>
    <row r="537" spans="10:20" x14ac:dyDescent="0.25">
      <c r="J537">
        <v>0.78330922724835861</v>
      </c>
      <c r="K537">
        <f t="shared" si="82"/>
        <v>1</v>
      </c>
      <c r="L537">
        <f t="shared" si="83"/>
        <v>0.78330922724835861</v>
      </c>
      <c r="M537">
        <f t="shared" si="77"/>
        <v>1</v>
      </c>
      <c r="N537">
        <f t="shared" si="84"/>
        <v>1</v>
      </c>
      <c r="O537">
        <f t="shared" si="85"/>
        <v>45</v>
      </c>
      <c r="P537">
        <f t="shared" si="78"/>
        <v>0</v>
      </c>
      <c r="R537">
        <f t="shared" si="79"/>
        <v>0</v>
      </c>
      <c r="S537">
        <f t="shared" si="80"/>
        <v>0</v>
      </c>
      <c r="T537">
        <f t="shared" si="81"/>
        <v>0</v>
      </c>
    </row>
    <row r="538" spans="10:20" x14ac:dyDescent="0.25">
      <c r="J538">
        <v>0.74226613642574479</v>
      </c>
      <c r="K538">
        <f t="shared" si="82"/>
        <v>0</v>
      </c>
      <c r="L538">
        <f t="shared" si="83"/>
        <v>0</v>
      </c>
      <c r="M538">
        <f t="shared" si="77"/>
        <v>0</v>
      </c>
      <c r="N538">
        <f t="shared" si="84"/>
        <v>2</v>
      </c>
      <c r="O538">
        <f t="shared" si="85"/>
        <v>45</v>
      </c>
      <c r="P538">
        <f t="shared" si="78"/>
        <v>0</v>
      </c>
      <c r="R538">
        <f t="shared" si="79"/>
        <v>0</v>
      </c>
      <c r="S538">
        <f t="shared" si="80"/>
        <v>0</v>
      </c>
      <c r="T538">
        <f t="shared" si="81"/>
        <v>0</v>
      </c>
    </row>
    <row r="539" spans="10:20" x14ac:dyDescent="0.25">
      <c r="J539">
        <v>0.17572862232694519</v>
      </c>
      <c r="K539">
        <f t="shared" si="82"/>
        <v>1</v>
      </c>
      <c r="L539">
        <f t="shared" si="83"/>
        <v>0.17572862232694519</v>
      </c>
      <c r="M539">
        <f t="shared" si="77"/>
        <v>1</v>
      </c>
      <c r="N539">
        <f t="shared" si="84"/>
        <v>2</v>
      </c>
      <c r="O539">
        <f t="shared" si="85"/>
        <v>45</v>
      </c>
      <c r="P539">
        <f t="shared" si="78"/>
        <v>0</v>
      </c>
      <c r="R539">
        <f t="shared" si="79"/>
        <v>0</v>
      </c>
      <c r="S539">
        <f t="shared" si="80"/>
        <v>0</v>
      </c>
      <c r="T539">
        <f t="shared" si="81"/>
        <v>0</v>
      </c>
    </row>
    <row r="540" spans="10:20" x14ac:dyDescent="0.25">
      <c r="J540">
        <v>0.2172862347035952</v>
      </c>
      <c r="K540">
        <f t="shared" si="82"/>
        <v>0</v>
      </c>
      <c r="L540">
        <f t="shared" si="83"/>
        <v>0</v>
      </c>
      <c r="M540">
        <f t="shared" si="77"/>
        <v>0</v>
      </c>
      <c r="N540">
        <f t="shared" si="84"/>
        <v>3</v>
      </c>
      <c r="O540">
        <f t="shared" si="85"/>
        <v>45</v>
      </c>
      <c r="P540">
        <f t="shared" si="78"/>
        <v>0</v>
      </c>
      <c r="R540">
        <f t="shared" si="79"/>
        <v>0</v>
      </c>
      <c r="S540">
        <f t="shared" si="80"/>
        <v>0</v>
      </c>
      <c r="T540">
        <f t="shared" si="81"/>
        <v>0</v>
      </c>
    </row>
    <row r="541" spans="10:20" x14ac:dyDescent="0.25">
      <c r="J541">
        <v>0.4876011548969551</v>
      </c>
      <c r="K541">
        <f t="shared" si="82"/>
        <v>1</v>
      </c>
      <c r="L541">
        <f t="shared" si="83"/>
        <v>0.4876011548969551</v>
      </c>
      <c r="M541">
        <f t="shared" si="77"/>
        <v>1</v>
      </c>
      <c r="N541">
        <f t="shared" si="84"/>
        <v>3</v>
      </c>
      <c r="O541">
        <f t="shared" si="85"/>
        <v>45</v>
      </c>
      <c r="P541">
        <f t="shared" si="78"/>
        <v>0</v>
      </c>
      <c r="R541">
        <f t="shared" si="79"/>
        <v>0</v>
      </c>
      <c r="S541">
        <f t="shared" si="80"/>
        <v>0</v>
      </c>
      <c r="T541">
        <f t="shared" si="81"/>
        <v>0</v>
      </c>
    </row>
    <row r="542" spans="10:20" x14ac:dyDescent="0.25">
      <c r="J542">
        <v>0.39881397589110734</v>
      </c>
      <c r="K542">
        <f t="shared" si="82"/>
        <v>0</v>
      </c>
      <c r="L542">
        <f t="shared" si="83"/>
        <v>0</v>
      </c>
      <c r="M542">
        <f t="shared" si="77"/>
        <v>0</v>
      </c>
      <c r="N542">
        <f t="shared" si="84"/>
        <v>4</v>
      </c>
      <c r="O542">
        <f t="shared" si="85"/>
        <v>45</v>
      </c>
      <c r="P542">
        <f t="shared" si="78"/>
        <v>0</v>
      </c>
      <c r="R542">
        <f t="shared" si="79"/>
        <v>0</v>
      </c>
      <c r="S542">
        <f t="shared" si="80"/>
        <v>0</v>
      </c>
      <c r="T542">
        <f t="shared" si="81"/>
        <v>0</v>
      </c>
    </row>
    <row r="543" spans="10:20" x14ac:dyDescent="0.25">
      <c r="J543">
        <v>0.23891901388880066</v>
      </c>
      <c r="K543">
        <f t="shared" si="82"/>
        <v>1</v>
      </c>
      <c r="L543">
        <f t="shared" si="83"/>
        <v>0.23891901388880066</v>
      </c>
      <c r="M543">
        <f t="shared" si="77"/>
        <v>1</v>
      </c>
      <c r="N543">
        <f t="shared" si="84"/>
        <v>4</v>
      </c>
      <c r="O543">
        <f t="shared" si="85"/>
        <v>45</v>
      </c>
      <c r="P543">
        <f t="shared" si="78"/>
        <v>0</v>
      </c>
      <c r="R543">
        <f t="shared" si="79"/>
        <v>0</v>
      </c>
      <c r="S543">
        <f t="shared" si="80"/>
        <v>0</v>
      </c>
      <c r="T543">
        <f t="shared" si="81"/>
        <v>0</v>
      </c>
    </row>
    <row r="544" spans="10:20" x14ac:dyDescent="0.25">
      <c r="J544">
        <v>0.60880288962575335</v>
      </c>
      <c r="K544">
        <f t="shared" si="82"/>
        <v>0</v>
      </c>
      <c r="L544">
        <f t="shared" si="83"/>
        <v>0</v>
      </c>
      <c r="M544">
        <f t="shared" si="77"/>
        <v>0</v>
      </c>
      <c r="N544">
        <f t="shared" si="84"/>
        <v>5</v>
      </c>
      <c r="O544">
        <f t="shared" si="85"/>
        <v>45</v>
      </c>
      <c r="P544">
        <f t="shared" si="78"/>
        <v>0</v>
      </c>
      <c r="R544">
        <f t="shared" si="79"/>
        <v>0</v>
      </c>
      <c r="S544">
        <f t="shared" si="80"/>
        <v>0</v>
      </c>
      <c r="T544">
        <f t="shared" si="81"/>
        <v>0</v>
      </c>
    </row>
    <row r="545" spans="10:20" x14ac:dyDescent="0.25">
      <c r="J545">
        <v>0.55704450754202339</v>
      </c>
      <c r="K545">
        <f t="shared" si="82"/>
        <v>1</v>
      </c>
      <c r="L545">
        <f t="shared" si="83"/>
        <v>0.55704450754202339</v>
      </c>
      <c r="M545">
        <f t="shared" si="77"/>
        <v>1</v>
      </c>
      <c r="N545">
        <f t="shared" si="84"/>
        <v>5</v>
      </c>
      <c r="O545">
        <f t="shared" si="85"/>
        <v>45</v>
      </c>
      <c r="P545">
        <f t="shared" si="78"/>
        <v>0</v>
      </c>
      <c r="R545">
        <f t="shared" si="79"/>
        <v>0</v>
      </c>
      <c r="S545">
        <f t="shared" si="80"/>
        <v>0</v>
      </c>
      <c r="T545">
        <f t="shared" si="81"/>
        <v>0</v>
      </c>
    </row>
    <row r="546" spans="10:20" x14ac:dyDescent="0.25">
      <c r="J546">
        <v>0.39648979653490457</v>
      </c>
      <c r="K546">
        <f t="shared" si="82"/>
        <v>0</v>
      </c>
      <c r="L546">
        <f t="shared" si="83"/>
        <v>0</v>
      </c>
      <c r="M546">
        <f t="shared" si="77"/>
        <v>0</v>
      </c>
      <c r="N546">
        <f t="shared" si="84"/>
        <v>6</v>
      </c>
      <c r="O546">
        <f t="shared" si="85"/>
        <v>45</v>
      </c>
      <c r="P546">
        <f t="shared" si="78"/>
        <v>0</v>
      </c>
      <c r="R546">
        <f t="shared" si="79"/>
        <v>0</v>
      </c>
      <c r="S546">
        <f t="shared" si="80"/>
        <v>0</v>
      </c>
      <c r="T546">
        <f t="shared" si="81"/>
        <v>0</v>
      </c>
    </row>
    <row r="547" spans="10:20" x14ac:dyDescent="0.25">
      <c r="J547">
        <v>7.8840049798918788E-2</v>
      </c>
      <c r="K547">
        <f t="shared" si="82"/>
        <v>1</v>
      </c>
      <c r="L547">
        <f t="shared" si="83"/>
        <v>7.8840049798918788E-2</v>
      </c>
      <c r="M547">
        <f t="shared" si="77"/>
        <v>1</v>
      </c>
      <c r="N547">
        <f t="shared" si="84"/>
        <v>6</v>
      </c>
      <c r="O547">
        <f t="shared" si="85"/>
        <v>45</v>
      </c>
      <c r="P547">
        <f t="shared" si="78"/>
        <v>0</v>
      </c>
      <c r="R547">
        <f t="shared" si="79"/>
        <v>0</v>
      </c>
      <c r="S547">
        <f t="shared" si="80"/>
        <v>0</v>
      </c>
      <c r="T547">
        <f t="shared" si="81"/>
        <v>0</v>
      </c>
    </row>
    <row r="548" spans="10:20" x14ac:dyDescent="0.25">
      <c r="J548">
        <v>0.60799237204076051</v>
      </c>
      <c r="K548">
        <f t="shared" si="82"/>
        <v>0</v>
      </c>
      <c r="L548">
        <f t="shared" si="83"/>
        <v>0</v>
      </c>
      <c r="M548">
        <f t="shared" si="77"/>
        <v>0</v>
      </c>
      <c r="N548">
        <f t="shared" si="84"/>
        <v>7</v>
      </c>
      <c r="O548">
        <f t="shared" si="85"/>
        <v>45</v>
      </c>
      <c r="P548">
        <f t="shared" si="78"/>
        <v>0</v>
      </c>
      <c r="R548">
        <f t="shared" si="79"/>
        <v>0</v>
      </c>
      <c r="S548">
        <f t="shared" si="80"/>
        <v>0</v>
      </c>
      <c r="T548">
        <f t="shared" si="81"/>
        <v>0</v>
      </c>
    </row>
    <row r="549" spans="10:20" x14ac:dyDescent="0.25">
      <c r="J549">
        <v>0.743499015951949</v>
      </c>
      <c r="K549">
        <f t="shared" si="82"/>
        <v>1</v>
      </c>
      <c r="L549">
        <f t="shared" si="83"/>
        <v>0.743499015951949</v>
      </c>
      <c r="M549">
        <f t="shared" si="77"/>
        <v>1</v>
      </c>
      <c r="N549">
        <f t="shared" si="84"/>
        <v>1</v>
      </c>
      <c r="O549">
        <f t="shared" si="85"/>
        <v>46</v>
      </c>
      <c r="P549">
        <f t="shared" si="78"/>
        <v>0</v>
      </c>
      <c r="R549">
        <f t="shared" si="79"/>
        <v>0</v>
      </c>
      <c r="S549">
        <f t="shared" si="80"/>
        <v>0</v>
      </c>
      <c r="T549">
        <f t="shared" si="81"/>
        <v>0</v>
      </c>
    </row>
    <row r="550" spans="10:20" x14ac:dyDescent="0.25">
      <c r="J550">
        <v>0.5867613942648815</v>
      </c>
      <c r="K550">
        <f t="shared" si="82"/>
        <v>0</v>
      </c>
      <c r="L550">
        <f t="shared" si="83"/>
        <v>0</v>
      </c>
      <c r="M550">
        <f t="shared" si="77"/>
        <v>0</v>
      </c>
      <c r="N550">
        <f t="shared" si="84"/>
        <v>2</v>
      </c>
      <c r="O550">
        <f t="shared" si="85"/>
        <v>46</v>
      </c>
      <c r="P550">
        <f t="shared" si="78"/>
        <v>0</v>
      </c>
      <c r="R550">
        <f t="shared" si="79"/>
        <v>0</v>
      </c>
      <c r="S550">
        <f t="shared" si="80"/>
        <v>0</v>
      </c>
      <c r="T550">
        <f t="shared" si="81"/>
        <v>0</v>
      </c>
    </row>
    <row r="551" spans="10:20" x14ac:dyDescent="0.25">
      <c r="J551">
        <v>0.17687490095866987</v>
      </c>
      <c r="K551">
        <f t="shared" si="82"/>
        <v>1</v>
      </c>
      <c r="L551">
        <f t="shared" si="83"/>
        <v>0.17687490095866987</v>
      </c>
      <c r="M551">
        <f t="shared" si="77"/>
        <v>1</v>
      </c>
      <c r="N551">
        <f t="shared" si="84"/>
        <v>2</v>
      </c>
      <c r="O551">
        <f t="shared" si="85"/>
        <v>46</v>
      </c>
      <c r="P551">
        <f t="shared" si="78"/>
        <v>0</v>
      </c>
      <c r="R551">
        <f t="shared" si="79"/>
        <v>0</v>
      </c>
      <c r="S551">
        <f t="shared" si="80"/>
        <v>0</v>
      </c>
      <c r="T551">
        <f t="shared" si="81"/>
        <v>0</v>
      </c>
    </row>
    <row r="552" spans="10:20" x14ac:dyDescent="0.25">
      <c r="J552">
        <v>0.9163070177914221</v>
      </c>
      <c r="K552">
        <f t="shared" si="82"/>
        <v>0</v>
      </c>
      <c r="L552">
        <f t="shared" si="83"/>
        <v>0</v>
      </c>
      <c r="M552">
        <f t="shared" si="77"/>
        <v>0</v>
      </c>
      <c r="N552">
        <f t="shared" si="84"/>
        <v>3</v>
      </c>
      <c r="O552">
        <f t="shared" si="85"/>
        <v>46</v>
      </c>
      <c r="P552">
        <f t="shared" si="78"/>
        <v>0</v>
      </c>
      <c r="R552">
        <f t="shared" si="79"/>
        <v>0</v>
      </c>
      <c r="S552">
        <f t="shared" si="80"/>
        <v>0</v>
      </c>
      <c r="T552">
        <f t="shared" si="81"/>
        <v>0</v>
      </c>
    </row>
    <row r="553" spans="10:20" x14ac:dyDescent="0.25">
      <c r="J553">
        <v>0.78724696877224332</v>
      </c>
      <c r="K553">
        <f t="shared" si="82"/>
        <v>1</v>
      </c>
      <c r="L553">
        <f t="shared" si="83"/>
        <v>0.78724696877224332</v>
      </c>
      <c r="M553">
        <f t="shared" si="77"/>
        <v>1</v>
      </c>
      <c r="N553">
        <f t="shared" si="84"/>
        <v>3</v>
      </c>
      <c r="O553">
        <f t="shared" si="85"/>
        <v>46</v>
      </c>
      <c r="P553">
        <f t="shared" si="78"/>
        <v>0</v>
      </c>
      <c r="R553">
        <f t="shared" si="79"/>
        <v>0</v>
      </c>
      <c r="S553">
        <f t="shared" si="80"/>
        <v>0</v>
      </c>
      <c r="T553">
        <f t="shared" si="81"/>
        <v>0</v>
      </c>
    </row>
    <row r="554" spans="10:20" x14ac:dyDescent="0.25">
      <c r="J554">
        <v>0.76816380215450908</v>
      </c>
      <c r="K554">
        <f t="shared" si="82"/>
        <v>0</v>
      </c>
      <c r="L554">
        <f t="shared" si="83"/>
        <v>0</v>
      </c>
      <c r="M554">
        <f t="shared" si="77"/>
        <v>0</v>
      </c>
      <c r="N554">
        <f t="shared" si="84"/>
        <v>4</v>
      </c>
      <c r="O554">
        <f t="shared" si="85"/>
        <v>46</v>
      </c>
      <c r="P554">
        <f t="shared" si="78"/>
        <v>0</v>
      </c>
      <c r="R554">
        <f t="shared" si="79"/>
        <v>0</v>
      </c>
      <c r="S554">
        <f t="shared" si="80"/>
        <v>0</v>
      </c>
      <c r="T554">
        <f t="shared" si="81"/>
        <v>0</v>
      </c>
    </row>
    <row r="555" spans="10:20" x14ac:dyDescent="0.25">
      <c r="J555">
        <v>0.90424407841645538</v>
      </c>
      <c r="K555">
        <f t="shared" si="82"/>
        <v>1</v>
      </c>
      <c r="L555">
        <f t="shared" si="83"/>
        <v>0.90424407841645538</v>
      </c>
      <c r="M555">
        <f t="shared" si="77"/>
        <v>1</v>
      </c>
      <c r="N555">
        <f t="shared" si="84"/>
        <v>4</v>
      </c>
      <c r="O555">
        <f t="shared" si="85"/>
        <v>46</v>
      </c>
      <c r="P555">
        <f t="shared" si="78"/>
        <v>0</v>
      </c>
      <c r="R555">
        <f t="shared" si="79"/>
        <v>0</v>
      </c>
      <c r="S555">
        <f t="shared" si="80"/>
        <v>0</v>
      </c>
      <c r="T555">
        <f t="shared" si="81"/>
        <v>0</v>
      </c>
    </row>
    <row r="556" spans="10:20" x14ac:dyDescent="0.25">
      <c r="J556">
        <v>0.67655553678412639</v>
      </c>
      <c r="K556">
        <f t="shared" si="82"/>
        <v>0</v>
      </c>
      <c r="L556">
        <f t="shared" si="83"/>
        <v>0</v>
      </c>
      <c r="M556">
        <f t="shared" si="77"/>
        <v>0</v>
      </c>
      <c r="N556">
        <f t="shared" si="84"/>
        <v>5</v>
      </c>
      <c r="O556">
        <f t="shared" si="85"/>
        <v>46</v>
      </c>
      <c r="P556">
        <f t="shared" si="78"/>
        <v>0</v>
      </c>
      <c r="R556">
        <f t="shared" si="79"/>
        <v>0</v>
      </c>
      <c r="S556">
        <f t="shared" si="80"/>
        <v>0</v>
      </c>
      <c r="T556">
        <f t="shared" si="81"/>
        <v>0</v>
      </c>
    </row>
    <row r="557" spans="10:20" x14ac:dyDescent="0.25">
      <c r="J557">
        <v>0.67620117332854601</v>
      </c>
      <c r="K557">
        <f t="shared" si="82"/>
        <v>1</v>
      </c>
      <c r="L557">
        <f t="shared" si="83"/>
        <v>0.67620117332854601</v>
      </c>
      <c r="M557">
        <f t="shared" si="77"/>
        <v>1</v>
      </c>
      <c r="N557">
        <f t="shared" si="84"/>
        <v>5</v>
      </c>
      <c r="O557">
        <f t="shared" si="85"/>
        <v>46</v>
      </c>
      <c r="P557">
        <f t="shared" si="78"/>
        <v>0</v>
      </c>
      <c r="R557">
        <f t="shared" si="79"/>
        <v>0</v>
      </c>
      <c r="S557">
        <f t="shared" si="80"/>
        <v>0</v>
      </c>
      <c r="T557">
        <f t="shared" si="81"/>
        <v>0</v>
      </c>
    </row>
    <row r="558" spans="10:20" x14ac:dyDescent="0.25">
      <c r="J558">
        <v>0.71132726005810276</v>
      </c>
      <c r="K558">
        <f t="shared" si="82"/>
        <v>0</v>
      </c>
      <c r="L558">
        <f t="shared" si="83"/>
        <v>0</v>
      </c>
      <c r="M558">
        <f t="shared" si="77"/>
        <v>0</v>
      </c>
      <c r="N558">
        <f t="shared" si="84"/>
        <v>6</v>
      </c>
      <c r="O558">
        <f t="shared" si="85"/>
        <v>46</v>
      </c>
      <c r="P558">
        <f t="shared" si="78"/>
        <v>0</v>
      </c>
      <c r="R558">
        <f t="shared" si="79"/>
        <v>0</v>
      </c>
      <c r="S558">
        <f t="shared" si="80"/>
        <v>0</v>
      </c>
      <c r="T558">
        <f t="shared" si="81"/>
        <v>0</v>
      </c>
    </row>
    <row r="559" spans="10:20" x14ac:dyDescent="0.25">
      <c r="J559">
        <v>0.60448644105436899</v>
      </c>
      <c r="K559">
        <f t="shared" si="82"/>
        <v>1</v>
      </c>
      <c r="L559">
        <f t="shared" si="83"/>
        <v>0.60448644105436899</v>
      </c>
      <c r="M559">
        <f t="shared" si="77"/>
        <v>1</v>
      </c>
      <c r="N559">
        <f t="shared" si="84"/>
        <v>6</v>
      </c>
      <c r="O559">
        <f t="shared" si="85"/>
        <v>46</v>
      </c>
      <c r="P559">
        <f t="shared" si="78"/>
        <v>0</v>
      </c>
      <c r="R559">
        <f t="shared" si="79"/>
        <v>0</v>
      </c>
      <c r="S559">
        <f t="shared" si="80"/>
        <v>0</v>
      </c>
      <c r="T559">
        <f t="shared" si="81"/>
        <v>0</v>
      </c>
    </row>
    <row r="560" spans="10:20" x14ac:dyDescent="0.25">
      <c r="J560">
        <v>0.111095733731712</v>
      </c>
      <c r="K560">
        <f t="shared" si="82"/>
        <v>0</v>
      </c>
      <c r="L560">
        <f t="shared" si="83"/>
        <v>0</v>
      </c>
      <c r="M560">
        <f t="shared" si="77"/>
        <v>0</v>
      </c>
      <c r="N560">
        <f t="shared" si="84"/>
        <v>7</v>
      </c>
      <c r="O560">
        <f t="shared" si="85"/>
        <v>46</v>
      </c>
      <c r="P560">
        <f t="shared" si="78"/>
        <v>0</v>
      </c>
      <c r="R560">
        <f t="shared" si="79"/>
        <v>0</v>
      </c>
      <c r="S560">
        <f t="shared" si="80"/>
        <v>0</v>
      </c>
      <c r="T560">
        <f t="shared" si="81"/>
        <v>0</v>
      </c>
    </row>
    <row r="561" spans="10:20" x14ac:dyDescent="0.25">
      <c r="J561">
        <v>0.7250286411936796</v>
      </c>
      <c r="K561">
        <f t="shared" si="82"/>
        <v>1</v>
      </c>
      <c r="L561">
        <f t="shared" si="83"/>
        <v>0.7250286411936796</v>
      </c>
      <c r="M561">
        <f t="shared" si="77"/>
        <v>1</v>
      </c>
      <c r="N561">
        <f t="shared" si="84"/>
        <v>1</v>
      </c>
      <c r="O561">
        <f t="shared" si="85"/>
        <v>47</v>
      </c>
      <c r="P561">
        <f t="shared" si="78"/>
        <v>0</v>
      </c>
      <c r="R561">
        <f t="shared" si="79"/>
        <v>0</v>
      </c>
      <c r="S561">
        <f t="shared" si="80"/>
        <v>0</v>
      </c>
      <c r="T561">
        <f t="shared" si="81"/>
        <v>0</v>
      </c>
    </row>
    <row r="562" spans="10:20" x14ac:dyDescent="0.25">
      <c r="J562">
        <v>0.91842990889609522</v>
      </c>
      <c r="K562">
        <f t="shared" si="82"/>
        <v>0</v>
      </c>
      <c r="L562">
        <f t="shared" si="83"/>
        <v>0</v>
      </c>
      <c r="M562">
        <f t="shared" si="77"/>
        <v>0</v>
      </c>
      <c r="N562">
        <f t="shared" si="84"/>
        <v>2</v>
      </c>
      <c r="O562">
        <f t="shared" si="85"/>
        <v>47</v>
      </c>
      <c r="P562">
        <f t="shared" si="78"/>
        <v>0</v>
      </c>
      <c r="R562">
        <f t="shared" si="79"/>
        <v>0</v>
      </c>
      <c r="S562">
        <f t="shared" si="80"/>
        <v>0</v>
      </c>
      <c r="T562">
        <f t="shared" si="81"/>
        <v>0</v>
      </c>
    </row>
    <row r="563" spans="10:20" x14ac:dyDescent="0.25">
      <c r="J563">
        <v>0.55272209782397541</v>
      </c>
      <c r="K563">
        <f t="shared" si="82"/>
        <v>1</v>
      </c>
      <c r="L563">
        <f t="shared" si="83"/>
        <v>0.55272209782397541</v>
      </c>
      <c r="M563">
        <f t="shared" si="77"/>
        <v>1</v>
      </c>
      <c r="N563">
        <f t="shared" si="84"/>
        <v>2</v>
      </c>
      <c r="O563">
        <f t="shared" si="85"/>
        <v>47</v>
      </c>
      <c r="P563">
        <f t="shared" si="78"/>
        <v>0</v>
      </c>
      <c r="R563">
        <f t="shared" si="79"/>
        <v>0</v>
      </c>
      <c r="S563">
        <f t="shared" si="80"/>
        <v>0</v>
      </c>
      <c r="T563">
        <f t="shared" si="81"/>
        <v>0</v>
      </c>
    </row>
    <row r="564" spans="10:20" x14ac:dyDescent="0.25">
      <c r="J564">
        <v>0.78220081814859155</v>
      </c>
      <c r="K564">
        <f t="shared" si="82"/>
        <v>0</v>
      </c>
      <c r="L564">
        <f t="shared" si="83"/>
        <v>0</v>
      </c>
      <c r="M564">
        <f t="shared" si="77"/>
        <v>0</v>
      </c>
      <c r="N564">
        <f t="shared" si="84"/>
        <v>3</v>
      </c>
      <c r="O564">
        <f t="shared" si="85"/>
        <v>47</v>
      </c>
      <c r="P564">
        <f t="shared" si="78"/>
        <v>0</v>
      </c>
      <c r="R564">
        <f t="shared" si="79"/>
        <v>0</v>
      </c>
      <c r="S564">
        <f t="shared" si="80"/>
        <v>0</v>
      </c>
      <c r="T564">
        <f t="shared" si="81"/>
        <v>0</v>
      </c>
    </row>
    <row r="565" spans="10:20" x14ac:dyDescent="0.25">
      <c r="J565">
        <v>0.89980202947634991</v>
      </c>
      <c r="K565">
        <f t="shared" si="82"/>
        <v>1</v>
      </c>
      <c r="L565">
        <f t="shared" si="83"/>
        <v>0.89980202947634991</v>
      </c>
      <c r="M565">
        <f t="shared" si="77"/>
        <v>1</v>
      </c>
      <c r="N565">
        <f t="shared" si="84"/>
        <v>3</v>
      </c>
      <c r="O565">
        <f t="shared" si="85"/>
        <v>47</v>
      </c>
      <c r="P565">
        <f t="shared" si="78"/>
        <v>0</v>
      </c>
      <c r="R565">
        <f t="shared" si="79"/>
        <v>0</v>
      </c>
      <c r="S565">
        <f t="shared" si="80"/>
        <v>0</v>
      </c>
      <c r="T565">
        <f t="shared" si="81"/>
        <v>0</v>
      </c>
    </row>
    <row r="566" spans="10:20" x14ac:dyDescent="0.25">
      <c r="J566">
        <v>0.10096982315434566</v>
      </c>
      <c r="K566">
        <f t="shared" si="82"/>
        <v>0</v>
      </c>
      <c r="L566">
        <f t="shared" si="83"/>
        <v>0</v>
      </c>
      <c r="M566">
        <f t="shared" si="77"/>
        <v>0</v>
      </c>
      <c r="N566">
        <f t="shared" si="84"/>
        <v>4</v>
      </c>
      <c r="O566">
        <f t="shared" si="85"/>
        <v>47</v>
      </c>
      <c r="P566">
        <f t="shared" si="78"/>
        <v>0</v>
      </c>
      <c r="R566">
        <f t="shared" si="79"/>
        <v>0</v>
      </c>
      <c r="S566">
        <f t="shared" si="80"/>
        <v>0</v>
      </c>
      <c r="T566">
        <f t="shared" si="81"/>
        <v>0</v>
      </c>
    </row>
    <row r="567" spans="10:20" x14ac:dyDescent="0.25">
      <c r="J567">
        <v>0.75020017409034712</v>
      </c>
      <c r="K567">
        <f t="shared" si="82"/>
        <v>1</v>
      </c>
      <c r="L567">
        <f t="shared" si="83"/>
        <v>0.75020017409034712</v>
      </c>
      <c r="M567">
        <f t="shared" si="77"/>
        <v>1</v>
      </c>
      <c r="N567">
        <f t="shared" si="84"/>
        <v>4</v>
      </c>
      <c r="O567">
        <f t="shared" si="85"/>
        <v>47</v>
      </c>
      <c r="P567">
        <f t="shared" si="78"/>
        <v>0</v>
      </c>
      <c r="R567">
        <f t="shared" si="79"/>
        <v>0</v>
      </c>
      <c r="S567">
        <f t="shared" si="80"/>
        <v>0</v>
      </c>
      <c r="T567">
        <f t="shared" si="81"/>
        <v>0</v>
      </c>
    </row>
    <row r="568" spans="10:20" x14ac:dyDescent="0.25">
      <c r="J568">
        <v>0.34510529009362578</v>
      </c>
      <c r="K568">
        <f t="shared" si="82"/>
        <v>0</v>
      </c>
      <c r="L568">
        <f t="shared" si="83"/>
        <v>0</v>
      </c>
      <c r="M568">
        <f t="shared" si="77"/>
        <v>0</v>
      </c>
      <c r="N568">
        <f t="shared" si="84"/>
        <v>5</v>
      </c>
      <c r="O568">
        <f t="shared" si="85"/>
        <v>47</v>
      </c>
      <c r="P568">
        <f t="shared" si="78"/>
        <v>0</v>
      </c>
      <c r="R568">
        <f t="shared" si="79"/>
        <v>0</v>
      </c>
      <c r="S568">
        <f t="shared" si="80"/>
        <v>0</v>
      </c>
      <c r="T568">
        <f t="shared" si="81"/>
        <v>0</v>
      </c>
    </row>
    <row r="569" spans="10:20" x14ac:dyDescent="0.25">
      <c r="J569">
        <v>0.68807778384963947</v>
      </c>
      <c r="K569">
        <f t="shared" si="82"/>
        <v>1</v>
      </c>
      <c r="L569">
        <f t="shared" si="83"/>
        <v>0.68807778384963947</v>
      </c>
      <c r="M569">
        <f t="shared" si="77"/>
        <v>1</v>
      </c>
      <c r="N569">
        <f t="shared" si="84"/>
        <v>5</v>
      </c>
      <c r="O569">
        <f t="shared" si="85"/>
        <v>47</v>
      </c>
      <c r="P569">
        <f t="shared" si="78"/>
        <v>0</v>
      </c>
      <c r="R569">
        <f t="shared" si="79"/>
        <v>0</v>
      </c>
      <c r="S569">
        <f t="shared" si="80"/>
        <v>0</v>
      </c>
      <c r="T569">
        <f t="shared" si="81"/>
        <v>0</v>
      </c>
    </row>
    <row r="570" spans="10:20" x14ac:dyDescent="0.25">
      <c r="J570">
        <v>0.8699362907281537</v>
      </c>
      <c r="K570">
        <f t="shared" si="82"/>
        <v>0</v>
      </c>
      <c r="L570">
        <f t="shared" si="83"/>
        <v>0</v>
      </c>
      <c r="M570">
        <f t="shared" si="77"/>
        <v>0</v>
      </c>
      <c r="N570">
        <f t="shared" si="84"/>
        <v>6</v>
      </c>
      <c r="O570">
        <f t="shared" si="85"/>
        <v>47</v>
      </c>
      <c r="P570">
        <f t="shared" si="78"/>
        <v>0</v>
      </c>
      <c r="R570">
        <f t="shared" si="79"/>
        <v>0</v>
      </c>
      <c r="S570">
        <f t="shared" si="80"/>
        <v>0</v>
      </c>
      <c r="T570">
        <f t="shared" si="81"/>
        <v>0</v>
      </c>
    </row>
    <row r="571" spans="10:20" x14ac:dyDescent="0.25">
      <c r="J571">
        <v>0.50715415046184809</v>
      </c>
      <c r="K571">
        <f t="shared" si="82"/>
        <v>1</v>
      </c>
      <c r="L571">
        <f t="shared" si="83"/>
        <v>0.50715415046184809</v>
      </c>
      <c r="M571">
        <f t="shared" si="77"/>
        <v>1</v>
      </c>
      <c r="N571">
        <f t="shared" si="84"/>
        <v>6</v>
      </c>
      <c r="O571">
        <f t="shared" si="85"/>
        <v>47</v>
      </c>
      <c r="P571">
        <f t="shared" si="78"/>
        <v>0</v>
      </c>
      <c r="R571">
        <f t="shared" si="79"/>
        <v>0</v>
      </c>
      <c r="S571">
        <f t="shared" si="80"/>
        <v>0</v>
      </c>
      <c r="T571">
        <f t="shared" si="81"/>
        <v>0</v>
      </c>
    </row>
    <row r="572" spans="10:20" x14ac:dyDescent="0.25">
      <c r="J572">
        <v>0.64020659251876788</v>
      </c>
      <c r="K572">
        <f t="shared" si="82"/>
        <v>0</v>
      </c>
      <c r="L572">
        <f t="shared" si="83"/>
        <v>0</v>
      </c>
      <c r="M572">
        <f t="shared" si="77"/>
        <v>0</v>
      </c>
      <c r="N572">
        <f t="shared" si="84"/>
        <v>7</v>
      </c>
      <c r="O572">
        <f t="shared" si="85"/>
        <v>47</v>
      </c>
      <c r="P572">
        <f t="shared" si="78"/>
        <v>0</v>
      </c>
      <c r="R572">
        <f t="shared" si="79"/>
        <v>0</v>
      </c>
      <c r="S572">
        <f t="shared" si="80"/>
        <v>0</v>
      </c>
      <c r="T572">
        <f t="shared" si="81"/>
        <v>0</v>
      </c>
    </row>
    <row r="573" spans="10:20" x14ac:dyDescent="0.25">
      <c r="J573">
        <v>0.42403346614470505</v>
      </c>
      <c r="K573">
        <f t="shared" si="82"/>
        <v>1</v>
      </c>
      <c r="L573">
        <f t="shared" si="83"/>
        <v>0.42403346614470505</v>
      </c>
      <c r="M573">
        <f t="shared" si="77"/>
        <v>1</v>
      </c>
      <c r="N573">
        <f t="shared" si="84"/>
        <v>1</v>
      </c>
      <c r="O573">
        <f t="shared" si="85"/>
        <v>48</v>
      </c>
      <c r="P573">
        <f t="shared" si="78"/>
        <v>0</v>
      </c>
      <c r="R573">
        <f t="shared" si="79"/>
        <v>0</v>
      </c>
      <c r="S573">
        <f t="shared" si="80"/>
        <v>0</v>
      </c>
      <c r="T573">
        <f t="shared" si="81"/>
        <v>0</v>
      </c>
    </row>
    <row r="574" spans="10:20" x14ac:dyDescent="0.25">
      <c r="J574">
        <v>0.19220129491795934</v>
      </c>
      <c r="K574">
        <f t="shared" si="82"/>
        <v>0</v>
      </c>
      <c r="L574">
        <f t="shared" si="83"/>
        <v>0</v>
      </c>
      <c r="M574">
        <f t="shared" si="77"/>
        <v>0</v>
      </c>
      <c r="N574">
        <f t="shared" si="84"/>
        <v>2</v>
      </c>
      <c r="O574">
        <f t="shared" si="85"/>
        <v>48</v>
      </c>
      <c r="P574">
        <f t="shared" si="78"/>
        <v>0</v>
      </c>
      <c r="R574">
        <f t="shared" si="79"/>
        <v>0</v>
      </c>
      <c r="S574">
        <f t="shared" si="80"/>
        <v>0</v>
      </c>
      <c r="T574">
        <f t="shared" si="81"/>
        <v>0</v>
      </c>
    </row>
    <row r="575" spans="10:20" x14ac:dyDescent="0.25">
      <c r="J575">
        <v>0.74997985680361257</v>
      </c>
      <c r="K575">
        <f t="shared" si="82"/>
        <v>1</v>
      </c>
      <c r="L575">
        <f t="shared" si="83"/>
        <v>0.74997985680361257</v>
      </c>
      <c r="M575">
        <f t="shared" si="77"/>
        <v>1</v>
      </c>
      <c r="N575">
        <f t="shared" si="84"/>
        <v>2</v>
      </c>
      <c r="O575">
        <f t="shared" si="85"/>
        <v>48</v>
      </c>
      <c r="P575">
        <f t="shared" si="78"/>
        <v>0</v>
      </c>
      <c r="R575">
        <f t="shared" si="79"/>
        <v>0</v>
      </c>
      <c r="S575">
        <f t="shared" si="80"/>
        <v>0</v>
      </c>
      <c r="T575">
        <f t="shared" si="81"/>
        <v>0</v>
      </c>
    </row>
    <row r="576" spans="10:20" x14ac:dyDescent="0.25">
      <c r="J576">
        <v>0.72308936907309074</v>
      </c>
      <c r="K576">
        <f t="shared" si="82"/>
        <v>0</v>
      </c>
      <c r="L576">
        <f t="shared" si="83"/>
        <v>0</v>
      </c>
      <c r="M576">
        <f t="shared" si="77"/>
        <v>0</v>
      </c>
      <c r="N576">
        <f t="shared" si="84"/>
        <v>3</v>
      </c>
      <c r="O576">
        <f t="shared" si="85"/>
        <v>48</v>
      </c>
      <c r="P576">
        <f t="shared" si="78"/>
        <v>0</v>
      </c>
      <c r="R576">
        <f t="shared" si="79"/>
        <v>0</v>
      </c>
      <c r="S576">
        <f t="shared" si="80"/>
        <v>0</v>
      </c>
      <c r="T576">
        <f t="shared" si="81"/>
        <v>0</v>
      </c>
    </row>
    <row r="577" spans="10:20" x14ac:dyDescent="0.25">
      <c r="J577">
        <v>0.11577911049165757</v>
      </c>
      <c r="K577">
        <f t="shared" si="82"/>
        <v>1</v>
      </c>
      <c r="L577">
        <f t="shared" si="83"/>
        <v>0.11577911049165757</v>
      </c>
      <c r="M577">
        <f t="shared" si="77"/>
        <v>1</v>
      </c>
      <c r="N577">
        <f t="shared" si="84"/>
        <v>3</v>
      </c>
      <c r="O577">
        <f t="shared" si="85"/>
        <v>48</v>
      </c>
      <c r="P577">
        <f t="shared" si="78"/>
        <v>0</v>
      </c>
      <c r="R577">
        <f t="shared" si="79"/>
        <v>0</v>
      </c>
      <c r="S577">
        <f t="shared" si="80"/>
        <v>0</v>
      </c>
      <c r="T577">
        <f t="shared" si="81"/>
        <v>0</v>
      </c>
    </row>
    <row r="578" spans="10:20" x14ac:dyDescent="0.25">
      <c r="J578">
        <v>0.90547012877676369</v>
      </c>
      <c r="K578">
        <f t="shared" si="82"/>
        <v>0</v>
      </c>
      <c r="L578">
        <f t="shared" si="83"/>
        <v>0</v>
      </c>
      <c r="M578">
        <f t="shared" si="77"/>
        <v>0</v>
      </c>
      <c r="N578">
        <f t="shared" si="84"/>
        <v>4</v>
      </c>
      <c r="O578">
        <f t="shared" si="85"/>
        <v>48</v>
      </c>
      <c r="P578">
        <f t="shared" si="78"/>
        <v>0</v>
      </c>
      <c r="R578">
        <f t="shared" si="79"/>
        <v>0</v>
      </c>
      <c r="S578">
        <f t="shared" si="80"/>
        <v>0</v>
      </c>
      <c r="T578">
        <f t="shared" si="81"/>
        <v>0</v>
      </c>
    </row>
    <row r="579" spans="10:20" x14ac:dyDescent="0.25">
      <c r="J579">
        <v>0.95001191072064251</v>
      </c>
      <c r="K579">
        <f t="shared" si="82"/>
        <v>1</v>
      </c>
      <c r="L579">
        <f t="shared" si="83"/>
        <v>0.95001191072064251</v>
      </c>
      <c r="M579">
        <f t="shared" si="77"/>
        <v>1</v>
      </c>
      <c r="N579">
        <f t="shared" si="84"/>
        <v>4</v>
      </c>
      <c r="O579">
        <f t="shared" si="85"/>
        <v>48</v>
      </c>
      <c r="P579">
        <f t="shared" si="78"/>
        <v>0</v>
      </c>
      <c r="R579">
        <f t="shared" si="79"/>
        <v>0</v>
      </c>
      <c r="S579">
        <f t="shared" si="80"/>
        <v>0</v>
      </c>
      <c r="T579">
        <f t="shared" si="81"/>
        <v>0</v>
      </c>
    </row>
    <row r="580" spans="10:20" x14ac:dyDescent="0.25">
      <c r="J580">
        <v>0.98031492909832663</v>
      </c>
      <c r="K580">
        <f t="shared" si="82"/>
        <v>0</v>
      </c>
      <c r="L580">
        <f t="shared" si="83"/>
        <v>0</v>
      </c>
      <c r="M580">
        <f t="shared" si="77"/>
        <v>0</v>
      </c>
      <c r="N580">
        <f t="shared" si="84"/>
        <v>5</v>
      </c>
      <c r="O580">
        <f t="shared" si="85"/>
        <v>48</v>
      </c>
      <c r="P580">
        <f t="shared" si="78"/>
        <v>0</v>
      </c>
      <c r="R580">
        <f t="shared" si="79"/>
        <v>0</v>
      </c>
      <c r="S580">
        <f t="shared" si="80"/>
        <v>0</v>
      </c>
      <c r="T580">
        <f t="shared" si="81"/>
        <v>0</v>
      </c>
    </row>
    <row r="581" spans="10:20" x14ac:dyDescent="0.25">
      <c r="J581">
        <v>0.28542056977698416</v>
      </c>
      <c r="K581">
        <f t="shared" si="82"/>
        <v>1</v>
      </c>
      <c r="L581">
        <f t="shared" si="83"/>
        <v>0.28542056977698416</v>
      </c>
      <c r="M581">
        <f t="shared" si="77"/>
        <v>1</v>
      </c>
      <c r="N581">
        <f t="shared" si="84"/>
        <v>5</v>
      </c>
      <c r="O581">
        <f t="shared" si="85"/>
        <v>48</v>
      </c>
      <c r="P581">
        <f t="shared" si="78"/>
        <v>0</v>
      </c>
      <c r="R581">
        <f t="shared" si="79"/>
        <v>0</v>
      </c>
      <c r="S581">
        <f t="shared" si="80"/>
        <v>0</v>
      </c>
      <c r="T581">
        <f t="shared" si="81"/>
        <v>0</v>
      </c>
    </row>
    <row r="582" spans="10:20" x14ac:dyDescent="0.25">
      <c r="J582">
        <v>0.96266873849329671</v>
      </c>
      <c r="K582">
        <f t="shared" si="82"/>
        <v>0</v>
      </c>
      <c r="L582">
        <f t="shared" si="83"/>
        <v>0</v>
      </c>
      <c r="M582">
        <f t="shared" si="77"/>
        <v>0</v>
      </c>
      <c r="N582">
        <f t="shared" si="84"/>
        <v>6</v>
      </c>
      <c r="O582">
        <f t="shared" si="85"/>
        <v>48</v>
      </c>
      <c r="P582">
        <f t="shared" si="78"/>
        <v>0</v>
      </c>
      <c r="R582">
        <f t="shared" si="79"/>
        <v>0</v>
      </c>
      <c r="S582">
        <f t="shared" si="80"/>
        <v>0</v>
      </c>
      <c r="T582">
        <f t="shared" si="81"/>
        <v>0</v>
      </c>
    </row>
    <row r="583" spans="10:20" x14ac:dyDescent="0.25">
      <c r="J583">
        <v>0.98101781809650679</v>
      </c>
      <c r="K583">
        <f t="shared" si="82"/>
        <v>1</v>
      </c>
      <c r="L583">
        <f t="shared" si="83"/>
        <v>0.98101781809650679</v>
      </c>
      <c r="M583">
        <f t="shared" si="77"/>
        <v>1</v>
      </c>
      <c r="N583">
        <f t="shared" si="84"/>
        <v>6</v>
      </c>
      <c r="O583">
        <f t="shared" si="85"/>
        <v>48</v>
      </c>
      <c r="P583">
        <f t="shared" si="78"/>
        <v>0</v>
      </c>
      <c r="R583">
        <f t="shared" si="79"/>
        <v>0</v>
      </c>
      <c r="S583">
        <f t="shared" si="80"/>
        <v>0</v>
      </c>
      <c r="T583">
        <f t="shared" si="81"/>
        <v>0</v>
      </c>
    </row>
    <row r="584" spans="10:20" x14ac:dyDescent="0.25">
      <c r="J584">
        <v>2.8601206797377432E-2</v>
      </c>
      <c r="K584">
        <f t="shared" si="82"/>
        <v>0</v>
      </c>
      <c r="L584">
        <f t="shared" si="83"/>
        <v>0</v>
      </c>
      <c r="M584">
        <f t="shared" ref="M584:M647" si="86">IF(L584&gt;$M$2,1,0)</f>
        <v>0</v>
      </c>
      <c r="N584">
        <f t="shared" si="84"/>
        <v>7</v>
      </c>
      <c r="O584">
        <f t="shared" si="85"/>
        <v>48</v>
      </c>
      <c r="P584">
        <f t="shared" ref="P584:P647" si="87">IF(INDEX($B$7:$H$1029,O584,2)&gt;0,1,0)</f>
        <v>0</v>
      </c>
      <c r="R584">
        <f t="shared" ref="R584:R647" si="88">IF(  M584&gt;0,INDEX($B$7:$H$1029,O584,N584),0)*P584</f>
        <v>0</v>
      </c>
      <c r="S584">
        <f t="shared" ref="S584:S647" si="89">M584*P584</f>
        <v>0</v>
      </c>
      <c r="T584">
        <f t="shared" ref="T584:T647" si="90">IF(N585=$N$2,1,0)*P584</f>
        <v>0</v>
      </c>
    </row>
    <row r="585" spans="10:20" x14ac:dyDescent="0.25">
      <c r="J585">
        <v>0.63531406886220343</v>
      </c>
      <c r="K585">
        <f t="shared" si="82"/>
        <v>1</v>
      </c>
      <c r="L585">
        <f t="shared" si="83"/>
        <v>0.63531406886220343</v>
      </c>
      <c r="M585">
        <f t="shared" si="86"/>
        <v>1</v>
      </c>
      <c r="N585">
        <f t="shared" si="84"/>
        <v>1</v>
      </c>
      <c r="O585">
        <f t="shared" si="85"/>
        <v>49</v>
      </c>
      <c r="P585">
        <f t="shared" si="87"/>
        <v>0</v>
      </c>
      <c r="R585">
        <f t="shared" si="88"/>
        <v>0</v>
      </c>
      <c r="S585">
        <f t="shared" si="89"/>
        <v>0</v>
      </c>
      <c r="T585">
        <f t="shared" si="90"/>
        <v>0</v>
      </c>
    </row>
    <row r="586" spans="10:20" x14ac:dyDescent="0.25">
      <c r="J586">
        <v>0.76228779104240074</v>
      </c>
      <c r="K586">
        <f t="shared" si="82"/>
        <v>0</v>
      </c>
      <c r="L586">
        <f t="shared" si="83"/>
        <v>0</v>
      </c>
      <c r="M586">
        <f t="shared" si="86"/>
        <v>0</v>
      </c>
      <c r="N586">
        <f t="shared" si="84"/>
        <v>2</v>
      </c>
      <c r="O586">
        <f t="shared" si="85"/>
        <v>49</v>
      </c>
      <c r="P586">
        <f t="shared" si="87"/>
        <v>0</v>
      </c>
      <c r="R586">
        <f t="shared" si="88"/>
        <v>0</v>
      </c>
      <c r="S586">
        <f t="shared" si="89"/>
        <v>0</v>
      </c>
      <c r="T586">
        <f t="shared" si="90"/>
        <v>0</v>
      </c>
    </row>
    <row r="587" spans="10:20" x14ac:dyDescent="0.25">
      <c r="J587">
        <v>0.43249128873614828</v>
      </c>
      <c r="K587">
        <f t="shared" si="82"/>
        <v>1</v>
      </c>
      <c r="L587">
        <f t="shared" si="83"/>
        <v>0.43249128873614828</v>
      </c>
      <c r="M587">
        <f t="shared" si="86"/>
        <v>1</v>
      </c>
      <c r="N587">
        <f t="shared" si="84"/>
        <v>2</v>
      </c>
      <c r="O587">
        <f t="shared" si="85"/>
        <v>49</v>
      </c>
      <c r="P587">
        <f t="shared" si="87"/>
        <v>0</v>
      </c>
      <c r="R587">
        <f t="shared" si="88"/>
        <v>0</v>
      </c>
      <c r="S587">
        <f t="shared" si="89"/>
        <v>0</v>
      </c>
      <c r="T587">
        <f t="shared" si="90"/>
        <v>0</v>
      </c>
    </row>
    <row r="588" spans="10:20" x14ac:dyDescent="0.25">
      <c r="J588">
        <v>5.1057644688865533E-3</v>
      </c>
      <c r="K588">
        <f t="shared" si="82"/>
        <v>0</v>
      </c>
      <c r="L588">
        <f t="shared" si="83"/>
        <v>0</v>
      </c>
      <c r="M588">
        <f t="shared" si="86"/>
        <v>0</v>
      </c>
      <c r="N588">
        <f t="shared" si="84"/>
        <v>3</v>
      </c>
      <c r="O588">
        <f t="shared" si="85"/>
        <v>49</v>
      </c>
      <c r="P588">
        <f t="shared" si="87"/>
        <v>0</v>
      </c>
      <c r="R588">
        <f t="shared" si="88"/>
        <v>0</v>
      </c>
      <c r="S588">
        <f t="shared" si="89"/>
        <v>0</v>
      </c>
      <c r="T588">
        <f t="shared" si="90"/>
        <v>0</v>
      </c>
    </row>
    <row r="589" spans="10:20" x14ac:dyDescent="0.25">
      <c r="J589">
        <v>2.4997888622566355E-2</v>
      </c>
      <c r="K589">
        <f t="shared" si="82"/>
        <v>1</v>
      </c>
      <c r="L589">
        <f t="shared" si="83"/>
        <v>2.4997888622566355E-2</v>
      </c>
      <c r="M589">
        <f t="shared" si="86"/>
        <v>1</v>
      </c>
      <c r="N589">
        <f t="shared" si="84"/>
        <v>3</v>
      </c>
      <c r="O589">
        <f t="shared" si="85"/>
        <v>49</v>
      </c>
      <c r="P589">
        <f t="shared" si="87"/>
        <v>0</v>
      </c>
      <c r="R589">
        <f t="shared" si="88"/>
        <v>0</v>
      </c>
      <c r="S589">
        <f t="shared" si="89"/>
        <v>0</v>
      </c>
      <c r="T589">
        <f t="shared" si="90"/>
        <v>0</v>
      </c>
    </row>
    <row r="590" spans="10:20" x14ac:dyDescent="0.25">
      <c r="J590">
        <v>0.24496179345357694</v>
      </c>
      <c r="K590">
        <f t="shared" si="82"/>
        <v>0</v>
      </c>
      <c r="L590">
        <f t="shared" si="83"/>
        <v>0</v>
      </c>
      <c r="M590">
        <f t="shared" si="86"/>
        <v>0</v>
      </c>
      <c r="N590">
        <f t="shared" si="84"/>
        <v>4</v>
      </c>
      <c r="O590">
        <f t="shared" si="85"/>
        <v>49</v>
      </c>
      <c r="P590">
        <f t="shared" si="87"/>
        <v>0</v>
      </c>
      <c r="R590">
        <f t="shared" si="88"/>
        <v>0</v>
      </c>
      <c r="S590">
        <f t="shared" si="89"/>
        <v>0</v>
      </c>
      <c r="T590">
        <f t="shared" si="90"/>
        <v>0</v>
      </c>
    </row>
    <row r="591" spans="10:20" x14ac:dyDescent="0.25">
      <c r="J591">
        <v>8.5051113126056954E-2</v>
      </c>
      <c r="K591">
        <f t="shared" si="82"/>
        <v>1</v>
      </c>
      <c r="L591">
        <f t="shared" si="83"/>
        <v>8.5051113126056954E-2</v>
      </c>
      <c r="M591">
        <f t="shared" si="86"/>
        <v>1</v>
      </c>
      <c r="N591">
        <f t="shared" si="84"/>
        <v>4</v>
      </c>
      <c r="O591">
        <f t="shared" si="85"/>
        <v>49</v>
      </c>
      <c r="P591">
        <f t="shared" si="87"/>
        <v>0</v>
      </c>
      <c r="R591">
        <f t="shared" si="88"/>
        <v>0</v>
      </c>
      <c r="S591">
        <f t="shared" si="89"/>
        <v>0</v>
      </c>
      <c r="T591">
        <f t="shared" si="90"/>
        <v>0</v>
      </c>
    </row>
    <row r="592" spans="10:20" x14ac:dyDescent="0.25">
      <c r="J592">
        <v>0.32313615678045216</v>
      </c>
      <c r="K592">
        <f t="shared" si="82"/>
        <v>0</v>
      </c>
      <c r="L592">
        <f t="shared" si="83"/>
        <v>0</v>
      </c>
      <c r="M592">
        <f t="shared" si="86"/>
        <v>0</v>
      </c>
      <c r="N592">
        <f t="shared" si="84"/>
        <v>5</v>
      </c>
      <c r="O592">
        <f t="shared" si="85"/>
        <v>49</v>
      </c>
      <c r="P592">
        <f t="shared" si="87"/>
        <v>0</v>
      </c>
      <c r="R592">
        <f t="shared" si="88"/>
        <v>0</v>
      </c>
      <c r="S592">
        <f t="shared" si="89"/>
        <v>0</v>
      </c>
      <c r="T592">
        <f t="shared" si="90"/>
        <v>0</v>
      </c>
    </row>
    <row r="593" spans="10:20" x14ac:dyDescent="0.25">
      <c r="J593">
        <v>6.7013084913016385E-2</v>
      </c>
      <c r="K593">
        <f t="shared" si="82"/>
        <v>1</v>
      </c>
      <c r="L593">
        <f t="shared" si="83"/>
        <v>6.7013084913016385E-2</v>
      </c>
      <c r="M593">
        <f t="shared" si="86"/>
        <v>1</v>
      </c>
      <c r="N593">
        <f t="shared" si="84"/>
        <v>5</v>
      </c>
      <c r="O593">
        <f t="shared" si="85"/>
        <v>49</v>
      </c>
      <c r="P593">
        <f t="shared" si="87"/>
        <v>0</v>
      </c>
      <c r="R593">
        <f t="shared" si="88"/>
        <v>0</v>
      </c>
      <c r="S593">
        <f t="shared" si="89"/>
        <v>0</v>
      </c>
      <c r="T593">
        <f t="shared" si="90"/>
        <v>0</v>
      </c>
    </row>
    <row r="594" spans="10:20" x14ac:dyDescent="0.25">
      <c r="J594">
        <v>0.56035366574092482</v>
      </c>
      <c r="K594">
        <f t="shared" si="82"/>
        <v>0</v>
      </c>
      <c r="L594">
        <f t="shared" si="83"/>
        <v>0</v>
      </c>
      <c r="M594">
        <f t="shared" si="86"/>
        <v>0</v>
      </c>
      <c r="N594">
        <f t="shared" si="84"/>
        <v>6</v>
      </c>
      <c r="O594">
        <f t="shared" si="85"/>
        <v>49</v>
      </c>
      <c r="P594">
        <f t="shared" si="87"/>
        <v>0</v>
      </c>
      <c r="R594">
        <f t="shared" si="88"/>
        <v>0</v>
      </c>
      <c r="S594">
        <f t="shared" si="89"/>
        <v>0</v>
      </c>
      <c r="T594">
        <f t="shared" si="90"/>
        <v>0</v>
      </c>
    </row>
    <row r="595" spans="10:20" x14ac:dyDescent="0.25">
      <c r="J595">
        <v>0.35827889341682317</v>
      </c>
      <c r="K595">
        <f t="shared" si="82"/>
        <v>1</v>
      </c>
      <c r="L595">
        <f t="shared" si="83"/>
        <v>0.35827889341682317</v>
      </c>
      <c r="M595">
        <f t="shared" si="86"/>
        <v>1</v>
      </c>
      <c r="N595">
        <f t="shared" si="84"/>
        <v>6</v>
      </c>
      <c r="O595">
        <f t="shared" si="85"/>
        <v>49</v>
      </c>
      <c r="P595">
        <f t="shared" si="87"/>
        <v>0</v>
      </c>
      <c r="R595">
        <f t="shared" si="88"/>
        <v>0</v>
      </c>
      <c r="S595">
        <f t="shared" si="89"/>
        <v>0</v>
      </c>
      <c r="T595">
        <f t="shared" si="90"/>
        <v>0</v>
      </c>
    </row>
    <row r="596" spans="10:20" x14ac:dyDescent="0.25">
      <c r="J596">
        <v>0.50481311149478236</v>
      </c>
      <c r="K596">
        <f t="shared" si="82"/>
        <v>0</v>
      </c>
      <c r="L596">
        <f t="shared" si="83"/>
        <v>0</v>
      </c>
      <c r="M596">
        <f t="shared" si="86"/>
        <v>0</v>
      </c>
      <c r="N596">
        <f t="shared" si="84"/>
        <v>7</v>
      </c>
      <c r="O596">
        <f t="shared" si="85"/>
        <v>49</v>
      </c>
      <c r="P596">
        <f t="shared" si="87"/>
        <v>0</v>
      </c>
      <c r="R596">
        <f t="shared" si="88"/>
        <v>0</v>
      </c>
      <c r="S596">
        <f t="shared" si="89"/>
        <v>0</v>
      </c>
      <c r="T596">
        <f t="shared" si="90"/>
        <v>0</v>
      </c>
    </row>
    <row r="597" spans="10:20" x14ac:dyDescent="0.25">
      <c r="J597">
        <v>0.43758248413333856</v>
      </c>
      <c r="K597">
        <f t="shared" si="82"/>
        <v>1</v>
      </c>
      <c r="L597">
        <f t="shared" si="83"/>
        <v>0.43758248413333856</v>
      </c>
      <c r="M597">
        <f t="shared" si="86"/>
        <v>1</v>
      </c>
      <c r="N597">
        <f t="shared" si="84"/>
        <v>1</v>
      </c>
      <c r="O597">
        <f t="shared" si="85"/>
        <v>50</v>
      </c>
      <c r="P597">
        <f t="shared" si="87"/>
        <v>0</v>
      </c>
      <c r="R597">
        <f t="shared" si="88"/>
        <v>0</v>
      </c>
      <c r="S597">
        <f t="shared" si="89"/>
        <v>0</v>
      </c>
      <c r="T597">
        <f t="shared" si="90"/>
        <v>0</v>
      </c>
    </row>
    <row r="598" spans="10:20" x14ac:dyDescent="0.25">
      <c r="J598">
        <v>0.5988714168006759</v>
      </c>
      <c r="K598">
        <f t="shared" si="82"/>
        <v>0</v>
      </c>
      <c r="L598">
        <f t="shared" si="83"/>
        <v>0</v>
      </c>
      <c r="M598">
        <f t="shared" si="86"/>
        <v>0</v>
      </c>
      <c r="N598">
        <f t="shared" si="84"/>
        <v>2</v>
      </c>
      <c r="O598">
        <f t="shared" si="85"/>
        <v>50</v>
      </c>
      <c r="P598">
        <f t="shared" si="87"/>
        <v>0</v>
      </c>
      <c r="R598">
        <f t="shared" si="88"/>
        <v>0</v>
      </c>
      <c r="S598">
        <f t="shared" si="89"/>
        <v>0</v>
      </c>
      <c r="T598">
        <f t="shared" si="90"/>
        <v>0</v>
      </c>
    </row>
    <row r="599" spans="10:20" x14ac:dyDescent="0.25">
      <c r="J599">
        <v>0.35119757570647614</v>
      </c>
      <c r="K599">
        <f t="shared" si="82"/>
        <v>1</v>
      </c>
      <c r="L599">
        <f t="shared" si="83"/>
        <v>0.35119757570647614</v>
      </c>
      <c r="M599">
        <f t="shared" si="86"/>
        <v>1</v>
      </c>
      <c r="N599">
        <f t="shared" si="84"/>
        <v>2</v>
      </c>
      <c r="O599">
        <f t="shared" si="85"/>
        <v>50</v>
      </c>
      <c r="P599">
        <f t="shared" si="87"/>
        <v>0</v>
      </c>
      <c r="R599">
        <f t="shared" si="88"/>
        <v>0</v>
      </c>
      <c r="S599">
        <f t="shared" si="89"/>
        <v>0</v>
      </c>
      <c r="T599">
        <f t="shared" si="90"/>
        <v>0</v>
      </c>
    </row>
    <row r="600" spans="10:20" x14ac:dyDescent="0.25">
      <c r="J600">
        <v>0.93452645795675959</v>
      </c>
      <c r="K600">
        <f t="shared" ref="K600:K663" si="91">IF(K599=1,0,1)</f>
        <v>0</v>
      </c>
      <c r="L600">
        <f t="shared" ref="L600:L663" si="92">K600*J600</f>
        <v>0</v>
      </c>
      <c r="M600">
        <f t="shared" si="86"/>
        <v>0</v>
      </c>
      <c r="N600">
        <f t="shared" ref="N600:N663" si="93">IF(N599&lt;$N$2,N599+M599,1)</f>
        <v>3</v>
      </c>
      <c r="O600">
        <f t="shared" ref="O600:O663" si="94">IF(AND(N600=1,M600=1),O599+1,O599)</f>
        <v>50</v>
      </c>
      <c r="P600">
        <f t="shared" si="87"/>
        <v>0</v>
      </c>
      <c r="R600">
        <f t="shared" si="88"/>
        <v>0</v>
      </c>
      <c r="S600">
        <f t="shared" si="89"/>
        <v>0</v>
      </c>
      <c r="T600">
        <f t="shared" si="90"/>
        <v>0</v>
      </c>
    </row>
    <row r="601" spans="10:20" x14ac:dyDescent="0.25">
      <c r="J601">
        <v>0.44584175683376803</v>
      </c>
      <c r="K601">
        <f t="shared" si="91"/>
        <v>1</v>
      </c>
      <c r="L601">
        <f t="shared" si="92"/>
        <v>0.44584175683376803</v>
      </c>
      <c r="M601">
        <f t="shared" si="86"/>
        <v>1</v>
      </c>
      <c r="N601">
        <f t="shared" si="93"/>
        <v>3</v>
      </c>
      <c r="O601">
        <f t="shared" si="94"/>
        <v>50</v>
      </c>
      <c r="P601">
        <f t="shared" si="87"/>
        <v>0</v>
      </c>
      <c r="R601">
        <f t="shared" si="88"/>
        <v>0</v>
      </c>
      <c r="S601">
        <f t="shared" si="89"/>
        <v>0</v>
      </c>
      <c r="T601">
        <f t="shared" si="90"/>
        <v>0</v>
      </c>
    </row>
    <row r="602" spans="10:20" x14ac:dyDescent="0.25">
      <c r="J602">
        <v>0.10142375434508721</v>
      </c>
      <c r="K602">
        <f t="shared" si="91"/>
        <v>0</v>
      </c>
      <c r="L602">
        <f t="shared" si="92"/>
        <v>0</v>
      </c>
      <c r="M602">
        <f t="shared" si="86"/>
        <v>0</v>
      </c>
      <c r="N602">
        <f t="shared" si="93"/>
        <v>4</v>
      </c>
      <c r="O602">
        <f t="shared" si="94"/>
        <v>50</v>
      </c>
      <c r="P602">
        <f t="shared" si="87"/>
        <v>0</v>
      </c>
      <c r="R602">
        <f t="shared" si="88"/>
        <v>0</v>
      </c>
      <c r="S602">
        <f t="shared" si="89"/>
        <v>0</v>
      </c>
      <c r="T602">
        <f t="shared" si="90"/>
        <v>0</v>
      </c>
    </row>
    <row r="603" spans="10:20" x14ac:dyDescent="0.25">
      <c r="J603">
        <v>0.95385637286051039</v>
      </c>
      <c r="K603">
        <f t="shared" si="91"/>
        <v>1</v>
      </c>
      <c r="L603">
        <f t="shared" si="92"/>
        <v>0.95385637286051039</v>
      </c>
      <c r="M603">
        <f t="shared" si="86"/>
        <v>1</v>
      </c>
      <c r="N603">
        <f t="shared" si="93"/>
        <v>4</v>
      </c>
      <c r="O603">
        <f t="shared" si="94"/>
        <v>50</v>
      </c>
      <c r="P603">
        <f t="shared" si="87"/>
        <v>0</v>
      </c>
      <c r="R603">
        <f t="shared" si="88"/>
        <v>0</v>
      </c>
      <c r="S603">
        <f t="shared" si="89"/>
        <v>0</v>
      </c>
      <c r="T603">
        <f t="shared" si="90"/>
        <v>0</v>
      </c>
    </row>
    <row r="604" spans="10:20" x14ac:dyDescent="0.25">
      <c r="J604">
        <v>0.9420019766103449</v>
      </c>
      <c r="K604">
        <f t="shared" si="91"/>
        <v>0</v>
      </c>
      <c r="L604">
        <f t="shared" si="92"/>
        <v>0</v>
      </c>
      <c r="M604">
        <f t="shared" si="86"/>
        <v>0</v>
      </c>
      <c r="N604">
        <f t="shared" si="93"/>
        <v>5</v>
      </c>
      <c r="O604">
        <f t="shared" si="94"/>
        <v>50</v>
      </c>
      <c r="P604">
        <f t="shared" si="87"/>
        <v>0</v>
      </c>
      <c r="R604">
        <f t="shared" si="88"/>
        <v>0</v>
      </c>
      <c r="S604">
        <f t="shared" si="89"/>
        <v>0</v>
      </c>
      <c r="T604">
        <f t="shared" si="90"/>
        <v>0</v>
      </c>
    </row>
    <row r="605" spans="10:20" x14ac:dyDescent="0.25">
      <c r="J605">
        <v>0.16198838570681884</v>
      </c>
      <c r="K605">
        <f t="shared" si="91"/>
        <v>1</v>
      </c>
      <c r="L605">
        <f t="shared" si="92"/>
        <v>0.16198838570681884</v>
      </c>
      <c r="M605">
        <f t="shared" si="86"/>
        <v>1</v>
      </c>
      <c r="N605">
        <f t="shared" si="93"/>
        <v>5</v>
      </c>
      <c r="O605">
        <f t="shared" si="94"/>
        <v>50</v>
      </c>
      <c r="P605">
        <f t="shared" si="87"/>
        <v>0</v>
      </c>
      <c r="R605">
        <f t="shared" si="88"/>
        <v>0</v>
      </c>
      <c r="S605">
        <f t="shared" si="89"/>
        <v>0</v>
      </c>
      <c r="T605">
        <f t="shared" si="90"/>
        <v>0</v>
      </c>
    </row>
    <row r="606" spans="10:20" x14ac:dyDescent="0.25">
      <c r="J606">
        <v>0.13475549063520209</v>
      </c>
      <c r="K606">
        <f t="shared" si="91"/>
        <v>0</v>
      </c>
      <c r="L606">
        <f t="shared" si="92"/>
        <v>0</v>
      </c>
      <c r="M606">
        <f t="shared" si="86"/>
        <v>0</v>
      </c>
      <c r="N606">
        <f t="shared" si="93"/>
        <v>6</v>
      </c>
      <c r="O606">
        <f t="shared" si="94"/>
        <v>50</v>
      </c>
      <c r="P606">
        <f t="shared" si="87"/>
        <v>0</v>
      </c>
      <c r="R606">
        <f t="shared" si="88"/>
        <v>0</v>
      </c>
      <c r="S606">
        <f t="shared" si="89"/>
        <v>0</v>
      </c>
      <c r="T606">
        <f t="shared" si="90"/>
        <v>0</v>
      </c>
    </row>
    <row r="607" spans="10:20" x14ac:dyDescent="0.25">
      <c r="J607">
        <v>0.90207517662169789</v>
      </c>
      <c r="K607">
        <f t="shared" si="91"/>
        <v>1</v>
      </c>
      <c r="L607">
        <f t="shared" si="92"/>
        <v>0.90207517662169789</v>
      </c>
      <c r="M607">
        <f t="shared" si="86"/>
        <v>1</v>
      </c>
      <c r="N607">
        <f t="shared" si="93"/>
        <v>6</v>
      </c>
      <c r="O607">
        <f t="shared" si="94"/>
        <v>50</v>
      </c>
      <c r="P607">
        <f t="shared" si="87"/>
        <v>0</v>
      </c>
      <c r="R607">
        <f t="shared" si="88"/>
        <v>0</v>
      </c>
      <c r="S607">
        <f t="shared" si="89"/>
        <v>0</v>
      </c>
      <c r="T607">
        <f t="shared" si="90"/>
        <v>0</v>
      </c>
    </row>
    <row r="608" spans="10:20" x14ac:dyDescent="0.25">
      <c r="J608">
        <v>0.64963449753020819</v>
      </c>
      <c r="K608">
        <f t="shared" si="91"/>
        <v>0</v>
      </c>
      <c r="L608">
        <f t="shared" si="92"/>
        <v>0</v>
      </c>
      <c r="M608">
        <f t="shared" si="86"/>
        <v>0</v>
      </c>
      <c r="N608">
        <f t="shared" si="93"/>
        <v>7</v>
      </c>
      <c r="O608">
        <f t="shared" si="94"/>
        <v>50</v>
      </c>
      <c r="P608">
        <f t="shared" si="87"/>
        <v>0</v>
      </c>
      <c r="R608">
        <f t="shared" si="88"/>
        <v>0</v>
      </c>
      <c r="S608">
        <f t="shared" si="89"/>
        <v>0</v>
      </c>
      <c r="T608">
        <f t="shared" si="90"/>
        <v>0</v>
      </c>
    </row>
    <row r="609" spans="10:20" x14ac:dyDescent="0.25">
      <c r="J609">
        <v>0.69397390786549107</v>
      </c>
      <c r="K609">
        <f t="shared" si="91"/>
        <v>1</v>
      </c>
      <c r="L609">
        <f t="shared" si="92"/>
        <v>0.69397390786549107</v>
      </c>
      <c r="M609">
        <f t="shared" si="86"/>
        <v>1</v>
      </c>
      <c r="N609">
        <f t="shared" si="93"/>
        <v>1</v>
      </c>
      <c r="O609">
        <f t="shared" si="94"/>
        <v>51</v>
      </c>
      <c r="P609">
        <f t="shared" si="87"/>
        <v>0</v>
      </c>
      <c r="R609">
        <f t="shared" si="88"/>
        <v>0</v>
      </c>
      <c r="S609">
        <f t="shared" si="89"/>
        <v>0</v>
      </c>
      <c r="T609">
        <f t="shared" si="90"/>
        <v>0</v>
      </c>
    </row>
    <row r="610" spans="10:20" x14ac:dyDescent="0.25">
      <c r="J610">
        <v>0.77091606017341396</v>
      </c>
      <c r="K610">
        <f t="shared" si="91"/>
        <v>0</v>
      </c>
      <c r="L610">
        <f t="shared" si="92"/>
        <v>0</v>
      </c>
      <c r="M610">
        <f t="shared" si="86"/>
        <v>0</v>
      </c>
      <c r="N610">
        <f t="shared" si="93"/>
        <v>2</v>
      </c>
      <c r="O610">
        <f t="shared" si="94"/>
        <v>51</v>
      </c>
      <c r="P610">
        <f t="shared" si="87"/>
        <v>0</v>
      </c>
      <c r="R610">
        <f t="shared" si="88"/>
        <v>0</v>
      </c>
      <c r="S610">
        <f t="shared" si="89"/>
        <v>0</v>
      </c>
      <c r="T610">
        <f t="shared" si="90"/>
        <v>0</v>
      </c>
    </row>
    <row r="611" spans="10:20" x14ac:dyDescent="0.25">
      <c r="J611">
        <v>0.71361054018972903</v>
      </c>
      <c r="K611">
        <f t="shared" si="91"/>
        <v>1</v>
      </c>
      <c r="L611">
        <f t="shared" si="92"/>
        <v>0.71361054018972903</v>
      </c>
      <c r="M611">
        <f t="shared" si="86"/>
        <v>1</v>
      </c>
      <c r="N611">
        <f t="shared" si="93"/>
        <v>2</v>
      </c>
      <c r="O611">
        <f t="shared" si="94"/>
        <v>51</v>
      </c>
      <c r="P611">
        <f t="shared" si="87"/>
        <v>0</v>
      </c>
      <c r="R611">
        <f t="shared" si="88"/>
        <v>0</v>
      </c>
      <c r="S611">
        <f t="shared" si="89"/>
        <v>0</v>
      </c>
      <c r="T611">
        <f t="shared" si="90"/>
        <v>0</v>
      </c>
    </row>
    <row r="612" spans="10:20" x14ac:dyDescent="0.25">
      <c r="J612">
        <v>0.65751451875805933</v>
      </c>
      <c r="K612">
        <f t="shared" si="91"/>
        <v>0</v>
      </c>
      <c r="L612">
        <f t="shared" si="92"/>
        <v>0</v>
      </c>
      <c r="M612">
        <f t="shared" si="86"/>
        <v>0</v>
      </c>
      <c r="N612">
        <f t="shared" si="93"/>
        <v>3</v>
      </c>
      <c r="O612">
        <f t="shared" si="94"/>
        <v>51</v>
      </c>
      <c r="P612">
        <f t="shared" si="87"/>
        <v>0</v>
      </c>
      <c r="R612">
        <f t="shared" si="88"/>
        <v>0</v>
      </c>
      <c r="S612">
        <f t="shared" si="89"/>
        <v>0</v>
      </c>
      <c r="T612">
        <f t="shared" si="90"/>
        <v>0</v>
      </c>
    </row>
    <row r="613" spans="10:20" x14ac:dyDescent="0.25">
      <c r="J613">
        <v>0.47719954719072311</v>
      </c>
      <c r="K613">
        <f t="shared" si="91"/>
        <v>1</v>
      </c>
      <c r="L613">
        <f t="shared" si="92"/>
        <v>0.47719954719072311</v>
      </c>
      <c r="M613">
        <f t="shared" si="86"/>
        <v>1</v>
      </c>
      <c r="N613">
        <f t="shared" si="93"/>
        <v>3</v>
      </c>
      <c r="O613">
        <f t="shared" si="94"/>
        <v>51</v>
      </c>
      <c r="P613">
        <f t="shared" si="87"/>
        <v>0</v>
      </c>
      <c r="R613">
        <f t="shared" si="88"/>
        <v>0</v>
      </c>
      <c r="S613">
        <f t="shared" si="89"/>
        <v>0</v>
      </c>
      <c r="T613">
        <f t="shared" si="90"/>
        <v>0</v>
      </c>
    </row>
    <row r="614" spans="10:20" x14ac:dyDescent="0.25">
      <c r="J614">
        <v>0.54751645569872665</v>
      </c>
      <c r="K614">
        <f t="shared" si="91"/>
        <v>0</v>
      </c>
      <c r="L614">
        <f t="shared" si="92"/>
        <v>0</v>
      </c>
      <c r="M614">
        <f t="shared" si="86"/>
        <v>0</v>
      </c>
      <c r="N614">
        <f t="shared" si="93"/>
        <v>4</v>
      </c>
      <c r="O614">
        <f t="shared" si="94"/>
        <v>51</v>
      </c>
      <c r="P614">
        <f t="shared" si="87"/>
        <v>0</v>
      </c>
      <c r="R614">
        <f t="shared" si="88"/>
        <v>0</v>
      </c>
      <c r="S614">
        <f t="shared" si="89"/>
        <v>0</v>
      </c>
      <c r="T614">
        <f t="shared" si="90"/>
        <v>0</v>
      </c>
    </row>
    <row r="615" spans="10:20" x14ac:dyDescent="0.25">
      <c r="J615">
        <v>0.11325821692963522</v>
      </c>
      <c r="K615">
        <f t="shared" si="91"/>
        <v>1</v>
      </c>
      <c r="L615">
        <f t="shared" si="92"/>
        <v>0.11325821692963522</v>
      </c>
      <c r="M615">
        <f t="shared" si="86"/>
        <v>1</v>
      </c>
      <c r="N615">
        <f t="shared" si="93"/>
        <v>4</v>
      </c>
      <c r="O615">
        <f t="shared" si="94"/>
        <v>51</v>
      </c>
      <c r="P615">
        <f t="shared" si="87"/>
        <v>0</v>
      </c>
      <c r="R615">
        <f t="shared" si="88"/>
        <v>0</v>
      </c>
      <c r="S615">
        <f t="shared" si="89"/>
        <v>0</v>
      </c>
      <c r="T615">
        <f t="shared" si="90"/>
        <v>0</v>
      </c>
    </row>
    <row r="616" spans="10:20" x14ac:dyDescent="0.25">
      <c r="J616">
        <v>0.12904316879612754</v>
      </c>
      <c r="K616">
        <f t="shared" si="91"/>
        <v>0</v>
      </c>
      <c r="L616">
        <f t="shared" si="92"/>
        <v>0</v>
      </c>
      <c r="M616">
        <f t="shared" si="86"/>
        <v>0</v>
      </c>
      <c r="N616">
        <f t="shared" si="93"/>
        <v>5</v>
      </c>
      <c r="O616">
        <f t="shared" si="94"/>
        <v>51</v>
      </c>
      <c r="P616">
        <f t="shared" si="87"/>
        <v>0</v>
      </c>
      <c r="R616">
        <f t="shared" si="88"/>
        <v>0</v>
      </c>
      <c r="S616">
        <f t="shared" si="89"/>
        <v>0</v>
      </c>
      <c r="T616">
        <f t="shared" si="90"/>
        <v>0</v>
      </c>
    </row>
    <row r="617" spans="10:20" x14ac:dyDescent="0.25">
      <c r="J617">
        <v>0.17394163569320953</v>
      </c>
      <c r="K617">
        <f t="shared" si="91"/>
        <v>1</v>
      </c>
      <c r="L617">
        <f t="shared" si="92"/>
        <v>0.17394163569320953</v>
      </c>
      <c r="M617">
        <f t="shared" si="86"/>
        <v>1</v>
      </c>
      <c r="N617">
        <f t="shared" si="93"/>
        <v>5</v>
      </c>
      <c r="O617">
        <f t="shared" si="94"/>
        <v>51</v>
      </c>
      <c r="P617">
        <f t="shared" si="87"/>
        <v>0</v>
      </c>
      <c r="R617">
        <f t="shared" si="88"/>
        <v>0</v>
      </c>
      <c r="S617">
        <f t="shared" si="89"/>
        <v>0</v>
      </c>
      <c r="T617">
        <f t="shared" si="90"/>
        <v>0</v>
      </c>
    </row>
    <row r="618" spans="10:20" x14ac:dyDescent="0.25">
      <c r="J618">
        <v>0.64896410478069055</v>
      </c>
      <c r="K618">
        <f t="shared" si="91"/>
        <v>0</v>
      </c>
      <c r="L618">
        <f t="shared" si="92"/>
        <v>0</v>
      </c>
      <c r="M618">
        <f t="shared" si="86"/>
        <v>0</v>
      </c>
      <c r="N618">
        <f t="shared" si="93"/>
        <v>6</v>
      </c>
      <c r="O618">
        <f t="shared" si="94"/>
        <v>51</v>
      </c>
      <c r="P618">
        <f t="shared" si="87"/>
        <v>0</v>
      </c>
      <c r="R618">
        <f t="shared" si="88"/>
        <v>0</v>
      </c>
      <c r="S618">
        <f t="shared" si="89"/>
        <v>0</v>
      </c>
      <c r="T618">
        <f t="shared" si="90"/>
        <v>0</v>
      </c>
    </row>
    <row r="619" spans="10:20" x14ac:dyDescent="0.25">
      <c r="J619">
        <v>0.78115368089790638</v>
      </c>
      <c r="K619">
        <f t="shared" si="91"/>
        <v>1</v>
      </c>
      <c r="L619">
        <f t="shared" si="92"/>
        <v>0.78115368089790638</v>
      </c>
      <c r="M619">
        <f t="shared" si="86"/>
        <v>1</v>
      </c>
      <c r="N619">
        <f t="shared" si="93"/>
        <v>6</v>
      </c>
      <c r="O619">
        <f t="shared" si="94"/>
        <v>51</v>
      </c>
      <c r="P619">
        <f t="shared" si="87"/>
        <v>0</v>
      </c>
      <c r="R619">
        <f t="shared" si="88"/>
        <v>0</v>
      </c>
      <c r="S619">
        <f t="shared" si="89"/>
        <v>0</v>
      </c>
      <c r="T619">
        <f t="shared" si="90"/>
        <v>0</v>
      </c>
    </row>
    <row r="620" spans="10:20" x14ac:dyDescent="0.25">
      <c r="J620">
        <v>0.28839595171002541</v>
      </c>
      <c r="K620">
        <f t="shared" si="91"/>
        <v>0</v>
      </c>
      <c r="L620">
        <f t="shared" si="92"/>
        <v>0</v>
      </c>
      <c r="M620">
        <f t="shared" si="86"/>
        <v>0</v>
      </c>
      <c r="N620">
        <f t="shared" si="93"/>
        <v>7</v>
      </c>
      <c r="O620">
        <f t="shared" si="94"/>
        <v>51</v>
      </c>
      <c r="P620">
        <f t="shared" si="87"/>
        <v>0</v>
      </c>
      <c r="R620">
        <f t="shared" si="88"/>
        <v>0</v>
      </c>
      <c r="S620">
        <f t="shared" si="89"/>
        <v>0</v>
      </c>
      <c r="T620">
        <f t="shared" si="90"/>
        <v>0</v>
      </c>
    </row>
    <row r="621" spans="10:20" x14ac:dyDescent="0.25">
      <c r="J621">
        <v>5.2572556698661121E-2</v>
      </c>
      <c r="K621">
        <f t="shared" si="91"/>
        <v>1</v>
      </c>
      <c r="L621">
        <f t="shared" si="92"/>
        <v>5.2572556698661121E-2</v>
      </c>
      <c r="M621">
        <f t="shared" si="86"/>
        <v>1</v>
      </c>
      <c r="N621">
        <f t="shared" si="93"/>
        <v>1</v>
      </c>
      <c r="O621">
        <f t="shared" si="94"/>
        <v>52</v>
      </c>
      <c r="P621">
        <f t="shared" si="87"/>
        <v>0</v>
      </c>
      <c r="R621">
        <f t="shared" si="88"/>
        <v>0</v>
      </c>
      <c r="S621">
        <f t="shared" si="89"/>
        <v>0</v>
      </c>
      <c r="T621">
        <f t="shared" si="90"/>
        <v>0</v>
      </c>
    </row>
    <row r="622" spans="10:20" x14ac:dyDescent="0.25">
      <c r="J622">
        <v>4.3605835563571005E-2</v>
      </c>
      <c r="K622">
        <f t="shared" si="91"/>
        <v>0</v>
      </c>
      <c r="L622">
        <f t="shared" si="92"/>
        <v>0</v>
      </c>
      <c r="M622">
        <f t="shared" si="86"/>
        <v>0</v>
      </c>
      <c r="N622">
        <f t="shared" si="93"/>
        <v>2</v>
      </c>
      <c r="O622">
        <f t="shared" si="94"/>
        <v>52</v>
      </c>
      <c r="P622">
        <f t="shared" si="87"/>
        <v>0</v>
      </c>
      <c r="R622">
        <f t="shared" si="88"/>
        <v>0</v>
      </c>
      <c r="S622">
        <f t="shared" si="89"/>
        <v>0</v>
      </c>
      <c r="T622">
        <f t="shared" si="90"/>
        <v>0</v>
      </c>
    </row>
    <row r="623" spans="10:20" x14ac:dyDescent="0.25">
      <c r="J623">
        <v>8.0480323761284556E-2</v>
      </c>
      <c r="K623">
        <f t="shared" si="91"/>
        <v>1</v>
      </c>
      <c r="L623">
        <f t="shared" si="92"/>
        <v>8.0480323761284556E-2</v>
      </c>
      <c r="M623">
        <f t="shared" si="86"/>
        <v>1</v>
      </c>
      <c r="N623">
        <f t="shared" si="93"/>
        <v>2</v>
      </c>
      <c r="O623">
        <f t="shared" si="94"/>
        <v>52</v>
      </c>
      <c r="P623">
        <f t="shared" si="87"/>
        <v>0</v>
      </c>
      <c r="R623">
        <f t="shared" si="88"/>
        <v>0</v>
      </c>
      <c r="S623">
        <f t="shared" si="89"/>
        <v>0</v>
      </c>
      <c r="T623">
        <f t="shared" si="90"/>
        <v>0</v>
      </c>
    </row>
    <row r="624" spans="10:20" x14ac:dyDescent="0.25">
      <c r="J624">
        <v>5.9654314053480095E-2</v>
      </c>
      <c r="K624">
        <f t="shared" si="91"/>
        <v>0</v>
      </c>
      <c r="L624">
        <f t="shared" si="92"/>
        <v>0</v>
      </c>
      <c r="M624">
        <f t="shared" si="86"/>
        <v>0</v>
      </c>
      <c r="N624">
        <f t="shared" si="93"/>
        <v>3</v>
      </c>
      <c r="O624">
        <f t="shared" si="94"/>
        <v>52</v>
      </c>
      <c r="P624">
        <f t="shared" si="87"/>
        <v>0</v>
      </c>
      <c r="R624">
        <f t="shared" si="88"/>
        <v>0</v>
      </c>
      <c r="S624">
        <f t="shared" si="89"/>
        <v>0</v>
      </c>
      <c r="T624">
        <f t="shared" si="90"/>
        <v>0</v>
      </c>
    </row>
    <row r="625" spans="10:20" x14ac:dyDescent="0.25">
      <c r="J625">
        <v>0.63509793076893351</v>
      </c>
      <c r="K625">
        <f t="shared" si="91"/>
        <v>1</v>
      </c>
      <c r="L625">
        <f t="shared" si="92"/>
        <v>0.63509793076893351</v>
      </c>
      <c r="M625">
        <f t="shared" si="86"/>
        <v>1</v>
      </c>
      <c r="N625">
        <f t="shared" si="93"/>
        <v>3</v>
      </c>
      <c r="O625">
        <f t="shared" si="94"/>
        <v>52</v>
      </c>
      <c r="P625">
        <f t="shared" si="87"/>
        <v>0</v>
      </c>
      <c r="R625">
        <f t="shared" si="88"/>
        <v>0</v>
      </c>
      <c r="S625">
        <f t="shared" si="89"/>
        <v>0</v>
      </c>
      <c r="T625">
        <f t="shared" si="90"/>
        <v>0</v>
      </c>
    </row>
    <row r="626" spans="10:20" x14ac:dyDescent="0.25">
      <c r="J626">
        <v>0.37439595638284662</v>
      </c>
      <c r="K626">
        <f t="shared" si="91"/>
        <v>0</v>
      </c>
      <c r="L626">
        <f t="shared" si="92"/>
        <v>0</v>
      </c>
      <c r="M626">
        <f t="shared" si="86"/>
        <v>0</v>
      </c>
      <c r="N626">
        <f t="shared" si="93"/>
        <v>4</v>
      </c>
      <c r="O626">
        <f t="shared" si="94"/>
        <v>52</v>
      </c>
      <c r="P626">
        <f t="shared" si="87"/>
        <v>0</v>
      </c>
      <c r="R626">
        <f t="shared" si="88"/>
        <v>0</v>
      </c>
      <c r="S626">
        <f t="shared" si="89"/>
        <v>0</v>
      </c>
      <c r="T626">
        <f t="shared" si="90"/>
        <v>0</v>
      </c>
    </row>
    <row r="627" spans="10:20" x14ac:dyDescent="0.25">
      <c r="J627">
        <v>0.55820535779460678</v>
      </c>
      <c r="K627">
        <f t="shared" si="91"/>
        <v>1</v>
      </c>
      <c r="L627">
        <f t="shared" si="92"/>
        <v>0.55820535779460678</v>
      </c>
      <c r="M627">
        <f t="shared" si="86"/>
        <v>1</v>
      </c>
      <c r="N627">
        <f t="shared" si="93"/>
        <v>4</v>
      </c>
      <c r="O627">
        <f t="shared" si="94"/>
        <v>52</v>
      </c>
      <c r="P627">
        <f t="shared" si="87"/>
        <v>0</v>
      </c>
      <c r="R627">
        <f t="shared" si="88"/>
        <v>0</v>
      </c>
      <c r="S627">
        <f t="shared" si="89"/>
        <v>0</v>
      </c>
      <c r="T627">
        <f t="shared" si="90"/>
        <v>0</v>
      </c>
    </row>
    <row r="628" spans="10:20" x14ac:dyDescent="0.25">
      <c r="J628">
        <v>0.62182458177020183</v>
      </c>
      <c r="K628">
        <f t="shared" si="91"/>
        <v>0</v>
      </c>
      <c r="L628">
        <f t="shared" si="92"/>
        <v>0</v>
      </c>
      <c r="M628">
        <f t="shared" si="86"/>
        <v>0</v>
      </c>
      <c r="N628">
        <f t="shared" si="93"/>
        <v>5</v>
      </c>
      <c r="O628">
        <f t="shared" si="94"/>
        <v>52</v>
      </c>
      <c r="P628">
        <f t="shared" si="87"/>
        <v>0</v>
      </c>
      <c r="R628">
        <f t="shared" si="88"/>
        <v>0</v>
      </c>
      <c r="S628">
        <f t="shared" si="89"/>
        <v>0</v>
      </c>
      <c r="T628">
        <f t="shared" si="90"/>
        <v>0</v>
      </c>
    </row>
    <row r="629" spans="10:20" x14ac:dyDescent="0.25">
      <c r="J629">
        <v>0.66897398980672873</v>
      </c>
      <c r="K629">
        <f t="shared" si="91"/>
        <v>1</v>
      </c>
      <c r="L629">
        <f t="shared" si="92"/>
        <v>0.66897398980672873</v>
      </c>
      <c r="M629">
        <f t="shared" si="86"/>
        <v>1</v>
      </c>
      <c r="N629">
        <f t="shared" si="93"/>
        <v>5</v>
      </c>
      <c r="O629">
        <f t="shared" si="94"/>
        <v>52</v>
      </c>
      <c r="P629">
        <f t="shared" si="87"/>
        <v>0</v>
      </c>
      <c r="R629">
        <f t="shared" si="88"/>
        <v>0</v>
      </c>
      <c r="S629">
        <f t="shared" si="89"/>
        <v>0</v>
      </c>
      <c r="T629">
        <f t="shared" si="90"/>
        <v>0</v>
      </c>
    </row>
    <row r="630" spans="10:20" x14ac:dyDescent="0.25">
      <c r="J630">
        <v>0.85683358374050522</v>
      </c>
      <c r="K630">
        <f t="shared" si="91"/>
        <v>0</v>
      </c>
      <c r="L630">
        <f t="shared" si="92"/>
        <v>0</v>
      </c>
      <c r="M630">
        <f t="shared" si="86"/>
        <v>0</v>
      </c>
      <c r="N630">
        <f t="shared" si="93"/>
        <v>6</v>
      </c>
      <c r="O630">
        <f t="shared" si="94"/>
        <v>52</v>
      </c>
      <c r="P630">
        <f t="shared" si="87"/>
        <v>0</v>
      </c>
      <c r="R630">
        <f t="shared" si="88"/>
        <v>0</v>
      </c>
      <c r="S630">
        <f t="shared" si="89"/>
        <v>0</v>
      </c>
      <c r="T630">
        <f t="shared" si="90"/>
        <v>0</v>
      </c>
    </row>
    <row r="631" spans="10:20" x14ac:dyDescent="0.25">
      <c r="J631">
        <v>0.50795659402561888</v>
      </c>
      <c r="K631">
        <f t="shared" si="91"/>
        <v>1</v>
      </c>
      <c r="L631">
        <f t="shared" si="92"/>
        <v>0.50795659402561888</v>
      </c>
      <c r="M631">
        <f t="shared" si="86"/>
        <v>1</v>
      </c>
      <c r="N631">
        <f t="shared" si="93"/>
        <v>6</v>
      </c>
      <c r="O631">
        <f t="shared" si="94"/>
        <v>52</v>
      </c>
      <c r="P631">
        <f t="shared" si="87"/>
        <v>0</v>
      </c>
      <c r="R631">
        <f t="shared" si="88"/>
        <v>0</v>
      </c>
      <c r="S631">
        <f t="shared" si="89"/>
        <v>0</v>
      </c>
      <c r="T631">
        <f t="shared" si="90"/>
        <v>0</v>
      </c>
    </row>
    <row r="632" spans="10:20" x14ac:dyDescent="0.25">
      <c r="J632">
        <v>0.14342520752168653</v>
      </c>
      <c r="K632">
        <f t="shared" si="91"/>
        <v>0</v>
      </c>
      <c r="L632">
        <f t="shared" si="92"/>
        <v>0</v>
      </c>
      <c r="M632">
        <f t="shared" si="86"/>
        <v>0</v>
      </c>
      <c r="N632">
        <f t="shared" si="93"/>
        <v>7</v>
      </c>
      <c r="O632">
        <f t="shared" si="94"/>
        <v>52</v>
      </c>
      <c r="P632">
        <f t="shared" si="87"/>
        <v>0</v>
      </c>
      <c r="R632">
        <f t="shared" si="88"/>
        <v>0</v>
      </c>
      <c r="S632">
        <f t="shared" si="89"/>
        <v>0</v>
      </c>
      <c r="T632">
        <f t="shared" si="90"/>
        <v>0</v>
      </c>
    </row>
    <row r="633" spans="10:20" x14ac:dyDescent="0.25">
      <c r="J633">
        <v>0.89563100750777491</v>
      </c>
      <c r="K633">
        <f t="shared" si="91"/>
        <v>1</v>
      </c>
      <c r="L633">
        <f t="shared" si="92"/>
        <v>0.89563100750777491</v>
      </c>
      <c r="M633">
        <f t="shared" si="86"/>
        <v>1</v>
      </c>
      <c r="N633">
        <f t="shared" si="93"/>
        <v>1</v>
      </c>
      <c r="O633">
        <f t="shared" si="94"/>
        <v>53</v>
      </c>
      <c r="P633">
        <f t="shared" si="87"/>
        <v>0</v>
      </c>
      <c r="R633">
        <f t="shared" si="88"/>
        <v>0</v>
      </c>
      <c r="S633">
        <f t="shared" si="89"/>
        <v>0</v>
      </c>
      <c r="T633">
        <f t="shared" si="90"/>
        <v>0</v>
      </c>
    </row>
    <row r="634" spans="10:20" x14ac:dyDescent="0.25">
      <c r="J634">
        <v>0.60938623525903335</v>
      </c>
      <c r="K634">
        <f t="shared" si="91"/>
        <v>0</v>
      </c>
      <c r="L634">
        <f t="shared" si="92"/>
        <v>0</v>
      </c>
      <c r="M634">
        <f t="shared" si="86"/>
        <v>0</v>
      </c>
      <c r="N634">
        <f t="shared" si="93"/>
        <v>2</v>
      </c>
      <c r="O634">
        <f t="shared" si="94"/>
        <v>53</v>
      </c>
      <c r="P634">
        <f t="shared" si="87"/>
        <v>0</v>
      </c>
      <c r="R634">
        <f t="shared" si="88"/>
        <v>0</v>
      </c>
      <c r="S634">
        <f t="shared" si="89"/>
        <v>0</v>
      </c>
      <c r="T634">
        <f t="shared" si="90"/>
        <v>0</v>
      </c>
    </row>
    <row r="635" spans="10:20" x14ac:dyDescent="0.25">
      <c r="J635">
        <v>0.365076191093064</v>
      </c>
      <c r="K635">
        <f t="shared" si="91"/>
        <v>1</v>
      </c>
      <c r="L635">
        <f t="shared" si="92"/>
        <v>0.365076191093064</v>
      </c>
      <c r="M635">
        <f t="shared" si="86"/>
        <v>1</v>
      </c>
      <c r="N635">
        <f t="shared" si="93"/>
        <v>2</v>
      </c>
      <c r="O635">
        <f t="shared" si="94"/>
        <v>53</v>
      </c>
      <c r="P635">
        <f t="shared" si="87"/>
        <v>0</v>
      </c>
      <c r="R635">
        <f t="shared" si="88"/>
        <v>0</v>
      </c>
      <c r="S635">
        <f t="shared" si="89"/>
        <v>0</v>
      </c>
      <c r="T635">
        <f t="shared" si="90"/>
        <v>0</v>
      </c>
    </row>
    <row r="636" spans="10:20" x14ac:dyDescent="0.25">
      <c r="J636">
        <v>0.36961540326983788</v>
      </c>
      <c r="K636">
        <f t="shared" si="91"/>
        <v>0</v>
      </c>
      <c r="L636">
        <f t="shared" si="92"/>
        <v>0</v>
      </c>
      <c r="M636">
        <f t="shared" si="86"/>
        <v>0</v>
      </c>
      <c r="N636">
        <f t="shared" si="93"/>
        <v>3</v>
      </c>
      <c r="O636">
        <f t="shared" si="94"/>
        <v>53</v>
      </c>
      <c r="P636">
        <f t="shared" si="87"/>
        <v>0</v>
      </c>
      <c r="R636">
        <f t="shared" si="88"/>
        <v>0</v>
      </c>
      <c r="S636">
        <f t="shared" si="89"/>
        <v>0</v>
      </c>
      <c r="T636">
        <f t="shared" si="90"/>
        <v>0</v>
      </c>
    </row>
    <row r="637" spans="10:20" x14ac:dyDescent="0.25">
      <c r="J637">
        <v>0.33535814853732249</v>
      </c>
      <c r="K637">
        <f t="shared" si="91"/>
        <v>1</v>
      </c>
      <c r="L637">
        <f t="shared" si="92"/>
        <v>0.33535814853732249</v>
      </c>
      <c r="M637">
        <f t="shared" si="86"/>
        <v>1</v>
      </c>
      <c r="N637">
        <f t="shared" si="93"/>
        <v>3</v>
      </c>
      <c r="O637">
        <f t="shared" si="94"/>
        <v>53</v>
      </c>
      <c r="P637">
        <f t="shared" si="87"/>
        <v>0</v>
      </c>
      <c r="R637">
        <f t="shared" si="88"/>
        <v>0</v>
      </c>
      <c r="S637">
        <f t="shared" si="89"/>
        <v>0</v>
      </c>
      <c r="T637">
        <f t="shared" si="90"/>
        <v>0</v>
      </c>
    </row>
    <row r="638" spans="10:20" x14ac:dyDescent="0.25">
      <c r="J638">
        <v>0.73802627477527505</v>
      </c>
      <c r="K638">
        <f t="shared" si="91"/>
        <v>0</v>
      </c>
      <c r="L638">
        <f t="shared" si="92"/>
        <v>0</v>
      </c>
      <c r="M638">
        <f t="shared" si="86"/>
        <v>0</v>
      </c>
      <c r="N638">
        <f t="shared" si="93"/>
        <v>4</v>
      </c>
      <c r="O638">
        <f t="shared" si="94"/>
        <v>53</v>
      </c>
      <c r="P638">
        <f t="shared" si="87"/>
        <v>0</v>
      </c>
      <c r="R638">
        <f t="shared" si="88"/>
        <v>0</v>
      </c>
      <c r="S638">
        <f t="shared" si="89"/>
        <v>0</v>
      </c>
      <c r="T638">
        <f t="shared" si="90"/>
        <v>0</v>
      </c>
    </row>
    <row r="639" spans="10:20" x14ac:dyDescent="0.25">
      <c r="J639">
        <v>0.60981669994096965</v>
      </c>
      <c r="K639">
        <f t="shared" si="91"/>
        <v>1</v>
      </c>
      <c r="L639">
        <f t="shared" si="92"/>
        <v>0.60981669994096965</v>
      </c>
      <c r="M639">
        <f t="shared" si="86"/>
        <v>1</v>
      </c>
      <c r="N639">
        <f t="shared" si="93"/>
        <v>4</v>
      </c>
      <c r="O639">
        <f t="shared" si="94"/>
        <v>53</v>
      </c>
      <c r="P639">
        <f t="shared" si="87"/>
        <v>0</v>
      </c>
      <c r="R639">
        <f t="shared" si="88"/>
        <v>0</v>
      </c>
      <c r="S639">
        <f t="shared" si="89"/>
        <v>0</v>
      </c>
      <c r="T639">
        <f t="shared" si="90"/>
        <v>0</v>
      </c>
    </row>
    <row r="640" spans="10:20" x14ac:dyDescent="0.25">
      <c r="J640">
        <v>0.94793679996642177</v>
      </c>
      <c r="K640">
        <f t="shared" si="91"/>
        <v>0</v>
      </c>
      <c r="L640">
        <f t="shared" si="92"/>
        <v>0</v>
      </c>
      <c r="M640">
        <f t="shared" si="86"/>
        <v>0</v>
      </c>
      <c r="N640">
        <f t="shared" si="93"/>
        <v>5</v>
      </c>
      <c r="O640">
        <f t="shared" si="94"/>
        <v>53</v>
      </c>
      <c r="P640">
        <f t="shared" si="87"/>
        <v>0</v>
      </c>
      <c r="R640">
        <f t="shared" si="88"/>
        <v>0</v>
      </c>
      <c r="S640">
        <f t="shared" si="89"/>
        <v>0</v>
      </c>
      <c r="T640">
        <f t="shared" si="90"/>
        <v>0</v>
      </c>
    </row>
    <row r="641" spans="10:20" x14ac:dyDescent="0.25">
      <c r="J641">
        <v>0.29773289334846098</v>
      </c>
      <c r="K641">
        <f t="shared" si="91"/>
        <v>1</v>
      </c>
      <c r="L641">
        <f t="shared" si="92"/>
        <v>0.29773289334846098</v>
      </c>
      <c r="M641">
        <f t="shared" si="86"/>
        <v>1</v>
      </c>
      <c r="N641">
        <f t="shared" si="93"/>
        <v>5</v>
      </c>
      <c r="O641">
        <f t="shared" si="94"/>
        <v>53</v>
      </c>
      <c r="P641">
        <f t="shared" si="87"/>
        <v>0</v>
      </c>
      <c r="R641">
        <f t="shared" si="88"/>
        <v>0</v>
      </c>
      <c r="S641">
        <f t="shared" si="89"/>
        <v>0</v>
      </c>
      <c r="T641">
        <f t="shared" si="90"/>
        <v>0</v>
      </c>
    </row>
    <row r="642" spans="10:20" x14ac:dyDescent="0.25">
      <c r="J642">
        <v>0.89101594472635381</v>
      </c>
      <c r="K642">
        <f t="shared" si="91"/>
        <v>0</v>
      </c>
      <c r="L642">
        <f t="shared" si="92"/>
        <v>0</v>
      </c>
      <c r="M642">
        <f t="shared" si="86"/>
        <v>0</v>
      </c>
      <c r="N642">
        <f t="shared" si="93"/>
        <v>6</v>
      </c>
      <c r="O642">
        <f t="shared" si="94"/>
        <v>53</v>
      </c>
      <c r="P642">
        <f t="shared" si="87"/>
        <v>0</v>
      </c>
      <c r="R642">
        <f t="shared" si="88"/>
        <v>0</v>
      </c>
      <c r="S642">
        <f t="shared" si="89"/>
        <v>0</v>
      </c>
      <c r="T642">
        <f t="shared" si="90"/>
        <v>0</v>
      </c>
    </row>
    <row r="643" spans="10:20" x14ac:dyDescent="0.25">
      <c r="J643">
        <v>0.78297893046410649</v>
      </c>
      <c r="K643">
        <f t="shared" si="91"/>
        <v>1</v>
      </c>
      <c r="L643">
        <f t="shared" si="92"/>
        <v>0.78297893046410649</v>
      </c>
      <c r="M643">
        <f t="shared" si="86"/>
        <v>1</v>
      </c>
      <c r="N643">
        <f t="shared" si="93"/>
        <v>6</v>
      </c>
      <c r="O643">
        <f t="shared" si="94"/>
        <v>53</v>
      </c>
      <c r="P643">
        <f t="shared" si="87"/>
        <v>0</v>
      </c>
      <c r="R643">
        <f t="shared" si="88"/>
        <v>0</v>
      </c>
      <c r="S643">
        <f t="shared" si="89"/>
        <v>0</v>
      </c>
      <c r="T643">
        <f t="shared" si="90"/>
        <v>0</v>
      </c>
    </row>
    <row r="644" spans="10:20" x14ac:dyDescent="0.25">
      <c r="J644">
        <v>0.5097769193067323</v>
      </c>
      <c r="K644">
        <f t="shared" si="91"/>
        <v>0</v>
      </c>
      <c r="L644">
        <f t="shared" si="92"/>
        <v>0</v>
      </c>
      <c r="M644">
        <f t="shared" si="86"/>
        <v>0</v>
      </c>
      <c r="N644">
        <f t="shared" si="93"/>
        <v>7</v>
      </c>
      <c r="O644">
        <f t="shared" si="94"/>
        <v>53</v>
      </c>
      <c r="P644">
        <f t="shared" si="87"/>
        <v>0</v>
      </c>
      <c r="R644">
        <f t="shared" si="88"/>
        <v>0</v>
      </c>
      <c r="S644">
        <f t="shared" si="89"/>
        <v>0</v>
      </c>
      <c r="T644">
        <f t="shared" si="90"/>
        <v>0</v>
      </c>
    </row>
    <row r="645" spans="10:20" x14ac:dyDescent="0.25">
      <c r="J645">
        <v>0.28547833802820199</v>
      </c>
      <c r="K645">
        <f t="shared" si="91"/>
        <v>1</v>
      </c>
      <c r="L645">
        <f t="shared" si="92"/>
        <v>0.28547833802820199</v>
      </c>
      <c r="M645">
        <f t="shared" si="86"/>
        <v>1</v>
      </c>
      <c r="N645">
        <f t="shared" si="93"/>
        <v>1</v>
      </c>
      <c r="O645">
        <f t="shared" si="94"/>
        <v>54</v>
      </c>
      <c r="P645">
        <f t="shared" si="87"/>
        <v>0</v>
      </c>
      <c r="R645">
        <f t="shared" si="88"/>
        <v>0</v>
      </c>
      <c r="S645">
        <f t="shared" si="89"/>
        <v>0</v>
      </c>
      <c r="T645">
        <f t="shared" si="90"/>
        <v>0</v>
      </c>
    </row>
    <row r="646" spans="10:20" x14ac:dyDescent="0.25">
      <c r="J646">
        <v>0.71666361995440564</v>
      </c>
      <c r="K646">
        <f t="shared" si="91"/>
        <v>0</v>
      </c>
      <c r="L646">
        <f t="shared" si="92"/>
        <v>0</v>
      </c>
      <c r="M646">
        <f t="shared" si="86"/>
        <v>0</v>
      </c>
      <c r="N646">
        <f t="shared" si="93"/>
        <v>2</v>
      </c>
      <c r="O646">
        <f t="shared" si="94"/>
        <v>54</v>
      </c>
      <c r="P646">
        <f t="shared" si="87"/>
        <v>0</v>
      </c>
      <c r="R646">
        <f t="shared" si="88"/>
        <v>0</v>
      </c>
      <c r="S646">
        <f t="shared" si="89"/>
        <v>0</v>
      </c>
      <c r="T646">
        <f t="shared" si="90"/>
        <v>0</v>
      </c>
    </row>
    <row r="647" spans="10:20" x14ac:dyDescent="0.25">
      <c r="J647">
        <v>3.296467535011427E-2</v>
      </c>
      <c r="K647">
        <f t="shared" si="91"/>
        <v>1</v>
      </c>
      <c r="L647">
        <f t="shared" si="92"/>
        <v>3.296467535011427E-2</v>
      </c>
      <c r="M647">
        <f t="shared" si="86"/>
        <v>1</v>
      </c>
      <c r="N647">
        <f t="shared" si="93"/>
        <v>2</v>
      </c>
      <c r="O647">
        <f t="shared" si="94"/>
        <v>54</v>
      </c>
      <c r="P647">
        <f t="shared" si="87"/>
        <v>0</v>
      </c>
      <c r="R647">
        <f t="shared" si="88"/>
        <v>0</v>
      </c>
      <c r="S647">
        <f t="shared" si="89"/>
        <v>0</v>
      </c>
      <c r="T647">
        <f t="shared" si="90"/>
        <v>0</v>
      </c>
    </row>
    <row r="648" spans="10:20" x14ac:dyDescent="0.25">
      <c r="J648">
        <v>0.76539433577191096</v>
      </c>
      <c r="K648">
        <f t="shared" si="91"/>
        <v>0</v>
      </c>
      <c r="L648">
        <f t="shared" si="92"/>
        <v>0</v>
      </c>
      <c r="M648">
        <f t="shared" ref="M648:M711" si="95">IF(L648&gt;$M$2,1,0)</f>
        <v>0</v>
      </c>
      <c r="N648">
        <f t="shared" si="93"/>
        <v>3</v>
      </c>
      <c r="O648">
        <f t="shared" si="94"/>
        <v>54</v>
      </c>
      <c r="P648">
        <f t="shared" ref="P648:P711" si="96">IF(INDEX($B$7:$H$1029,O648,2)&gt;0,1,0)</f>
        <v>0</v>
      </c>
      <c r="R648">
        <f t="shared" ref="R648:R711" si="97">IF(  M648&gt;0,INDEX($B$7:$H$1029,O648,N648),0)*P648</f>
        <v>0</v>
      </c>
      <c r="S648">
        <f t="shared" ref="S648:S711" si="98">M648*P648</f>
        <v>0</v>
      </c>
      <c r="T648">
        <f t="shared" ref="T648:T711" si="99">IF(N649=$N$2,1,0)*P648</f>
        <v>0</v>
      </c>
    </row>
    <row r="649" spans="10:20" x14ac:dyDescent="0.25">
      <c r="J649">
        <v>0.97182566590795005</v>
      </c>
      <c r="K649">
        <f t="shared" si="91"/>
        <v>1</v>
      </c>
      <c r="L649">
        <f t="shared" si="92"/>
        <v>0.97182566590795005</v>
      </c>
      <c r="M649">
        <f t="shared" si="95"/>
        <v>1</v>
      </c>
      <c r="N649">
        <f t="shared" si="93"/>
        <v>3</v>
      </c>
      <c r="O649">
        <f t="shared" si="94"/>
        <v>54</v>
      </c>
      <c r="P649">
        <f t="shared" si="96"/>
        <v>0</v>
      </c>
      <c r="R649">
        <f t="shared" si="97"/>
        <v>0</v>
      </c>
      <c r="S649">
        <f t="shared" si="98"/>
        <v>0</v>
      </c>
      <c r="T649">
        <f t="shared" si="99"/>
        <v>0</v>
      </c>
    </row>
    <row r="650" spans="10:20" x14ac:dyDescent="0.25">
      <c r="J650">
        <v>0.92025681944277837</v>
      </c>
      <c r="K650">
        <f t="shared" si="91"/>
        <v>0</v>
      </c>
      <c r="L650">
        <f t="shared" si="92"/>
        <v>0</v>
      </c>
      <c r="M650">
        <f t="shared" si="95"/>
        <v>0</v>
      </c>
      <c r="N650">
        <f t="shared" si="93"/>
        <v>4</v>
      </c>
      <c r="O650">
        <f t="shared" si="94"/>
        <v>54</v>
      </c>
      <c r="P650">
        <f t="shared" si="96"/>
        <v>0</v>
      </c>
      <c r="R650">
        <f t="shared" si="97"/>
        <v>0</v>
      </c>
      <c r="S650">
        <f t="shared" si="98"/>
        <v>0</v>
      </c>
      <c r="T650">
        <f t="shared" si="99"/>
        <v>0</v>
      </c>
    </row>
    <row r="651" spans="10:20" x14ac:dyDescent="0.25">
      <c r="J651">
        <v>0.50910732447229068</v>
      </c>
      <c r="K651">
        <f t="shared" si="91"/>
        <v>1</v>
      </c>
      <c r="L651">
        <f t="shared" si="92"/>
        <v>0.50910732447229068</v>
      </c>
      <c r="M651">
        <f t="shared" si="95"/>
        <v>1</v>
      </c>
      <c r="N651">
        <f t="shared" si="93"/>
        <v>4</v>
      </c>
      <c r="O651">
        <f t="shared" si="94"/>
        <v>54</v>
      </c>
      <c r="P651">
        <f t="shared" si="96"/>
        <v>0</v>
      </c>
      <c r="R651">
        <f t="shared" si="97"/>
        <v>0</v>
      </c>
      <c r="S651">
        <f t="shared" si="98"/>
        <v>0</v>
      </c>
      <c r="T651">
        <f t="shared" si="99"/>
        <v>0</v>
      </c>
    </row>
    <row r="652" spans="10:20" x14ac:dyDescent="0.25">
      <c r="J652">
        <v>0.46075733267083618</v>
      </c>
      <c r="K652">
        <f t="shared" si="91"/>
        <v>0</v>
      </c>
      <c r="L652">
        <f t="shared" si="92"/>
        <v>0</v>
      </c>
      <c r="M652">
        <f t="shared" si="95"/>
        <v>0</v>
      </c>
      <c r="N652">
        <f t="shared" si="93"/>
        <v>5</v>
      </c>
      <c r="O652">
        <f t="shared" si="94"/>
        <v>54</v>
      </c>
      <c r="P652">
        <f t="shared" si="96"/>
        <v>0</v>
      </c>
      <c r="R652">
        <f t="shared" si="97"/>
        <v>0</v>
      </c>
      <c r="S652">
        <f t="shared" si="98"/>
        <v>0</v>
      </c>
      <c r="T652">
        <f t="shared" si="99"/>
        <v>0</v>
      </c>
    </row>
    <row r="653" spans="10:20" x14ac:dyDescent="0.25">
      <c r="J653">
        <v>0.58415905592852679</v>
      </c>
      <c r="K653">
        <f t="shared" si="91"/>
        <v>1</v>
      </c>
      <c r="L653">
        <f t="shared" si="92"/>
        <v>0.58415905592852679</v>
      </c>
      <c r="M653">
        <f t="shared" si="95"/>
        <v>1</v>
      </c>
      <c r="N653">
        <f t="shared" si="93"/>
        <v>5</v>
      </c>
      <c r="O653">
        <f t="shared" si="94"/>
        <v>54</v>
      </c>
      <c r="P653">
        <f t="shared" si="96"/>
        <v>0</v>
      </c>
      <c r="R653">
        <f t="shared" si="97"/>
        <v>0</v>
      </c>
      <c r="S653">
        <f t="shared" si="98"/>
        <v>0</v>
      </c>
      <c r="T653">
        <f t="shared" si="99"/>
        <v>0</v>
      </c>
    </row>
    <row r="654" spans="10:20" x14ac:dyDescent="0.25">
      <c r="J654">
        <v>0.30331345298690382</v>
      </c>
      <c r="K654">
        <f t="shared" si="91"/>
        <v>0</v>
      </c>
      <c r="L654">
        <f t="shared" si="92"/>
        <v>0</v>
      </c>
      <c r="M654">
        <f t="shared" si="95"/>
        <v>0</v>
      </c>
      <c r="N654">
        <f t="shared" si="93"/>
        <v>6</v>
      </c>
      <c r="O654">
        <f t="shared" si="94"/>
        <v>54</v>
      </c>
      <c r="P654">
        <f t="shared" si="96"/>
        <v>0</v>
      </c>
      <c r="R654">
        <f t="shared" si="97"/>
        <v>0</v>
      </c>
      <c r="S654">
        <f t="shared" si="98"/>
        <v>0</v>
      </c>
      <c r="T654">
        <f t="shared" si="99"/>
        <v>0</v>
      </c>
    </row>
    <row r="655" spans="10:20" x14ac:dyDescent="0.25">
      <c r="J655">
        <v>8.6324549636623726E-2</v>
      </c>
      <c r="K655">
        <f t="shared" si="91"/>
        <v>1</v>
      </c>
      <c r="L655">
        <f t="shared" si="92"/>
        <v>8.6324549636623726E-2</v>
      </c>
      <c r="M655">
        <f t="shared" si="95"/>
        <v>1</v>
      </c>
      <c r="N655">
        <f t="shared" si="93"/>
        <v>6</v>
      </c>
      <c r="O655">
        <f t="shared" si="94"/>
        <v>54</v>
      </c>
      <c r="P655">
        <f t="shared" si="96"/>
        <v>0</v>
      </c>
      <c r="R655">
        <f t="shared" si="97"/>
        <v>0</v>
      </c>
      <c r="S655">
        <f t="shared" si="98"/>
        <v>0</v>
      </c>
      <c r="T655">
        <f t="shared" si="99"/>
        <v>0</v>
      </c>
    </row>
    <row r="656" spans="10:20" x14ac:dyDescent="0.25">
      <c r="J656">
        <v>0.66112845840989443</v>
      </c>
      <c r="K656">
        <f t="shared" si="91"/>
        <v>0</v>
      </c>
      <c r="L656">
        <f t="shared" si="92"/>
        <v>0</v>
      </c>
      <c r="M656">
        <f t="shared" si="95"/>
        <v>0</v>
      </c>
      <c r="N656">
        <f t="shared" si="93"/>
        <v>7</v>
      </c>
      <c r="O656">
        <f t="shared" si="94"/>
        <v>54</v>
      </c>
      <c r="P656">
        <f t="shared" si="96"/>
        <v>0</v>
      </c>
      <c r="R656">
        <f t="shared" si="97"/>
        <v>0</v>
      </c>
      <c r="S656">
        <f t="shared" si="98"/>
        <v>0</v>
      </c>
      <c r="T656">
        <f t="shared" si="99"/>
        <v>0</v>
      </c>
    </row>
    <row r="657" spans="10:20" x14ac:dyDescent="0.25">
      <c r="J657">
        <v>0.53288470795803111</v>
      </c>
      <c r="K657">
        <f t="shared" si="91"/>
        <v>1</v>
      </c>
      <c r="L657">
        <f t="shared" si="92"/>
        <v>0.53288470795803111</v>
      </c>
      <c r="M657">
        <f t="shared" si="95"/>
        <v>1</v>
      </c>
      <c r="N657">
        <f t="shared" si="93"/>
        <v>1</v>
      </c>
      <c r="O657">
        <f t="shared" si="94"/>
        <v>55</v>
      </c>
      <c r="P657">
        <f t="shared" si="96"/>
        <v>0</v>
      </c>
      <c r="R657">
        <f t="shared" si="97"/>
        <v>0</v>
      </c>
      <c r="S657">
        <f t="shared" si="98"/>
        <v>0</v>
      </c>
      <c r="T657">
        <f t="shared" si="99"/>
        <v>0</v>
      </c>
    </row>
    <row r="658" spans="10:20" x14ac:dyDescent="0.25">
      <c r="J658">
        <v>0.39964032820544382</v>
      </c>
      <c r="K658">
        <f t="shared" si="91"/>
        <v>0</v>
      </c>
      <c r="L658">
        <f t="shared" si="92"/>
        <v>0</v>
      </c>
      <c r="M658">
        <f t="shared" si="95"/>
        <v>0</v>
      </c>
      <c r="N658">
        <f t="shared" si="93"/>
        <v>2</v>
      </c>
      <c r="O658">
        <f t="shared" si="94"/>
        <v>55</v>
      </c>
      <c r="P658">
        <f t="shared" si="96"/>
        <v>0</v>
      </c>
      <c r="R658">
        <f t="shared" si="97"/>
        <v>0</v>
      </c>
      <c r="S658">
        <f t="shared" si="98"/>
        <v>0</v>
      </c>
      <c r="T658">
        <f t="shared" si="99"/>
        <v>0</v>
      </c>
    </row>
    <row r="659" spans="10:20" x14ac:dyDescent="0.25">
      <c r="J659">
        <v>0.22880799560760556</v>
      </c>
      <c r="K659">
        <f t="shared" si="91"/>
        <v>1</v>
      </c>
      <c r="L659">
        <f t="shared" si="92"/>
        <v>0.22880799560760556</v>
      </c>
      <c r="M659">
        <f t="shared" si="95"/>
        <v>1</v>
      </c>
      <c r="N659">
        <f t="shared" si="93"/>
        <v>2</v>
      </c>
      <c r="O659">
        <f t="shared" si="94"/>
        <v>55</v>
      </c>
      <c r="P659">
        <f t="shared" si="96"/>
        <v>0</v>
      </c>
      <c r="R659">
        <f t="shared" si="97"/>
        <v>0</v>
      </c>
      <c r="S659">
        <f t="shared" si="98"/>
        <v>0</v>
      </c>
      <c r="T659">
        <f t="shared" si="99"/>
        <v>0</v>
      </c>
    </row>
    <row r="660" spans="10:20" x14ac:dyDescent="0.25">
      <c r="J660">
        <v>0.81848480679778612</v>
      </c>
      <c r="K660">
        <f t="shared" si="91"/>
        <v>0</v>
      </c>
      <c r="L660">
        <f t="shared" si="92"/>
        <v>0</v>
      </c>
      <c r="M660">
        <f t="shared" si="95"/>
        <v>0</v>
      </c>
      <c r="N660">
        <f t="shared" si="93"/>
        <v>3</v>
      </c>
      <c r="O660">
        <f t="shared" si="94"/>
        <v>55</v>
      </c>
      <c r="P660">
        <f t="shared" si="96"/>
        <v>0</v>
      </c>
      <c r="R660">
        <f t="shared" si="97"/>
        <v>0</v>
      </c>
      <c r="S660">
        <f t="shared" si="98"/>
        <v>0</v>
      </c>
      <c r="T660">
        <f t="shared" si="99"/>
        <v>0</v>
      </c>
    </row>
    <row r="661" spans="10:20" x14ac:dyDescent="0.25">
      <c r="J661">
        <v>0.52592902102299255</v>
      </c>
      <c r="K661">
        <f t="shared" si="91"/>
        <v>1</v>
      </c>
      <c r="L661">
        <f t="shared" si="92"/>
        <v>0.52592902102299255</v>
      </c>
      <c r="M661">
        <f t="shared" si="95"/>
        <v>1</v>
      </c>
      <c r="N661">
        <f t="shared" si="93"/>
        <v>3</v>
      </c>
      <c r="O661">
        <f t="shared" si="94"/>
        <v>55</v>
      </c>
      <c r="P661">
        <f t="shared" si="96"/>
        <v>0</v>
      </c>
      <c r="R661">
        <f t="shared" si="97"/>
        <v>0</v>
      </c>
      <c r="S661">
        <f t="shared" si="98"/>
        <v>0</v>
      </c>
      <c r="T661">
        <f t="shared" si="99"/>
        <v>0</v>
      </c>
    </row>
    <row r="662" spans="10:20" x14ac:dyDescent="0.25">
      <c r="J662">
        <v>0.65709884705119226</v>
      </c>
      <c r="K662">
        <f t="shared" si="91"/>
        <v>0</v>
      </c>
      <c r="L662">
        <f t="shared" si="92"/>
        <v>0</v>
      </c>
      <c r="M662">
        <f t="shared" si="95"/>
        <v>0</v>
      </c>
      <c r="N662">
        <f t="shared" si="93"/>
        <v>4</v>
      </c>
      <c r="O662">
        <f t="shared" si="94"/>
        <v>55</v>
      </c>
      <c r="P662">
        <f t="shared" si="96"/>
        <v>0</v>
      </c>
      <c r="R662">
        <f t="shared" si="97"/>
        <v>0</v>
      </c>
      <c r="S662">
        <f t="shared" si="98"/>
        <v>0</v>
      </c>
      <c r="T662">
        <f t="shared" si="99"/>
        <v>0</v>
      </c>
    </row>
    <row r="663" spans="10:20" x14ac:dyDescent="0.25">
      <c r="J663">
        <v>0.16866934666001376</v>
      </c>
      <c r="K663">
        <f t="shared" si="91"/>
        <v>1</v>
      </c>
      <c r="L663">
        <f t="shared" si="92"/>
        <v>0.16866934666001376</v>
      </c>
      <c r="M663">
        <f t="shared" si="95"/>
        <v>1</v>
      </c>
      <c r="N663">
        <f t="shared" si="93"/>
        <v>4</v>
      </c>
      <c r="O663">
        <f t="shared" si="94"/>
        <v>55</v>
      </c>
      <c r="P663">
        <f t="shared" si="96"/>
        <v>0</v>
      </c>
      <c r="R663">
        <f t="shared" si="97"/>
        <v>0</v>
      </c>
      <c r="S663">
        <f t="shared" si="98"/>
        <v>0</v>
      </c>
      <c r="T663">
        <f t="shared" si="99"/>
        <v>0</v>
      </c>
    </row>
    <row r="664" spans="10:20" x14ac:dyDescent="0.25">
      <c r="J664">
        <v>0.10559284637570765</v>
      </c>
      <c r="K664">
        <f t="shared" ref="K664:K727" si="100">IF(K663=1,0,1)</f>
        <v>0</v>
      </c>
      <c r="L664">
        <f t="shared" ref="L664:L727" si="101">K664*J664</f>
        <v>0</v>
      </c>
      <c r="M664">
        <f t="shared" si="95"/>
        <v>0</v>
      </c>
      <c r="N664">
        <f t="shared" ref="N664:N727" si="102">IF(N663&lt;$N$2,N663+M663,1)</f>
        <v>5</v>
      </c>
      <c r="O664">
        <f t="shared" ref="O664:O727" si="103">IF(AND(N664=1,M664=1),O663+1,O663)</f>
        <v>55</v>
      </c>
      <c r="P664">
        <f t="shared" si="96"/>
        <v>0</v>
      </c>
      <c r="R664">
        <f t="shared" si="97"/>
        <v>0</v>
      </c>
      <c r="S664">
        <f t="shared" si="98"/>
        <v>0</v>
      </c>
      <c r="T664">
        <f t="shared" si="99"/>
        <v>0</v>
      </c>
    </row>
    <row r="665" spans="10:20" x14ac:dyDescent="0.25">
      <c r="J665">
        <v>0.58371593956729595</v>
      </c>
      <c r="K665">
        <f t="shared" si="100"/>
        <v>1</v>
      </c>
      <c r="L665">
        <f t="shared" si="101"/>
        <v>0.58371593956729595</v>
      </c>
      <c r="M665">
        <f t="shared" si="95"/>
        <v>1</v>
      </c>
      <c r="N665">
        <f t="shared" si="102"/>
        <v>5</v>
      </c>
      <c r="O665">
        <f t="shared" si="103"/>
        <v>55</v>
      </c>
      <c r="P665">
        <f t="shared" si="96"/>
        <v>0</v>
      </c>
      <c r="R665">
        <f t="shared" si="97"/>
        <v>0</v>
      </c>
      <c r="S665">
        <f t="shared" si="98"/>
        <v>0</v>
      </c>
      <c r="T665">
        <f t="shared" si="99"/>
        <v>0</v>
      </c>
    </row>
    <row r="666" spans="10:20" x14ac:dyDescent="0.25">
      <c r="J666">
        <v>0.21957276368065759</v>
      </c>
      <c r="K666">
        <f t="shared" si="100"/>
        <v>0</v>
      </c>
      <c r="L666">
        <f t="shared" si="101"/>
        <v>0</v>
      </c>
      <c r="M666">
        <f t="shared" si="95"/>
        <v>0</v>
      </c>
      <c r="N666">
        <f t="shared" si="102"/>
        <v>6</v>
      </c>
      <c r="O666">
        <f t="shared" si="103"/>
        <v>55</v>
      </c>
      <c r="P666">
        <f t="shared" si="96"/>
        <v>0</v>
      </c>
      <c r="R666">
        <f t="shared" si="97"/>
        <v>0</v>
      </c>
      <c r="S666">
        <f t="shared" si="98"/>
        <v>0</v>
      </c>
      <c r="T666">
        <f t="shared" si="99"/>
        <v>0</v>
      </c>
    </row>
    <row r="667" spans="10:20" x14ac:dyDescent="0.25">
      <c r="J667">
        <v>0.41397791575535647</v>
      </c>
      <c r="K667">
        <f t="shared" si="100"/>
        <v>1</v>
      </c>
      <c r="L667">
        <f t="shared" si="101"/>
        <v>0.41397791575535647</v>
      </c>
      <c r="M667">
        <f t="shared" si="95"/>
        <v>1</v>
      </c>
      <c r="N667">
        <f t="shared" si="102"/>
        <v>6</v>
      </c>
      <c r="O667">
        <f t="shared" si="103"/>
        <v>55</v>
      </c>
      <c r="P667">
        <f t="shared" si="96"/>
        <v>0</v>
      </c>
      <c r="R667">
        <f t="shared" si="97"/>
        <v>0</v>
      </c>
      <c r="S667">
        <f t="shared" si="98"/>
        <v>0</v>
      </c>
      <c r="T667">
        <f t="shared" si="99"/>
        <v>0</v>
      </c>
    </row>
    <row r="668" spans="10:20" x14ac:dyDescent="0.25">
      <c r="J668">
        <v>0.65260298256230487</v>
      </c>
      <c r="K668">
        <f t="shared" si="100"/>
        <v>0</v>
      </c>
      <c r="L668">
        <f t="shared" si="101"/>
        <v>0</v>
      </c>
      <c r="M668">
        <f t="shared" si="95"/>
        <v>0</v>
      </c>
      <c r="N668">
        <f t="shared" si="102"/>
        <v>7</v>
      </c>
      <c r="O668">
        <f t="shared" si="103"/>
        <v>55</v>
      </c>
      <c r="P668">
        <f t="shared" si="96"/>
        <v>0</v>
      </c>
      <c r="R668">
        <f t="shared" si="97"/>
        <v>0</v>
      </c>
      <c r="S668">
        <f t="shared" si="98"/>
        <v>0</v>
      </c>
      <c r="T668">
        <f t="shared" si="99"/>
        <v>0</v>
      </c>
    </row>
    <row r="669" spans="10:20" x14ac:dyDescent="0.25">
      <c r="J669">
        <v>0.99375848737967387</v>
      </c>
      <c r="K669">
        <f t="shared" si="100"/>
        <v>1</v>
      </c>
      <c r="L669">
        <f t="shared" si="101"/>
        <v>0.99375848737967387</v>
      </c>
      <c r="M669">
        <f t="shared" si="95"/>
        <v>1</v>
      </c>
      <c r="N669">
        <f t="shared" si="102"/>
        <v>1</v>
      </c>
      <c r="O669">
        <f t="shared" si="103"/>
        <v>56</v>
      </c>
      <c r="P669">
        <f t="shared" si="96"/>
        <v>0</v>
      </c>
      <c r="R669">
        <f t="shared" si="97"/>
        <v>0</v>
      </c>
      <c r="S669">
        <f t="shared" si="98"/>
        <v>0</v>
      </c>
      <c r="T669">
        <f t="shared" si="99"/>
        <v>0</v>
      </c>
    </row>
    <row r="670" spans="10:20" x14ac:dyDescent="0.25">
      <c r="J670">
        <v>0.21038877396395372</v>
      </c>
      <c r="K670">
        <f t="shared" si="100"/>
        <v>0</v>
      </c>
      <c r="L670">
        <f t="shared" si="101"/>
        <v>0</v>
      </c>
      <c r="M670">
        <f t="shared" si="95"/>
        <v>0</v>
      </c>
      <c r="N670">
        <f t="shared" si="102"/>
        <v>2</v>
      </c>
      <c r="O670">
        <f t="shared" si="103"/>
        <v>56</v>
      </c>
      <c r="P670">
        <f t="shared" si="96"/>
        <v>0</v>
      </c>
      <c r="R670">
        <f t="shared" si="97"/>
        <v>0</v>
      </c>
      <c r="S670">
        <f t="shared" si="98"/>
        <v>0</v>
      </c>
      <c r="T670">
        <f t="shared" si="99"/>
        <v>0</v>
      </c>
    </row>
    <row r="671" spans="10:20" x14ac:dyDescent="0.25">
      <c r="J671">
        <v>0.25699417317672646</v>
      </c>
      <c r="K671">
        <f t="shared" si="100"/>
        <v>1</v>
      </c>
      <c r="L671">
        <f t="shared" si="101"/>
        <v>0.25699417317672646</v>
      </c>
      <c r="M671">
        <f t="shared" si="95"/>
        <v>1</v>
      </c>
      <c r="N671">
        <f t="shared" si="102"/>
        <v>2</v>
      </c>
      <c r="O671">
        <f t="shared" si="103"/>
        <v>56</v>
      </c>
      <c r="P671">
        <f t="shared" si="96"/>
        <v>0</v>
      </c>
      <c r="R671">
        <f t="shared" si="97"/>
        <v>0</v>
      </c>
      <c r="S671">
        <f t="shared" si="98"/>
        <v>0</v>
      </c>
      <c r="T671">
        <f t="shared" si="99"/>
        <v>0</v>
      </c>
    </row>
    <row r="672" spans="10:20" x14ac:dyDescent="0.25">
      <c r="J672">
        <v>0.32091359862974367</v>
      </c>
      <c r="K672">
        <f t="shared" si="100"/>
        <v>0</v>
      </c>
      <c r="L672">
        <f t="shared" si="101"/>
        <v>0</v>
      </c>
      <c r="M672">
        <f t="shared" si="95"/>
        <v>0</v>
      </c>
      <c r="N672">
        <f t="shared" si="102"/>
        <v>3</v>
      </c>
      <c r="O672">
        <f t="shared" si="103"/>
        <v>56</v>
      </c>
      <c r="P672">
        <f t="shared" si="96"/>
        <v>0</v>
      </c>
      <c r="R672">
        <f t="shared" si="97"/>
        <v>0</v>
      </c>
      <c r="S672">
        <f t="shared" si="98"/>
        <v>0</v>
      </c>
      <c r="T672">
        <f t="shared" si="99"/>
        <v>0</v>
      </c>
    </row>
    <row r="673" spans="10:20" x14ac:dyDescent="0.25">
      <c r="J673">
        <v>0.45565772472344079</v>
      </c>
      <c r="K673">
        <f t="shared" si="100"/>
        <v>1</v>
      </c>
      <c r="L673">
        <f t="shared" si="101"/>
        <v>0.45565772472344079</v>
      </c>
      <c r="M673">
        <f t="shared" si="95"/>
        <v>1</v>
      </c>
      <c r="N673">
        <f t="shared" si="102"/>
        <v>3</v>
      </c>
      <c r="O673">
        <f t="shared" si="103"/>
        <v>56</v>
      </c>
      <c r="P673">
        <f t="shared" si="96"/>
        <v>0</v>
      </c>
      <c r="R673">
        <f t="shared" si="97"/>
        <v>0</v>
      </c>
      <c r="S673">
        <f t="shared" si="98"/>
        <v>0</v>
      </c>
      <c r="T673">
        <f t="shared" si="99"/>
        <v>0</v>
      </c>
    </row>
    <row r="674" spans="10:20" x14ac:dyDescent="0.25">
      <c r="J674">
        <v>0.1730966649239839</v>
      </c>
      <c r="K674">
        <f t="shared" si="100"/>
        <v>0</v>
      </c>
      <c r="L674">
        <f t="shared" si="101"/>
        <v>0</v>
      </c>
      <c r="M674">
        <f t="shared" si="95"/>
        <v>0</v>
      </c>
      <c r="N674">
        <f t="shared" si="102"/>
        <v>4</v>
      </c>
      <c r="O674">
        <f t="shared" si="103"/>
        <v>56</v>
      </c>
      <c r="P674">
        <f t="shared" si="96"/>
        <v>0</v>
      </c>
      <c r="R674">
        <f t="shared" si="97"/>
        <v>0</v>
      </c>
      <c r="S674">
        <f t="shared" si="98"/>
        <v>0</v>
      </c>
      <c r="T674">
        <f t="shared" si="99"/>
        <v>0</v>
      </c>
    </row>
    <row r="675" spans="10:20" x14ac:dyDescent="0.25">
      <c r="J675">
        <v>0.14920555228736021</v>
      </c>
      <c r="K675">
        <f t="shared" si="100"/>
        <v>1</v>
      </c>
      <c r="L675">
        <f t="shared" si="101"/>
        <v>0.14920555228736021</v>
      </c>
      <c r="M675">
        <f t="shared" si="95"/>
        <v>1</v>
      </c>
      <c r="N675">
        <f t="shared" si="102"/>
        <v>4</v>
      </c>
      <c r="O675">
        <f t="shared" si="103"/>
        <v>56</v>
      </c>
      <c r="P675">
        <f t="shared" si="96"/>
        <v>0</v>
      </c>
      <c r="R675">
        <f t="shared" si="97"/>
        <v>0</v>
      </c>
      <c r="S675">
        <f t="shared" si="98"/>
        <v>0</v>
      </c>
      <c r="T675">
        <f t="shared" si="99"/>
        <v>0</v>
      </c>
    </row>
    <row r="676" spans="10:20" x14ac:dyDescent="0.25">
      <c r="J676">
        <v>0.42835870769154383</v>
      </c>
      <c r="K676">
        <f t="shared" si="100"/>
        <v>0</v>
      </c>
      <c r="L676">
        <f t="shared" si="101"/>
        <v>0</v>
      </c>
      <c r="M676">
        <f t="shared" si="95"/>
        <v>0</v>
      </c>
      <c r="N676">
        <f t="shared" si="102"/>
        <v>5</v>
      </c>
      <c r="O676">
        <f t="shared" si="103"/>
        <v>56</v>
      </c>
      <c r="P676">
        <f t="shared" si="96"/>
        <v>0</v>
      </c>
      <c r="R676">
        <f t="shared" si="97"/>
        <v>0</v>
      </c>
      <c r="S676">
        <f t="shared" si="98"/>
        <v>0</v>
      </c>
      <c r="T676">
        <f t="shared" si="99"/>
        <v>0</v>
      </c>
    </row>
    <row r="677" spans="10:20" x14ac:dyDescent="0.25">
      <c r="J677">
        <v>0.56615141560268867</v>
      </c>
      <c r="K677">
        <f t="shared" si="100"/>
        <v>1</v>
      </c>
      <c r="L677">
        <f t="shared" si="101"/>
        <v>0.56615141560268867</v>
      </c>
      <c r="M677">
        <f t="shared" si="95"/>
        <v>1</v>
      </c>
      <c r="N677">
        <f t="shared" si="102"/>
        <v>5</v>
      </c>
      <c r="O677">
        <f t="shared" si="103"/>
        <v>56</v>
      </c>
      <c r="P677">
        <f t="shared" si="96"/>
        <v>0</v>
      </c>
      <c r="R677">
        <f t="shared" si="97"/>
        <v>0</v>
      </c>
      <c r="S677">
        <f t="shared" si="98"/>
        <v>0</v>
      </c>
      <c r="T677">
        <f t="shared" si="99"/>
        <v>0</v>
      </c>
    </row>
    <row r="678" spans="10:20" x14ac:dyDescent="0.25">
      <c r="J678">
        <v>0.43722295573635661</v>
      </c>
      <c r="K678">
        <f t="shared" si="100"/>
        <v>0</v>
      </c>
      <c r="L678">
        <f t="shared" si="101"/>
        <v>0</v>
      </c>
      <c r="M678">
        <f t="shared" si="95"/>
        <v>0</v>
      </c>
      <c r="N678">
        <f t="shared" si="102"/>
        <v>6</v>
      </c>
      <c r="O678">
        <f t="shared" si="103"/>
        <v>56</v>
      </c>
      <c r="P678">
        <f t="shared" si="96"/>
        <v>0</v>
      </c>
      <c r="R678">
        <f t="shared" si="97"/>
        <v>0</v>
      </c>
      <c r="S678">
        <f t="shared" si="98"/>
        <v>0</v>
      </c>
      <c r="T678">
        <f t="shared" si="99"/>
        <v>0</v>
      </c>
    </row>
    <row r="679" spans="10:20" x14ac:dyDescent="0.25">
      <c r="J679">
        <v>0.40478883096512164</v>
      </c>
      <c r="K679">
        <f t="shared" si="100"/>
        <v>1</v>
      </c>
      <c r="L679">
        <f t="shared" si="101"/>
        <v>0.40478883096512164</v>
      </c>
      <c r="M679">
        <f t="shared" si="95"/>
        <v>1</v>
      </c>
      <c r="N679">
        <f t="shared" si="102"/>
        <v>6</v>
      </c>
      <c r="O679">
        <f t="shared" si="103"/>
        <v>56</v>
      </c>
      <c r="P679">
        <f t="shared" si="96"/>
        <v>0</v>
      </c>
      <c r="R679">
        <f t="shared" si="97"/>
        <v>0</v>
      </c>
      <c r="S679">
        <f t="shared" si="98"/>
        <v>0</v>
      </c>
      <c r="T679">
        <f t="shared" si="99"/>
        <v>0</v>
      </c>
    </row>
    <row r="680" spans="10:20" x14ac:dyDescent="0.25">
      <c r="J680">
        <v>0.60158537374926435</v>
      </c>
      <c r="K680">
        <f t="shared" si="100"/>
        <v>0</v>
      </c>
      <c r="L680">
        <f t="shared" si="101"/>
        <v>0</v>
      </c>
      <c r="M680">
        <f t="shared" si="95"/>
        <v>0</v>
      </c>
      <c r="N680">
        <f t="shared" si="102"/>
        <v>7</v>
      </c>
      <c r="O680">
        <f t="shared" si="103"/>
        <v>56</v>
      </c>
      <c r="P680">
        <f t="shared" si="96"/>
        <v>0</v>
      </c>
      <c r="R680">
        <f t="shared" si="97"/>
        <v>0</v>
      </c>
      <c r="S680">
        <f t="shared" si="98"/>
        <v>0</v>
      </c>
      <c r="T680">
        <f t="shared" si="99"/>
        <v>0</v>
      </c>
    </row>
    <row r="681" spans="10:20" x14ac:dyDescent="0.25">
      <c r="J681">
        <v>0.52781371086765594</v>
      </c>
      <c r="K681">
        <f t="shared" si="100"/>
        <v>1</v>
      </c>
      <c r="L681">
        <f t="shared" si="101"/>
        <v>0.52781371086765594</v>
      </c>
      <c r="M681">
        <f t="shared" si="95"/>
        <v>1</v>
      </c>
      <c r="N681">
        <f t="shared" si="102"/>
        <v>1</v>
      </c>
      <c r="O681">
        <f t="shared" si="103"/>
        <v>57</v>
      </c>
      <c r="P681">
        <f t="shared" si="96"/>
        <v>0</v>
      </c>
      <c r="R681">
        <f t="shared" si="97"/>
        <v>0</v>
      </c>
      <c r="S681">
        <f t="shared" si="98"/>
        <v>0</v>
      </c>
      <c r="T681">
        <f t="shared" si="99"/>
        <v>0</v>
      </c>
    </row>
    <row r="682" spans="10:20" x14ac:dyDescent="0.25">
      <c r="J682">
        <v>0.25223711700261575</v>
      </c>
      <c r="K682">
        <f t="shared" si="100"/>
        <v>0</v>
      </c>
      <c r="L682">
        <f t="shared" si="101"/>
        <v>0</v>
      </c>
      <c r="M682">
        <f t="shared" si="95"/>
        <v>0</v>
      </c>
      <c r="N682">
        <f t="shared" si="102"/>
        <v>2</v>
      </c>
      <c r="O682">
        <f t="shared" si="103"/>
        <v>57</v>
      </c>
      <c r="P682">
        <f t="shared" si="96"/>
        <v>0</v>
      </c>
      <c r="R682">
        <f t="shared" si="97"/>
        <v>0</v>
      </c>
      <c r="S682">
        <f t="shared" si="98"/>
        <v>0</v>
      </c>
      <c r="T682">
        <f t="shared" si="99"/>
        <v>0</v>
      </c>
    </row>
    <row r="683" spans="10:20" x14ac:dyDescent="0.25">
      <c r="J683">
        <v>0.62298031567472223</v>
      </c>
      <c r="K683">
        <f t="shared" si="100"/>
        <v>1</v>
      </c>
      <c r="L683">
        <f t="shared" si="101"/>
        <v>0.62298031567472223</v>
      </c>
      <c r="M683">
        <f t="shared" si="95"/>
        <v>1</v>
      </c>
      <c r="N683">
        <f t="shared" si="102"/>
        <v>2</v>
      </c>
      <c r="O683">
        <f t="shared" si="103"/>
        <v>57</v>
      </c>
      <c r="P683">
        <f t="shared" si="96"/>
        <v>0</v>
      </c>
      <c r="R683">
        <f t="shared" si="97"/>
        <v>0</v>
      </c>
      <c r="S683">
        <f t="shared" si="98"/>
        <v>0</v>
      </c>
      <c r="T683">
        <f t="shared" si="99"/>
        <v>0</v>
      </c>
    </row>
    <row r="684" spans="10:20" x14ac:dyDescent="0.25">
      <c r="J684">
        <v>0.37959627488133652</v>
      </c>
      <c r="K684">
        <f t="shared" si="100"/>
        <v>0</v>
      </c>
      <c r="L684">
        <f t="shared" si="101"/>
        <v>0</v>
      </c>
      <c r="M684">
        <f t="shared" si="95"/>
        <v>0</v>
      </c>
      <c r="N684">
        <f t="shared" si="102"/>
        <v>3</v>
      </c>
      <c r="O684">
        <f t="shared" si="103"/>
        <v>57</v>
      </c>
      <c r="P684">
        <f t="shared" si="96"/>
        <v>0</v>
      </c>
      <c r="R684">
        <f t="shared" si="97"/>
        <v>0</v>
      </c>
      <c r="S684">
        <f t="shared" si="98"/>
        <v>0</v>
      </c>
      <c r="T684">
        <f t="shared" si="99"/>
        <v>0</v>
      </c>
    </row>
    <row r="685" spans="10:20" x14ac:dyDescent="0.25">
      <c r="J685">
        <v>0.29907270340212644</v>
      </c>
      <c r="K685">
        <f t="shared" si="100"/>
        <v>1</v>
      </c>
      <c r="L685">
        <f t="shared" si="101"/>
        <v>0.29907270340212644</v>
      </c>
      <c r="M685">
        <f t="shared" si="95"/>
        <v>1</v>
      </c>
      <c r="N685">
        <f t="shared" si="102"/>
        <v>3</v>
      </c>
      <c r="O685">
        <f t="shared" si="103"/>
        <v>57</v>
      </c>
      <c r="P685">
        <f t="shared" si="96"/>
        <v>0</v>
      </c>
      <c r="R685">
        <f t="shared" si="97"/>
        <v>0</v>
      </c>
      <c r="S685">
        <f t="shared" si="98"/>
        <v>0</v>
      </c>
      <c r="T685">
        <f t="shared" si="99"/>
        <v>0</v>
      </c>
    </row>
    <row r="686" spans="10:20" x14ac:dyDescent="0.25">
      <c r="J686">
        <v>0.4656393204878142</v>
      </c>
      <c r="K686">
        <f t="shared" si="100"/>
        <v>0</v>
      </c>
      <c r="L686">
        <f t="shared" si="101"/>
        <v>0</v>
      </c>
      <c r="M686">
        <f t="shared" si="95"/>
        <v>0</v>
      </c>
      <c r="N686">
        <f t="shared" si="102"/>
        <v>4</v>
      </c>
      <c r="O686">
        <f t="shared" si="103"/>
        <v>57</v>
      </c>
      <c r="P686">
        <f t="shared" si="96"/>
        <v>0</v>
      </c>
      <c r="R686">
        <f t="shared" si="97"/>
        <v>0</v>
      </c>
      <c r="S686">
        <f t="shared" si="98"/>
        <v>0</v>
      </c>
      <c r="T686">
        <f t="shared" si="99"/>
        <v>0</v>
      </c>
    </row>
    <row r="687" spans="10:20" x14ac:dyDescent="0.25">
      <c r="J687">
        <v>0.99461124532299849</v>
      </c>
      <c r="K687">
        <f t="shared" si="100"/>
        <v>1</v>
      </c>
      <c r="L687">
        <f t="shared" si="101"/>
        <v>0.99461124532299849</v>
      </c>
      <c r="M687">
        <f t="shared" si="95"/>
        <v>1</v>
      </c>
      <c r="N687">
        <f t="shared" si="102"/>
        <v>4</v>
      </c>
      <c r="O687">
        <f t="shared" si="103"/>
        <v>57</v>
      </c>
      <c r="P687">
        <f t="shared" si="96"/>
        <v>0</v>
      </c>
      <c r="R687">
        <f t="shared" si="97"/>
        <v>0</v>
      </c>
      <c r="S687">
        <f t="shared" si="98"/>
        <v>0</v>
      </c>
      <c r="T687">
        <f t="shared" si="99"/>
        <v>0</v>
      </c>
    </row>
    <row r="688" spans="10:20" x14ac:dyDescent="0.25">
      <c r="J688">
        <v>0.27793945702620948</v>
      </c>
      <c r="K688">
        <f t="shared" si="100"/>
        <v>0</v>
      </c>
      <c r="L688">
        <f t="shared" si="101"/>
        <v>0</v>
      </c>
      <c r="M688">
        <f t="shared" si="95"/>
        <v>0</v>
      </c>
      <c r="N688">
        <f t="shared" si="102"/>
        <v>5</v>
      </c>
      <c r="O688">
        <f t="shared" si="103"/>
        <v>57</v>
      </c>
      <c r="P688">
        <f t="shared" si="96"/>
        <v>0</v>
      </c>
      <c r="R688">
        <f t="shared" si="97"/>
        <v>0</v>
      </c>
      <c r="S688">
        <f t="shared" si="98"/>
        <v>0</v>
      </c>
      <c r="T688">
        <f t="shared" si="99"/>
        <v>0</v>
      </c>
    </row>
    <row r="689" spans="10:20" x14ac:dyDescent="0.25">
      <c r="J689">
        <v>0.64874515185812287</v>
      </c>
      <c r="K689">
        <f t="shared" si="100"/>
        <v>1</v>
      </c>
      <c r="L689">
        <f t="shared" si="101"/>
        <v>0.64874515185812287</v>
      </c>
      <c r="M689">
        <f t="shared" si="95"/>
        <v>1</v>
      </c>
      <c r="N689">
        <f t="shared" si="102"/>
        <v>5</v>
      </c>
      <c r="O689">
        <f t="shared" si="103"/>
        <v>57</v>
      </c>
      <c r="P689">
        <f t="shared" si="96"/>
        <v>0</v>
      </c>
      <c r="R689">
        <f t="shared" si="97"/>
        <v>0</v>
      </c>
      <c r="S689">
        <f t="shared" si="98"/>
        <v>0</v>
      </c>
      <c r="T689">
        <f t="shared" si="99"/>
        <v>0</v>
      </c>
    </row>
    <row r="690" spans="10:20" x14ac:dyDescent="0.25">
      <c r="J690">
        <v>0.30710562516757256</v>
      </c>
      <c r="K690">
        <f t="shared" si="100"/>
        <v>0</v>
      </c>
      <c r="L690">
        <f t="shared" si="101"/>
        <v>0</v>
      </c>
      <c r="M690">
        <f t="shared" si="95"/>
        <v>0</v>
      </c>
      <c r="N690">
        <f t="shared" si="102"/>
        <v>6</v>
      </c>
      <c r="O690">
        <f t="shared" si="103"/>
        <v>57</v>
      </c>
      <c r="P690">
        <f t="shared" si="96"/>
        <v>0</v>
      </c>
      <c r="R690">
        <f t="shared" si="97"/>
        <v>0</v>
      </c>
      <c r="S690">
        <f t="shared" si="98"/>
        <v>0</v>
      </c>
      <c r="T690">
        <f t="shared" si="99"/>
        <v>0</v>
      </c>
    </row>
    <row r="691" spans="10:20" x14ac:dyDescent="0.25">
      <c r="J691">
        <v>5.1608241816082034E-2</v>
      </c>
      <c r="K691">
        <f t="shared" si="100"/>
        <v>1</v>
      </c>
      <c r="L691">
        <f t="shared" si="101"/>
        <v>5.1608241816082034E-2</v>
      </c>
      <c r="M691">
        <f t="shared" si="95"/>
        <v>1</v>
      </c>
      <c r="N691">
        <f t="shared" si="102"/>
        <v>6</v>
      </c>
      <c r="O691">
        <f t="shared" si="103"/>
        <v>57</v>
      </c>
      <c r="P691">
        <f t="shared" si="96"/>
        <v>0</v>
      </c>
      <c r="R691">
        <f t="shared" si="97"/>
        <v>0</v>
      </c>
      <c r="S691">
        <f t="shared" si="98"/>
        <v>0</v>
      </c>
      <c r="T691">
        <f t="shared" si="99"/>
        <v>0</v>
      </c>
    </row>
    <row r="692" spans="10:20" x14ac:dyDescent="0.25">
      <c r="J692">
        <v>0.96606877551913473</v>
      </c>
      <c r="K692">
        <f t="shared" si="100"/>
        <v>0</v>
      </c>
      <c r="L692">
        <f t="shared" si="101"/>
        <v>0</v>
      </c>
      <c r="M692">
        <f t="shared" si="95"/>
        <v>0</v>
      </c>
      <c r="N692">
        <f t="shared" si="102"/>
        <v>7</v>
      </c>
      <c r="O692">
        <f t="shared" si="103"/>
        <v>57</v>
      </c>
      <c r="P692">
        <f t="shared" si="96"/>
        <v>0</v>
      </c>
      <c r="R692">
        <f t="shared" si="97"/>
        <v>0</v>
      </c>
      <c r="S692">
        <f t="shared" si="98"/>
        <v>0</v>
      </c>
      <c r="T692">
        <f t="shared" si="99"/>
        <v>0</v>
      </c>
    </row>
    <row r="693" spans="10:20" x14ac:dyDescent="0.25">
      <c r="J693">
        <v>0.53405491843960251</v>
      </c>
      <c r="K693">
        <f t="shared" si="100"/>
        <v>1</v>
      </c>
      <c r="L693">
        <f t="shared" si="101"/>
        <v>0.53405491843960251</v>
      </c>
      <c r="M693">
        <f t="shared" si="95"/>
        <v>1</v>
      </c>
      <c r="N693">
        <f t="shared" si="102"/>
        <v>1</v>
      </c>
      <c r="O693">
        <f t="shared" si="103"/>
        <v>58</v>
      </c>
      <c r="P693">
        <f t="shared" si="96"/>
        <v>0</v>
      </c>
      <c r="R693">
        <f t="shared" si="97"/>
        <v>0</v>
      </c>
      <c r="S693">
        <f t="shared" si="98"/>
        <v>0</v>
      </c>
      <c r="T693">
        <f t="shared" si="99"/>
        <v>0</v>
      </c>
    </row>
    <row r="694" spans="10:20" x14ac:dyDescent="0.25">
      <c r="J694">
        <v>0.64327125105562544</v>
      </c>
      <c r="K694">
        <f t="shared" si="100"/>
        <v>0</v>
      </c>
      <c r="L694">
        <f t="shared" si="101"/>
        <v>0</v>
      </c>
      <c r="M694">
        <f t="shared" si="95"/>
        <v>0</v>
      </c>
      <c r="N694">
        <f t="shared" si="102"/>
        <v>2</v>
      </c>
      <c r="O694">
        <f t="shared" si="103"/>
        <v>58</v>
      </c>
      <c r="P694">
        <f t="shared" si="96"/>
        <v>0</v>
      </c>
      <c r="R694">
        <f t="shared" si="97"/>
        <v>0</v>
      </c>
      <c r="S694">
        <f t="shared" si="98"/>
        <v>0</v>
      </c>
      <c r="T694">
        <f t="shared" si="99"/>
        <v>0</v>
      </c>
    </row>
    <row r="695" spans="10:20" x14ac:dyDescent="0.25">
      <c r="J695">
        <v>0.99501285305703779</v>
      </c>
      <c r="K695">
        <f t="shared" si="100"/>
        <v>1</v>
      </c>
      <c r="L695">
        <f t="shared" si="101"/>
        <v>0.99501285305703779</v>
      </c>
      <c r="M695">
        <f t="shared" si="95"/>
        <v>1</v>
      </c>
      <c r="N695">
        <f t="shared" si="102"/>
        <v>2</v>
      </c>
      <c r="O695">
        <f t="shared" si="103"/>
        <v>58</v>
      </c>
      <c r="P695">
        <f t="shared" si="96"/>
        <v>0</v>
      </c>
      <c r="R695">
        <f t="shared" si="97"/>
        <v>0</v>
      </c>
      <c r="S695">
        <f t="shared" si="98"/>
        <v>0</v>
      </c>
      <c r="T695">
        <f t="shared" si="99"/>
        <v>0</v>
      </c>
    </row>
    <row r="696" spans="10:20" x14ac:dyDescent="0.25">
      <c r="J696">
        <v>0.78411937017558508</v>
      </c>
      <c r="K696">
        <f t="shared" si="100"/>
        <v>0</v>
      </c>
      <c r="L696">
        <f t="shared" si="101"/>
        <v>0</v>
      </c>
      <c r="M696">
        <f t="shared" si="95"/>
        <v>0</v>
      </c>
      <c r="N696">
        <f t="shared" si="102"/>
        <v>3</v>
      </c>
      <c r="O696">
        <f t="shared" si="103"/>
        <v>58</v>
      </c>
      <c r="P696">
        <f t="shared" si="96"/>
        <v>0</v>
      </c>
      <c r="R696">
        <f t="shared" si="97"/>
        <v>0</v>
      </c>
      <c r="S696">
        <f t="shared" si="98"/>
        <v>0</v>
      </c>
      <c r="T696">
        <f t="shared" si="99"/>
        <v>0</v>
      </c>
    </row>
    <row r="697" spans="10:20" x14ac:dyDescent="0.25">
      <c r="J697">
        <v>0.73463508634068131</v>
      </c>
      <c r="K697">
        <f t="shared" si="100"/>
        <v>1</v>
      </c>
      <c r="L697">
        <f t="shared" si="101"/>
        <v>0.73463508634068131</v>
      </c>
      <c r="M697">
        <f t="shared" si="95"/>
        <v>1</v>
      </c>
      <c r="N697">
        <f t="shared" si="102"/>
        <v>3</v>
      </c>
      <c r="O697">
        <f t="shared" si="103"/>
        <v>58</v>
      </c>
      <c r="P697">
        <f t="shared" si="96"/>
        <v>0</v>
      </c>
      <c r="R697">
        <f t="shared" si="97"/>
        <v>0</v>
      </c>
      <c r="S697">
        <f t="shared" si="98"/>
        <v>0</v>
      </c>
      <c r="T697">
        <f t="shared" si="99"/>
        <v>0</v>
      </c>
    </row>
    <row r="698" spans="10:20" x14ac:dyDescent="0.25">
      <c r="J698">
        <v>0.15808558919978388</v>
      </c>
      <c r="K698">
        <f t="shared" si="100"/>
        <v>0</v>
      </c>
      <c r="L698">
        <f t="shared" si="101"/>
        <v>0</v>
      </c>
      <c r="M698">
        <f t="shared" si="95"/>
        <v>0</v>
      </c>
      <c r="N698">
        <f t="shared" si="102"/>
        <v>4</v>
      </c>
      <c r="O698">
        <f t="shared" si="103"/>
        <v>58</v>
      </c>
      <c r="P698">
        <f t="shared" si="96"/>
        <v>0</v>
      </c>
      <c r="R698">
        <f t="shared" si="97"/>
        <v>0</v>
      </c>
      <c r="S698">
        <f t="shared" si="98"/>
        <v>0</v>
      </c>
      <c r="T698">
        <f t="shared" si="99"/>
        <v>0</v>
      </c>
    </row>
    <row r="699" spans="10:20" x14ac:dyDescent="0.25">
      <c r="J699">
        <v>0.15170238395500468</v>
      </c>
      <c r="K699">
        <f t="shared" si="100"/>
        <v>1</v>
      </c>
      <c r="L699">
        <f t="shared" si="101"/>
        <v>0.15170238395500468</v>
      </c>
      <c r="M699">
        <f t="shared" si="95"/>
        <v>1</v>
      </c>
      <c r="N699">
        <f t="shared" si="102"/>
        <v>4</v>
      </c>
      <c r="O699">
        <f t="shared" si="103"/>
        <v>58</v>
      </c>
      <c r="P699">
        <f t="shared" si="96"/>
        <v>0</v>
      </c>
      <c r="R699">
        <f t="shared" si="97"/>
        <v>0</v>
      </c>
      <c r="S699">
        <f t="shared" si="98"/>
        <v>0</v>
      </c>
      <c r="T699">
        <f t="shared" si="99"/>
        <v>0</v>
      </c>
    </row>
    <row r="700" spans="10:20" x14ac:dyDescent="0.25">
      <c r="J700">
        <v>0.61224430476868918</v>
      </c>
      <c r="K700">
        <f t="shared" si="100"/>
        <v>0</v>
      </c>
      <c r="L700">
        <f t="shared" si="101"/>
        <v>0</v>
      </c>
      <c r="M700">
        <f t="shared" si="95"/>
        <v>0</v>
      </c>
      <c r="N700">
        <f t="shared" si="102"/>
        <v>5</v>
      </c>
      <c r="O700">
        <f t="shared" si="103"/>
        <v>58</v>
      </c>
      <c r="P700">
        <f t="shared" si="96"/>
        <v>0</v>
      </c>
      <c r="R700">
        <f t="shared" si="97"/>
        <v>0</v>
      </c>
      <c r="S700">
        <f t="shared" si="98"/>
        <v>0</v>
      </c>
      <c r="T700">
        <f t="shared" si="99"/>
        <v>0</v>
      </c>
    </row>
    <row r="701" spans="10:20" x14ac:dyDescent="0.25">
      <c r="J701">
        <v>5.7907309980423705E-2</v>
      </c>
      <c r="K701">
        <f t="shared" si="100"/>
        <v>1</v>
      </c>
      <c r="L701">
        <f t="shared" si="101"/>
        <v>5.7907309980423705E-2</v>
      </c>
      <c r="M701">
        <f t="shared" si="95"/>
        <v>1</v>
      </c>
      <c r="N701">
        <f t="shared" si="102"/>
        <v>5</v>
      </c>
      <c r="O701">
        <f t="shared" si="103"/>
        <v>58</v>
      </c>
      <c r="P701">
        <f t="shared" si="96"/>
        <v>0</v>
      </c>
      <c r="R701">
        <f t="shared" si="97"/>
        <v>0</v>
      </c>
      <c r="S701">
        <f t="shared" si="98"/>
        <v>0</v>
      </c>
      <c r="T701">
        <f t="shared" si="99"/>
        <v>0</v>
      </c>
    </row>
    <row r="702" spans="10:20" x14ac:dyDescent="0.25">
      <c r="J702">
        <v>0.28187602586531113</v>
      </c>
      <c r="K702">
        <f t="shared" si="100"/>
        <v>0</v>
      </c>
      <c r="L702">
        <f t="shared" si="101"/>
        <v>0</v>
      </c>
      <c r="M702">
        <f t="shared" si="95"/>
        <v>0</v>
      </c>
      <c r="N702">
        <f t="shared" si="102"/>
        <v>6</v>
      </c>
      <c r="O702">
        <f t="shared" si="103"/>
        <v>58</v>
      </c>
      <c r="P702">
        <f t="shared" si="96"/>
        <v>0</v>
      </c>
      <c r="R702">
        <f t="shared" si="97"/>
        <v>0</v>
      </c>
      <c r="S702">
        <f t="shared" si="98"/>
        <v>0</v>
      </c>
      <c r="T702">
        <f t="shared" si="99"/>
        <v>0</v>
      </c>
    </row>
    <row r="703" spans="10:20" x14ac:dyDescent="0.25">
      <c r="J703">
        <v>0.35963159990922655</v>
      </c>
      <c r="K703">
        <f t="shared" si="100"/>
        <v>1</v>
      </c>
      <c r="L703">
        <f t="shared" si="101"/>
        <v>0.35963159990922655</v>
      </c>
      <c r="M703">
        <f t="shared" si="95"/>
        <v>1</v>
      </c>
      <c r="N703">
        <f t="shared" si="102"/>
        <v>6</v>
      </c>
      <c r="O703">
        <f t="shared" si="103"/>
        <v>58</v>
      </c>
      <c r="P703">
        <f t="shared" si="96"/>
        <v>0</v>
      </c>
      <c r="R703">
        <f t="shared" si="97"/>
        <v>0</v>
      </c>
      <c r="S703">
        <f t="shared" si="98"/>
        <v>0</v>
      </c>
      <c r="T703">
        <f t="shared" si="99"/>
        <v>0</v>
      </c>
    </row>
    <row r="704" spans="10:20" x14ac:dyDescent="0.25">
      <c r="J704">
        <v>0.38616632038353704</v>
      </c>
      <c r="K704">
        <f t="shared" si="100"/>
        <v>0</v>
      </c>
      <c r="L704">
        <f t="shared" si="101"/>
        <v>0</v>
      </c>
      <c r="M704">
        <f t="shared" si="95"/>
        <v>0</v>
      </c>
      <c r="N704">
        <f t="shared" si="102"/>
        <v>7</v>
      </c>
      <c r="O704">
        <f t="shared" si="103"/>
        <v>58</v>
      </c>
      <c r="P704">
        <f t="shared" si="96"/>
        <v>0</v>
      </c>
      <c r="R704">
        <f t="shared" si="97"/>
        <v>0</v>
      </c>
      <c r="S704">
        <f t="shared" si="98"/>
        <v>0</v>
      </c>
      <c r="T704">
        <f t="shared" si="99"/>
        <v>0</v>
      </c>
    </row>
    <row r="705" spans="10:20" x14ac:dyDescent="0.25">
      <c r="J705">
        <v>0.67991116588646328</v>
      </c>
      <c r="K705">
        <f t="shared" si="100"/>
        <v>1</v>
      </c>
      <c r="L705">
        <f t="shared" si="101"/>
        <v>0.67991116588646328</v>
      </c>
      <c r="M705">
        <f t="shared" si="95"/>
        <v>1</v>
      </c>
      <c r="N705">
        <f t="shared" si="102"/>
        <v>1</v>
      </c>
      <c r="O705">
        <f t="shared" si="103"/>
        <v>59</v>
      </c>
      <c r="P705">
        <f t="shared" si="96"/>
        <v>0</v>
      </c>
      <c r="R705">
        <f t="shared" si="97"/>
        <v>0</v>
      </c>
      <c r="S705">
        <f t="shared" si="98"/>
        <v>0</v>
      </c>
      <c r="T705">
        <f t="shared" si="99"/>
        <v>0</v>
      </c>
    </row>
    <row r="706" spans="10:20" x14ac:dyDescent="0.25">
      <c r="J706">
        <v>0.41686132638636331</v>
      </c>
      <c r="K706">
        <f t="shared" si="100"/>
        <v>0</v>
      </c>
      <c r="L706">
        <f t="shared" si="101"/>
        <v>0</v>
      </c>
      <c r="M706">
        <f t="shared" si="95"/>
        <v>0</v>
      </c>
      <c r="N706">
        <f t="shared" si="102"/>
        <v>2</v>
      </c>
      <c r="O706">
        <f t="shared" si="103"/>
        <v>59</v>
      </c>
      <c r="P706">
        <f t="shared" si="96"/>
        <v>0</v>
      </c>
      <c r="R706">
        <f t="shared" si="97"/>
        <v>0</v>
      </c>
      <c r="S706">
        <f t="shared" si="98"/>
        <v>0</v>
      </c>
      <c r="T706">
        <f t="shared" si="99"/>
        <v>0</v>
      </c>
    </row>
    <row r="707" spans="10:20" x14ac:dyDescent="0.25">
      <c r="J707">
        <v>0.83490614495068349</v>
      </c>
      <c r="K707">
        <f t="shared" si="100"/>
        <v>1</v>
      </c>
      <c r="L707">
        <f t="shared" si="101"/>
        <v>0.83490614495068349</v>
      </c>
      <c r="M707">
        <f t="shared" si="95"/>
        <v>1</v>
      </c>
      <c r="N707">
        <f t="shared" si="102"/>
        <v>2</v>
      </c>
      <c r="O707">
        <f t="shared" si="103"/>
        <v>59</v>
      </c>
      <c r="P707">
        <f t="shared" si="96"/>
        <v>0</v>
      </c>
      <c r="R707">
        <f t="shared" si="97"/>
        <v>0</v>
      </c>
      <c r="S707">
        <f t="shared" si="98"/>
        <v>0</v>
      </c>
      <c r="T707">
        <f t="shared" si="99"/>
        <v>0</v>
      </c>
    </row>
    <row r="708" spans="10:20" x14ac:dyDescent="0.25">
      <c r="J708">
        <v>0.6014002580732537</v>
      </c>
      <c r="K708">
        <f t="shared" si="100"/>
        <v>0</v>
      </c>
      <c r="L708">
        <f t="shared" si="101"/>
        <v>0</v>
      </c>
      <c r="M708">
        <f t="shared" si="95"/>
        <v>0</v>
      </c>
      <c r="N708">
        <f t="shared" si="102"/>
        <v>3</v>
      </c>
      <c r="O708">
        <f t="shared" si="103"/>
        <v>59</v>
      </c>
      <c r="P708">
        <f t="shared" si="96"/>
        <v>0</v>
      </c>
      <c r="R708">
        <f t="shared" si="97"/>
        <v>0</v>
      </c>
      <c r="S708">
        <f t="shared" si="98"/>
        <v>0</v>
      </c>
      <c r="T708">
        <f t="shared" si="99"/>
        <v>0</v>
      </c>
    </row>
    <row r="709" spans="10:20" x14ac:dyDescent="0.25">
      <c r="J709">
        <v>6.4436630326684452E-2</v>
      </c>
      <c r="K709">
        <f t="shared" si="100"/>
        <v>1</v>
      </c>
      <c r="L709">
        <f t="shared" si="101"/>
        <v>6.4436630326684452E-2</v>
      </c>
      <c r="M709">
        <f t="shared" si="95"/>
        <v>1</v>
      </c>
      <c r="N709">
        <f t="shared" si="102"/>
        <v>3</v>
      </c>
      <c r="O709">
        <f t="shared" si="103"/>
        <v>59</v>
      </c>
      <c r="P709">
        <f t="shared" si="96"/>
        <v>0</v>
      </c>
      <c r="R709">
        <f t="shared" si="97"/>
        <v>0</v>
      </c>
      <c r="S709">
        <f t="shared" si="98"/>
        <v>0</v>
      </c>
      <c r="T709">
        <f t="shared" si="99"/>
        <v>0</v>
      </c>
    </row>
    <row r="710" spans="10:20" x14ac:dyDescent="0.25">
      <c r="J710">
        <v>0.44881296543947369</v>
      </c>
      <c r="K710">
        <f t="shared" si="100"/>
        <v>0</v>
      </c>
      <c r="L710">
        <f t="shared" si="101"/>
        <v>0</v>
      </c>
      <c r="M710">
        <f t="shared" si="95"/>
        <v>0</v>
      </c>
      <c r="N710">
        <f t="shared" si="102"/>
        <v>4</v>
      </c>
      <c r="O710">
        <f t="shared" si="103"/>
        <v>59</v>
      </c>
      <c r="P710">
        <f t="shared" si="96"/>
        <v>0</v>
      </c>
      <c r="R710">
        <f t="shared" si="97"/>
        <v>0</v>
      </c>
      <c r="S710">
        <f t="shared" si="98"/>
        <v>0</v>
      </c>
      <c r="T710">
        <f t="shared" si="99"/>
        <v>0</v>
      </c>
    </row>
    <row r="711" spans="10:20" x14ac:dyDescent="0.25">
      <c r="J711">
        <v>0.20084573447625398</v>
      </c>
      <c r="K711">
        <f t="shared" si="100"/>
        <v>1</v>
      </c>
      <c r="L711">
        <f t="shared" si="101"/>
        <v>0.20084573447625398</v>
      </c>
      <c r="M711">
        <f t="shared" si="95"/>
        <v>1</v>
      </c>
      <c r="N711">
        <f t="shared" si="102"/>
        <v>4</v>
      </c>
      <c r="O711">
        <f t="shared" si="103"/>
        <v>59</v>
      </c>
      <c r="P711">
        <f t="shared" si="96"/>
        <v>0</v>
      </c>
      <c r="R711">
        <f t="shared" si="97"/>
        <v>0</v>
      </c>
      <c r="S711">
        <f t="shared" si="98"/>
        <v>0</v>
      </c>
      <c r="T711">
        <f t="shared" si="99"/>
        <v>0</v>
      </c>
    </row>
    <row r="712" spans="10:20" x14ac:dyDescent="0.25">
      <c r="J712">
        <v>0.34328906990753716</v>
      </c>
      <c r="K712">
        <f t="shared" si="100"/>
        <v>0</v>
      </c>
      <c r="L712">
        <f t="shared" si="101"/>
        <v>0</v>
      </c>
      <c r="M712">
        <f t="shared" ref="M712:M775" si="104">IF(L712&gt;$M$2,1,0)</f>
        <v>0</v>
      </c>
      <c r="N712">
        <f t="shared" si="102"/>
        <v>5</v>
      </c>
      <c r="O712">
        <f t="shared" si="103"/>
        <v>59</v>
      </c>
      <c r="P712">
        <f t="shared" ref="P712:P775" si="105">IF(INDEX($B$7:$H$1029,O712,2)&gt;0,1,0)</f>
        <v>0</v>
      </c>
      <c r="R712">
        <f t="shared" ref="R712:R775" si="106">IF(  M712&gt;0,INDEX($B$7:$H$1029,O712,N712),0)*P712</f>
        <v>0</v>
      </c>
      <c r="S712">
        <f t="shared" ref="S712:S775" si="107">M712*P712</f>
        <v>0</v>
      </c>
      <c r="T712">
        <f t="shared" ref="T712:T775" si="108">IF(N713=$N$2,1,0)*P712</f>
        <v>0</v>
      </c>
    </row>
    <row r="713" spans="10:20" x14ac:dyDescent="0.25">
      <c r="J713">
        <v>0.9790455092407323</v>
      </c>
      <c r="K713">
        <f t="shared" si="100"/>
        <v>1</v>
      </c>
      <c r="L713">
        <f t="shared" si="101"/>
        <v>0.9790455092407323</v>
      </c>
      <c r="M713">
        <f t="shared" si="104"/>
        <v>1</v>
      </c>
      <c r="N713">
        <f t="shared" si="102"/>
        <v>5</v>
      </c>
      <c r="O713">
        <f t="shared" si="103"/>
        <v>59</v>
      </c>
      <c r="P713">
        <f t="shared" si="105"/>
        <v>0</v>
      </c>
      <c r="R713">
        <f t="shared" si="106"/>
        <v>0</v>
      </c>
      <c r="S713">
        <f t="shared" si="107"/>
        <v>0</v>
      </c>
      <c r="T713">
        <f t="shared" si="108"/>
        <v>0</v>
      </c>
    </row>
    <row r="714" spans="10:20" x14ac:dyDescent="0.25">
      <c r="J714">
        <v>0.17406183021119048</v>
      </c>
      <c r="K714">
        <f t="shared" si="100"/>
        <v>0</v>
      </c>
      <c r="L714">
        <f t="shared" si="101"/>
        <v>0</v>
      </c>
      <c r="M714">
        <f t="shared" si="104"/>
        <v>0</v>
      </c>
      <c r="N714">
        <f t="shared" si="102"/>
        <v>6</v>
      </c>
      <c r="O714">
        <f t="shared" si="103"/>
        <v>59</v>
      </c>
      <c r="P714">
        <f t="shared" si="105"/>
        <v>0</v>
      </c>
      <c r="R714">
        <f t="shared" si="106"/>
        <v>0</v>
      </c>
      <c r="S714">
        <f t="shared" si="107"/>
        <v>0</v>
      </c>
      <c r="T714">
        <f t="shared" si="108"/>
        <v>0</v>
      </c>
    </row>
    <row r="715" spans="10:20" x14ac:dyDescent="0.25">
      <c r="J715">
        <v>0.80764321878646028</v>
      </c>
      <c r="K715">
        <f t="shared" si="100"/>
        <v>1</v>
      </c>
      <c r="L715">
        <f t="shared" si="101"/>
        <v>0.80764321878646028</v>
      </c>
      <c r="M715">
        <f t="shared" si="104"/>
        <v>1</v>
      </c>
      <c r="N715">
        <f t="shared" si="102"/>
        <v>6</v>
      </c>
      <c r="O715">
        <f t="shared" si="103"/>
        <v>59</v>
      </c>
      <c r="P715">
        <f t="shared" si="105"/>
        <v>0</v>
      </c>
      <c r="R715">
        <f t="shared" si="106"/>
        <v>0</v>
      </c>
      <c r="S715">
        <f t="shared" si="107"/>
        <v>0</v>
      </c>
      <c r="T715">
        <f t="shared" si="108"/>
        <v>0</v>
      </c>
    </row>
    <row r="716" spans="10:20" x14ac:dyDescent="0.25">
      <c r="J716">
        <v>0.36965432129649478</v>
      </c>
      <c r="K716">
        <f t="shared" si="100"/>
        <v>0</v>
      </c>
      <c r="L716">
        <f t="shared" si="101"/>
        <v>0</v>
      </c>
      <c r="M716">
        <f t="shared" si="104"/>
        <v>0</v>
      </c>
      <c r="N716">
        <f t="shared" si="102"/>
        <v>7</v>
      </c>
      <c r="O716">
        <f t="shared" si="103"/>
        <v>59</v>
      </c>
      <c r="P716">
        <f t="shared" si="105"/>
        <v>0</v>
      </c>
      <c r="R716">
        <f t="shared" si="106"/>
        <v>0</v>
      </c>
      <c r="S716">
        <f t="shared" si="107"/>
        <v>0</v>
      </c>
      <c r="T716">
        <f t="shared" si="108"/>
        <v>0</v>
      </c>
    </row>
    <row r="717" spans="10:20" x14ac:dyDescent="0.25">
      <c r="J717">
        <v>0.12924991863756063</v>
      </c>
      <c r="K717">
        <f t="shared" si="100"/>
        <v>1</v>
      </c>
      <c r="L717">
        <f t="shared" si="101"/>
        <v>0.12924991863756063</v>
      </c>
      <c r="M717">
        <f t="shared" si="104"/>
        <v>1</v>
      </c>
      <c r="N717">
        <f t="shared" si="102"/>
        <v>1</v>
      </c>
      <c r="O717">
        <f t="shared" si="103"/>
        <v>60</v>
      </c>
      <c r="P717">
        <f t="shared" si="105"/>
        <v>0</v>
      </c>
      <c r="R717">
        <f t="shared" si="106"/>
        <v>0</v>
      </c>
      <c r="S717">
        <f t="shared" si="107"/>
        <v>0</v>
      </c>
      <c r="T717">
        <f t="shared" si="108"/>
        <v>0</v>
      </c>
    </row>
    <row r="718" spans="10:20" x14ac:dyDescent="0.25">
      <c r="J718">
        <v>0.26696870413526119</v>
      </c>
      <c r="K718">
        <f t="shared" si="100"/>
        <v>0</v>
      </c>
      <c r="L718">
        <f t="shared" si="101"/>
        <v>0</v>
      </c>
      <c r="M718">
        <f t="shared" si="104"/>
        <v>0</v>
      </c>
      <c r="N718">
        <f t="shared" si="102"/>
        <v>2</v>
      </c>
      <c r="O718">
        <f t="shared" si="103"/>
        <v>60</v>
      </c>
      <c r="P718">
        <f t="shared" si="105"/>
        <v>0</v>
      </c>
      <c r="R718">
        <f t="shared" si="106"/>
        <v>0</v>
      </c>
      <c r="S718">
        <f t="shared" si="107"/>
        <v>0</v>
      </c>
      <c r="T718">
        <f t="shared" si="108"/>
        <v>0</v>
      </c>
    </row>
    <row r="719" spans="10:20" x14ac:dyDescent="0.25">
      <c r="J719">
        <v>0.56946472215303334</v>
      </c>
      <c r="K719">
        <f t="shared" si="100"/>
        <v>1</v>
      </c>
      <c r="L719">
        <f t="shared" si="101"/>
        <v>0.56946472215303334</v>
      </c>
      <c r="M719">
        <f t="shared" si="104"/>
        <v>1</v>
      </c>
      <c r="N719">
        <f t="shared" si="102"/>
        <v>2</v>
      </c>
      <c r="O719">
        <f t="shared" si="103"/>
        <v>60</v>
      </c>
      <c r="P719">
        <f t="shared" si="105"/>
        <v>0</v>
      </c>
      <c r="R719">
        <f t="shared" si="106"/>
        <v>0</v>
      </c>
      <c r="S719">
        <f t="shared" si="107"/>
        <v>0</v>
      </c>
      <c r="T719">
        <f t="shared" si="108"/>
        <v>0</v>
      </c>
    </row>
    <row r="720" spans="10:20" x14ac:dyDescent="0.25">
      <c r="J720">
        <v>0.6308098393687972</v>
      </c>
      <c r="K720">
        <f t="shared" si="100"/>
        <v>0</v>
      </c>
      <c r="L720">
        <f t="shared" si="101"/>
        <v>0</v>
      </c>
      <c r="M720">
        <f t="shared" si="104"/>
        <v>0</v>
      </c>
      <c r="N720">
        <f t="shared" si="102"/>
        <v>3</v>
      </c>
      <c r="O720">
        <f t="shared" si="103"/>
        <v>60</v>
      </c>
      <c r="P720">
        <f t="shared" si="105"/>
        <v>0</v>
      </c>
      <c r="R720">
        <f t="shared" si="106"/>
        <v>0</v>
      </c>
      <c r="S720">
        <f t="shared" si="107"/>
        <v>0</v>
      </c>
      <c r="T720">
        <f t="shared" si="108"/>
        <v>0</v>
      </c>
    </row>
    <row r="721" spans="10:20" x14ac:dyDescent="0.25">
      <c r="J721">
        <v>0.76988948378808164</v>
      </c>
      <c r="K721">
        <f t="shared" si="100"/>
        <v>1</v>
      </c>
      <c r="L721">
        <f t="shared" si="101"/>
        <v>0.76988948378808164</v>
      </c>
      <c r="M721">
        <f t="shared" si="104"/>
        <v>1</v>
      </c>
      <c r="N721">
        <f t="shared" si="102"/>
        <v>3</v>
      </c>
      <c r="O721">
        <f t="shared" si="103"/>
        <v>60</v>
      </c>
      <c r="P721">
        <f t="shared" si="105"/>
        <v>0</v>
      </c>
      <c r="R721">
        <f t="shared" si="106"/>
        <v>0</v>
      </c>
      <c r="S721">
        <f t="shared" si="107"/>
        <v>0</v>
      </c>
      <c r="T721">
        <f t="shared" si="108"/>
        <v>0</v>
      </c>
    </row>
    <row r="722" spans="10:20" x14ac:dyDescent="0.25">
      <c r="J722">
        <v>0.69503143924425059</v>
      </c>
      <c r="K722">
        <f t="shared" si="100"/>
        <v>0</v>
      </c>
      <c r="L722">
        <f t="shared" si="101"/>
        <v>0</v>
      </c>
      <c r="M722">
        <f t="shared" si="104"/>
        <v>0</v>
      </c>
      <c r="N722">
        <f t="shared" si="102"/>
        <v>4</v>
      </c>
      <c r="O722">
        <f t="shared" si="103"/>
        <v>60</v>
      </c>
      <c r="P722">
        <f t="shared" si="105"/>
        <v>0</v>
      </c>
      <c r="R722">
        <f t="shared" si="106"/>
        <v>0</v>
      </c>
      <c r="S722">
        <f t="shared" si="107"/>
        <v>0</v>
      </c>
      <c r="T722">
        <f t="shared" si="108"/>
        <v>0</v>
      </c>
    </row>
    <row r="723" spans="10:20" x14ac:dyDescent="0.25">
      <c r="J723">
        <v>0.91486103059942658</v>
      </c>
      <c r="K723">
        <f t="shared" si="100"/>
        <v>1</v>
      </c>
      <c r="L723">
        <f t="shared" si="101"/>
        <v>0.91486103059942658</v>
      </c>
      <c r="M723">
        <f t="shared" si="104"/>
        <v>1</v>
      </c>
      <c r="N723">
        <f t="shared" si="102"/>
        <v>4</v>
      </c>
      <c r="O723">
        <f t="shared" si="103"/>
        <v>60</v>
      </c>
      <c r="P723">
        <f t="shared" si="105"/>
        <v>0</v>
      </c>
      <c r="R723">
        <f t="shared" si="106"/>
        <v>0</v>
      </c>
      <c r="S723">
        <f t="shared" si="107"/>
        <v>0</v>
      </c>
      <c r="T723">
        <f t="shared" si="108"/>
        <v>0</v>
      </c>
    </row>
    <row r="724" spans="10:20" x14ac:dyDescent="0.25">
      <c r="J724">
        <v>0.76186863899841306</v>
      </c>
      <c r="K724">
        <f t="shared" si="100"/>
        <v>0</v>
      </c>
      <c r="L724">
        <f t="shared" si="101"/>
        <v>0</v>
      </c>
      <c r="M724">
        <f t="shared" si="104"/>
        <v>0</v>
      </c>
      <c r="N724">
        <f t="shared" si="102"/>
        <v>5</v>
      </c>
      <c r="O724">
        <f t="shared" si="103"/>
        <v>60</v>
      </c>
      <c r="P724">
        <f t="shared" si="105"/>
        <v>0</v>
      </c>
      <c r="R724">
        <f t="shared" si="106"/>
        <v>0</v>
      </c>
      <c r="S724">
        <f t="shared" si="107"/>
        <v>0</v>
      </c>
      <c r="T724">
        <f t="shared" si="108"/>
        <v>0</v>
      </c>
    </row>
    <row r="725" spans="10:20" x14ac:dyDescent="0.25">
      <c r="J725">
        <v>0.66998215437090147</v>
      </c>
      <c r="K725">
        <f t="shared" si="100"/>
        <v>1</v>
      </c>
      <c r="L725">
        <f t="shared" si="101"/>
        <v>0.66998215437090147</v>
      </c>
      <c r="M725">
        <f t="shared" si="104"/>
        <v>1</v>
      </c>
      <c r="N725">
        <f t="shared" si="102"/>
        <v>5</v>
      </c>
      <c r="O725">
        <f t="shared" si="103"/>
        <v>60</v>
      </c>
      <c r="P725">
        <f t="shared" si="105"/>
        <v>0</v>
      </c>
      <c r="R725">
        <f t="shared" si="106"/>
        <v>0</v>
      </c>
      <c r="S725">
        <f t="shared" si="107"/>
        <v>0</v>
      </c>
      <c r="T725">
        <f t="shared" si="108"/>
        <v>0</v>
      </c>
    </row>
    <row r="726" spans="10:20" x14ac:dyDescent="0.25">
      <c r="J726">
        <v>0.56062260519637341</v>
      </c>
      <c r="K726">
        <f t="shared" si="100"/>
        <v>0</v>
      </c>
      <c r="L726">
        <f t="shared" si="101"/>
        <v>0</v>
      </c>
      <c r="M726">
        <f t="shared" si="104"/>
        <v>0</v>
      </c>
      <c r="N726">
        <f t="shared" si="102"/>
        <v>6</v>
      </c>
      <c r="O726">
        <f t="shared" si="103"/>
        <v>60</v>
      </c>
      <c r="P726">
        <f t="shared" si="105"/>
        <v>0</v>
      </c>
      <c r="R726">
        <f t="shared" si="106"/>
        <v>0</v>
      </c>
      <c r="S726">
        <f t="shared" si="107"/>
        <v>0</v>
      </c>
      <c r="T726">
        <f t="shared" si="108"/>
        <v>0</v>
      </c>
    </row>
    <row r="727" spans="10:20" x14ac:dyDescent="0.25">
      <c r="J727">
        <v>0.81546534915772062</v>
      </c>
      <c r="K727">
        <f t="shared" si="100"/>
        <v>1</v>
      </c>
      <c r="L727">
        <f t="shared" si="101"/>
        <v>0.81546534915772062</v>
      </c>
      <c r="M727">
        <f t="shared" si="104"/>
        <v>1</v>
      </c>
      <c r="N727">
        <f t="shared" si="102"/>
        <v>6</v>
      </c>
      <c r="O727">
        <f t="shared" si="103"/>
        <v>60</v>
      </c>
      <c r="P727">
        <f t="shared" si="105"/>
        <v>0</v>
      </c>
      <c r="R727">
        <f t="shared" si="106"/>
        <v>0</v>
      </c>
      <c r="S727">
        <f t="shared" si="107"/>
        <v>0</v>
      </c>
      <c r="T727">
        <f t="shared" si="108"/>
        <v>0</v>
      </c>
    </row>
    <row r="728" spans="10:20" x14ac:dyDescent="0.25">
      <c r="J728">
        <v>0.37051980246284444</v>
      </c>
      <c r="K728">
        <f t="shared" ref="K728:K791" si="109">IF(K727=1,0,1)</f>
        <v>0</v>
      </c>
      <c r="L728">
        <f t="shared" ref="L728:L791" si="110">K728*J728</f>
        <v>0</v>
      </c>
      <c r="M728">
        <f t="shared" si="104"/>
        <v>0</v>
      </c>
      <c r="N728">
        <f t="shared" ref="N728:N791" si="111">IF(N727&lt;$N$2,N727+M727,1)</f>
        <v>7</v>
      </c>
      <c r="O728">
        <f t="shared" ref="O728:O791" si="112">IF(AND(N728=1,M728=1),O727+1,O727)</f>
        <v>60</v>
      </c>
      <c r="P728">
        <f t="shared" si="105"/>
        <v>0</v>
      </c>
      <c r="R728">
        <f t="shared" si="106"/>
        <v>0</v>
      </c>
      <c r="S728">
        <f t="shared" si="107"/>
        <v>0</v>
      </c>
      <c r="T728">
        <f t="shared" si="108"/>
        <v>0</v>
      </c>
    </row>
    <row r="729" spans="10:20" x14ac:dyDescent="0.25">
      <c r="J729">
        <v>0.40179024456899015</v>
      </c>
      <c r="K729">
        <f t="shared" si="109"/>
        <v>1</v>
      </c>
      <c r="L729">
        <f t="shared" si="110"/>
        <v>0.40179024456899015</v>
      </c>
      <c r="M729">
        <f t="shared" si="104"/>
        <v>1</v>
      </c>
      <c r="N729">
        <f t="shared" si="111"/>
        <v>1</v>
      </c>
      <c r="O729">
        <f t="shared" si="112"/>
        <v>61</v>
      </c>
      <c r="P729">
        <f t="shared" si="105"/>
        <v>0</v>
      </c>
      <c r="R729">
        <f t="shared" si="106"/>
        <v>0</v>
      </c>
      <c r="S729">
        <f t="shared" si="107"/>
        <v>0</v>
      </c>
      <c r="T729">
        <f t="shared" si="108"/>
        <v>0</v>
      </c>
    </row>
    <row r="730" spans="10:20" x14ac:dyDescent="0.25">
      <c r="J730">
        <v>0.20949326205409746</v>
      </c>
      <c r="K730">
        <f t="shared" si="109"/>
        <v>0</v>
      </c>
      <c r="L730">
        <f t="shared" si="110"/>
        <v>0</v>
      </c>
      <c r="M730">
        <f t="shared" si="104"/>
        <v>0</v>
      </c>
      <c r="N730">
        <f t="shared" si="111"/>
        <v>2</v>
      </c>
      <c r="O730">
        <f t="shared" si="112"/>
        <v>61</v>
      </c>
      <c r="P730">
        <f t="shared" si="105"/>
        <v>0</v>
      </c>
      <c r="R730">
        <f t="shared" si="106"/>
        <v>0</v>
      </c>
      <c r="S730">
        <f t="shared" si="107"/>
        <v>0</v>
      </c>
      <c r="T730">
        <f t="shared" si="108"/>
        <v>0</v>
      </c>
    </row>
    <row r="731" spans="10:20" x14ac:dyDescent="0.25">
      <c r="J731">
        <v>0.76703335797737304</v>
      </c>
      <c r="K731">
        <f t="shared" si="109"/>
        <v>1</v>
      </c>
      <c r="L731">
        <f t="shared" si="110"/>
        <v>0.76703335797737304</v>
      </c>
      <c r="M731">
        <f t="shared" si="104"/>
        <v>1</v>
      </c>
      <c r="N731">
        <f t="shared" si="111"/>
        <v>2</v>
      </c>
      <c r="O731">
        <f t="shared" si="112"/>
        <v>61</v>
      </c>
      <c r="P731">
        <f t="shared" si="105"/>
        <v>0</v>
      </c>
      <c r="R731">
        <f t="shared" si="106"/>
        <v>0</v>
      </c>
      <c r="S731">
        <f t="shared" si="107"/>
        <v>0</v>
      </c>
      <c r="T731">
        <f t="shared" si="108"/>
        <v>0</v>
      </c>
    </row>
    <row r="732" spans="10:20" x14ac:dyDescent="0.25">
      <c r="J732">
        <v>0.73301984282350241</v>
      </c>
      <c r="K732">
        <f t="shared" si="109"/>
        <v>0</v>
      </c>
      <c r="L732">
        <f t="shared" si="110"/>
        <v>0</v>
      </c>
      <c r="M732">
        <f t="shared" si="104"/>
        <v>0</v>
      </c>
      <c r="N732">
        <f t="shared" si="111"/>
        <v>3</v>
      </c>
      <c r="O732">
        <f t="shared" si="112"/>
        <v>61</v>
      </c>
      <c r="P732">
        <f t="shared" si="105"/>
        <v>0</v>
      </c>
      <c r="R732">
        <f t="shared" si="106"/>
        <v>0</v>
      </c>
      <c r="S732">
        <f t="shared" si="107"/>
        <v>0</v>
      </c>
      <c r="T732">
        <f t="shared" si="108"/>
        <v>0</v>
      </c>
    </row>
    <row r="733" spans="10:20" x14ac:dyDescent="0.25">
      <c r="J733">
        <v>0.86857270652244334</v>
      </c>
      <c r="K733">
        <f t="shared" si="109"/>
        <v>1</v>
      </c>
      <c r="L733">
        <f t="shared" si="110"/>
        <v>0.86857270652244334</v>
      </c>
      <c r="M733">
        <f t="shared" si="104"/>
        <v>1</v>
      </c>
      <c r="N733">
        <f t="shared" si="111"/>
        <v>3</v>
      </c>
      <c r="O733">
        <f t="shared" si="112"/>
        <v>61</v>
      </c>
      <c r="P733">
        <f t="shared" si="105"/>
        <v>0</v>
      </c>
      <c r="R733">
        <f t="shared" si="106"/>
        <v>0</v>
      </c>
      <c r="S733">
        <f t="shared" si="107"/>
        <v>0</v>
      </c>
      <c r="T733">
        <f t="shared" si="108"/>
        <v>0</v>
      </c>
    </row>
    <row r="734" spans="10:20" x14ac:dyDescent="0.25">
      <c r="J734">
        <v>0.6251891904117659</v>
      </c>
      <c r="K734">
        <f t="shared" si="109"/>
        <v>0</v>
      </c>
      <c r="L734">
        <f t="shared" si="110"/>
        <v>0</v>
      </c>
      <c r="M734">
        <f t="shared" si="104"/>
        <v>0</v>
      </c>
      <c r="N734">
        <f t="shared" si="111"/>
        <v>4</v>
      </c>
      <c r="O734">
        <f t="shared" si="112"/>
        <v>61</v>
      </c>
      <c r="P734">
        <f t="shared" si="105"/>
        <v>0</v>
      </c>
      <c r="R734">
        <f t="shared" si="106"/>
        <v>0</v>
      </c>
      <c r="S734">
        <f t="shared" si="107"/>
        <v>0</v>
      </c>
      <c r="T734">
        <f t="shared" si="108"/>
        <v>0</v>
      </c>
    </row>
    <row r="735" spans="10:20" x14ac:dyDescent="0.25">
      <c r="J735">
        <v>1.4519061202977745E-3</v>
      </c>
      <c r="K735">
        <f t="shared" si="109"/>
        <v>1</v>
      </c>
      <c r="L735">
        <f t="shared" si="110"/>
        <v>1.4519061202977745E-3</v>
      </c>
      <c r="M735">
        <f t="shared" si="104"/>
        <v>1</v>
      </c>
      <c r="N735">
        <f t="shared" si="111"/>
        <v>4</v>
      </c>
      <c r="O735">
        <f t="shared" si="112"/>
        <v>61</v>
      </c>
      <c r="P735">
        <f t="shared" si="105"/>
        <v>0</v>
      </c>
      <c r="R735">
        <f t="shared" si="106"/>
        <v>0</v>
      </c>
      <c r="S735">
        <f t="shared" si="107"/>
        <v>0</v>
      </c>
      <c r="T735">
        <f t="shared" si="108"/>
        <v>0</v>
      </c>
    </row>
    <row r="736" spans="10:20" x14ac:dyDescent="0.25">
      <c r="J736">
        <v>9.2796096334404332E-2</v>
      </c>
      <c r="K736">
        <f t="shared" si="109"/>
        <v>0</v>
      </c>
      <c r="L736">
        <f t="shared" si="110"/>
        <v>0</v>
      </c>
      <c r="M736">
        <f t="shared" si="104"/>
        <v>0</v>
      </c>
      <c r="N736">
        <f t="shared" si="111"/>
        <v>5</v>
      </c>
      <c r="O736">
        <f t="shared" si="112"/>
        <v>61</v>
      </c>
      <c r="P736">
        <f t="shared" si="105"/>
        <v>0</v>
      </c>
      <c r="R736">
        <f t="shared" si="106"/>
        <v>0</v>
      </c>
      <c r="S736">
        <f t="shared" si="107"/>
        <v>0</v>
      </c>
      <c r="T736">
        <f t="shared" si="108"/>
        <v>0</v>
      </c>
    </row>
    <row r="737" spans="10:20" x14ac:dyDescent="0.25">
      <c r="J737">
        <v>0.33310633478059526</v>
      </c>
      <c r="K737">
        <f t="shared" si="109"/>
        <v>1</v>
      </c>
      <c r="L737">
        <f t="shared" si="110"/>
        <v>0.33310633478059526</v>
      </c>
      <c r="M737">
        <f t="shared" si="104"/>
        <v>1</v>
      </c>
      <c r="N737">
        <f t="shared" si="111"/>
        <v>5</v>
      </c>
      <c r="O737">
        <f t="shared" si="112"/>
        <v>61</v>
      </c>
      <c r="P737">
        <f t="shared" si="105"/>
        <v>0</v>
      </c>
      <c r="R737">
        <f t="shared" si="106"/>
        <v>0</v>
      </c>
      <c r="S737">
        <f t="shared" si="107"/>
        <v>0</v>
      </c>
      <c r="T737">
        <f t="shared" si="108"/>
        <v>0</v>
      </c>
    </row>
    <row r="738" spans="10:20" x14ac:dyDescent="0.25">
      <c r="J738">
        <v>0.85252592793107307</v>
      </c>
      <c r="K738">
        <f t="shared" si="109"/>
        <v>0</v>
      </c>
      <c r="L738">
        <f t="shared" si="110"/>
        <v>0</v>
      </c>
      <c r="M738">
        <f t="shared" si="104"/>
        <v>0</v>
      </c>
      <c r="N738">
        <f t="shared" si="111"/>
        <v>6</v>
      </c>
      <c r="O738">
        <f t="shared" si="112"/>
        <v>61</v>
      </c>
      <c r="P738">
        <f t="shared" si="105"/>
        <v>0</v>
      </c>
      <c r="R738">
        <f t="shared" si="106"/>
        <v>0</v>
      </c>
      <c r="S738">
        <f t="shared" si="107"/>
        <v>0</v>
      </c>
      <c r="T738">
        <f t="shared" si="108"/>
        <v>0</v>
      </c>
    </row>
    <row r="739" spans="10:20" x14ac:dyDescent="0.25">
      <c r="J739">
        <v>0.75023997282530286</v>
      </c>
      <c r="K739">
        <f t="shared" si="109"/>
        <v>1</v>
      </c>
      <c r="L739">
        <f t="shared" si="110"/>
        <v>0.75023997282530286</v>
      </c>
      <c r="M739">
        <f t="shared" si="104"/>
        <v>1</v>
      </c>
      <c r="N739">
        <f t="shared" si="111"/>
        <v>6</v>
      </c>
      <c r="O739">
        <f t="shared" si="112"/>
        <v>61</v>
      </c>
      <c r="P739">
        <f t="shared" si="105"/>
        <v>0</v>
      </c>
      <c r="R739">
        <f t="shared" si="106"/>
        <v>0</v>
      </c>
      <c r="S739">
        <f t="shared" si="107"/>
        <v>0</v>
      </c>
      <c r="T739">
        <f t="shared" si="108"/>
        <v>0</v>
      </c>
    </row>
    <row r="740" spans="10:20" x14ac:dyDescent="0.25">
      <c r="J740">
        <v>0.1732297554457396</v>
      </c>
      <c r="K740">
        <f t="shared" si="109"/>
        <v>0</v>
      </c>
      <c r="L740">
        <f t="shared" si="110"/>
        <v>0</v>
      </c>
      <c r="M740">
        <f t="shared" si="104"/>
        <v>0</v>
      </c>
      <c r="N740">
        <f t="shared" si="111"/>
        <v>7</v>
      </c>
      <c r="O740">
        <f t="shared" si="112"/>
        <v>61</v>
      </c>
      <c r="P740">
        <f t="shared" si="105"/>
        <v>0</v>
      </c>
      <c r="R740">
        <f t="shared" si="106"/>
        <v>0</v>
      </c>
      <c r="S740">
        <f t="shared" si="107"/>
        <v>0</v>
      </c>
      <c r="T740">
        <f t="shared" si="108"/>
        <v>0</v>
      </c>
    </row>
    <row r="741" spans="10:20" x14ac:dyDescent="0.25">
      <c r="J741">
        <v>0.47318686863488635</v>
      </c>
      <c r="K741">
        <f t="shared" si="109"/>
        <v>1</v>
      </c>
      <c r="L741">
        <f t="shared" si="110"/>
        <v>0.47318686863488635</v>
      </c>
      <c r="M741">
        <f t="shared" si="104"/>
        <v>1</v>
      </c>
      <c r="N741">
        <f t="shared" si="111"/>
        <v>1</v>
      </c>
      <c r="O741">
        <f t="shared" si="112"/>
        <v>62</v>
      </c>
      <c r="P741">
        <f t="shared" si="105"/>
        <v>0</v>
      </c>
      <c r="R741">
        <f t="shared" si="106"/>
        <v>0</v>
      </c>
      <c r="S741">
        <f t="shared" si="107"/>
        <v>0</v>
      </c>
      <c r="T741">
        <f t="shared" si="108"/>
        <v>0</v>
      </c>
    </row>
    <row r="742" spans="10:20" x14ac:dyDescent="0.25">
      <c r="J742">
        <v>0.33015630638370885</v>
      </c>
      <c r="K742">
        <f t="shared" si="109"/>
        <v>0</v>
      </c>
      <c r="L742">
        <f t="shared" si="110"/>
        <v>0</v>
      </c>
      <c r="M742">
        <f t="shared" si="104"/>
        <v>0</v>
      </c>
      <c r="N742">
        <f t="shared" si="111"/>
        <v>2</v>
      </c>
      <c r="O742">
        <f t="shared" si="112"/>
        <v>62</v>
      </c>
      <c r="P742">
        <f t="shared" si="105"/>
        <v>0</v>
      </c>
      <c r="R742">
        <f t="shared" si="106"/>
        <v>0</v>
      </c>
      <c r="S742">
        <f t="shared" si="107"/>
        <v>0</v>
      </c>
      <c r="T742">
        <f t="shared" si="108"/>
        <v>0</v>
      </c>
    </row>
    <row r="743" spans="10:20" x14ac:dyDescent="0.25">
      <c r="J743">
        <v>0.48005591958967664</v>
      </c>
      <c r="K743">
        <f t="shared" si="109"/>
        <v>1</v>
      </c>
      <c r="L743">
        <f t="shared" si="110"/>
        <v>0.48005591958967664</v>
      </c>
      <c r="M743">
        <f t="shared" si="104"/>
        <v>1</v>
      </c>
      <c r="N743">
        <f t="shared" si="111"/>
        <v>2</v>
      </c>
      <c r="O743">
        <f t="shared" si="112"/>
        <v>62</v>
      </c>
      <c r="P743">
        <f t="shared" si="105"/>
        <v>0</v>
      </c>
      <c r="R743">
        <f t="shared" si="106"/>
        <v>0</v>
      </c>
      <c r="S743">
        <f t="shared" si="107"/>
        <v>0</v>
      </c>
      <c r="T743">
        <f t="shared" si="108"/>
        <v>0</v>
      </c>
    </row>
    <row r="744" spans="10:20" x14ac:dyDescent="0.25">
      <c r="J744">
        <v>0.48162264983505887</v>
      </c>
      <c r="K744">
        <f t="shared" si="109"/>
        <v>0</v>
      </c>
      <c r="L744">
        <f t="shared" si="110"/>
        <v>0</v>
      </c>
      <c r="M744">
        <f t="shared" si="104"/>
        <v>0</v>
      </c>
      <c r="N744">
        <f t="shared" si="111"/>
        <v>3</v>
      </c>
      <c r="O744">
        <f t="shared" si="112"/>
        <v>62</v>
      </c>
      <c r="P744">
        <f t="shared" si="105"/>
        <v>0</v>
      </c>
      <c r="R744">
        <f t="shared" si="106"/>
        <v>0</v>
      </c>
      <c r="S744">
        <f t="shared" si="107"/>
        <v>0</v>
      </c>
      <c r="T744">
        <f t="shared" si="108"/>
        <v>0</v>
      </c>
    </row>
    <row r="745" spans="10:20" x14ac:dyDescent="0.25">
      <c r="J745">
        <v>0.74869545009832783</v>
      </c>
      <c r="K745">
        <f t="shared" si="109"/>
        <v>1</v>
      </c>
      <c r="L745">
        <f t="shared" si="110"/>
        <v>0.74869545009832783</v>
      </c>
      <c r="M745">
        <f t="shared" si="104"/>
        <v>1</v>
      </c>
      <c r="N745">
        <f t="shared" si="111"/>
        <v>3</v>
      </c>
      <c r="O745">
        <f t="shared" si="112"/>
        <v>62</v>
      </c>
      <c r="P745">
        <f t="shared" si="105"/>
        <v>0</v>
      </c>
      <c r="R745">
        <f t="shared" si="106"/>
        <v>0</v>
      </c>
      <c r="S745">
        <f t="shared" si="107"/>
        <v>0</v>
      </c>
      <c r="T745">
        <f t="shared" si="108"/>
        <v>0</v>
      </c>
    </row>
    <row r="746" spans="10:20" x14ac:dyDescent="0.25">
      <c r="J746">
        <v>0.59934118694613947</v>
      </c>
      <c r="K746">
        <f t="shared" si="109"/>
        <v>0</v>
      </c>
      <c r="L746">
        <f t="shared" si="110"/>
        <v>0</v>
      </c>
      <c r="M746">
        <f t="shared" si="104"/>
        <v>0</v>
      </c>
      <c r="N746">
        <f t="shared" si="111"/>
        <v>4</v>
      </c>
      <c r="O746">
        <f t="shared" si="112"/>
        <v>62</v>
      </c>
      <c r="P746">
        <f t="shared" si="105"/>
        <v>0</v>
      </c>
      <c r="R746">
        <f t="shared" si="106"/>
        <v>0</v>
      </c>
      <c r="S746">
        <f t="shared" si="107"/>
        <v>0</v>
      </c>
      <c r="T746">
        <f t="shared" si="108"/>
        <v>0</v>
      </c>
    </row>
    <row r="747" spans="10:20" x14ac:dyDescent="0.25">
      <c r="J747">
        <v>0.3582198637907914</v>
      </c>
      <c r="K747">
        <f t="shared" si="109"/>
        <v>1</v>
      </c>
      <c r="L747">
        <f t="shared" si="110"/>
        <v>0.3582198637907914</v>
      </c>
      <c r="M747">
        <f t="shared" si="104"/>
        <v>1</v>
      </c>
      <c r="N747">
        <f t="shared" si="111"/>
        <v>4</v>
      </c>
      <c r="O747">
        <f t="shared" si="112"/>
        <v>62</v>
      </c>
      <c r="P747">
        <f t="shared" si="105"/>
        <v>0</v>
      </c>
      <c r="R747">
        <f t="shared" si="106"/>
        <v>0</v>
      </c>
      <c r="S747">
        <f t="shared" si="107"/>
        <v>0</v>
      </c>
      <c r="T747">
        <f t="shared" si="108"/>
        <v>0</v>
      </c>
    </row>
    <row r="748" spans="10:20" x14ac:dyDescent="0.25">
      <c r="J748">
        <v>0.21568152808484153</v>
      </c>
      <c r="K748">
        <f t="shared" si="109"/>
        <v>0</v>
      </c>
      <c r="L748">
        <f t="shared" si="110"/>
        <v>0</v>
      </c>
      <c r="M748">
        <f t="shared" si="104"/>
        <v>0</v>
      </c>
      <c r="N748">
        <f t="shared" si="111"/>
        <v>5</v>
      </c>
      <c r="O748">
        <f t="shared" si="112"/>
        <v>62</v>
      </c>
      <c r="P748">
        <f t="shared" si="105"/>
        <v>0</v>
      </c>
      <c r="R748">
        <f t="shared" si="106"/>
        <v>0</v>
      </c>
      <c r="S748">
        <f t="shared" si="107"/>
        <v>0</v>
      </c>
      <c r="T748">
        <f t="shared" si="108"/>
        <v>0</v>
      </c>
    </row>
    <row r="749" spans="10:20" x14ac:dyDescent="0.25">
      <c r="J749">
        <v>0.12370845317767643</v>
      </c>
      <c r="K749">
        <f t="shared" si="109"/>
        <v>1</v>
      </c>
      <c r="L749">
        <f t="shared" si="110"/>
        <v>0.12370845317767643</v>
      </c>
      <c r="M749">
        <f t="shared" si="104"/>
        <v>1</v>
      </c>
      <c r="N749">
        <f t="shared" si="111"/>
        <v>5</v>
      </c>
      <c r="O749">
        <f t="shared" si="112"/>
        <v>62</v>
      </c>
      <c r="P749">
        <f t="shared" si="105"/>
        <v>0</v>
      </c>
      <c r="R749">
        <f t="shared" si="106"/>
        <v>0</v>
      </c>
      <c r="S749">
        <f t="shared" si="107"/>
        <v>0</v>
      </c>
      <c r="T749">
        <f t="shared" si="108"/>
        <v>0</v>
      </c>
    </row>
    <row r="750" spans="10:20" x14ac:dyDescent="0.25">
      <c r="J750">
        <v>5.6244930456461062E-2</v>
      </c>
      <c r="K750">
        <f t="shared" si="109"/>
        <v>0</v>
      </c>
      <c r="L750">
        <f t="shared" si="110"/>
        <v>0</v>
      </c>
      <c r="M750">
        <f t="shared" si="104"/>
        <v>0</v>
      </c>
      <c r="N750">
        <f t="shared" si="111"/>
        <v>6</v>
      </c>
      <c r="O750">
        <f t="shared" si="112"/>
        <v>62</v>
      </c>
      <c r="P750">
        <f t="shared" si="105"/>
        <v>0</v>
      </c>
      <c r="R750">
        <f t="shared" si="106"/>
        <v>0</v>
      </c>
      <c r="S750">
        <f t="shared" si="107"/>
        <v>0</v>
      </c>
      <c r="T750">
        <f t="shared" si="108"/>
        <v>0</v>
      </c>
    </row>
    <row r="751" spans="10:20" x14ac:dyDescent="0.25">
      <c r="J751">
        <v>0.89033591211938934</v>
      </c>
      <c r="K751">
        <f t="shared" si="109"/>
        <v>1</v>
      </c>
      <c r="L751">
        <f t="shared" si="110"/>
        <v>0.89033591211938934</v>
      </c>
      <c r="M751">
        <f t="shared" si="104"/>
        <v>1</v>
      </c>
      <c r="N751">
        <f t="shared" si="111"/>
        <v>6</v>
      </c>
      <c r="O751">
        <f t="shared" si="112"/>
        <v>62</v>
      </c>
      <c r="P751">
        <f t="shared" si="105"/>
        <v>0</v>
      </c>
      <c r="R751">
        <f t="shared" si="106"/>
        <v>0</v>
      </c>
      <c r="S751">
        <f t="shared" si="107"/>
        <v>0</v>
      </c>
      <c r="T751">
        <f t="shared" si="108"/>
        <v>0</v>
      </c>
    </row>
    <row r="752" spans="10:20" x14ac:dyDescent="0.25">
      <c r="J752">
        <v>7.5882005912877637E-2</v>
      </c>
      <c r="K752">
        <f t="shared" si="109"/>
        <v>0</v>
      </c>
      <c r="L752">
        <f t="shared" si="110"/>
        <v>0</v>
      </c>
      <c r="M752">
        <f t="shared" si="104"/>
        <v>0</v>
      </c>
      <c r="N752">
        <f t="shared" si="111"/>
        <v>7</v>
      </c>
      <c r="O752">
        <f t="shared" si="112"/>
        <v>62</v>
      </c>
      <c r="P752">
        <f t="shared" si="105"/>
        <v>0</v>
      </c>
      <c r="R752">
        <f t="shared" si="106"/>
        <v>0</v>
      </c>
      <c r="S752">
        <f t="shared" si="107"/>
        <v>0</v>
      </c>
      <c r="T752">
        <f t="shared" si="108"/>
        <v>0</v>
      </c>
    </row>
    <row r="753" spans="10:20" x14ac:dyDescent="0.25">
      <c r="J753">
        <v>0.27002598729901739</v>
      </c>
      <c r="K753">
        <f t="shared" si="109"/>
        <v>1</v>
      </c>
      <c r="L753">
        <f t="shared" si="110"/>
        <v>0.27002598729901739</v>
      </c>
      <c r="M753">
        <f t="shared" si="104"/>
        <v>1</v>
      </c>
      <c r="N753">
        <f t="shared" si="111"/>
        <v>1</v>
      </c>
      <c r="O753">
        <f t="shared" si="112"/>
        <v>63</v>
      </c>
      <c r="P753">
        <f t="shared" si="105"/>
        <v>0</v>
      </c>
      <c r="R753">
        <f t="shared" si="106"/>
        <v>0</v>
      </c>
      <c r="S753">
        <f t="shared" si="107"/>
        <v>0</v>
      </c>
      <c r="T753">
        <f t="shared" si="108"/>
        <v>0</v>
      </c>
    </row>
    <row r="754" spans="10:20" x14ac:dyDescent="0.25">
      <c r="J754">
        <v>0.28847750256483007</v>
      </c>
      <c r="K754">
        <f t="shared" si="109"/>
        <v>0</v>
      </c>
      <c r="L754">
        <f t="shared" si="110"/>
        <v>0</v>
      </c>
      <c r="M754">
        <f t="shared" si="104"/>
        <v>0</v>
      </c>
      <c r="N754">
        <f t="shared" si="111"/>
        <v>2</v>
      </c>
      <c r="O754">
        <f t="shared" si="112"/>
        <v>63</v>
      </c>
      <c r="P754">
        <f t="shared" si="105"/>
        <v>0</v>
      </c>
      <c r="R754">
        <f t="shared" si="106"/>
        <v>0</v>
      </c>
      <c r="S754">
        <f t="shared" si="107"/>
        <v>0</v>
      </c>
      <c r="T754">
        <f t="shared" si="108"/>
        <v>0</v>
      </c>
    </row>
    <row r="755" spans="10:20" x14ac:dyDescent="0.25">
      <c r="J755">
        <v>0.44669169712516799</v>
      </c>
      <c r="K755">
        <f t="shared" si="109"/>
        <v>1</v>
      </c>
      <c r="L755">
        <f t="shared" si="110"/>
        <v>0.44669169712516799</v>
      </c>
      <c r="M755">
        <f t="shared" si="104"/>
        <v>1</v>
      </c>
      <c r="N755">
        <f t="shared" si="111"/>
        <v>2</v>
      </c>
      <c r="O755">
        <f t="shared" si="112"/>
        <v>63</v>
      </c>
      <c r="P755">
        <f t="shared" si="105"/>
        <v>0</v>
      </c>
      <c r="R755">
        <f t="shared" si="106"/>
        <v>0</v>
      </c>
      <c r="S755">
        <f t="shared" si="107"/>
        <v>0</v>
      </c>
      <c r="T755">
        <f t="shared" si="108"/>
        <v>0</v>
      </c>
    </row>
    <row r="756" spans="10:20" x14ac:dyDescent="0.25">
      <c r="J756">
        <v>0.11113512156283711</v>
      </c>
      <c r="K756">
        <f t="shared" si="109"/>
        <v>0</v>
      </c>
      <c r="L756">
        <f t="shared" si="110"/>
        <v>0</v>
      </c>
      <c r="M756">
        <f t="shared" si="104"/>
        <v>0</v>
      </c>
      <c r="N756">
        <f t="shared" si="111"/>
        <v>3</v>
      </c>
      <c r="O756">
        <f t="shared" si="112"/>
        <v>63</v>
      </c>
      <c r="P756">
        <f t="shared" si="105"/>
        <v>0</v>
      </c>
      <c r="R756">
        <f t="shared" si="106"/>
        <v>0</v>
      </c>
      <c r="S756">
        <f t="shared" si="107"/>
        <v>0</v>
      </c>
      <c r="T756">
        <f t="shared" si="108"/>
        <v>0</v>
      </c>
    </row>
    <row r="757" spans="10:20" x14ac:dyDescent="0.25">
      <c r="J757">
        <v>0.95401585603473738</v>
      </c>
      <c r="K757">
        <f t="shared" si="109"/>
        <v>1</v>
      </c>
      <c r="L757">
        <f t="shared" si="110"/>
        <v>0.95401585603473738</v>
      </c>
      <c r="M757">
        <f t="shared" si="104"/>
        <v>1</v>
      </c>
      <c r="N757">
        <f t="shared" si="111"/>
        <v>3</v>
      </c>
      <c r="O757">
        <f t="shared" si="112"/>
        <v>63</v>
      </c>
      <c r="P757">
        <f t="shared" si="105"/>
        <v>0</v>
      </c>
      <c r="R757">
        <f t="shared" si="106"/>
        <v>0</v>
      </c>
      <c r="S757">
        <f t="shared" si="107"/>
        <v>0</v>
      </c>
      <c r="T757">
        <f t="shared" si="108"/>
        <v>0</v>
      </c>
    </row>
    <row r="758" spans="10:20" x14ac:dyDescent="0.25">
      <c r="J758">
        <v>0.80531772078024022</v>
      </c>
      <c r="K758">
        <f t="shared" si="109"/>
        <v>0</v>
      </c>
      <c r="L758">
        <f t="shared" si="110"/>
        <v>0</v>
      </c>
      <c r="M758">
        <f t="shared" si="104"/>
        <v>0</v>
      </c>
      <c r="N758">
        <f t="shared" si="111"/>
        <v>4</v>
      </c>
      <c r="O758">
        <f t="shared" si="112"/>
        <v>63</v>
      </c>
      <c r="P758">
        <f t="shared" si="105"/>
        <v>0</v>
      </c>
      <c r="R758">
        <f t="shared" si="106"/>
        <v>0</v>
      </c>
      <c r="S758">
        <f t="shared" si="107"/>
        <v>0</v>
      </c>
      <c r="T758">
        <f t="shared" si="108"/>
        <v>0</v>
      </c>
    </row>
    <row r="759" spans="10:20" x14ac:dyDescent="0.25">
      <c r="J759">
        <v>0.78717448628313702</v>
      </c>
      <c r="K759">
        <f t="shared" si="109"/>
        <v>1</v>
      </c>
      <c r="L759">
        <f t="shared" si="110"/>
        <v>0.78717448628313702</v>
      </c>
      <c r="M759">
        <f t="shared" si="104"/>
        <v>1</v>
      </c>
      <c r="N759">
        <f t="shared" si="111"/>
        <v>4</v>
      </c>
      <c r="O759">
        <f t="shared" si="112"/>
        <v>63</v>
      </c>
      <c r="P759">
        <f t="shared" si="105"/>
        <v>0</v>
      </c>
      <c r="R759">
        <f t="shared" si="106"/>
        <v>0</v>
      </c>
      <c r="S759">
        <f t="shared" si="107"/>
        <v>0</v>
      </c>
      <c r="T759">
        <f t="shared" si="108"/>
        <v>0</v>
      </c>
    </row>
    <row r="760" spans="10:20" x14ac:dyDescent="0.25">
      <c r="J760">
        <v>0.69026338465438686</v>
      </c>
      <c r="K760">
        <f t="shared" si="109"/>
        <v>0</v>
      </c>
      <c r="L760">
        <f t="shared" si="110"/>
        <v>0</v>
      </c>
      <c r="M760">
        <f t="shared" si="104"/>
        <v>0</v>
      </c>
      <c r="N760">
        <f t="shared" si="111"/>
        <v>5</v>
      </c>
      <c r="O760">
        <f t="shared" si="112"/>
        <v>63</v>
      </c>
      <c r="P760">
        <f t="shared" si="105"/>
        <v>0</v>
      </c>
      <c r="R760">
        <f t="shared" si="106"/>
        <v>0</v>
      </c>
      <c r="S760">
        <f t="shared" si="107"/>
        <v>0</v>
      </c>
      <c r="T760">
        <f t="shared" si="108"/>
        <v>0</v>
      </c>
    </row>
    <row r="761" spans="10:20" x14ac:dyDescent="0.25">
      <c r="J761">
        <v>0.45703701652230277</v>
      </c>
      <c r="K761">
        <f t="shared" si="109"/>
        <v>1</v>
      </c>
      <c r="L761">
        <f t="shared" si="110"/>
        <v>0.45703701652230277</v>
      </c>
      <c r="M761">
        <f t="shared" si="104"/>
        <v>1</v>
      </c>
      <c r="N761">
        <f t="shared" si="111"/>
        <v>5</v>
      </c>
      <c r="O761">
        <f t="shared" si="112"/>
        <v>63</v>
      </c>
      <c r="P761">
        <f t="shared" si="105"/>
        <v>0</v>
      </c>
      <c r="R761">
        <f t="shared" si="106"/>
        <v>0</v>
      </c>
      <c r="S761">
        <f t="shared" si="107"/>
        <v>0</v>
      </c>
      <c r="T761">
        <f t="shared" si="108"/>
        <v>0</v>
      </c>
    </row>
    <row r="762" spans="10:20" x14ac:dyDescent="0.25">
      <c r="J762">
        <v>0.69108821624478867</v>
      </c>
      <c r="K762">
        <f t="shared" si="109"/>
        <v>0</v>
      </c>
      <c r="L762">
        <f t="shared" si="110"/>
        <v>0</v>
      </c>
      <c r="M762">
        <f t="shared" si="104"/>
        <v>0</v>
      </c>
      <c r="N762">
        <f t="shared" si="111"/>
        <v>6</v>
      </c>
      <c r="O762">
        <f t="shared" si="112"/>
        <v>63</v>
      </c>
      <c r="P762">
        <f t="shared" si="105"/>
        <v>0</v>
      </c>
      <c r="R762">
        <f t="shared" si="106"/>
        <v>0</v>
      </c>
      <c r="S762">
        <f t="shared" si="107"/>
        <v>0</v>
      </c>
      <c r="T762">
        <f t="shared" si="108"/>
        <v>0</v>
      </c>
    </row>
    <row r="763" spans="10:20" x14ac:dyDescent="0.25">
      <c r="J763">
        <v>0.85261199082896555</v>
      </c>
      <c r="K763">
        <f t="shared" si="109"/>
        <v>1</v>
      </c>
      <c r="L763">
        <f t="shared" si="110"/>
        <v>0.85261199082896555</v>
      </c>
      <c r="M763">
        <f t="shared" si="104"/>
        <v>1</v>
      </c>
      <c r="N763">
        <f t="shared" si="111"/>
        <v>6</v>
      </c>
      <c r="O763">
        <f t="shared" si="112"/>
        <v>63</v>
      </c>
      <c r="P763">
        <f t="shared" si="105"/>
        <v>0</v>
      </c>
      <c r="R763">
        <f t="shared" si="106"/>
        <v>0</v>
      </c>
      <c r="S763">
        <f t="shared" si="107"/>
        <v>0</v>
      </c>
      <c r="T763">
        <f t="shared" si="108"/>
        <v>0</v>
      </c>
    </row>
    <row r="764" spans="10:20" x14ac:dyDescent="0.25">
      <c r="J764">
        <v>0.27114046623764398</v>
      </c>
      <c r="K764">
        <f t="shared" si="109"/>
        <v>0</v>
      </c>
      <c r="L764">
        <f t="shared" si="110"/>
        <v>0</v>
      </c>
      <c r="M764">
        <f t="shared" si="104"/>
        <v>0</v>
      </c>
      <c r="N764">
        <f t="shared" si="111"/>
        <v>7</v>
      </c>
      <c r="O764">
        <f t="shared" si="112"/>
        <v>63</v>
      </c>
      <c r="P764">
        <f t="shared" si="105"/>
        <v>0</v>
      </c>
      <c r="R764">
        <f t="shared" si="106"/>
        <v>0</v>
      </c>
      <c r="S764">
        <f t="shared" si="107"/>
        <v>0</v>
      </c>
      <c r="T764">
        <f t="shared" si="108"/>
        <v>0</v>
      </c>
    </row>
    <row r="765" spans="10:20" x14ac:dyDescent="0.25">
      <c r="J765">
        <v>0.84907972816660282</v>
      </c>
      <c r="K765">
        <f t="shared" si="109"/>
        <v>1</v>
      </c>
      <c r="L765">
        <f t="shared" si="110"/>
        <v>0.84907972816660282</v>
      </c>
      <c r="M765">
        <f t="shared" si="104"/>
        <v>1</v>
      </c>
      <c r="N765">
        <f t="shared" si="111"/>
        <v>1</v>
      </c>
      <c r="O765">
        <f t="shared" si="112"/>
        <v>64</v>
      </c>
      <c r="P765">
        <f t="shared" si="105"/>
        <v>0</v>
      </c>
      <c r="R765">
        <f t="shared" si="106"/>
        <v>0</v>
      </c>
      <c r="S765">
        <f t="shared" si="107"/>
        <v>0</v>
      </c>
      <c r="T765">
        <f t="shared" si="108"/>
        <v>0</v>
      </c>
    </row>
    <row r="766" spans="10:20" x14ac:dyDescent="0.25">
      <c r="J766">
        <v>0.89644491182167652</v>
      </c>
      <c r="K766">
        <f t="shared" si="109"/>
        <v>0</v>
      </c>
      <c r="L766">
        <f t="shared" si="110"/>
        <v>0</v>
      </c>
      <c r="M766">
        <f t="shared" si="104"/>
        <v>0</v>
      </c>
      <c r="N766">
        <f t="shared" si="111"/>
        <v>2</v>
      </c>
      <c r="O766">
        <f t="shared" si="112"/>
        <v>64</v>
      </c>
      <c r="P766">
        <f t="shared" si="105"/>
        <v>0</v>
      </c>
      <c r="R766">
        <f t="shared" si="106"/>
        <v>0</v>
      </c>
      <c r="S766">
        <f t="shared" si="107"/>
        <v>0</v>
      </c>
      <c r="T766">
        <f t="shared" si="108"/>
        <v>0</v>
      </c>
    </row>
    <row r="767" spans="10:20" x14ac:dyDescent="0.25">
      <c r="J767">
        <v>0.90906923821214225</v>
      </c>
      <c r="K767">
        <f t="shared" si="109"/>
        <v>1</v>
      </c>
      <c r="L767">
        <f t="shared" si="110"/>
        <v>0.90906923821214225</v>
      </c>
      <c r="M767">
        <f t="shared" si="104"/>
        <v>1</v>
      </c>
      <c r="N767">
        <f t="shared" si="111"/>
        <v>2</v>
      </c>
      <c r="O767">
        <f t="shared" si="112"/>
        <v>64</v>
      </c>
      <c r="P767">
        <f t="shared" si="105"/>
        <v>0</v>
      </c>
      <c r="R767">
        <f t="shared" si="106"/>
        <v>0</v>
      </c>
      <c r="S767">
        <f t="shared" si="107"/>
        <v>0</v>
      </c>
      <c r="T767">
        <f t="shared" si="108"/>
        <v>0</v>
      </c>
    </row>
    <row r="768" spans="10:20" x14ac:dyDescent="0.25">
      <c r="J768">
        <v>2.2576926798283159E-2</v>
      </c>
      <c r="K768">
        <f t="shared" si="109"/>
        <v>0</v>
      </c>
      <c r="L768">
        <f t="shared" si="110"/>
        <v>0</v>
      </c>
      <c r="M768">
        <f t="shared" si="104"/>
        <v>0</v>
      </c>
      <c r="N768">
        <f t="shared" si="111"/>
        <v>3</v>
      </c>
      <c r="O768">
        <f t="shared" si="112"/>
        <v>64</v>
      </c>
      <c r="P768">
        <f t="shared" si="105"/>
        <v>0</v>
      </c>
      <c r="R768">
        <f t="shared" si="106"/>
        <v>0</v>
      </c>
      <c r="S768">
        <f t="shared" si="107"/>
        <v>0</v>
      </c>
      <c r="T768">
        <f t="shared" si="108"/>
        <v>0</v>
      </c>
    </row>
    <row r="769" spans="10:20" x14ac:dyDescent="0.25">
      <c r="J769">
        <v>1.9056346799187662E-2</v>
      </c>
      <c r="K769">
        <f t="shared" si="109"/>
        <v>1</v>
      </c>
      <c r="L769">
        <f t="shared" si="110"/>
        <v>1.9056346799187662E-2</v>
      </c>
      <c r="M769">
        <f t="shared" si="104"/>
        <v>1</v>
      </c>
      <c r="N769">
        <f t="shared" si="111"/>
        <v>3</v>
      </c>
      <c r="O769">
        <f t="shared" si="112"/>
        <v>64</v>
      </c>
      <c r="P769">
        <f t="shared" si="105"/>
        <v>0</v>
      </c>
      <c r="R769">
        <f t="shared" si="106"/>
        <v>0</v>
      </c>
      <c r="S769">
        <f t="shared" si="107"/>
        <v>0</v>
      </c>
      <c r="T769">
        <f t="shared" si="108"/>
        <v>0</v>
      </c>
    </row>
    <row r="770" spans="10:20" x14ac:dyDescent="0.25">
      <c r="J770">
        <v>0.61377296388329161</v>
      </c>
      <c r="K770">
        <f t="shared" si="109"/>
        <v>0</v>
      </c>
      <c r="L770">
        <f t="shared" si="110"/>
        <v>0</v>
      </c>
      <c r="M770">
        <f t="shared" si="104"/>
        <v>0</v>
      </c>
      <c r="N770">
        <f t="shared" si="111"/>
        <v>4</v>
      </c>
      <c r="O770">
        <f t="shared" si="112"/>
        <v>64</v>
      </c>
      <c r="P770">
        <f t="shared" si="105"/>
        <v>0</v>
      </c>
      <c r="R770">
        <f t="shared" si="106"/>
        <v>0</v>
      </c>
      <c r="S770">
        <f t="shared" si="107"/>
        <v>0</v>
      </c>
      <c r="T770">
        <f t="shared" si="108"/>
        <v>0</v>
      </c>
    </row>
    <row r="771" spans="10:20" x14ac:dyDescent="0.25">
      <c r="J771">
        <v>0.4747546889301808</v>
      </c>
      <c r="K771">
        <f t="shared" si="109"/>
        <v>1</v>
      </c>
      <c r="L771">
        <f t="shared" si="110"/>
        <v>0.4747546889301808</v>
      </c>
      <c r="M771">
        <f t="shared" si="104"/>
        <v>1</v>
      </c>
      <c r="N771">
        <f t="shared" si="111"/>
        <v>4</v>
      </c>
      <c r="O771">
        <f t="shared" si="112"/>
        <v>64</v>
      </c>
      <c r="P771">
        <f t="shared" si="105"/>
        <v>0</v>
      </c>
      <c r="R771">
        <f t="shared" si="106"/>
        <v>0</v>
      </c>
      <c r="S771">
        <f t="shared" si="107"/>
        <v>0</v>
      </c>
      <c r="T771">
        <f t="shared" si="108"/>
        <v>0</v>
      </c>
    </row>
    <row r="772" spans="10:20" x14ac:dyDescent="0.25">
      <c r="J772">
        <v>0.12515536510245584</v>
      </c>
      <c r="K772">
        <f t="shared" si="109"/>
        <v>0</v>
      </c>
      <c r="L772">
        <f t="shared" si="110"/>
        <v>0</v>
      </c>
      <c r="M772">
        <f t="shared" si="104"/>
        <v>0</v>
      </c>
      <c r="N772">
        <f t="shared" si="111"/>
        <v>5</v>
      </c>
      <c r="O772">
        <f t="shared" si="112"/>
        <v>64</v>
      </c>
      <c r="P772">
        <f t="shared" si="105"/>
        <v>0</v>
      </c>
      <c r="R772">
        <f t="shared" si="106"/>
        <v>0</v>
      </c>
      <c r="S772">
        <f t="shared" si="107"/>
        <v>0</v>
      </c>
      <c r="T772">
        <f t="shared" si="108"/>
        <v>0</v>
      </c>
    </row>
    <row r="773" spans="10:20" x14ac:dyDescent="0.25">
      <c r="J773">
        <v>0.34121236603919192</v>
      </c>
      <c r="K773">
        <f t="shared" si="109"/>
        <v>1</v>
      </c>
      <c r="L773">
        <f t="shared" si="110"/>
        <v>0.34121236603919192</v>
      </c>
      <c r="M773">
        <f t="shared" si="104"/>
        <v>1</v>
      </c>
      <c r="N773">
        <f t="shared" si="111"/>
        <v>5</v>
      </c>
      <c r="O773">
        <f t="shared" si="112"/>
        <v>64</v>
      </c>
      <c r="P773">
        <f t="shared" si="105"/>
        <v>0</v>
      </c>
      <c r="R773">
        <f t="shared" si="106"/>
        <v>0</v>
      </c>
      <c r="S773">
        <f t="shared" si="107"/>
        <v>0</v>
      </c>
      <c r="T773">
        <f t="shared" si="108"/>
        <v>0</v>
      </c>
    </row>
    <row r="774" spans="10:20" x14ac:dyDescent="0.25">
      <c r="J774">
        <v>0.58168815069833524</v>
      </c>
      <c r="K774">
        <f t="shared" si="109"/>
        <v>0</v>
      </c>
      <c r="L774">
        <f t="shared" si="110"/>
        <v>0</v>
      </c>
      <c r="M774">
        <f t="shared" si="104"/>
        <v>0</v>
      </c>
      <c r="N774">
        <f t="shared" si="111"/>
        <v>6</v>
      </c>
      <c r="O774">
        <f t="shared" si="112"/>
        <v>64</v>
      </c>
      <c r="P774">
        <f t="shared" si="105"/>
        <v>0</v>
      </c>
      <c r="R774">
        <f t="shared" si="106"/>
        <v>0</v>
      </c>
      <c r="S774">
        <f t="shared" si="107"/>
        <v>0</v>
      </c>
      <c r="T774">
        <f t="shared" si="108"/>
        <v>0</v>
      </c>
    </row>
    <row r="775" spans="10:20" x14ac:dyDescent="0.25">
      <c r="J775">
        <v>0.5587598169499044</v>
      </c>
      <c r="K775">
        <f t="shared" si="109"/>
        <v>1</v>
      </c>
      <c r="L775">
        <f t="shared" si="110"/>
        <v>0.5587598169499044</v>
      </c>
      <c r="M775">
        <f t="shared" si="104"/>
        <v>1</v>
      </c>
      <c r="N775">
        <f t="shared" si="111"/>
        <v>6</v>
      </c>
      <c r="O775">
        <f t="shared" si="112"/>
        <v>64</v>
      </c>
      <c r="P775">
        <f t="shared" si="105"/>
        <v>0</v>
      </c>
      <c r="R775">
        <f t="shared" si="106"/>
        <v>0</v>
      </c>
      <c r="S775">
        <f t="shared" si="107"/>
        <v>0</v>
      </c>
      <c r="T775">
        <f t="shared" si="108"/>
        <v>0</v>
      </c>
    </row>
    <row r="776" spans="10:20" x14ac:dyDescent="0.25">
      <c r="J776">
        <v>0.81491188314884566</v>
      </c>
      <c r="K776">
        <f t="shared" si="109"/>
        <v>0</v>
      </c>
      <c r="L776">
        <f t="shared" si="110"/>
        <v>0</v>
      </c>
      <c r="M776">
        <f t="shared" ref="M776:M839" si="113">IF(L776&gt;$M$2,1,0)</f>
        <v>0</v>
      </c>
      <c r="N776">
        <f t="shared" si="111"/>
        <v>7</v>
      </c>
      <c r="O776">
        <f t="shared" si="112"/>
        <v>64</v>
      </c>
      <c r="P776">
        <f t="shared" ref="P776:P839" si="114">IF(INDEX($B$7:$H$1029,O776,2)&gt;0,1,0)</f>
        <v>0</v>
      </c>
      <c r="R776">
        <f t="shared" ref="R776:R839" si="115">IF(  M776&gt;0,INDEX($B$7:$H$1029,O776,N776),0)*P776</f>
        <v>0</v>
      </c>
      <c r="S776">
        <f t="shared" ref="S776:S839" si="116">M776*P776</f>
        <v>0</v>
      </c>
      <c r="T776">
        <f t="shared" ref="T776:T839" si="117">IF(N777=$N$2,1,0)*P776</f>
        <v>0</v>
      </c>
    </row>
    <row r="777" spans="10:20" x14ac:dyDescent="0.25">
      <c r="J777">
        <v>0.29331128557783548</v>
      </c>
      <c r="K777">
        <f t="shared" si="109"/>
        <v>1</v>
      </c>
      <c r="L777">
        <f t="shared" si="110"/>
        <v>0.29331128557783548</v>
      </c>
      <c r="M777">
        <f t="shared" si="113"/>
        <v>1</v>
      </c>
      <c r="N777">
        <f t="shared" si="111"/>
        <v>1</v>
      </c>
      <c r="O777">
        <f t="shared" si="112"/>
        <v>65</v>
      </c>
      <c r="P777">
        <f t="shared" si="114"/>
        <v>0</v>
      </c>
      <c r="R777">
        <f t="shared" si="115"/>
        <v>0</v>
      </c>
      <c r="S777">
        <f t="shared" si="116"/>
        <v>0</v>
      </c>
      <c r="T777">
        <f t="shared" si="117"/>
        <v>0</v>
      </c>
    </row>
    <row r="778" spans="10:20" x14ac:dyDescent="0.25">
      <c r="J778">
        <v>0.11215496208192188</v>
      </c>
      <c r="K778">
        <f t="shared" si="109"/>
        <v>0</v>
      </c>
      <c r="L778">
        <f t="shared" si="110"/>
        <v>0</v>
      </c>
      <c r="M778">
        <f t="shared" si="113"/>
        <v>0</v>
      </c>
      <c r="N778">
        <f t="shared" si="111"/>
        <v>2</v>
      </c>
      <c r="O778">
        <f t="shared" si="112"/>
        <v>65</v>
      </c>
      <c r="P778">
        <f t="shared" si="114"/>
        <v>0</v>
      </c>
      <c r="R778">
        <f t="shared" si="115"/>
        <v>0</v>
      </c>
      <c r="S778">
        <f t="shared" si="116"/>
        <v>0</v>
      </c>
      <c r="T778">
        <f t="shared" si="117"/>
        <v>0</v>
      </c>
    </row>
    <row r="779" spans="10:20" x14ac:dyDescent="0.25">
      <c r="J779">
        <v>0.94975417016312114</v>
      </c>
      <c r="K779">
        <f t="shared" si="109"/>
        <v>1</v>
      </c>
      <c r="L779">
        <f t="shared" si="110"/>
        <v>0.94975417016312114</v>
      </c>
      <c r="M779">
        <f t="shared" si="113"/>
        <v>1</v>
      </c>
      <c r="N779">
        <f t="shared" si="111"/>
        <v>2</v>
      </c>
      <c r="O779">
        <f t="shared" si="112"/>
        <v>65</v>
      </c>
      <c r="P779">
        <f t="shared" si="114"/>
        <v>0</v>
      </c>
      <c r="R779">
        <f t="shared" si="115"/>
        <v>0</v>
      </c>
      <c r="S779">
        <f t="shared" si="116"/>
        <v>0</v>
      </c>
      <c r="T779">
        <f t="shared" si="117"/>
        <v>0</v>
      </c>
    </row>
    <row r="780" spans="10:20" x14ac:dyDescent="0.25">
      <c r="J780">
        <v>2.3523127067821448E-2</v>
      </c>
      <c r="K780">
        <f t="shared" si="109"/>
        <v>0</v>
      </c>
      <c r="L780">
        <f t="shared" si="110"/>
        <v>0</v>
      </c>
      <c r="M780">
        <f t="shared" si="113"/>
        <v>0</v>
      </c>
      <c r="N780">
        <f t="shared" si="111"/>
        <v>3</v>
      </c>
      <c r="O780">
        <f t="shared" si="112"/>
        <v>65</v>
      </c>
      <c r="P780">
        <f t="shared" si="114"/>
        <v>0</v>
      </c>
      <c r="R780">
        <f t="shared" si="115"/>
        <v>0</v>
      </c>
      <c r="S780">
        <f t="shared" si="116"/>
        <v>0</v>
      </c>
      <c r="T780">
        <f t="shared" si="117"/>
        <v>0</v>
      </c>
    </row>
    <row r="781" spans="10:20" x14ac:dyDescent="0.25">
      <c r="J781">
        <v>0.42839389585909393</v>
      </c>
      <c r="K781">
        <f t="shared" si="109"/>
        <v>1</v>
      </c>
      <c r="L781">
        <f t="shared" si="110"/>
        <v>0.42839389585909393</v>
      </c>
      <c r="M781">
        <f t="shared" si="113"/>
        <v>1</v>
      </c>
      <c r="N781">
        <f t="shared" si="111"/>
        <v>3</v>
      </c>
      <c r="O781">
        <f t="shared" si="112"/>
        <v>65</v>
      </c>
      <c r="P781">
        <f t="shared" si="114"/>
        <v>0</v>
      </c>
      <c r="R781">
        <f t="shared" si="115"/>
        <v>0</v>
      </c>
      <c r="S781">
        <f t="shared" si="116"/>
        <v>0</v>
      </c>
      <c r="T781">
        <f t="shared" si="117"/>
        <v>0</v>
      </c>
    </row>
    <row r="782" spans="10:20" x14ac:dyDescent="0.25">
      <c r="J782">
        <v>0.10321611466317948</v>
      </c>
      <c r="K782">
        <f t="shared" si="109"/>
        <v>0</v>
      </c>
      <c r="L782">
        <f t="shared" si="110"/>
        <v>0</v>
      </c>
      <c r="M782">
        <f t="shared" si="113"/>
        <v>0</v>
      </c>
      <c r="N782">
        <f t="shared" si="111"/>
        <v>4</v>
      </c>
      <c r="O782">
        <f t="shared" si="112"/>
        <v>65</v>
      </c>
      <c r="P782">
        <f t="shared" si="114"/>
        <v>0</v>
      </c>
      <c r="R782">
        <f t="shared" si="115"/>
        <v>0</v>
      </c>
      <c r="S782">
        <f t="shared" si="116"/>
        <v>0</v>
      </c>
      <c r="T782">
        <f t="shared" si="117"/>
        <v>0</v>
      </c>
    </row>
    <row r="783" spans="10:20" x14ac:dyDescent="0.25">
      <c r="J783">
        <v>0.7244512498620439</v>
      </c>
      <c r="K783">
        <f t="shared" si="109"/>
        <v>1</v>
      </c>
      <c r="L783">
        <f t="shared" si="110"/>
        <v>0.7244512498620439</v>
      </c>
      <c r="M783">
        <f t="shared" si="113"/>
        <v>1</v>
      </c>
      <c r="N783">
        <f t="shared" si="111"/>
        <v>4</v>
      </c>
      <c r="O783">
        <f t="shared" si="112"/>
        <v>65</v>
      </c>
      <c r="P783">
        <f t="shared" si="114"/>
        <v>0</v>
      </c>
      <c r="R783">
        <f t="shared" si="115"/>
        <v>0</v>
      </c>
      <c r="S783">
        <f t="shared" si="116"/>
        <v>0</v>
      </c>
      <c r="T783">
        <f t="shared" si="117"/>
        <v>0</v>
      </c>
    </row>
    <row r="784" spans="10:20" x14ac:dyDescent="0.25">
      <c r="J784">
        <v>0.82903965240571298</v>
      </c>
      <c r="K784">
        <f t="shared" si="109"/>
        <v>0</v>
      </c>
      <c r="L784">
        <f t="shared" si="110"/>
        <v>0</v>
      </c>
      <c r="M784">
        <f t="shared" si="113"/>
        <v>0</v>
      </c>
      <c r="N784">
        <f t="shared" si="111"/>
        <v>5</v>
      </c>
      <c r="O784">
        <f t="shared" si="112"/>
        <v>65</v>
      </c>
      <c r="P784">
        <f t="shared" si="114"/>
        <v>0</v>
      </c>
      <c r="R784">
        <f t="shared" si="115"/>
        <v>0</v>
      </c>
      <c r="S784">
        <f t="shared" si="116"/>
        <v>0</v>
      </c>
      <c r="T784">
        <f t="shared" si="117"/>
        <v>0</v>
      </c>
    </row>
    <row r="785" spans="10:20" x14ac:dyDescent="0.25">
      <c r="J785">
        <v>0.54685682466528851</v>
      </c>
      <c r="K785">
        <f t="shared" si="109"/>
        <v>1</v>
      </c>
      <c r="L785">
        <f t="shared" si="110"/>
        <v>0.54685682466528851</v>
      </c>
      <c r="M785">
        <f t="shared" si="113"/>
        <v>1</v>
      </c>
      <c r="N785">
        <f t="shared" si="111"/>
        <v>5</v>
      </c>
      <c r="O785">
        <f t="shared" si="112"/>
        <v>65</v>
      </c>
      <c r="P785">
        <f t="shared" si="114"/>
        <v>0</v>
      </c>
      <c r="R785">
        <f t="shared" si="115"/>
        <v>0</v>
      </c>
      <c r="S785">
        <f t="shared" si="116"/>
        <v>0</v>
      </c>
      <c r="T785">
        <f t="shared" si="117"/>
        <v>0</v>
      </c>
    </row>
    <row r="786" spans="10:20" x14ac:dyDescent="0.25">
      <c r="J786">
        <v>0.74853129577423028</v>
      </c>
      <c r="K786">
        <f t="shared" si="109"/>
        <v>0</v>
      </c>
      <c r="L786">
        <f t="shared" si="110"/>
        <v>0</v>
      </c>
      <c r="M786">
        <f t="shared" si="113"/>
        <v>0</v>
      </c>
      <c r="N786">
        <f t="shared" si="111"/>
        <v>6</v>
      </c>
      <c r="O786">
        <f t="shared" si="112"/>
        <v>65</v>
      </c>
      <c r="P786">
        <f t="shared" si="114"/>
        <v>0</v>
      </c>
      <c r="R786">
        <f t="shared" si="115"/>
        <v>0</v>
      </c>
      <c r="S786">
        <f t="shared" si="116"/>
        <v>0</v>
      </c>
      <c r="T786">
        <f t="shared" si="117"/>
        <v>0</v>
      </c>
    </row>
    <row r="787" spans="10:20" x14ac:dyDescent="0.25">
      <c r="J787">
        <v>0.71954815037953135</v>
      </c>
      <c r="K787">
        <f t="shared" si="109"/>
        <v>1</v>
      </c>
      <c r="L787">
        <f t="shared" si="110"/>
        <v>0.71954815037953135</v>
      </c>
      <c r="M787">
        <f t="shared" si="113"/>
        <v>1</v>
      </c>
      <c r="N787">
        <f t="shared" si="111"/>
        <v>6</v>
      </c>
      <c r="O787">
        <f t="shared" si="112"/>
        <v>65</v>
      </c>
      <c r="P787">
        <f t="shared" si="114"/>
        <v>0</v>
      </c>
      <c r="R787">
        <f t="shared" si="115"/>
        <v>0</v>
      </c>
      <c r="S787">
        <f t="shared" si="116"/>
        <v>0</v>
      </c>
      <c r="T787">
        <f t="shared" si="117"/>
        <v>0</v>
      </c>
    </row>
    <row r="788" spans="10:20" x14ac:dyDescent="0.25">
      <c r="J788">
        <v>0.76782134954215786</v>
      </c>
      <c r="K788">
        <f t="shared" si="109"/>
        <v>0</v>
      </c>
      <c r="L788">
        <f t="shared" si="110"/>
        <v>0</v>
      </c>
      <c r="M788">
        <f t="shared" si="113"/>
        <v>0</v>
      </c>
      <c r="N788">
        <f t="shared" si="111"/>
        <v>7</v>
      </c>
      <c r="O788">
        <f t="shared" si="112"/>
        <v>65</v>
      </c>
      <c r="P788">
        <f t="shared" si="114"/>
        <v>0</v>
      </c>
      <c r="R788">
        <f t="shared" si="115"/>
        <v>0</v>
      </c>
      <c r="S788">
        <f t="shared" si="116"/>
        <v>0</v>
      </c>
      <c r="T788">
        <f t="shared" si="117"/>
        <v>0</v>
      </c>
    </row>
    <row r="789" spans="10:20" x14ac:dyDescent="0.25">
      <c r="J789">
        <v>0.31695617649266372</v>
      </c>
      <c r="K789">
        <f t="shared" si="109"/>
        <v>1</v>
      </c>
      <c r="L789">
        <f t="shared" si="110"/>
        <v>0.31695617649266372</v>
      </c>
      <c r="M789">
        <f t="shared" si="113"/>
        <v>1</v>
      </c>
      <c r="N789">
        <f t="shared" si="111"/>
        <v>1</v>
      </c>
      <c r="O789">
        <f t="shared" si="112"/>
        <v>66</v>
      </c>
      <c r="P789">
        <f t="shared" si="114"/>
        <v>0</v>
      </c>
      <c r="R789">
        <f t="shared" si="115"/>
        <v>0</v>
      </c>
      <c r="S789">
        <f t="shared" si="116"/>
        <v>0</v>
      </c>
      <c r="T789">
        <f t="shared" si="117"/>
        <v>0</v>
      </c>
    </row>
    <row r="790" spans="10:20" x14ac:dyDescent="0.25">
      <c r="J790">
        <v>6.3307515322728714E-2</v>
      </c>
      <c r="K790">
        <f t="shared" si="109"/>
        <v>0</v>
      </c>
      <c r="L790">
        <f t="shared" si="110"/>
        <v>0</v>
      </c>
      <c r="M790">
        <f t="shared" si="113"/>
        <v>0</v>
      </c>
      <c r="N790">
        <f t="shared" si="111"/>
        <v>2</v>
      </c>
      <c r="O790">
        <f t="shared" si="112"/>
        <v>66</v>
      </c>
      <c r="P790">
        <f t="shared" si="114"/>
        <v>0</v>
      </c>
      <c r="R790">
        <f t="shared" si="115"/>
        <v>0</v>
      </c>
      <c r="S790">
        <f t="shared" si="116"/>
        <v>0</v>
      </c>
      <c r="T790">
        <f t="shared" si="117"/>
        <v>0</v>
      </c>
    </row>
    <row r="791" spans="10:20" x14ac:dyDescent="0.25">
      <c r="J791">
        <v>0.74834536963657394</v>
      </c>
      <c r="K791">
        <f t="shared" si="109"/>
        <v>1</v>
      </c>
      <c r="L791">
        <f t="shared" si="110"/>
        <v>0.74834536963657394</v>
      </c>
      <c r="M791">
        <f t="shared" si="113"/>
        <v>1</v>
      </c>
      <c r="N791">
        <f t="shared" si="111"/>
        <v>2</v>
      </c>
      <c r="O791">
        <f t="shared" si="112"/>
        <v>66</v>
      </c>
      <c r="P791">
        <f t="shared" si="114"/>
        <v>0</v>
      </c>
      <c r="R791">
        <f t="shared" si="115"/>
        <v>0</v>
      </c>
      <c r="S791">
        <f t="shared" si="116"/>
        <v>0</v>
      </c>
      <c r="T791">
        <f t="shared" si="117"/>
        <v>0</v>
      </c>
    </row>
    <row r="792" spans="10:20" x14ac:dyDescent="0.25">
      <c r="J792">
        <v>0.25333135619846181</v>
      </c>
      <c r="K792">
        <f t="shared" ref="K792:K855" si="118">IF(K791=1,0,1)</f>
        <v>0</v>
      </c>
      <c r="L792">
        <f t="shared" ref="L792:L855" si="119">K792*J792</f>
        <v>0</v>
      </c>
      <c r="M792">
        <f t="shared" si="113"/>
        <v>0</v>
      </c>
      <c r="N792">
        <f t="shared" ref="N792:N855" si="120">IF(N791&lt;$N$2,N791+M791,1)</f>
        <v>3</v>
      </c>
      <c r="O792">
        <f t="shared" ref="O792:O855" si="121">IF(AND(N792=1,M792=1),O791+1,O791)</f>
        <v>66</v>
      </c>
      <c r="P792">
        <f t="shared" si="114"/>
        <v>0</v>
      </c>
      <c r="R792">
        <f t="shared" si="115"/>
        <v>0</v>
      </c>
      <c r="S792">
        <f t="shared" si="116"/>
        <v>0</v>
      </c>
      <c r="T792">
        <f t="shared" si="117"/>
        <v>0</v>
      </c>
    </row>
    <row r="793" spans="10:20" x14ac:dyDescent="0.25">
      <c r="J793">
        <v>0.4155423285106703</v>
      </c>
      <c r="K793">
        <f t="shared" si="118"/>
        <v>1</v>
      </c>
      <c r="L793">
        <f t="shared" si="119"/>
        <v>0.4155423285106703</v>
      </c>
      <c r="M793">
        <f t="shared" si="113"/>
        <v>1</v>
      </c>
      <c r="N793">
        <f t="shared" si="120"/>
        <v>3</v>
      </c>
      <c r="O793">
        <f t="shared" si="121"/>
        <v>66</v>
      </c>
      <c r="P793">
        <f t="shared" si="114"/>
        <v>0</v>
      </c>
      <c r="R793">
        <f t="shared" si="115"/>
        <v>0</v>
      </c>
      <c r="S793">
        <f t="shared" si="116"/>
        <v>0</v>
      </c>
      <c r="T793">
        <f t="shared" si="117"/>
        <v>0</v>
      </c>
    </row>
    <row r="794" spans="10:20" x14ac:dyDescent="0.25">
      <c r="J794">
        <v>0.29229681461758594</v>
      </c>
      <c r="K794">
        <f t="shared" si="118"/>
        <v>0</v>
      </c>
      <c r="L794">
        <f t="shared" si="119"/>
        <v>0</v>
      </c>
      <c r="M794">
        <f t="shared" si="113"/>
        <v>0</v>
      </c>
      <c r="N794">
        <f t="shared" si="120"/>
        <v>4</v>
      </c>
      <c r="O794">
        <f t="shared" si="121"/>
        <v>66</v>
      </c>
      <c r="P794">
        <f t="shared" si="114"/>
        <v>0</v>
      </c>
      <c r="R794">
        <f t="shared" si="115"/>
        <v>0</v>
      </c>
      <c r="S794">
        <f t="shared" si="116"/>
        <v>0</v>
      </c>
      <c r="T794">
        <f t="shared" si="117"/>
        <v>0</v>
      </c>
    </row>
    <row r="795" spans="10:20" x14ac:dyDescent="0.25">
      <c r="J795">
        <v>0.90826429592453584</v>
      </c>
      <c r="K795">
        <f t="shared" si="118"/>
        <v>1</v>
      </c>
      <c r="L795">
        <f t="shared" si="119"/>
        <v>0.90826429592453584</v>
      </c>
      <c r="M795">
        <f t="shared" si="113"/>
        <v>1</v>
      </c>
      <c r="N795">
        <f t="shared" si="120"/>
        <v>4</v>
      </c>
      <c r="O795">
        <f t="shared" si="121"/>
        <v>66</v>
      </c>
      <c r="P795">
        <f t="shared" si="114"/>
        <v>0</v>
      </c>
      <c r="R795">
        <f t="shared" si="115"/>
        <v>0</v>
      </c>
      <c r="S795">
        <f t="shared" si="116"/>
        <v>0</v>
      </c>
      <c r="T795">
        <f t="shared" si="117"/>
        <v>0</v>
      </c>
    </row>
    <row r="796" spans="10:20" x14ac:dyDescent="0.25">
      <c r="J796">
        <v>0.52977368788501977</v>
      </c>
      <c r="K796">
        <f t="shared" si="118"/>
        <v>0</v>
      </c>
      <c r="L796">
        <f t="shared" si="119"/>
        <v>0</v>
      </c>
      <c r="M796">
        <f t="shared" si="113"/>
        <v>0</v>
      </c>
      <c r="N796">
        <f t="shared" si="120"/>
        <v>5</v>
      </c>
      <c r="O796">
        <f t="shared" si="121"/>
        <v>66</v>
      </c>
      <c r="P796">
        <f t="shared" si="114"/>
        <v>0</v>
      </c>
      <c r="R796">
        <f t="shared" si="115"/>
        <v>0</v>
      </c>
      <c r="S796">
        <f t="shared" si="116"/>
        <v>0</v>
      </c>
      <c r="T796">
        <f t="shared" si="117"/>
        <v>0</v>
      </c>
    </row>
    <row r="797" spans="10:20" x14ac:dyDescent="0.25">
      <c r="J797">
        <v>0.89656963893061803</v>
      </c>
      <c r="K797">
        <f t="shared" si="118"/>
        <v>1</v>
      </c>
      <c r="L797">
        <f t="shared" si="119"/>
        <v>0.89656963893061803</v>
      </c>
      <c r="M797">
        <f t="shared" si="113"/>
        <v>1</v>
      </c>
      <c r="N797">
        <f t="shared" si="120"/>
        <v>5</v>
      </c>
      <c r="O797">
        <f t="shared" si="121"/>
        <v>66</v>
      </c>
      <c r="P797">
        <f t="shared" si="114"/>
        <v>0</v>
      </c>
      <c r="R797">
        <f t="shared" si="115"/>
        <v>0</v>
      </c>
      <c r="S797">
        <f t="shared" si="116"/>
        <v>0</v>
      </c>
      <c r="T797">
        <f t="shared" si="117"/>
        <v>0</v>
      </c>
    </row>
    <row r="798" spans="10:20" x14ac:dyDescent="0.25">
      <c r="J798">
        <v>0.63925611806020055</v>
      </c>
      <c r="K798">
        <f t="shared" si="118"/>
        <v>0</v>
      </c>
      <c r="L798">
        <f t="shared" si="119"/>
        <v>0</v>
      </c>
      <c r="M798">
        <f t="shared" si="113"/>
        <v>0</v>
      </c>
      <c r="N798">
        <f t="shared" si="120"/>
        <v>6</v>
      </c>
      <c r="O798">
        <f t="shared" si="121"/>
        <v>66</v>
      </c>
      <c r="P798">
        <f t="shared" si="114"/>
        <v>0</v>
      </c>
      <c r="R798">
        <f t="shared" si="115"/>
        <v>0</v>
      </c>
      <c r="S798">
        <f t="shared" si="116"/>
        <v>0</v>
      </c>
      <c r="T798">
        <f t="shared" si="117"/>
        <v>0</v>
      </c>
    </row>
    <row r="799" spans="10:20" x14ac:dyDescent="0.25">
      <c r="J799">
        <v>0.34597945778760564</v>
      </c>
      <c r="K799">
        <f t="shared" si="118"/>
        <v>1</v>
      </c>
      <c r="L799">
        <f t="shared" si="119"/>
        <v>0.34597945778760564</v>
      </c>
      <c r="M799">
        <f t="shared" si="113"/>
        <v>1</v>
      </c>
      <c r="N799">
        <f t="shared" si="120"/>
        <v>6</v>
      </c>
      <c r="O799">
        <f t="shared" si="121"/>
        <v>66</v>
      </c>
      <c r="P799">
        <f t="shared" si="114"/>
        <v>0</v>
      </c>
      <c r="R799">
        <f t="shared" si="115"/>
        <v>0</v>
      </c>
      <c r="S799">
        <f t="shared" si="116"/>
        <v>0</v>
      </c>
      <c r="T799">
        <f t="shared" si="117"/>
        <v>0</v>
      </c>
    </row>
    <row r="800" spans="10:20" x14ac:dyDescent="0.25">
      <c r="J800">
        <v>0.62848289372127053</v>
      </c>
      <c r="K800">
        <f t="shared" si="118"/>
        <v>0</v>
      </c>
      <c r="L800">
        <f t="shared" si="119"/>
        <v>0</v>
      </c>
      <c r="M800">
        <f t="shared" si="113"/>
        <v>0</v>
      </c>
      <c r="N800">
        <f t="shared" si="120"/>
        <v>7</v>
      </c>
      <c r="O800">
        <f t="shared" si="121"/>
        <v>66</v>
      </c>
      <c r="P800">
        <f t="shared" si="114"/>
        <v>0</v>
      </c>
      <c r="R800">
        <f t="shared" si="115"/>
        <v>0</v>
      </c>
      <c r="S800">
        <f t="shared" si="116"/>
        <v>0</v>
      </c>
      <c r="T800">
        <f t="shared" si="117"/>
        <v>0</v>
      </c>
    </row>
    <row r="801" spans="10:20" x14ac:dyDescent="0.25">
      <c r="J801">
        <v>0.47507976897551185</v>
      </c>
      <c r="K801">
        <f t="shared" si="118"/>
        <v>1</v>
      </c>
      <c r="L801">
        <f t="shared" si="119"/>
        <v>0.47507976897551185</v>
      </c>
      <c r="M801">
        <f t="shared" si="113"/>
        <v>1</v>
      </c>
      <c r="N801">
        <f t="shared" si="120"/>
        <v>1</v>
      </c>
      <c r="O801">
        <f t="shared" si="121"/>
        <v>67</v>
      </c>
      <c r="P801">
        <f t="shared" si="114"/>
        <v>0</v>
      </c>
      <c r="R801">
        <f t="shared" si="115"/>
        <v>0</v>
      </c>
      <c r="S801">
        <f t="shared" si="116"/>
        <v>0</v>
      </c>
      <c r="T801">
        <f t="shared" si="117"/>
        <v>0</v>
      </c>
    </row>
    <row r="802" spans="10:20" x14ac:dyDescent="0.25">
      <c r="J802">
        <v>0.45731549229728785</v>
      </c>
      <c r="K802">
        <f t="shared" si="118"/>
        <v>0</v>
      </c>
      <c r="L802">
        <f t="shared" si="119"/>
        <v>0</v>
      </c>
      <c r="M802">
        <f t="shared" si="113"/>
        <v>0</v>
      </c>
      <c r="N802">
        <f t="shared" si="120"/>
        <v>2</v>
      </c>
      <c r="O802">
        <f t="shared" si="121"/>
        <v>67</v>
      </c>
      <c r="P802">
        <f t="shared" si="114"/>
        <v>0</v>
      </c>
      <c r="R802">
        <f t="shared" si="115"/>
        <v>0</v>
      </c>
      <c r="S802">
        <f t="shared" si="116"/>
        <v>0</v>
      </c>
      <c r="T802">
        <f t="shared" si="117"/>
        <v>0</v>
      </c>
    </row>
    <row r="803" spans="10:20" x14ac:dyDescent="0.25">
      <c r="J803">
        <v>0.53266404286739788</v>
      </c>
      <c r="K803">
        <f t="shared" si="118"/>
        <v>1</v>
      </c>
      <c r="L803">
        <f t="shared" si="119"/>
        <v>0.53266404286739788</v>
      </c>
      <c r="M803">
        <f t="shared" si="113"/>
        <v>1</v>
      </c>
      <c r="N803">
        <f t="shared" si="120"/>
        <v>2</v>
      </c>
      <c r="O803">
        <f t="shared" si="121"/>
        <v>67</v>
      </c>
      <c r="P803">
        <f t="shared" si="114"/>
        <v>0</v>
      </c>
      <c r="R803">
        <f t="shared" si="115"/>
        <v>0</v>
      </c>
      <c r="S803">
        <f t="shared" si="116"/>
        <v>0</v>
      </c>
      <c r="T803">
        <f t="shared" si="117"/>
        <v>0</v>
      </c>
    </row>
    <row r="804" spans="10:20" x14ac:dyDescent="0.25">
      <c r="J804">
        <v>0.47311245776631294</v>
      </c>
      <c r="K804">
        <f t="shared" si="118"/>
        <v>0</v>
      </c>
      <c r="L804">
        <f t="shared" si="119"/>
        <v>0</v>
      </c>
      <c r="M804">
        <f t="shared" si="113"/>
        <v>0</v>
      </c>
      <c r="N804">
        <f t="shared" si="120"/>
        <v>3</v>
      </c>
      <c r="O804">
        <f t="shared" si="121"/>
        <v>67</v>
      </c>
      <c r="P804">
        <f t="shared" si="114"/>
        <v>0</v>
      </c>
      <c r="R804">
        <f t="shared" si="115"/>
        <v>0</v>
      </c>
      <c r="S804">
        <f t="shared" si="116"/>
        <v>0</v>
      </c>
      <c r="T804">
        <f t="shared" si="117"/>
        <v>0</v>
      </c>
    </row>
    <row r="805" spans="10:20" x14ac:dyDescent="0.25">
      <c r="J805">
        <v>0.14410718161957026</v>
      </c>
      <c r="K805">
        <f t="shared" si="118"/>
        <v>1</v>
      </c>
      <c r="L805">
        <f t="shared" si="119"/>
        <v>0.14410718161957026</v>
      </c>
      <c r="M805">
        <f t="shared" si="113"/>
        <v>1</v>
      </c>
      <c r="N805">
        <f t="shared" si="120"/>
        <v>3</v>
      </c>
      <c r="O805">
        <f t="shared" si="121"/>
        <v>67</v>
      </c>
      <c r="P805">
        <f t="shared" si="114"/>
        <v>0</v>
      </c>
      <c r="R805">
        <f t="shared" si="115"/>
        <v>0</v>
      </c>
      <c r="S805">
        <f t="shared" si="116"/>
        <v>0</v>
      </c>
      <c r="T805">
        <f t="shared" si="117"/>
        <v>0</v>
      </c>
    </row>
    <row r="806" spans="10:20" x14ac:dyDescent="0.25">
      <c r="J806">
        <v>0.1252498404361817</v>
      </c>
      <c r="K806">
        <f t="shared" si="118"/>
        <v>0</v>
      </c>
      <c r="L806">
        <f t="shared" si="119"/>
        <v>0</v>
      </c>
      <c r="M806">
        <f t="shared" si="113"/>
        <v>0</v>
      </c>
      <c r="N806">
        <f t="shared" si="120"/>
        <v>4</v>
      </c>
      <c r="O806">
        <f t="shared" si="121"/>
        <v>67</v>
      </c>
      <c r="P806">
        <f t="shared" si="114"/>
        <v>0</v>
      </c>
      <c r="R806">
        <f t="shared" si="115"/>
        <v>0</v>
      </c>
      <c r="S806">
        <f t="shared" si="116"/>
        <v>0</v>
      </c>
      <c r="T806">
        <f t="shared" si="117"/>
        <v>0</v>
      </c>
    </row>
    <row r="807" spans="10:20" x14ac:dyDescent="0.25">
      <c r="J807">
        <v>0.21968196923938121</v>
      </c>
      <c r="K807">
        <f t="shared" si="118"/>
        <v>1</v>
      </c>
      <c r="L807">
        <f t="shared" si="119"/>
        <v>0.21968196923938121</v>
      </c>
      <c r="M807">
        <f t="shared" si="113"/>
        <v>1</v>
      </c>
      <c r="N807">
        <f t="shared" si="120"/>
        <v>4</v>
      </c>
      <c r="O807">
        <f t="shared" si="121"/>
        <v>67</v>
      </c>
      <c r="P807">
        <f t="shared" si="114"/>
        <v>0</v>
      </c>
      <c r="R807">
        <f t="shared" si="115"/>
        <v>0</v>
      </c>
      <c r="S807">
        <f t="shared" si="116"/>
        <v>0</v>
      </c>
      <c r="T807">
        <f t="shared" si="117"/>
        <v>0</v>
      </c>
    </row>
    <row r="808" spans="10:20" x14ac:dyDescent="0.25">
      <c r="J808">
        <v>0.14735177795507592</v>
      </c>
      <c r="K808">
        <f t="shared" si="118"/>
        <v>0</v>
      </c>
      <c r="L808">
        <f t="shared" si="119"/>
        <v>0</v>
      </c>
      <c r="M808">
        <f t="shared" si="113"/>
        <v>0</v>
      </c>
      <c r="N808">
        <f t="shared" si="120"/>
        <v>5</v>
      </c>
      <c r="O808">
        <f t="shared" si="121"/>
        <v>67</v>
      </c>
      <c r="P808">
        <f t="shared" si="114"/>
        <v>0</v>
      </c>
      <c r="R808">
        <f t="shared" si="115"/>
        <v>0</v>
      </c>
      <c r="S808">
        <f t="shared" si="116"/>
        <v>0</v>
      </c>
      <c r="T808">
        <f t="shared" si="117"/>
        <v>0</v>
      </c>
    </row>
    <row r="809" spans="10:20" x14ac:dyDescent="0.25">
      <c r="J809">
        <v>2.4754244400022163E-2</v>
      </c>
      <c r="K809">
        <f t="shared" si="118"/>
        <v>1</v>
      </c>
      <c r="L809">
        <f t="shared" si="119"/>
        <v>2.4754244400022163E-2</v>
      </c>
      <c r="M809">
        <f t="shared" si="113"/>
        <v>1</v>
      </c>
      <c r="N809">
        <f t="shared" si="120"/>
        <v>5</v>
      </c>
      <c r="O809">
        <f t="shared" si="121"/>
        <v>67</v>
      </c>
      <c r="P809">
        <f t="shared" si="114"/>
        <v>0</v>
      </c>
      <c r="R809">
        <f t="shared" si="115"/>
        <v>0</v>
      </c>
      <c r="S809">
        <f t="shared" si="116"/>
        <v>0</v>
      </c>
      <c r="T809">
        <f t="shared" si="117"/>
        <v>0</v>
      </c>
    </row>
    <row r="810" spans="10:20" x14ac:dyDescent="0.25">
      <c r="J810">
        <v>0.28684670999061679</v>
      </c>
      <c r="K810">
        <f t="shared" si="118"/>
        <v>0</v>
      </c>
      <c r="L810">
        <f t="shared" si="119"/>
        <v>0</v>
      </c>
      <c r="M810">
        <f t="shared" si="113"/>
        <v>0</v>
      </c>
      <c r="N810">
        <f t="shared" si="120"/>
        <v>6</v>
      </c>
      <c r="O810">
        <f t="shared" si="121"/>
        <v>67</v>
      </c>
      <c r="P810">
        <f t="shared" si="114"/>
        <v>0</v>
      </c>
      <c r="R810">
        <f t="shared" si="115"/>
        <v>0</v>
      </c>
      <c r="S810">
        <f t="shared" si="116"/>
        <v>0</v>
      </c>
      <c r="T810">
        <f t="shared" si="117"/>
        <v>0</v>
      </c>
    </row>
    <row r="811" spans="10:20" x14ac:dyDescent="0.25">
      <c r="J811">
        <v>0.90829788086752783</v>
      </c>
      <c r="K811">
        <f t="shared" si="118"/>
        <v>1</v>
      </c>
      <c r="L811">
        <f t="shared" si="119"/>
        <v>0.90829788086752783</v>
      </c>
      <c r="M811">
        <f t="shared" si="113"/>
        <v>1</v>
      </c>
      <c r="N811">
        <f t="shared" si="120"/>
        <v>6</v>
      </c>
      <c r="O811">
        <f t="shared" si="121"/>
        <v>67</v>
      </c>
      <c r="P811">
        <f t="shared" si="114"/>
        <v>0</v>
      </c>
      <c r="R811">
        <f t="shared" si="115"/>
        <v>0</v>
      </c>
      <c r="S811">
        <f t="shared" si="116"/>
        <v>0</v>
      </c>
      <c r="T811">
        <f t="shared" si="117"/>
        <v>0</v>
      </c>
    </row>
    <row r="812" spans="10:20" x14ac:dyDescent="0.25">
      <c r="J812">
        <v>0.99880986006138028</v>
      </c>
      <c r="K812">
        <f t="shared" si="118"/>
        <v>0</v>
      </c>
      <c r="L812">
        <f t="shared" si="119"/>
        <v>0</v>
      </c>
      <c r="M812">
        <f t="shared" si="113"/>
        <v>0</v>
      </c>
      <c r="N812">
        <f t="shared" si="120"/>
        <v>7</v>
      </c>
      <c r="O812">
        <f t="shared" si="121"/>
        <v>67</v>
      </c>
      <c r="P812">
        <f t="shared" si="114"/>
        <v>0</v>
      </c>
      <c r="R812">
        <f t="shared" si="115"/>
        <v>0</v>
      </c>
      <c r="S812">
        <f t="shared" si="116"/>
        <v>0</v>
      </c>
      <c r="T812">
        <f t="shared" si="117"/>
        <v>0</v>
      </c>
    </row>
    <row r="813" spans="10:20" x14ac:dyDescent="0.25">
      <c r="J813">
        <v>0.18479209911614558</v>
      </c>
      <c r="K813">
        <f t="shared" si="118"/>
        <v>1</v>
      </c>
      <c r="L813">
        <f t="shared" si="119"/>
        <v>0.18479209911614558</v>
      </c>
      <c r="M813">
        <f t="shared" si="113"/>
        <v>1</v>
      </c>
      <c r="N813">
        <f t="shared" si="120"/>
        <v>1</v>
      </c>
      <c r="O813">
        <f t="shared" si="121"/>
        <v>68</v>
      </c>
      <c r="P813">
        <f t="shared" si="114"/>
        <v>0</v>
      </c>
      <c r="R813">
        <f t="shared" si="115"/>
        <v>0</v>
      </c>
      <c r="S813">
        <f t="shared" si="116"/>
        <v>0</v>
      </c>
      <c r="T813">
        <f t="shared" si="117"/>
        <v>0</v>
      </c>
    </row>
    <row r="814" spans="10:20" x14ac:dyDescent="0.25">
      <c r="J814">
        <v>0.93320050469049409</v>
      </c>
      <c r="K814">
        <f t="shared" si="118"/>
        <v>0</v>
      </c>
      <c r="L814">
        <f t="shared" si="119"/>
        <v>0</v>
      </c>
      <c r="M814">
        <f t="shared" si="113"/>
        <v>0</v>
      </c>
      <c r="N814">
        <f t="shared" si="120"/>
        <v>2</v>
      </c>
      <c r="O814">
        <f t="shared" si="121"/>
        <v>68</v>
      </c>
      <c r="P814">
        <f t="shared" si="114"/>
        <v>0</v>
      </c>
      <c r="R814">
        <f t="shared" si="115"/>
        <v>0</v>
      </c>
      <c r="S814">
        <f t="shared" si="116"/>
        <v>0</v>
      </c>
      <c r="T814">
        <f t="shared" si="117"/>
        <v>0</v>
      </c>
    </row>
    <row r="815" spans="10:20" x14ac:dyDescent="0.25">
      <c r="J815">
        <v>0.90505872759951755</v>
      </c>
      <c r="K815">
        <f t="shared" si="118"/>
        <v>1</v>
      </c>
      <c r="L815">
        <f t="shared" si="119"/>
        <v>0.90505872759951755</v>
      </c>
      <c r="M815">
        <f t="shared" si="113"/>
        <v>1</v>
      </c>
      <c r="N815">
        <f t="shared" si="120"/>
        <v>2</v>
      </c>
      <c r="O815">
        <f t="shared" si="121"/>
        <v>68</v>
      </c>
      <c r="P815">
        <f t="shared" si="114"/>
        <v>0</v>
      </c>
      <c r="R815">
        <f t="shared" si="115"/>
        <v>0</v>
      </c>
      <c r="S815">
        <f t="shared" si="116"/>
        <v>0</v>
      </c>
      <c r="T815">
        <f t="shared" si="117"/>
        <v>0</v>
      </c>
    </row>
    <row r="816" spans="10:20" x14ac:dyDescent="0.25">
      <c r="J816">
        <v>0.24663228053549124</v>
      </c>
      <c r="K816">
        <f t="shared" si="118"/>
        <v>0</v>
      </c>
      <c r="L816">
        <f t="shared" si="119"/>
        <v>0</v>
      </c>
      <c r="M816">
        <f t="shared" si="113"/>
        <v>0</v>
      </c>
      <c r="N816">
        <f t="shared" si="120"/>
        <v>3</v>
      </c>
      <c r="O816">
        <f t="shared" si="121"/>
        <v>68</v>
      </c>
      <c r="P816">
        <f t="shared" si="114"/>
        <v>0</v>
      </c>
      <c r="R816">
        <f t="shared" si="115"/>
        <v>0</v>
      </c>
      <c r="S816">
        <f t="shared" si="116"/>
        <v>0</v>
      </c>
      <c r="T816">
        <f t="shared" si="117"/>
        <v>0</v>
      </c>
    </row>
    <row r="817" spans="10:20" x14ac:dyDescent="0.25">
      <c r="J817">
        <v>0.16663191169178015</v>
      </c>
      <c r="K817">
        <f t="shared" si="118"/>
        <v>1</v>
      </c>
      <c r="L817">
        <f t="shared" si="119"/>
        <v>0.16663191169178015</v>
      </c>
      <c r="M817">
        <f t="shared" si="113"/>
        <v>1</v>
      </c>
      <c r="N817">
        <f t="shared" si="120"/>
        <v>3</v>
      </c>
      <c r="O817">
        <f t="shared" si="121"/>
        <v>68</v>
      </c>
      <c r="P817">
        <f t="shared" si="114"/>
        <v>0</v>
      </c>
      <c r="R817">
        <f t="shared" si="115"/>
        <v>0</v>
      </c>
      <c r="S817">
        <f t="shared" si="116"/>
        <v>0</v>
      </c>
      <c r="T817">
        <f t="shared" si="117"/>
        <v>0</v>
      </c>
    </row>
    <row r="818" spans="10:20" x14ac:dyDescent="0.25">
      <c r="J818">
        <v>0.18951773340443612</v>
      </c>
      <c r="K818">
        <f t="shared" si="118"/>
        <v>0</v>
      </c>
      <c r="L818">
        <f t="shared" si="119"/>
        <v>0</v>
      </c>
      <c r="M818">
        <f t="shared" si="113"/>
        <v>0</v>
      </c>
      <c r="N818">
        <f t="shared" si="120"/>
        <v>4</v>
      </c>
      <c r="O818">
        <f t="shared" si="121"/>
        <v>68</v>
      </c>
      <c r="P818">
        <f t="shared" si="114"/>
        <v>0</v>
      </c>
      <c r="R818">
        <f t="shared" si="115"/>
        <v>0</v>
      </c>
      <c r="S818">
        <f t="shared" si="116"/>
        <v>0</v>
      </c>
      <c r="T818">
        <f t="shared" si="117"/>
        <v>0</v>
      </c>
    </row>
    <row r="819" spans="10:20" x14ac:dyDescent="0.25">
      <c r="J819">
        <v>0.10870480588112053</v>
      </c>
      <c r="K819">
        <f t="shared" si="118"/>
        <v>1</v>
      </c>
      <c r="L819">
        <f t="shared" si="119"/>
        <v>0.10870480588112053</v>
      </c>
      <c r="M819">
        <f t="shared" si="113"/>
        <v>1</v>
      </c>
      <c r="N819">
        <f t="shared" si="120"/>
        <v>4</v>
      </c>
      <c r="O819">
        <f t="shared" si="121"/>
        <v>68</v>
      </c>
      <c r="P819">
        <f t="shared" si="114"/>
        <v>0</v>
      </c>
      <c r="R819">
        <f t="shared" si="115"/>
        <v>0</v>
      </c>
      <c r="S819">
        <f t="shared" si="116"/>
        <v>0</v>
      </c>
      <c r="T819">
        <f t="shared" si="117"/>
        <v>0</v>
      </c>
    </row>
    <row r="820" spans="10:20" x14ac:dyDescent="0.25">
      <c r="J820">
        <v>0.26615789176492211</v>
      </c>
      <c r="K820">
        <f t="shared" si="118"/>
        <v>0</v>
      </c>
      <c r="L820">
        <f t="shared" si="119"/>
        <v>0</v>
      </c>
      <c r="M820">
        <f t="shared" si="113"/>
        <v>0</v>
      </c>
      <c r="N820">
        <f t="shared" si="120"/>
        <v>5</v>
      </c>
      <c r="O820">
        <f t="shared" si="121"/>
        <v>68</v>
      </c>
      <c r="P820">
        <f t="shared" si="114"/>
        <v>0</v>
      </c>
      <c r="R820">
        <f t="shared" si="115"/>
        <v>0</v>
      </c>
      <c r="S820">
        <f t="shared" si="116"/>
        <v>0</v>
      </c>
      <c r="T820">
        <f t="shared" si="117"/>
        <v>0</v>
      </c>
    </row>
    <row r="821" spans="10:20" x14ac:dyDescent="0.25">
      <c r="J821">
        <v>0.39313302702259123</v>
      </c>
      <c r="K821">
        <f t="shared" si="118"/>
        <v>1</v>
      </c>
      <c r="L821">
        <f t="shared" si="119"/>
        <v>0.39313302702259123</v>
      </c>
      <c r="M821">
        <f t="shared" si="113"/>
        <v>1</v>
      </c>
      <c r="N821">
        <f t="shared" si="120"/>
        <v>5</v>
      </c>
      <c r="O821">
        <f t="shared" si="121"/>
        <v>68</v>
      </c>
      <c r="P821">
        <f t="shared" si="114"/>
        <v>0</v>
      </c>
      <c r="R821">
        <f t="shared" si="115"/>
        <v>0</v>
      </c>
      <c r="S821">
        <f t="shared" si="116"/>
        <v>0</v>
      </c>
      <c r="T821">
        <f t="shared" si="117"/>
        <v>0</v>
      </c>
    </row>
    <row r="822" spans="10:20" x14ac:dyDescent="0.25">
      <c r="J822">
        <v>0.29638327824525768</v>
      </c>
      <c r="K822">
        <f t="shared" si="118"/>
        <v>0</v>
      </c>
      <c r="L822">
        <f t="shared" si="119"/>
        <v>0</v>
      </c>
      <c r="M822">
        <f t="shared" si="113"/>
        <v>0</v>
      </c>
      <c r="N822">
        <f t="shared" si="120"/>
        <v>6</v>
      </c>
      <c r="O822">
        <f t="shared" si="121"/>
        <v>68</v>
      </c>
      <c r="P822">
        <f t="shared" si="114"/>
        <v>0</v>
      </c>
      <c r="R822">
        <f t="shared" si="115"/>
        <v>0</v>
      </c>
      <c r="S822">
        <f t="shared" si="116"/>
        <v>0</v>
      </c>
      <c r="T822">
        <f t="shared" si="117"/>
        <v>0</v>
      </c>
    </row>
    <row r="823" spans="10:20" x14ac:dyDescent="0.25">
      <c r="J823">
        <v>0.83644939799967044</v>
      </c>
      <c r="K823">
        <f t="shared" si="118"/>
        <v>1</v>
      </c>
      <c r="L823">
        <f t="shared" si="119"/>
        <v>0.83644939799967044</v>
      </c>
      <c r="M823">
        <f t="shared" si="113"/>
        <v>1</v>
      </c>
      <c r="N823">
        <f t="shared" si="120"/>
        <v>6</v>
      </c>
      <c r="O823">
        <f t="shared" si="121"/>
        <v>68</v>
      </c>
      <c r="P823">
        <f t="shared" si="114"/>
        <v>0</v>
      </c>
      <c r="R823">
        <f t="shared" si="115"/>
        <v>0</v>
      </c>
      <c r="S823">
        <f t="shared" si="116"/>
        <v>0</v>
      </c>
      <c r="T823">
        <f t="shared" si="117"/>
        <v>0</v>
      </c>
    </row>
    <row r="824" spans="10:20" x14ac:dyDescent="0.25">
      <c r="J824">
        <v>0.44239169705164738</v>
      </c>
      <c r="K824">
        <f t="shared" si="118"/>
        <v>0</v>
      </c>
      <c r="L824">
        <f t="shared" si="119"/>
        <v>0</v>
      </c>
      <c r="M824">
        <f t="shared" si="113"/>
        <v>0</v>
      </c>
      <c r="N824">
        <f t="shared" si="120"/>
        <v>7</v>
      </c>
      <c r="O824">
        <f t="shared" si="121"/>
        <v>68</v>
      </c>
      <c r="P824">
        <f t="shared" si="114"/>
        <v>0</v>
      </c>
      <c r="R824">
        <f t="shared" si="115"/>
        <v>0</v>
      </c>
      <c r="S824">
        <f t="shared" si="116"/>
        <v>0</v>
      </c>
      <c r="T824">
        <f t="shared" si="117"/>
        <v>0</v>
      </c>
    </row>
    <row r="825" spans="10:20" x14ac:dyDescent="0.25">
      <c r="J825">
        <v>0.65643367575193023</v>
      </c>
      <c r="K825">
        <f t="shared" si="118"/>
        <v>1</v>
      </c>
      <c r="L825">
        <f t="shared" si="119"/>
        <v>0.65643367575193023</v>
      </c>
      <c r="M825">
        <f t="shared" si="113"/>
        <v>1</v>
      </c>
      <c r="N825">
        <f t="shared" si="120"/>
        <v>1</v>
      </c>
      <c r="O825">
        <f t="shared" si="121"/>
        <v>69</v>
      </c>
      <c r="P825">
        <f t="shared" si="114"/>
        <v>0</v>
      </c>
      <c r="R825">
        <f t="shared" si="115"/>
        <v>0</v>
      </c>
      <c r="S825">
        <f t="shared" si="116"/>
        <v>0</v>
      </c>
      <c r="T825">
        <f t="shared" si="117"/>
        <v>0</v>
      </c>
    </row>
    <row r="826" spans="10:20" x14ac:dyDescent="0.25">
      <c r="J826">
        <v>0.27894354027986601</v>
      </c>
      <c r="K826">
        <f t="shared" si="118"/>
        <v>0</v>
      </c>
      <c r="L826">
        <f t="shared" si="119"/>
        <v>0</v>
      </c>
      <c r="M826">
        <f t="shared" si="113"/>
        <v>0</v>
      </c>
      <c r="N826">
        <f t="shared" si="120"/>
        <v>2</v>
      </c>
      <c r="O826">
        <f t="shared" si="121"/>
        <v>69</v>
      </c>
      <c r="P826">
        <f t="shared" si="114"/>
        <v>0</v>
      </c>
      <c r="R826">
        <f t="shared" si="115"/>
        <v>0</v>
      </c>
      <c r="S826">
        <f t="shared" si="116"/>
        <v>0</v>
      </c>
      <c r="T826">
        <f t="shared" si="117"/>
        <v>0</v>
      </c>
    </row>
    <row r="827" spans="10:20" x14ac:dyDescent="0.25">
      <c r="J827">
        <v>0.22384009807197236</v>
      </c>
      <c r="K827">
        <f t="shared" si="118"/>
        <v>1</v>
      </c>
      <c r="L827">
        <f t="shared" si="119"/>
        <v>0.22384009807197236</v>
      </c>
      <c r="M827">
        <f t="shared" si="113"/>
        <v>1</v>
      </c>
      <c r="N827">
        <f t="shared" si="120"/>
        <v>2</v>
      </c>
      <c r="O827">
        <f t="shared" si="121"/>
        <v>69</v>
      </c>
      <c r="P827">
        <f t="shared" si="114"/>
        <v>0</v>
      </c>
      <c r="R827">
        <f t="shared" si="115"/>
        <v>0</v>
      </c>
      <c r="S827">
        <f t="shared" si="116"/>
        <v>0</v>
      </c>
      <c r="T827">
        <f t="shared" si="117"/>
        <v>0</v>
      </c>
    </row>
    <row r="828" spans="10:20" x14ac:dyDescent="0.25">
      <c r="J828">
        <v>0.34316255561930387</v>
      </c>
      <c r="K828">
        <f t="shared" si="118"/>
        <v>0</v>
      </c>
      <c r="L828">
        <f t="shared" si="119"/>
        <v>0</v>
      </c>
      <c r="M828">
        <f t="shared" si="113"/>
        <v>0</v>
      </c>
      <c r="N828">
        <f t="shared" si="120"/>
        <v>3</v>
      </c>
      <c r="O828">
        <f t="shared" si="121"/>
        <v>69</v>
      </c>
      <c r="P828">
        <f t="shared" si="114"/>
        <v>0</v>
      </c>
      <c r="R828">
        <f t="shared" si="115"/>
        <v>0</v>
      </c>
      <c r="S828">
        <f t="shared" si="116"/>
        <v>0</v>
      </c>
      <c r="T828">
        <f t="shared" si="117"/>
        <v>0</v>
      </c>
    </row>
    <row r="829" spans="10:20" x14ac:dyDescent="0.25">
      <c r="J829">
        <v>0.96760661107664758</v>
      </c>
      <c r="K829">
        <f t="shared" si="118"/>
        <v>1</v>
      </c>
      <c r="L829">
        <f t="shared" si="119"/>
        <v>0.96760661107664758</v>
      </c>
      <c r="M829">
        <f t="shared" si="113"/>
        <v>1</v>
      </c>
      <c r="N829">
        <f t="shared" si="120"/>
        <v>3</v>
      </c>
      <c r="O829">
        <f t="shared" si="121"/>
        <v>69</v>
      </c>
      <c r="P829">
        <f t="shared" si="114"/>
        <v>0</v>
      </c>
      <c r="R829">
        <f t="shared" si="115"/>
        <v>0</v>
      </c>
      <c r="S829">
        <f t="shared" si="116"/>
        <v>0</v>
      </c>
      <c r="T829">
        <f t="shared" si="117"/>
        <v>0</v>
      </c>
    </row>
    <row r="830" spans="10:20" x14ac:dyDescent="0.25">
      <c r="J830">
        <v>0.22037230527248963</v>
      </c>
      <c r="K830">
        <f t="shared" si="118"/>
        <v>0</v>
      </c>
      <c r="L830">
        <f t="shared" si="119"/>
        <v>0</v>
      </c>
      <c r="M830">
        <f t="shared" si="113"/>
        <v>0</v>
      </c>
      <c r="N830">
        <f t="shared" si="120"/>
        <v>4</v>
      </c>
      <c r="O830">
        <f t="shared" si="121"/>
        <v>69</v>
      </c>
      <c r="P830">
        <f t="shared" si="114"/>
        <v>0</v>
      </c>
      <c r="R830">
        <f t="shared" si="115"/>
        <v>0</v>
      </c>
      <c r="S830">
        <f t="shared" si="116"/>
        <v>0</v>
      </c>
      <c r="T830">
        <f t="shared" si="117"/>
        <v>0</v>
      </c>
    </row>
    <row r="831" spans="10:20" x14ac:dyDescent="0.25">
      <c r="J831">
        <v>4.9938922460114332E-3</v>
      </c>
      <c r="K831">
        <f t="shared" si="118"/>
        <v>1</v>
      </c>
      <c r="L831">
        <f t="shared" si="119"/>
        <v>4.9938922460114332E-3</v>
      </c>
      <c r="M831">
        <f t="shared" si="113"/>
        <v>1</v>
      </c>
      <c r="N831">
        <f t="shared" si="120"/>
        <v>4</v>
      </c>
      <c r="O831">
        <f t="shared" si="121"/>
        <v>69</v>
      </c>
      <c r="P831">
        <f t="shared" si="114"/>
        <v>0</v>
      </c>
      <c r="R831">
        <f t="shared" si="115"/>
        <v>0</v>
      </c>
      <c r="S831">
        <f t="shared" si="116"/>
        <v>0</v>
      </c>
      <c r="T831">
        <f t="shared" si="117"/>
        <v>0</v>
      </c>
    </row>
    <row r="832" spans="10:20" x14ac:dyDescent="0.25">
      <c r="J832">
        <v>3.6362837578267526E-2</v>
      </c>
      <c r="K832">
        <f t="shared" si="118"/>
        <v>0</v>
      </c>
      <c r="L832">
        <f t="shared" si="119"/>
        <v>0</v>
      </c>
      <c r="M832">
        <f t="shared" si="113"/>
        <v>0</v>
      </c>
      <c r="N832">
        <f t="shared" si="120"/>
        <v>5</v>
      </c>
      <c r="O832">
        <f t="shared" si="121"/>
        <v>69</v>
      </c>
      <c r="P832">
        <f t="shared" si="114"/>
        <v>0</v>
      </c>
      <c r="R832">
        <f t="shared" si="115"/>
        <v>0</v>
      </c>
      <c r="S832">
        <f t="shared" si="116"/>
        <v>0</v>
      </c>
      <c r="T832">
        <f t="shared" si="117"/>
        <v>0</v>
      </c>
    </row>
    <row r="833" spans="10:20" x14ac:dyDescent="0.25">
      <c r="J833">
        <v>0.67426616909106574</v>
      </c>
      <c r="K833">
        <f t="shared" si="118"/>
        <v>1</v>
      </c>
      <c r="L833">
        <f t="shared" si="119"/>
        <v>0.67426616909106574</v>
      </c>
      <c r="M833">
        <f t="shared" si="113"/>
        <v>1</v>
      </c>
      <c r="N833">
        <f t="shared" si="120"/>
        <v>5</v>
      </c>
      <c r="O833">
        <f t="shared" si="121"/>
        <v>69</v>
      </c>
      <c r="P833">
        <f t="shared" si="114"/>
        <v>0</v>
      </c>
      <c r="R833">
        <f t="shared" si="115"/>
        <v>0</v>
      </c>
      <c r="S833">
        <f t="shared" si="116"/>
        <v>0</v>
      </c>
      <c r="T833">
        <f t="shared" si="117"/>
        <v>0</v>
      </c>
    </row>
    <row r="834" spans="10:20" x14ac:dyDescent="0.25">
      <c r="J834">
        <v>0.14149401379244475</v>
      </c>
      <c r="K834">
        <f t="shared" si="118"/>
        <v>0</v>
      </c>
      <c r="L834">
        <f t="shared" si="119"/>
        <v>0</v>
      </c>
      <c r="M834">
        <f t="shared" si="113"/>
        <v>0</v>
      </c>
      <c r="N834">
        <f t="shared" si="120"/>
        <v>6</v>
      </c>
      <c r="O834">
        <f t="shared" si="121"/>
        <v>69</v>
      </c>
      <c r="P834">
        <f t="shared" si="114"/>
        <v>0</v>
      </c>
      <c r="R834">
        <f t="shared" si="115"/>
        <v>0</v>
      </c>
      <c r="S834">
        <f t="shared" si="116"/>
        <v>0</v>
      </c>
      <c r="T834">
        <f t="shared" si="117"/>
        <v>0</v>
      </c>
    </row>
    <row r="835" spans="10:20" x14ac:dyDescent="0.25">
      <c r="J835">
        <v>0.71354665070765155</v>
      </c>
      <c r="K835">
        <f t="shared" si="118"/>
        <v>1</v>
      </c>
      <c r="L835">
        <f t="shared" si="119"/>
        <v>0.71354665070765155</v>
      </c>
      <c r="M835">
        <f t="shared" si="113"/>
        <v>1</v>
      </c>
      <c r="N835">
        <f t="shared" si="120"/>
        <v>6</v>
      </c>
      <c r="O835">
        <f t="shared" si="121"/>
        <v>69</v>
      </c>
      <c r="P835">
        <f t="shared" si="114"/>
        <v>0</v>
      </c>
      <c r="R835">
        <f t="shared" si="115"/>
        <v>0</v>
      </c>
      <c r="S835">
        <f t="shared" si="116"/>
        <v>0</v>
      </c>
      <c r="T835">
        <f t="shared" si="117"/>
        <v>0</v>
      </c>
    </row>
    <row r="836" spans="10:20" x14ac:dyDescent="0.25">
      <c r="J836">
        <v>0.50125239135101363</v>
      </c>
      <c r="K836">
        <f t="shared" si="118"/>
        <v>0</v>
      </c>
      <c r="L836">
        <f t="shared" si="119"/>
        <v>0</v>
      </c>
      <c r="M836">
        <f t="shared" si="113"/>
        <v>0</v>
      </c>
      <c r="N836">
        <f t="shared" si="120"/>
        <v>7</v>
      </c>
      <c r="O836">
        <f t="shared" si="121"/>
        <v>69</v>
      </c>
      <c r="P836">
        <f t="shared" si="114"/>
        <v>0</v>
      </c>
      <c r="R836">
        <f t="shared" si="115"/>
        <v>0</v>
      </c>
      <c r="S836">
        <f t="shared" si="116"/>
        <v>0</v>
      </c>
      <c r="T836">
        <f t="shared" si="117"/>
        <v>0</v>
      </c>
    </row>
    <row r="837" spans="10:20" x14ac:dyDescent="0.25">
      <c r="J837">
        <v>9.9472563105496792E-2</v>
      </c>
      <c r="K837">
        <f t="shared" si="118"/>
        <v>1</v>
      </c>
      <c r="L837">
        <f t="shared" si="119"/>
        <v>9.9472563105496792E-2</v>
      </c>
      <c r="M837">
        <f t="shared" si="113"/>
        <v>1</v>
      </c>
      <c r="N837">
        <f t="shared" si="120"/>
        <v>1</v>
      </c>
      <c r="O837">
        <f t="shared" si="121"/>
        <v>70</v>
      </c>
      <c r="P837">
        <f t="shared" si="114"/>
        <v>0</v>
      </c>
      <c r="R837">
        <f t="shared" si="115"/>
        <v>0</v>
      </c>
      <c r="S837">
        <f t="shared" si="116"/>
        <v>0</v>
      </c>
      <c r="T837">
        <f t="shared" si="117"/>
        <v>0</v>
      </c>
    </row>
    <row r="838" spans="10:20" x14ac:dyDescent="0.25">
      <c r="J838">
        <v>0.87098579442971191</v>
      </c>
      <c r="K838">
        <f t="shared" si="118"/>
        <v>0</v>
      </c>
      <c r="L838">
        <f t="shared" si="119"/>
        <v>0</v>
      </c>
      <c r="M838">
        <f t="shared" si="113"/>
        <v>0</v>
      </c>
      <c r="N838">
        <f t="shared" si="120"/>
        <v>2</v>
      </c>
      <c r="O838">
        <f t="shared" si="121"/>
        <v>70</v>
      </c>
      <c r="P838">
        <f t="shared" si="114"/>
        <v>0</v>
      </c>
      <c r="R838">
        <f t="shared" si="115"/>
        <v>0</v>
      </c>
      <c r="S838">
        <f t="shared" si="116"/>
        <v>0</v>
      </c>
      <c r="T838">
        <f t="shared" si="117"/>
        <v>0</v>
      </c>
    </row>
    <row r="839" spans="10:20" x14ac:dyDescent="0.25">
      <c r="J839">
        <v>0.31333343886540121</v>
      </c>
      <c r="K839">
        <f t="shared" si="118"/>
        <v>1</v>
      </c>
      <c r="L839">
        <f t="shared" si="119"/>
        <v>0.31333343886540121</v>
      </c>
      <c r="M839">
        <f t="shared" si="113"/>
        <v>1</v>
      </c>
      <c r="N839">
        <f t="shared" si="120"/>
        <v>2</v>
      </c>
      <c r="O839">
        <f t="shared" si="121"/>
        <v>70</v>
      </c>
      <c r="P839">
        <f t="shared" si="114"/>
        <v>0</v>
      </c>
      <c r="R839">
        <f t="shared" si="115"/>
        <v>0</v>
      </c>
      <c r="S839">
        <f t="shared" si="116"/>
        <v>0</v>
      </c>
      <c r="T839">
        <f t="shared" si="117"/>
        <v>0</v>
      </c>
    </row>
    <row r="840" spans="10:20" x14ac:dyDescent="0.25">
      <c r="J840">
        <v>0.92113140064902399</v>
      </c>
      <c r="K840">
        <f t="shared" si="118"/>
        <v>0</v>
      </c>
      <c r="L840">
        <f t="shared" si="119"/>
        <v>0</v>
      </c>
      <c r="M840">
        <f t="shared" ref="M840:M903" si="122">IF(L840&gt;$M$2,1,0)</f>
        <v>0</v>
      </c>
      <c r="N840">
        <f t="shared" si="120"/>
        <v>3</v>
      </c>
      <c r="O840">
        <f t="shared" si="121"/>
        <v>70</v>
      </c>
      <c r="P840">
        <f t="shared" ref="P840:P903" si="123">IF(INDEX($B$7:$H$1029,O840,2)&gt;0,1,0)</f>
        <v>0</v>
      </c>
      <c r="R840">
        <f t="shared" ref="R840:R903" si="124">IF(  M840&gt;0,INDEX($B$7:$H$1029,O840,N840),0)*P840</f>
        <v>0</v>
      </c>
      <c r="S840">
        <f t="shared" ref="S840:S903" si="125">M840*P840</f>
        <v>0</v>
      </c>
      <c r="T840">
        <f t="shared" ref="T840:T903" si="126">IF(N841=$N$2,1,0)*P840</f>
        <v>0</v>
      </c>
    </row>
    <row r="841" spans="10:20" x14ac:dyDescent="0.25">
      <c r="J841">
        <v>0.15552744933646523</v>
      </c>
      <c r="K841">
        <f t="shared" si="118"/>
        <v>1</v>
      </c>
      <c r="L841">
        <f t="shared" si="119"/>
        <v>0.15552744933646523</v>
      </c>
      <c r="M841">
        <f t="shared" si="122"/>
        <v>1</v>
      </c>
      <c r="N841">
        <f t="shared" si="120"/>
        <v>3</v>
      </c>
      <c r="O841">
        <f t="shared" si="121"/>
        <v>70</v>
      </c>
      <c r="P841">
        <f t="shared" si="123"/>
        <v>0</v>
      </c>
      <c r="R841">
        <f t="shared" si="124"/>
        <v>0</v>
      </c>
      <c r="S841">
        <f t="shared" si="125"/>
        <v>0</v>
      </c>
      <c r="T841">
        <f t="shared" si="126"/>
        <v>0</v>
      </c>
    </row>
    <row r="842" spans="10:20" x14ac:dyDescent="0.25">
      <c r="J842">
        <v>0.55420258359190178</v>
      </c>
      <c r="K842">
        <f t="shared" si="118"/>
        <v>0</v>
      </c>
      <c r="L842">
        <f t="shared" si="119"/>
        <v>0</v>
      </c>
      <c r="M842">
        <f t="shared" si="122"/>
        <v>0</v>
      </c>
      <c r="N842">
        <f t="shared" si="120"/>
        <v>4</v>
      </c>
      <c r="O842">
        <f t="shared" si="121"/>
        <v>70</v>
      </c>
      <c r="P842">
        <f t="shared" si="123"/>
        <v>0</v>
      </c>
      <c r="R842">
        <f t="shared" si="124"/>
        <v>0</v>
      </c>
      <c r="S842">
        <f t="shared" si="125"/>
        <v>0</v>
      </c>
      <c r="T842">
        <f t="shared" si="126"/>
        <v>0</v>
      </c>
    </row>
    <row r="843" spans="10:20" x14ac:dyDescent="0.25">
      <c r="J843">
        <v>0.88003964675525492</v>
      </c>
      <c r="K843">
        <f t="shared" si="118"/>
        <v>1</v>
      </c>
      <c r="L843">
        <f t="shared" si="119"/>
        <v>0.88003964675525492</v>
      </c>
      <c r="M843">
        <f t="shared" si="122"/>
        <v>1</v>
      </c>
      <c r="N843">
        <f t="shared" si="120"/>
        <v>4</v>
      </c>
      <c r="O843">
        <f t="shared" si="121"/>
        <v>70</v>
      </c>
      <c r="P843">
        <f t="shared" si="123"/>
        <v>0</v>
      </c>
      <c r="R843">
        <f t="shared" si="124"/>
        <v>0</v>
      </c>
      <c r="S843">
        <f t="shared" si="125"/>
        <v>0</v>
      </c>
      <c r="T843">
        <f t="shared" si="126"/>
        <v>0</v>
      </c>
    </row>
    <row r="844" spans="10:20" x14ac:dyDescent="0.25">
      <c r="J844">
        <v>0.79013619835365978</v>
      </c>
      <c r="K844">
        <f t="shared" si="118"/>
        <v>0</v>
      </c>
      <c r="L844">
        <f t="shared" si="119"/>
        <v>0</v>
      </c>
      <c r="M844">
        <f t="shared" si="122"/>
        <v>0</v>
      </c>
      <c r="N844">
        <f t="shared" si="120"/>
        <v>5</v>
      </c>
      <c r="O844">
        <f t="shared" si="121"/>
        <v>70</v>
      </c>
      <c r="P844">
        <f t="shared" si="123"/>
        <v>0</v>
      </c>
      <c r="R844">
        <f t="shared" si="124"/>
        <v>0</v>
      </c>
      <c r="S844">
        <f t="shared" si="125"/>
        <v>0</v>
      </c>
      <c r="T844">
        <f t="shared" si="126"/>
        <v>0</v>
      </c>
    </row>
    <row r="845" spans="10:20" x14ac:dyDescent="0.25">
      <c r="J845">
        <v>0.20027574634230916</v>
      </c>
      <c r="K845">
        <f t="shared" si="118"/>
        <v>1</v>
      </c>
      <c r="L845">
        <f t="shared" si="119"/>
        <v>0.20027574634230916</v>
      </c>
      <c r="M845">
        <f t="shared" si="122"/>
        <v>1</v>
      </c>
      <c r="N845">
        <f t="shared" si="120"/>
        <v>5</v>
      </c>
      <c r="O845">
        <f t="shared" si="121"/>
        <v>70</v>
      </c>
      <c r="P845">
        <f t="shared" si="123"/>
        <v>0</v>
      </c>
      <c r="R845">
        <f t="shared" si="124"/>
        <v>0</v>
      </c>
      <c r="S845">
        <f t="shared" si="125"/>
        <v>0</v>
      </c>
      <c r="T845">
        <f t="shared" si="126"/>
        <v>0</v>
      </c>
    </row>
    <row r="846" spans="10:20" x14ac:dyDescent="0.25">
      <c r="J846">
        <v>0.6919044040573471</v>
      </c>
      <c r="K846">
        <f t="shared" si="118"/>
        <v>0</v>
      </c>
      <c r="L846">
        <f t="shared" si="119"/>
        <v>0</v>
      </c>
      <c r="M846">
        <f t="shared" si="122"/>
        <v>0</v>
      </c>
      <c r="N846">
        <f t="shared" si="120"/>
        <v>6</v>
      </c>
      <c r="O846">
        <f t="shared" si="121"/>
        <v>70</v>
      </c>
      <c r="P846">
        <f t="shared" si="123"/>
        <v>0</v>
      </c>
      <c r="R846">
        <f t="shared" si="124"/>
        <v>0</v>
      </c>
      <c r="S846">
        <f t="shared" si="125"/>
        <v>0</v>
      </c>
      <c r="T846">
        <f t="shared" si="126"/>
        <v>0</v>
      </c>
    </row>
    <row r="847" spans="10:20" x14ac:dyDescent="0.25">
      <c r="J847">
        <v>0.83263592415304533</v>
      </c>
      <c r="K847">
        <f t="shared" si="118"/>
        <v>1</v>
      </c>
      <c r="L847">
        <f t="shared" si="119"/>
        <v>0.83263592415304533</v>
      </c>
      <c r="M847">
        <f t="shared" si="122"/>
        <v>1</v>
      </c>
      <c r="N847">
        <f t="shared" si="120"/>
        <v>6</v>
      </c>
      <c r="O847">
        <f t="shared" si="121"/>
        <v>70</v>
      </c>
      <c r="P847">
        <f t="shared" si="123"/>
        <v>0</v>
      </c>
      <c r="R847">
        <f t="shared" si="124"/>
        <v>0</v>
      </c>
      <c r="S847">
        <f t="shared" si="125"/>
        <v>0</v>
      </c>
      <c r="T847">
        <f t="shared" si="126"/>
        <v>0</v>
      </c>
    </row>
    <row r="848" spans="10:20" x14ac:dyDescent="0.25">
      <c r="J848">
        <v>0.74376901798108741</v>
      </c>
      <c r="K848">
        <f t="shared" si="118"/>
        <v>0</v>
      </c>
      <c r="L848">
        <f t="shared" si="119"/>
        <v>0</v>
      </c>
      <c r="M848">
        <f t="shared" si="122"/>
        <v>0</v>
      </c>
      <c r="N848">
        <f t="shared" si="120"/>
        <v>7</v>
      </c>
      <c r="O848">
        <f t="shared" si="121"/>
        <v>70</v>
      </c>
      <c r="P848">
        <f t="shared" si="123"/>
        <v>0</v>
      </c>
      <c r="R848">
        <f t="shared" si="124"/>
        <v>0</v>
      </c>
      <c r="S848">
        <f t="shared" si="125"/>
        <v>0</v>
      </c>
      <c r="T848">
        <f t="shared" si="126"/>
        <v>0</v>
      </c>
    </row>
    <row r="849" spans="10:20" x14ac:dyDescent="0.25">
      <c r="J849">
        <v>0.6720551063248692</v>
      </c>
      <c r="K849">
        <f t="shared" si="118"/>
        <v>1</v>
      </c>
      <c r="L849">
        <f t="shared" si="119"/>
        <v>0.6720551063248692</v>
      </c>
      <c r="M849">
        <f t="shared" si="122"/>
        <v>1</v>
      </c>
      <c r="N849">
        <f t="shared" si="120"/>
        <v>1</v>
      </c>
      <c r="O849">
        <f t="shared" si="121"/>
        <v>71</v>
      </c>
      <c r="P849">
        <f t="shared" si="123"/>
        <v>0</v>
      </c>
      <c r="R849">
        <f t="shared" si="124"/>
        <v>0</v>
      </c>
      <c r="S849">
        <f t="shared" si="125"/>
        <v>0</v>
      </c>
      <c r="T849">
        <f t="shared" si="126"/>
        <v>0</v>
      </c>
    </row>
    <row r="850" spans="10:20" x14ac:dyDescent="0.25">
      <c r="J850">
        <v>0.15293649515468155</v>
      </c>
      <c r="K850">
        <f t="shared" si="118"/>
        <v>0</v>
      </c>
      <c r="L850">
        <f t="shared" si="119"/>
        <v>0</v>
      </c>
      <c r="M850">
        <f t="shared" si="122"/>
        <v>0</v>
      </c>
      <c r="N850">
        <f t="shared" si="120"/>
        <v>2</v>
      </c>
      <c r="O850">
        <f t="shared" si="121"/>
        <v>71</v>
      </c>
      <c r="P850">
        <f t="shared" si="123"/>
        <v>0</v>
      </c>
      <c r="R850">
        <f t="shared" si="124"/>
        <v>0</v>
      </c>
      <c r="S850">
        <f t="shared" si="125"/>
        <v>0</v>
      </c>
      <c r="T850">
        <f t="shared" si="126"/>
        <v>0</v>
      </c>
    </row>
    <row r="851" spans="10:20" x14ac:dyDescent="0.25">
      <c r="J851">
        <v>0.24808692526941312</v>
      </c>
      <c r="K851">
        <f t="shared" si="118"/>
        <v>1</v>
      </c>
      <c r="L851">
        <f t="shared" si="119"/>
        <v>0.24808692526941312</v>
      </c>
      <c r="M851">
        <f t="shared" si="122"/>
        <v>1</v>
      </c>
      <c r="N851">
        <f t="shared" si="120"/>
        <v>2</v>
      </c>
      <c r="O851">
        <f t="shared" si="121"/>
        <v>71</v>
      </c>
      <c r="P851">
        <f t="shared" si="123"/>
        <v>0</v>
      </c>
      <c r="R851">
        <f t="shared" si="124"/>
        <v>0</v>
      </c>
      <c r="S851">
        <f t="shared" si="125"/>
        <v>0</v>
      </c>
      <c r="T851">
        <f t="shared" si="126"/>
        <v>0</v>
      </c>
    </row>
    <row r="852" spans="10:20" x14ac:dyDescent="0.25">
      <c r="J852">
        <v>0.27993421674001517</v>
      </c>
      <c r="K852">
        <f t="shared" si="118"/>
        <v>0</v>
      </c>
      <c r="L852">
        <f t="shared" si="119"/>
        <v>0</v>
      </c>
      <c r="M852">
        <f t="shared" si="122"/>
        <v>0</v>
      </c>
      <c r="N852">
        <f t="shared" si="120"/>
        <v>3</v>
      </c>
      <c r="O852">
        <f t="shared" si="121"/>
        <v>71</v>
      </c>
      <c r="P852">
        <f t="shared" si="123"/>
        <v>0</v>
      </c>
      <c r="R852">
        <f t="shared" si="124"/>
        <v>0</v>
      </c>
      <c r="S852">
        <f t="shared" si="125"/>
        <v>0</v>
      </c>
      <c r="T852">
        <f t="shared" si="126"/>
        <v>0</v>
      </c>
    </row>
    <row r="853" spans="10:20" x14ac:dyDescent="0.25">
      <c r="J853">
        <v>0.28924972953215733</v>
      </c>
      <c r="K853">
        <f t="shared" si="118"/>
        <v>1</v>
      </c>
      <c r="L853">
        <f t="shared" si="119"/>
        <v>0.28924972953215733</v>
      </c>
      <c r="M853">
        <f t="shared" si="122"/>
        <v>1</v>
      </c>
      <c r="N853">
        <f t="shared" si="120"/>
        <v>3</v>
      </c>
      <c r="O853">
        <f t="shared" si="121"/>
        <v>71</v>
      </c>
      <c r="P853">
        <f t="shared" si="123"/>
        <v>0</v>
      </c>
      <c r="R853">
        <f t="shared" si="124"/>
        <v>0</v>
      </c>
      <c r="S853">
        <f t="shared" si="125"/>
        <v>0</v>
      </c>
      <c r="T853">
        <f t="shared" si="126"/>
        <v>0</v>
      </c>
    </row>
    <row r="854" spans="10:20" x14ac:dyDescent="0.25">
      <c r="J854">
        <v>0.26900752508347936</v>
      </c>
      <c r="K854">
        <f t="shared" si="118"/>
        <v>0</v>
      </c>
      <c r="L854">
        <f t="shared" si="119"/>
        <v>0</v>
      </c>
      <c r="M854">
        <f t="shared" si="122"/>
        <v>0</v>
      </c>
      <c r="N854">
        <f t="shared" si="120"/>
        <v>4</v>
      </c>
      <c r="O854">
        <f t="shared" si="121"/>
        <v>71</v>
      </c>
      <c r="P854">
        <f t="shared" si="123"/>
        <v>0</v>
      </c>
      <c r="R854">
        <f t="shared" si="124"/>
        <v>0</v>
      </c>
      <c r="S854">
        <f t="shared" si="125"/>
        <v>0</v>
      </c>
      <c r="T854">
        <f t="shared" si="126"/>
        <v>0</v>
      </c>
    </row>
    <row r="855" spans="10:20" x14ac:dyDescent="0.25">
      <c r="J855">
        <v>0.16602230390659189</v>
      </c>
      <c r="K855">
        <f t="shared" si="118"/>
        <v>1</v>
      </c>
      <c r="L855">
        <f t="shared" si="119"/>
        <v>0.16602230390659189</v>
      </c>
      <c r="M855">
        <f t="shared" si="122"/>
        <v>1</v>
      </c>
      <c r="N855">
        <f t="shared" si="120"/>
        <v>4</v>
      </c>
      <c r="O855">
        <f t="shared" si="121"/>
        <v>71</v>
      </c>
      <c r="P855">
        <f t="shared" si="123"/>
        <v>0</v>
      </c>
      <c r="R855">
        <f t="shared" si="124"/>
        <v>0</v>
      </c>
      <c r="S855">
        <f t="shared" si="125"/>
        <v>0</v>
      </c>
      <c r="T855">
        <f t="shared" si="126"/>
        <v>0</v>
      </c>
    </row>
    <row r="856" spans="10:20" x14ac:dyDescent="0.25">
      <c r="J856">
        <v>0.59304918521119487</v>
      </c>
      <c r="K856">
        <f t="shared" ref="K856:K919" si="127">IF(K855=1,0,1)</f>
        <v>0</v>
      </c>
      <c r="L856">
        <f t="shared" ref="L856:L919" si="128">K856*J856</f>
        <v>0</v>
      </c>
      <c r="M856">
        <f t="shared" si="122"/>
        <v>0</v>
      </c>
      <c r="N856">
        <f t="shared" ref="N856:N919" si="129">IF(N855&lt;$N$2,N855+M855,1)</f>
        <v>5</v>
      </c>
      <c r="O856">
        <f t="shared" ref="O856:O919" si="130">IF(AND(N856=1,M856=1),O855+1,O855)</f>
        <v>71</v>
      </c>
      <c r="P856">
        <f t="shared" si="123"/>
        <v>0</v>
      </c>
      <c r="R856">
        <f t="shared" si="124"/>
        <v>0</v>
      </c>
      <c r="S856">
        <f t="shared" si="125"/>
        <v>0</v>
      </c>
      <c r="T856">
        <f t="shared" si="126"/>
        <v>0</v>
      </c>
    </row>
    <row r="857" spans="10:20" x14ac:dyDescent="0.25">
      <c r="J857">
        <v>0.68585338609391788</v>
      </c>
      <c r="K857">
        <f t="shared" si="127"/>
        <v>1</v>
      </c>
      <c r="L857">
        <f t="shared" si="128"/>
        <v>0.68585338609391788</v>
      </c>
      <c r="M857">
        <f t="shared" si="122"/>
        <v>1</v>
      </c>
      <c r="N857">
        <f t="shared" si="129"/>
        <v>5</v>
      </c>
      <c r="O857">
        <f t="shared" si="130"/>
        <v>71</v>
      </c>
      <c r="P857">
        <f t="shared" si="123"/>
        <v>0</v>
      </c>
      <c r="R857">
        <f t="shared" si="124"/>
        <v>0</v>
      </c>
      <c r="S857">
        <f t="shared" si="125"/>
        <v>0</v>
      </c>
      <c r="T857">
        <f t="shared" si="126"/>
        <v>0</v>
      </c>
    </row>
    <row r="858" spans="10:20" x14ac:dyDescent="0.25">
      <c r="J858">
        <v>0.25914191285421462</v>
      </c>
      <c r="K858">
        <f t="shared" si="127"/>
        <v>0</v>
      </c>
      <c r="L858">
        <f t="shared" si="128"/>
        <v>0</v>
      </c>
      <c r="M858">
        <f t="shared" si="122"/>
        <v>0</v>
      </c>
      <c r="N858">
        <f t="shared" si="129"/>
        <v>6</v>
      </c>
      <c r="O858">
        <f t="shared" si="130"/>
        <v>71</v>
      </c>
      <c r="P858">
        <f t="shared" si="123"/>
        <v>0</v>
      </c>
      <c r="R858">
        <f t="shared" si="124"/>
        <v>0</v>
      </c>
      <c r="S858">
        <f t="shared" si="125"/>
        <v>0</v>
      </c>
      <c r="T858">
        <f t="shared" si="126"/>
        <v>0</v>
      </c>
    </row>
    <row r="859" spans="10:20" x14ac:dyDescent="0.25">
      <c r="J859">
        <v>0.55018378352095798</v>
      </c>
      <c r="K859">
        <f t="shared" si="127"/>
        <v>1</v>
      </c>
      <c r="L859">
        <f t="shared" si="128"/>
        <v>0.55018378352095798</v>
      </c>
      <c r="M859">
        <f t="shared" si="122"/>
        <v>1</v>
      </c>
      <c r="N859">
        <f t="shared" si="129"/>
        <v>6</v>
      </c>
      <c r="O859">
        <f t="shared" si="130"/>
        <v>71</v>
      </c>
      <c r="P859">
        <f t="shared" si="123"/>
        <v>0</v>
      </c>
      <c r="R859">
        <f t="shared" si="124"/>
        <v>0</v>
      </c>
      <c r="S859">
        <f t="shared" si="125"/>
        <v>0</v>
      </c>
      <c r="T859">
        <f t="shared" si="126"/>
        <v>0</v>
      </c>
    </row>
    <row r="860" spans="10:20" x14ac:dyDescent="0.25">
      <c r="J860">
        <v>0.93802326081533416</v>
      </c>
      <c r="K860">
        <f t="shared" si="127"/>
        <v>0</v>
      </c>
      <c r="L860">
        <f t="shared" si="128"/>
        <v>0</v>
      </c>
      <c r="M860">
        <f t="shared" si="122"/>
        <v>0</v>
      </c>
      <c r="N860">
        <f t="shared" si="129"/>
        <v>7</v>
      </c>
      <c r="O860">
        <f t="shared" si="130"/>
        <v>71</v>
      </c>
      <c r="P860">
        <f t="shared" si="123"/>
        <v>0</v>
      </c>
      <c r="R860">
        <f t="shared" si="124"/>
        <v>0</v>
      </c>
      <c r="S860">
        <f t="shared" si="125"/>
        <v>0</v>
      </c>
      <c r="T860">
        <f t="shared" si="126"/>
        <v>0</v>
      </c>
    </row>
    <row r="861" spans="10:20" x14ac:dyDescent="0.25">
      <c r="J861">
        <v>0.81759100277201147</v>
      </c>
      <c r="K861">
        <f t="shared" si="127"/>
        <v>1</v>
      </c>
      <c r="L861">
        <f t="shared" si="128"/>
        <v>0.81759100277201147</v>
      </c>
      <c r="M861">
        <f t="shared" si="122"/>
        <v>1</v>
      </c>
      <c r="N861">
        <f t="shared" si="129"/>
        <v>1</v>
      </c>
      <c r="O861">
        <f t="shared" si="130"/>
        <v>72</v>
      </c>
      <c r="P861">
        <f t="shared" si="123"/>
        <v>0</v>
      </c>
      <c r="R861">
        <f t="shared" si="124"/>
        <v>0</v>
      </c>
      <c r="S861">
        <f t="shared" si="125"/>
        <v>0</v>
      </c>
      <c r="T861">
        <f t="shared" si="126"/>
        <v>0</v>
      </c>
    </row>
    <row r="862" spans="10:20" x14ac:dyDescent="0.25">
      <c r="J862">
        <v>0.94280866034946498</v>
      </c>
      <c r="K862">
        <f t="shared" si="127"/>
        <v>0</v>
      </c>
      <c r="L862">
        <f t="shared" si="128"/>
        <v>0</v>
      </c>
      <c r="M862">
        <f t="shared" si="122"/>
        <v>0</v>
      </c>
      <c r="N862">
        <f t="shared" si="129"/>
        <v>2</v>
      </c>
      <c r="O862">
        <f t="shared" si="130"/>
        <v>72</v>
      </c>
      <c r="P862">
        <f t="shared" si="123"/>
        <v>0</v>
      </c>
      <c r="R862">
        <f t="shared" si="124"/>
        <v>0</v>
      </c>
      <c r="S862">
        <f t="shared" si="125"/>
        <v>0</v>
      </c>
      <c r="T862">
        <f t="shared" si="126"/>
        <v>0</v>
      </c>
    </row>
    <row r="863" spans="10:20" x14ac:dyDescent="0.25">
      <c r="J863">
        <v>0.5413827077361435</v>
      </c>
      <c r="K863">
        <f t="shared" si="127"/>
        <v>1</v>
      </c>
      <c r="L863">
        <f t="shared" si="128"/>
        <v>0.5413827077361435</v>
      </c>
      <c r="M863">
        <f t="shared" si="122"/>
        <v>1</v>
      </c>
      <c r="N863">
        <f t="shared" si="129"/>
        <v>2</v>
      </c>
      <c r="O863">
        <f t="shared" si="130"/>
        <v>72</v>
      </c>
      <c r="P863">
        <f t="shared" si="123"/>
        <v>0</v>
      </c>
      <c r="R863">
        <f t="shared" si="124"/>
        <v>0</v>
      </c>
      <c r="S863">
        <f t="shared" si="125"/>
        <v>0</v>
      </c>
      <c r="T863">
        <f t="shared" si="126"/>
        <v>0</v>
      </c>
    </row>
    <row r="864" spans="10:20" x14ac:dyDescent="0.25">
      <c r="J864">
        <v>0.69384253579242738</v>
      </c>
      <c r="K864">
        <f t="shared" si="127"/>
        <v>0</v>
      </c>
      <c r="L864">
        <f t="shared" si="128"/>
        <v>0</v>
      </c>
      <c r="M864">
        <f t="shared" si="122"/>
        <v>0</v>
      </c>
      <c r="N864">
        <f t="shared" si="129"/>
        <v>3</v>
      </c>
      <c r="O864">
        <f t="shared" si="130"/>
        <v>72</v>
      </c>
      <c r="P864">
        <f t="shared" si="123"/>
        <v>0</v>
      </c>
      <c r="R864">
        <f t="shared" si="124"/>
        <v>0</v>
      </c>
      <c r="S864">
        <f t="shared" si="125"/>
        <v>0</v>
      </c>
      <c r="T864">
        <f t="shared" si="126"/>
        <v>0</v>
      </c>
    </row>
    <row r="865" spans="10:20" x14ac:dyDescent="0.25">
      <c r="J865">
        <v>0.33850426025706182</v>
      </c>
      <c r="K865">
        <f t="shared" si="127"/>
        <v>1</v>
      </c>
      <c r="L865">
        <f t="shared" si="128"/>
        <v>0.33850426025706182</v>
      </c>
      <c r="M865">
        <f t="shared" si="122"/>
        <v>1</v>
      </c>
      <c r="N865">
        <f t="shared" si="129"/>
        <v>3</v>
      </c>
      <c r="O865">
        <f t="shared" si="130"/>
        <v>72</v>
      </c>
      <c r="P865">
        <f t="shared" si="123"/>
        <v>0</v>
      </c>
      <c r="R865">
        <f t="shared" si="124"/>
        <v>0</v>
      </c>
      <c r="S865">
        <f t="shared" si="125"/>
        <v>0</v>
      </c>
      <c r="T865">
        <f t="shared" si="126"/>
        <v>0</v>
      </c>
    </row>
    <row r="866" spans="10:20" x14ac:dyDescent="0.25">
      <c r="J866">
        <v>0.24597537550257997</v>
      </c>
      <c r="K866">
        <f t="shared" si="127"/>
        <v>0</v>
      </c>
      <c r="L866">
        <f t="shared" si="128"/>
        <v>0</v>
      </c>
      <c r="M866">
        <f t="shared" si="122"/>
        <v>0</v>
      </c>
      <c r="N866">
        <f t="shared" si="129"/>
        <v>4</v>
      </c>
      <c r="O866">
        <f t="shared" si="130"/>
        <v>72</v>
      </c>
      <c r="P866">
        <f t="shared" si="123"/>
        <v>0</v>
      </c>
      <c r="R866">
        <f t="shared" si="124"/>
        <v>0</v>
      </c>
      <c r="S866">
        <f t="shared" si="125"/>
        <v>0</v>
      </c>
      <c r="T866">
        <f t="shared" si="126"/>
        <v>0</v>
      </c>
    </row>
    <row r="867" spans="10:20" x14ac:dyDescent="0.25">
      <c r="J867">
        <v>0.445303910924428</v>
      </c>
      <c r="K867">
        <f t="shared" si="127"/>
        <v>1</v>
      </c>
      <c r="L867">
        <f t="shared" si="128"/>
        <v>0.445303910924428</v>
      </c>
      <c r="M867">
        <f t="shared" si="122"/>
        <v>1</v>
      </c>
      <c r="N867">
        <f t="shared" si="129"/>
        <v>4</v>
      </c>
      <c r="O867">
        <f t="shared" si="130"/>
        <v>72</v>
      </c>
      <c r="P867">
        <f t="shared" si="123"/>
        <v>0</v>
      </c>
      <c r="R867">
        <f t="shared" si="124"/>
        <v>0</v>
      </c>
      <c r="S867">
        <f t="shared" si="125"/>
        <v>0</v>
      </c>
      <c r="T867">
        <f t="shared" si="126"/>
        <v>0</v>
      </c>
    </row>
    <row r="868" spans="10:20" x14ac:dyDescent="0.25">
      <c r="J868">
        <v>0.65404846783415238</v>
      </c>
      <c r="K868">
        <f t="shared" si="127"/>
        <v>0</v>
      </c>
      <c r="L868">
        <f t="shared" si="128"/>
        <v>0</v>
      </c>
      <c r="M868">
        <f t="shared" si="122"/>
        <v>0</v>
      </c>
      <c r="N868">
        <f t="shared" si="129"/>
        <v>5</v>
      </c>
      <c r="O868">
        <f t="shared" si="130"/>
        <v>72</v>
      </c>
      <c r="P868">
        <f t="shared" si="123"/>
        <v>0</v>
      </c>
      <c r="R868">
        <f t="shared" si="124"/>
        <v>0</v>
      </c>
      <c r="S868">
        <f t="shared" si="125"/>
        <v>0</v>
      </c>
      <c r="T868">
        <f t="shared" si="126"/>
        <v>0</v>
      </c>
    </row>
    <row r="869" spans="10:20" x14ac:dyDescent="0.25">
      <c r="J869">
        <v>0.23037577012452437</v>
      </c>
      <c r="K869">
        <f t="shared" si="127"/>
        <v>1</v>
      </c>
      <c r="L869">
        <f t="shared" si="128"/>
        <v>0.23037577012452437</v>
      </c>
      <c r="M869">
        <f t="shared" si="122"/>
        <v>1</v>
      </c>
      <c r="N869">
        <f t="shared" si="129"/>
        <v>5</v>
      </c>
      <c r="O869">
        <f t="shared" si="130"/>
        <v>72</v>
      </c>
      <c r="P869">
        <f t="shared" si="123"/>
        <v>0</v>
      </c>
      <c r="R869">
        <f t="shared" si="124"/>
        <v>0</v>
      </c>
      <c r="S869">
        <f t="shared" si="125"/>
        <v>0</v>
      </c>
      <c r="T869">
        <f t="shared" si="126"/>
        <v>0</v>
      </c>
    </row>
    <row r="870" spans="10:20" x14ac:dyDescent="0.25">
      <c r="J870">
        <v>0.47379950314390296</v>
      </c>
      <c r="K870">
        <f t="shared" si="127"/>
        <v>0</v>
      </c>
      <c r="L870">
        <f t="shared" si="128"/>
        <v>0</v>
      </c>
      <c r="M870">
        <f t="shared" si="122"/>
        <v>0</v>
      </c>
      <c r="N870">
        <f t="shared" si="129"/>
        <v>6</v>
      </c>
      <c r="O870">
        <f t="shared" si="130"/>
        <v>72</v>
      </c>
      <c r="P870">
        <f t="shared" si="123"/>
        <v>0</v>
      </c>
      <c r="R870">
        <f t="shared" si="124"/>
        <v>0</v>
      </c>
      <c r="S870">
        <f t="shared" si="125"/>
        <v>0</v>
      </c>
      <c r="T870">
        <f t="shared" si="126"/>
        <v>0</v>
      </c>
    </row>
    <row r="871" spans="10:20" x14ac:dyDescent="0.25">
      <c r="J871">
        <v>0.44256580241989696</v>
      </c>
      <c r="K871">
        <f t="shared" si="127"/>
        <v>1</v>
      </c>
      <c r="L871">
        <f t="shared" si="128"/>
        <v>0.44256580241989696</v>
      </c>
      <c r="M871">
        <f t="shared" si="122"/>
        <v>1</v>
      </c>
      <c r="N871">
        <f t="shared" si="129"/>
        <v>6</v>
      </c>
      <c r="O871">
        <f t="shared" si="130"/>
        <v>72</v>
      </c>
      <c r="P871">
        <f t="shared" si="123"/>
        <v>0</v>
      </c>
      <c r="R871">
        <f t="shared" si="124"/>
        <v>0</v>
      </c>
      <c r="S871">
        <f t="shared" si="125"/>
        <v>0</v>
      </c>
      <c r="T871">
        <f t="shared" si="126"/>
        <v>0</v>
      </c>
    </row>
    <row r="872" spans="10:20" x14ac:dyDescent="0.25">
      <c r="J872">
        <v>0.91586791950471391</v>
      </c>
      <c r="K872">
        <f t="shared" si="127"/>
        <v>0</v>
      </c>
      <c r="L872">
        <f t="shared" si="128"/>
        <v>0</v>
      </c>
      <c r="M872">
        <f t="shared" si="122"/>
        <v>0</v>
      </c>
      <c r="N872">
        <f t="shared" si="129"/>
        <v>7</v>
      </c>
      <c r="O872">
        <f t="shared" si="130"/>
        <v>72</v>
      </c>
      <c r="P872">
        <f t="shared" si="123"/>
        <v>0</v>
      </c>
      <c r="R872">
        <f t="shared" si="124"/>
        <v>0</v>
      </c>
      <c r="S872">
        <f t="shared" si="125"/>
        <v>0</v>
      </c>
      <c r="T872">
        <f t="shared" si="126"/>
        <v>0</v>
      </c>
    </row>
    <row r="873" spans="10:20" x14ac:dyDescent="0.25">
      <c r="J873">
        <v>0.11195579502933872</v>
      </c>
      <c r="K873">
        <f t="shared" si="127"/>
        <v>1</v>
      </c>
      <c r="L873">
        <f t="shared" si="128"/>
        <v>0.11195579502933872</v>
      </c>
      <c r="M873">
        <f t="shared" si="122"/>
        <v>1</v>
      </c>
      <c r="N873">
        <f t="shared" si="129"/>
        <v>1</v>
      </c>
      <c r="O873">
        <f t="shared" si="130"/>
        <v>73</v>
      </c>
      <c r="P873">
        <f t="shared" si="123"/>
        <v>0</v>
      </c>
      <c r="R873">
        <f t="shared" si="124"/>
        <v>0</v>
      </c>
      <c r="S873">
        <f t="shared" si="125"/>
        <v>0</v>
      </c>
      <c r="T873">
        <f t="shared" si="126"/>
        <v>0</v>
      </c>
    </row>
    <row r="874" spans="10:20" x14ac:dyDescent="0.25">
      <c r="J874">
        <v>0.91515578932097685</v>
      </c>
      <c r="K874">
        <f t="shared" si="127"/>
        <v>0</v>
      </c>
      <c r="L874">
        <f t="shared" si="128"/>
        <v>0</v>
      </c>
      <c r="M874">
        <f t="shared" si="122"/>
        <v>0</v>
      </c>
      <c r="N874">
        <f t="shared" si="129"/>
        <v>2</v>
      </c>
      <c r="O874">
        <f t="shared" si="130"/>
        <v>73</v>
      </c>
      <c r="P874">
        <f t="shared" si="123"/>
        <v>0</v>
      </c>
      <c r="R874">
        <f t="shared" si="124"/>
        <v>0</v>
      </c>
      <c r="S874">
        <f t="shared" si="125"/>
        <v>0</v>
      </c>
      <c r="T874">
        <f t="shared" si="126"/>
        <v>0</v>
      </c>
    </row>
    <row r="875" spans="10:20" x14ac:dyDescent="0.25">
      <c r="J875">
        <v>0.33259366611264385</v>
      </c>
      <c r="K875">
        <f t="shared" si="127"/>
        <v>1</v>
      </c>
      <c r="L875">
        <f t="shared" si="128"/>
        <v>0.33259366611264385</v>
      </c>
      <c r="M875">
        <f t="shared" si="122"/>
        <v>1</v>
      </c>
      <c r="N875">
        <f t="shared" si="129"/>
        <v>2</v>
      </c>
      <c r="O875">
        <f t="shared" si="130"/>
        <v>73</v>
      </c>
      <c r="P875">
        <f t="shared" si="123"/>
        <v>0</v>
      </c>
      <c r="R875">
        <f t="shared" si="124"/>
        <v>0</v>
      </c>
      <c r="S875">
        <f t="shared" si="125"/>
        <v>0</v>
      </c>
      <c r="T875">
        <f t="shared" si="126"/>
        <v>0</v>
      </c>
    </row>
    <row r="876" spans="10:20" x14ac:dyDescent="0.25">
      <c r="J876">
        <v>0.7345617660502024</v>
      </c>
      <c r="K876">
        <f t="shared" si="127"/>
        <v>0</v>
      </c>
      <c r="L876">
        <f t="shared" si="128"/>
        <v>0</v>
      </c>
      <c r="M876">
        <f t="shared" si="122"/>
        <v>0</v>
      </c>
      <c r="N876">
        <f t="shared" si="129"/>
        <v>3</v>
      </c>
      <c r="O876">
        <f t="shared" si="130"/>
        <v>73</v>
      </c>
      <c r="P876">
        <f t="shared" si="123"/>
        <v>0</v>
      </c>
      <c r="R876">
        <f t="shared" si="124"/>
        <v>0</v>
      </c>
      <c r="S876">
        <f t="shared" si="125"/>
        <v>0</v>
      </c>
      <c r="T876">
        <f t="shared" si="126"/>
        <v>0</v>
      </c>
    </row>
    <row r="877" spans="10:20" x14ac:dyDescent="0.25">
      <c r="J877">
        <v>4.4759821339880768E-2</v>
      </c>
      <c r="K877">
        <f t="shared" si="127"/>
        <v>1</v>
      </c>
      <c r="L877">
        <f t="shared" si="128"/>
        <v>4.4759821339880768E-2</v>
      </c>
      <c r="M877">
        <f t="shared" si="122"/>
        <v>1</v>
      </c>
      <c r="N877">
        <f t="shared" si="129"/>
        <v>3</v>
      </c>
      <c r="O877">
        <f t="shared" si="130"/>
        <v>73</v>
      </c>
      <c r="P877">
        <f t="shared" si="123"/>
        <v>0</v>
      </c>
      <c r="R877">
        <f t="shared" si="124"/>
        <v>0</v>
      </c>
      <c r="S877">
        <f t="shared" si="125"/>
        <v>0</v>
      </c>
      <c r="T877">
        <f t="shared" si="126"/>
        <v>0</v>
      </c>
    </row>
    <row r="878" spans="10:20" x14ac:dyDescent="0.25">
      <c r="J878">
        <v>0.43641585484817769</v>
      </c>
      <c r="K878">
        <f t="shared" si="127"/>
        <v>0</v>
      </c>
      <c r="L878">
        <f t="shared" si="128"/>
        <v>0</v>
      </c>
      <c r="M878">
        <f t="shared" si="122"/>
        <v>0</v>
      </c>
      <c r="N878">
        <f t="shared" si="129"/>
        <v>4</v>
      </c>
      <c r="O878">
        <f t="shared" si="130"/>
        <v>73</v>
      </c>
      <c r="P878">
        <f t="shared" si="123"/>
        <v>0</v>
      </c>
      <c r="R878">
        <f t="shared" si="124"/>
        <v>0</v>
      </c>
      <c r="S878">
        <f t="shared" si="125"/>
        <v>0</v>
      </c>
      <c r="T878">
        <f t="shared" si="126"/>
        <v>0</v>
      </c>
    </row>
    <row r="879" spans="10:20" x14ac:dyDescent="0.25">
      <c r="J879">
        <v>0.34599443147370634</v>
      </c>
      <c r="K879">
        <f t="shared" si="127"/>
        <v>1</v>
      </c>
      <c r="L879">
        <f t="shared" si="128"/>
        <v>0.34599443147370634</v>
      </c>
      <c r="M879">
        <f t="shared" si="122"/>
        <v>1</v>
      </c>
      <c r="N879">
        <f t="shared" si="129"/>
        <v>4</v>
      </c>
      <c r="O879">
        <f t="shared" si="130"/>
        <v>73</v>
      </c>
      <c r="P879">
        <f t="shared" si="123"/>
        <v>0</v>
      </c>
      <c r="R879">
        <f t="shared" si="124"/>
        <v>0</v>
      </c>
      <c r="S879">
        <f t="shared" si="125"/>
        <v>0</v>
      </c>
      <c r="T879">
        <f t="shared" si="126"/>
        <v>0</v>
      </c>
    </row>
    <row r="880" spans="10:20" x14ac:dyDescent="0.25">
      <c r="J880">
        <v>0.12268871076898702</v>
      </c>
      <c r="K880">
        <f t="shared" si="127"/>
        <v>0</v>
      </c>
      <c r="L880">
        <f t="shared" si="128"/>
        <v>0</v>
      </c>
      <c r="M880">
        <f t="shared" si="122"/>
        <v>0</v>
      </c>
      <c r="N880">
        <f t="shared" si="129"/>
        <v>5</v>
      </c>
      <c r="O880">
        <f t="shared" si="130"/>
        <v>73</v>
      </c>
      <c r="P880">
        <f t="shared" si="123"/>
        <v>0</v>
      </c>
      <c r="R880">
        <f t="shared" si="124"/>
        <v>0</v>
      </c>
      <c r="S880">
        <f t="shared" si="125"/>
        <v>0</v>
      </c>
      <c r="T880">
        <f t="shared" si="126"/>
        <v>0</v>
      </c>
    </row>
    <row r="881" spans="10:20" x14ac:dyDescent="0.25">
      <c r="J881">
        <v>0.65061845914680017</v>
      </c>
      <c r="K881">
        <f t="shared" si="127"/>
        <v>1</v>
      </c>
      <c r="L881">
        <f t="shared" si="128"/>
        <v>0.65061845914680017</v>
      </c>
      <c r="M881">
        <f t="shared" si="122"/>
        <v>1</v>
      </c>
      <c r="N881">
        <f t="shared" si="129"/>
        <v>5</v>
      </c>
      <c r="O881">
        <f t="shared" si="130"/>
        <v>73</v>
      </c>
      <c r="P881">
        <f t="shared" si="123"/>
        <v>0</v>
      </c>
      <c r="R881">
        <f t="shared" si="124"/>
        <v>0</v>
      </c>
      <c r="S881">
        <f t="shared" si="125"/>
        <v>0</v>
      </c>
      <c r="T881">
        <f t="shared" si="126"/>
        <v>0</v>
      </c>
    </row>
    <row r="882" spans="10:20" x14ac:dyDescent="0.25">
      <c r="J882">
        <v>0.21821682134907872</v>
      </c>
      <c r="K882">
        <f t="shared" si="127"/>
        <v>0</v>
      </c>
      <c r="L882">
        <f t="shared" si="128"/>
        <v>0</v>
      </c>
      <c r="M882">
        <f t="shared" si="122"/>
        <v>0</v>
      </c>
      <c r="N882">
        <f t="shared" si="129"/>
        <v>6</v>
      </c>
      <c r="O882">
        <f t="shared" si="130"/>
        <v>73</v>
      </c>
      <c r="P882">
        <f t="shared" si="123"/>
        <v>0</v>
      </c>
      <c r="R882">
        <f t="shared" si="124"/>
        <v>0</v>
      </c>
      <c r="S882">
        <f t="shared" si="125"/>
        <v>0</v>
      </c>
      <c r="T882">
        <f t="shared" si="126"/>
        <v>0</v>
      </c>
    </row>
    <row r="883" spans="10:20" x14ac:dyDescent="0.25">
      <c r="J883">
        <v>0.65864652714507022</v>
      </c>
      <c r="K883">
        <f t="shared" si="127"/>
        <v>1</v>
      </c>
      <c r="L883">
        <f t="shared" si="128"/>
        <v>0.65864652714507022</v>
      </c>
      <c r="M883">
        <f t="shared" si="122"/>
        <v>1</v>
      </c>
      <c r="N883">
        <f t="shared" si="129"/>
        <v>6</v>
      </c>
      <c r="O883">
        <f t="shared" si="130"/>
        <v>73</v>
      </c>
      <c r="P883">
        <f t="shared" si="123"/>
        <v>0</v>
      </c>
      <c r="R883">
        <f t="shared" si="124"/>
        <v>0</v>
      </c>
      <c r="S883">
        <f t="shared" si="125"/>
        <v>0</v>
      </c>
      <c r="T883">
        <f t="shared" si="126"/>
        <v>0</v>
      </c>
    </row>
    <row r="884" spans="10:20" x14ac:dyDescent="0.25">
      <c r="J884">
        <v>0.7681160326698705</v>
      </c>
      <c r="K884">
        <f t="shared" si="127"/>
        <v>0</v>
      </c>
      <c r="L884">
        <f t="shared" si="128"/>
        <v>0</v>
      </c>
      <c r="M884">
        <f t="shared" si="122"/>
        <v>0</v>
      </c>
      <c r="N884">
        <f t="shared" si="129"/>
        <v>7</v>
      </c>
      <c r="O884">
        <f t="shared" si="130"/>
        <v>73</v>
      </c>
      <c r="P884">
        <f t="shared" si="123"/>
        <v>0</v>
      </c>
      <c r="R884">
        <f t="shared" si="124"/>
        <v>0</v>
      </c>
      <c r="S884">
        <f t="shared" si="125"/>
        <v>0</v>
      </c>
      <c r="T884">
        <f t="shared" si="126"/>
        <v>0</v>
      </c>
    </row>
    <row r="885" spans="10:20" x14ac:dyDescent="0.25">
      <c r="J885">
        <v>0.19880234242575245</v>
      </c>
      <c r="K885">
        <f t="shared" si="127"/>
        <v>1</v>
      </c>
      <c r="L885">
        <f t="shared" si="128"/>
        <v>0.19880234242575245</v>
      </c>
      <c r="M885">
        <f t="shared" si="122"/>
        <v>1</v>
      </c>
      <c r="N885">
        <f t="shared" si="129"/>
        <v>1</v>
      </c>
      <c r="O885">
        <f t="shared" si="130"/>
        <v>74</v>
      </c>
      <c r="P885">
        <f t="shared" si="123"/>
        <v>0</v>
      </c>
      <c r="R885">
        <f t="shared" si="124"/>
        <v>0</v>
      </c>
      <c r="S885">
        <f t="shared" si="125"/>
        <v>0</v>
      </c>
      <c r="T885">
        <f t="shared" si="126"/>
        <v>0</v>
      </c>
    </row>
    <row r="886" spans="10:20" x14ac:dyDescent="0.25">
      <c r="J886">
        <v>8.2594164038243822E-2</v>
      </c>
      <c r="K886">
        <f t="shared" si="127"/>
        <v>0</v>
      </c>
      <c r="L886">
        <f t="shared" si="128"/>
        <v>0</v>
      </c>
      <c r="M886">
        <f t="shared" si="122"/>
        <v>0</v>
      </c>
      <c r="N886">
        <f t="shared" si="129"/>
        <v>2</v>
      </c>
      <c r="O886">
        <f t="shared" si="130"/>
        <v>74</v>
      </c>
      <c r="P886">
        <f t="shared" si="123"/>
        <v>0</v>
      </c>
      <c r="R886">
        <f t="shared" si="124"/>
        <v>0</v>
      </c>
      <c r="S886">
        <f t="shared" si="125"/>
        <v>0</v>
      </c>
      <c r="T886">
        <f t="shared" si="126"/>
        <v>0</v>
      </c>
    </row>
    <row r="887" spans="10:20" x14ac:dyDescent="0.25">
      <c r="J887">
        <v>0.85173165385564498</v>
      </c>
      <c r="K887">
        <f t="shared" si="127"/>
        <v>1</v>
      </c>
      <c r="L887">
        <f t="shared" si="128"/>
        <v>0.85173165385564498</v>
      </c>
      <c r="M887">
        <f t="shared" si="122"/>
        <v>1</v>
      </c>
      <c r="N887">
        <f t="shared" si="129"/>
        <v>2</v>
      </c>
      <c r="O887">
        <f t="shared" si="130"/>
        <v>74</v>
      </c>
      <c r="P887">
        <f t="shared" si="123"/>
        <v>0</v>
      </c>
      <c r="R887">
        <f t="shared" si="124"/>
        <v>0</v>
      </c>
      <c r="S887">
        <f t="shared" si="125"/>
        <v>0</v>
      </c>
      <c r="T887">
        <f t="shared" si="126"/>
        <v>0</v>
      </c>
    </row>
    <row r="888" spans="10:20" x14ac:dyDescent="0.25">
      <c r="J888">
        <v>0.55906898437907249</v>
      </c>
      <c r="K888">
        <f t="shared" si="127"/>
        <v>0</v>
      </c>
      <c r="L888">
        <f t="shared" si="128"/>
        <v>0</v>
      </c>
      <c r="M888">
        <f t="shared" si="122"/>
        <v>0</v>
      </c>
      <c r="N888">
        <f t="shared" si="129"/>
        <v>3</v>
      </c>
      <c r="O888">
        <f t="shared" si="130"/>
        <v>74</v>
      </c>
      <c r="P888">
        <f t="shared" si="123"/>
        <v>0</v>
      </c>
      <c r="R888">
        <f t="shared" si="124"/>
        <v>0</v>
      </c>
      <c r="S888">
        <f t="shared" si="125"/>
        <v>0</v>
      </c>
      <c r="T888">
        <f t="shared" si="126"/>
        <v>0</v>
      </c>
    </row>
    <row r="889" spans="10:20" x14ac:dyDescent="0.25">
      <c r="J889">
        <v>0.19040188458046259</v>
      </c>
      <c r="K889">
        <f t="shared" si="127"/>
        <v>1</v>
      </c>
      <c r="L889">
        <f t="shared" si="128"/>
        <v>0.19040188458046259</v>
      </c>
      <c r="M889">
        <f t="shared" si="122"/>
        <v>1</v>
      </c>
      <c r="N889">
        <f t="shared" si="129"/>
        <v>3</v>
      </c>
      <c r="O889">
        <f t="shared" si="130"/>
        <v>74</v>
      </c>
      <c r="P889">
        <f t="shared" si="123"/>
        <v>0</v>
      </c>
      <c r="R889">
        <f t="shared" si="124"/>
        <v>0</v>
      </c>
      <c r="S889">
        <f t="shared" si="125"/>
        <v>0</v>
      </c>
      <c r="T889">
        <f t="shared" si="126"/>
        <v>0</v>
      </c>
    </row>
    <row r="890" spans="10:20" x14ac:dyDescent="0.25">
      <c r="J890">
        <v>0.66105197403906213</v>
      </c>
      <c r="K890">
        <f t="shared" si="127"/>
        <v>0</v>
      </c>
      <c r="L890">
        <f t="shared" si="128"/>
        <v>0</v>
      </c>
      <c r="M890">
        <f t="shared" si="122"/>
        <v>0</v>
      </c>
      <c r="N890">
        <f t="shared" si="129"/>
        <v>4</v>
      </c>
      <c r="O890">
        <f t="shared" si="130"/>
        <v>74</v>
      </c>
      <c r="P890">
        <f t="shared" si="123"/>
        <v>0</v>
      </c>
      <c r="R890">
        <f t="shared" si="124"/>
        <v>0</v>
      </c>
      <c r="S890">
        <f t="shared" si="125"/>
        <v>0</v>
      </c>
      <c r="T890">
        <f t="shared" si="126"/>
        <v>0</v>
      </c>
    </row>
    <row r="891" spans="10:20" x14ac:dyDescent="0.25">
      <c r="J891">
        <v>0.47294061939079179</v>
      </c>
      <c r="K891">
        <f t="shared" si="127"/>
        <v>1</v>
      </c>
      <c r="L891">
        <f t="shared" si="128"/>
        <v>0.47294061939079179</v>
      </c>
      <c r="M891">
        <f t="shared" si="122"/>
        <v>1</v>
      </c>
      <c r="N891">
        <f t="shared" si="129"/>
        <v>4</v>
      </c>
      <c r="O891">
        <f t="shared" si="130"/>
        <v>74</v>
      </c>
      <c r="P891">
        <f t="shared" si="123"/>
        <v>0</v>
      </c>
      <c r="R891">
        <f t="shared" si="124"/>
        <v>0</v>
      </c>
      <c r="S891">
        <f t="shared" si="125"/>
        <v>0</v>
      </c>
      <c r="T891">
        <f t="shared" si="126"/>
        <v>0</v>
      </c>
    </row>
    <row r="892" spans="10:20" x14ac:dyDescent="0.25">
      <c r="J892">
        <v>0.36213118772507003</v>
      </c>
      <c r="K892">
        <f t="shared" si="127"/>
        <v>0</v>
      </c>
      <c r="L892">
        <f t="shared" si="128"/>
        <v>0</v>
      </c>
      <c r="M892">
        <f t="shared" si="122"/>
        <v>0</v>
      </c>
      <c r="N892">
        <f t="shared" si="129"/>
        <v>5</v>
      </c>
      <c r="O892">
        <f t="shared" si="130"/>
        <v>74</v>
      </c>
      <c r="P892">
        <f t="shared" si="123"/>
        <v>0</v>
      </c>
      <c r="R892">
        <f t="shared" si="124"/>
        <v>0</v>
      </c>
      <c r="S892">
        <f t="shared" si="125"/>
        <v>0</v>
      </c>
      <c r="T892">
        <f t="shared" si="126"/>
        <v>0</v>
      </c>
    </row>
    <row r="893" spans="10:20" x14ac:dyDescent="0.25">
      <c r="J893">
        <v>0.68480488434779563</v>
      </c>
      <c r="K893">
        <f t="shared" si="127"/>
        <v>1</v>
      </c>
      <c r="L893">
        <f t="shared" si="128"/>
        <v>0.68480488434779563</v>
      </c>
      <c r="M893">
        <f t="shared" si="122"/>
        <v>1</v>
      </c>
      <c r="N893">
        <f t="shared" si="129"/>
        <v>5</v>
      </c>
      <c r="O893">
        <f t="shared" si="130"/>
        <v>74</v>
      </c>
      <c r="P893">
        <f t="shared" si="123"/>
        <v>0</v>
      </c>
      <c r="R893">
        <f t="shared" si="124"/>
        <v>0</v>
      </c>
      <c r="S893">
        <f t="shared" si="125"/>
        <v>0</v>
      </c>
      <c r="T893">
        <f t="shared" si="126"/>
        <v>0</v>
      </c>
    </row>
    <row r="894" spans="10:20" x14ac:dyDescent="0.25">
      <c r="J894">
        <v>0.93148143047257548</v>
      </c>
      <c r="K894">
        <f t="shared" si="127"/>
        <v>0</v>
      </c>
      <c r="L894">
        <f t="shared" si="128"/>
        <v>0</v>
      </c>
      <c r="M894">
        <f t="shared" si="122"/>
        <v>0</v>
      </c>
      <c r="N894">
        <f t="shared" si="129"/>
        <v>6</v>
      </c>
      <c r="O894">
        <f t="shared" si="130"/>
        <v>74</v>
      </c>
      <c r="P894">
        <f t="shared" si="123"/>
        <v>0</v>
      </c>
      <c r="R894">
        <f t="shared" si="124"/>
        <v>0</v>
      </c>
      <c r="S894">
        <f t="shared" si="125"/>
        <v>0</v>
      </c>
      <c r="T894">
        <f t="shared" si="126"/>
        <v>0</v>
      </c>
    </row>
    <row r="895" spans="10:20" x14ac:dyDescent="0.25">
      <c r="J895">
        <v>0.9665363185542879</v>
      </c>
      <c r="K895">
        <f t="shared" si="127"/>
        <v>1</v>
      </c>
      <c r="L895">
        <f t="shared" si="128"/>
        <v>0.9665363185542879</v>
      </c>
      <c r="M895">
        <f t="shared" si="122"/>
        <v>1</v>
      </c>
      <c r="N895">
        <f t="shared" si="129"/>
        <v>6</v>
      </c>
      <c r="O895">
        <f t="shared" si="130"/>
        <v>74</v>
      </c>
      <c r="P895">
        <f t="shared" si="123"/>
        <v>0</v>
      </c>
      <c r="R895">
        <f t="shared" si="124"/>
        <v>0</v>
      </c>
      <c r="S895">
        <f t="shared" si="125"/>
        <v>0</v>
      </c>
      <c r="T895">
        <f t="shared" si="126"/>
        <v>0</v>
      </c>
    </row>
    <row r="896" spans="10:20" x14ac:dyDescent="0.25">
      <c r="J896">
        <v>0.97509169874069601</v>
      </c>
      <c r="K896">
        <f t="shared" si="127"/>
        <v>0</v>
      </c>
      <c r="L896">
        <f t="shared" si="128"/>
        <v>0</v>
      </c>
      <c r="M896">
        <f t="shared" si="122"/>
        <v>0</v>
      </c>
      <c r="N896">
        <f t="shared" si="129"/>
        <v>7</v>
      </c>
      <c r="O896">
        <f t="shared" si="130"/>
        <v>74</v>
      </c>
      <c r="P896">
        <f t="shared" si="123"/>
        <v>0</v>
      </c>
      <c r="R896">
        <f t="shared" si="124"/>
        <v>0</v>
      </c>
      <c r="S896">
        <f t="shared" si="125"/>
        <v>0</v>
      </c>
      <c r="T896">
        <f t="shared" si="126"/>
        <v>0</v>
      </c>
    </row>
    <row r="897" spans="10:20" x14ac:dyDescent="0.25">
      <c r="J897">
        <v>9.6265738269270429E-2</v>
      </c>
      <c r="K897">
        <f t="shared" si="127"/>
        <v>1</v>
      </c>
      <c r="L897">
        <f t="shared" si="128"/>
        <v>9.6265738269270429E-2</v>
      </c>
      <c r="M897">
        <f t="shared" si="122"/>
        <v>1</v>
      </c>
      <c r="N897">
        <f t="shared" si="129"/>
        <v>1</v>
      </c>
      <c r="O897">
        <f t="shared" si="130"/>
        <v>75</v>
      </c>
      <c r="P897">
        <f t="shared" si="123"/>
        <v>0</v>
      </c>
      <c r="R897">
        <f t="shared" si="124"/>
        <v>0</v>
      </c>
      <c r="S897">
        <f t="shared" si="125"/>
        <v>0</v>
      </c>
      <c r="T897">
        <f t="shared" si="126"/>
        <v>0</v>
      </c>
    </row>
    <row r="898" spans="10:20" x14ac:dyDescent="0.25">
      <c r="J898">
        <v>0.27365856331267069</v>
      </c>
      <c r="K898">
        <f t="shared" si="127"/>
        <v>0</v>
      </c>
      <c r="L898">
        <f t="shared" si="128"/>
        <v>0</v>
      </c>
      <c r="M898">
        <f t="shared" si="122"/>
        <v>0</v>
      </c>
      <c r="N898">
        <f t="shared" si="129"/>
        <v>2</v>
      </c>
      <c r="O898">
        <f t="shared" si="130"/>
        <v>75</v>
      </c>
      <c r="P898">
        <f t="shared" si="123"/>
        <v>0</v>
      </c>
      <c r="R898">
        <f t="shared" si="124"/>
        <v>0</v>
      </c>
      <c r="S898">
        <f t="shared" si="125"/>
        <v>0</v>
      </c>
      <c r="T898">
        <f t="shared" si="126"/>
        <v>0</v>
      </c>
    </row>
    <row r="899" spans="10:20" x14ac:dyDescent="0.25">
      <c r="J899">
        <v>0.34631276390573684</v>
      </c>
      <c r="K899">
        <f t="shared" si="127"/>
        <v>1</v>
      </c>
      <c r="L899">
        <f t="shared" si="128"/>
        <v>0.34631276390573684</v>
      </c>
      <c r="M899">
        <f t="shared" si="122"/>
        <v>1</v>
      </c>
      <c r="N899">
        <f t="shared" si="129"/>
        <v>2</v>
      </c>
      <c r="O899">
        <f t="shared" si="130"/>
        <v>75</v>
      </c>
      <c r="P899">
        <f t="shared" si="123"/>
        <v>0</v>
      </c>
      <c r="R899">
        <f t="shared" si="124"/>
        <v>0</v>
      </c>
      <c r="S899">
        <f t="shared" si="125"/>
        <v>0</v>
      </c>
      <c r="T899">
        <f t="shared" si="126"/>
        <v>0</v>
      </c>
    </row>
    <row r="900" spans="10:20" x14ac:dyDescent="0.25">
      <c r="J900">
        <v>0.30201046102343732</v>
      </c>
      <c r="K900">
        <f t="shared" si="127"/>
        <v>0</v>
      </c>
      <c r="L900">
        <f t="shared" si="128"/>
        <v>0</v>
      </c>
      <c r="M900">
        <f t="shared" si="122"/>
        <v>0</v>
      </c>
      <c r="N900">
        <f t="shared" si="129"/>
        <v>3</v>
      </c>
      <c r="O900">
        <f t="shared" si="130"/>
        <v>75</v>
      </c>
      <c r="P900">
        <f t="shared" si="123"/>
        <v>0</v>
      </c>
      <c r="R900">
        <f t="shared" si="124"/>
        <v>0</v>
      </c>
      <c r="S900">
        <f t="shared" si="125"/>
        <v>0</v>
      </c>
      <c r="T900">
        <f t="shared" si="126"/>
        <v>0</v>
      </c>
    </row>
    <row r="901" spans="10:20" x14ac:dyDescent="0.25">
      <c r="J901">
        <v>0.76219280361524822</v>
      </c>
      <c r="K901">
        <f t="shared" si="127"/>
        <v>1</v>
      </c>
      <c r="L901">
        <f t="shared" si="128"/>
        <v>0.76219280361524822</v>
      </c>
      <c r="M901">
        <f t="shared" si="122"/>
        <v>1</v>
      </c>
      <c r="N901">
        <f t="shared" si="129"/>
        <v>3</v>
      </c>
      <c r="O901">
        <f t="shared" si="130"/>
        <v>75</v>
      </c>
      <c r="P901">
        <f t="shared" si="123"/>
        <v>0</v>
      </c>
      <c r="R901">
        <f t="shared" si="124"/>
        <v>0</v>
      </c>
      <c r="S901">
        <f t="shared" si="125"/>
        <v>0</v>
      </c>
      <c r="T901">
        <f t="shared" si="126"/>
        <v>0</v>
      </c>
    </row>
    <row r="902" spans="10:20" x14ac:dyDescent="0.25">
      <c r="J902">
        <v>0.2900285621453772</v>
      </c>
      <c r="K902">
        <f t="shared" si="127"/>
        <v>0</v>
      </c>
      <c r="L902">
        <f t="shared" si="128"/>
        <v>0</v>
      </c>
      <c r="M902">
        <f t="shared" si="122"/>
        <v>0</v>
      </c>
      <c r="N902">
        <f t="shared" si="129"/>
        <v>4</v>
      </c>
      <c r="O902">
        <f t="shared" si="130"/>
        <v>75</v>
      </c>
      <c r="P902">
        <f t="shared" si="123"/>
        <v>0</v>
      </c>
      <c r="R902">
        <f t="shared" si="124"/>
        <v>0</v>
      </c>
      <c r="S902">
        <f t="shared" si="125"/>
        <v>0</v>
      </c>
      <c r="T902">
        <f t="shared" si="126"/>
        <v>0</v>
      </c>
    </row>
    <row r="903" spans="10:20" x14ac:dyDescent="0.25">
      <c r="J903">
        <v>0.22856110760538295</v>
      </c>
      <c r="K903">
        <f t="shared" si="127"/>
        <v>1</v>
      </c>
      <c r="L903">
        <f t="shared" si="128"/>
        <v>0.22856110760538295</v>
      </c>
      <c r="M903">
        <f t="shared" si="122"/>
        <v>1</v>
      </c>
      <c r="N903">
        <f t="shared" si="129"/>
        <v>4</v>
      </c>
      <c r="O903">
        <f t="shared" si="130"/>
        <v>75</v>
      </c>
      <c r="P903">
        <f t="shared" si="123"/>
        <v>0</v>
      </c>
      <c r="R903">
        <f t="shared" si="124"/>
        <v>0</v>
      </c>
      <c r="S903">
        <f t="shared" si="125"/>
        <v>0</v>
      </c>
      <c r="T903">
        <f t="shared" si="126"/>
        <v>0</v>
      </c>
    </row>
    <row r="904" spans="10:20" x14ac:dyDescent="0.25">
      <c r="J904">
        <v>0.48656716926554922</v>
      </c>
      <c r="K904">
        <f t="shared" si="127"/>
        <v>0</v>
      </c>
      <c r="L904">
        <f t="shared" si="128"/>
        <v>0</v>
      </c>
      <c r="M904">
        <f t="shared" ref="M904:M967" si="131">IF(L904&gt;$M$2,1,0)</f>
        <v>0</v>
      </c>
      <c r="N904">
        <f t="shared" si="129"/>
        <v>5</v>
      </c>
      <c r="O904">
        <f t="shared" si="130"/>
        <v>75</v>
      </c>
      <c r="P904">
        <f t="shared" ref="P904:P967" si="132">IF(INDEX($B$7:$H$1029,O904,2)&gt;0,1,0)</f>
        <v>0</v>
      </c>
      <c r="R904">
        <f t="shared" ref="R904:R967" si="133">IF(  M904&gt;0,INDEX($B$7:$H$1029,O904,N904),0)*P904</f>
        <v>0</v>
      </c>
      <c r="S904">
        <f t="shared" ref="S904:S967" si="134">M904*P904</f>
        <v>0</v>
      </c>
      <c r="T904">
        <f t="shared" ref="T904:T967" si="135">IF(N905=$N$2,1,0)*P904</f>
        <v>0</v>
      </c>
    </row>
    <row r="905" spans="10:20" x14ac:dyDescent="0.25">
      <c r="J905">
        <v>0.67415438155869722</v>
      </c>
      <c r="K905">
        <f t="shared" si="127"/>
        <v>1</v>
      </c>
      <c r="L905">
        <f t="shared" si="128"/>
        <v>0.67415438155869722</v>
      </c>
      <c r="M905">
        <f t="shared" si="131"/>
        <v>1</v>
      </c>
      <c r="N905">
        <f t="shared" si="129"/>
        <v>5</v>
      </c>
      <c r="O905">
        <f t="shared" si="130"/>
        <v>75</v>
      </c>
      <c r="P905">
        <f t="shared" si="132"/>
        <v>0</v>
      </c>
      <c r="R905">
        <f t="shared" si="133"/>
        <v>0</v>
      </c>
      <c r="S905">
        <f t="shared" si="134"/>
        <v>0</v>
      </c>
      <c r="T905">
        <f t="shared" si="135"/>
        <v>0</v>
      </c>
    </row>
    <row r="906" spans="10:20" x14ac:dyDescent="0.25">
      <c r="J906">
        <v>0.70715930824255802</v>
      </c>
      <c r="K906">
        <f t="shared" si="127"/>
        <v>0</v>
      </c>
      <c r="L906">
        <f t="shared" si="128"/>
        <v>0</v>
      </c>
      <c r="M906">
        <f t="shared" si="131"/>
        <v>0</v>
      </c>
      <c r="N906">
        <f t="shared" si="129"/>
        <v>6</v>
      </c>
      <c r="O906">
        <f t="shared" si="130"/>
        <v>75</v>
      </c>
      <c r="P906">
        <f t="shared" si="132"/>
        <v>0</v>
      </c>
      <c r="R906">
        <f t="shared" si="133"/>
        <v>0</v>
      </c>
      <c r="S906">
        <f t="shared" si="134"/>
        <v>0</v>
      </c>
      <c r="T906">
        <f t="shared" si="135"/>
        <v>0</v>
      </c>
    </row>
    <row r="907" spans="10:20" x14ac:dyDescent="0.25">
      <c r="J907">
        <v>0.50214912394698907</v>
      </c>
      <c r="K907">
        <f t="shared" si="127"/>
        <v>1</v>
      </c>
      <c r="L907">
        <f t="shared" si="128"/>
        <v>0.50214912394698907</v>
      </c>
      <c r="M907">
        <f t="shared" si="131"/>
        <v>1</v>
      </c>
      <c r="N907">
        <f t="shared" si="129"/>
        <v>6</v>
      </c>
      <c r="O907">
        <f t="shared" si="130"/>
        <v>75</v>
      </c>
      <c r="P907">
        <f t="shared" si="132"/>
        <v>0</v>
      </c>
      <c r="R907">
        <f t="shared" si="133"/>
        <v>0</v>
      </c>
      <c r="S907">
        <f t="shared" si="134"/>
        <v>0</v>
      </c>
      <c r="T907">
        <f t="shared" si="135"/>
        <v>0</v>
      </c>
    </row>
    <row r="908" spans="10:20" x14ac:dyDescent="0.25">
      <c r="J908">
        <v>0.88387066964872751</v>
      </c>
      <c r="K908">
        <f t="shared" si="127"/>
        <v>0</v>
      </c>
      <c r="L908">
        <f t="shared" si="128"/>
        <v>0</v>
      </c>
      <c r="M908">
        <f t="shared" si="131"/>
        <v>0</v>
      </c>
      <c r="N908">
        <f t="shared" si="129"/>
        <v>7</v>
      </c>
      <c r="O908">
        <f t="shared" si="130"/>
        <v>75</v>
      </c>
      <c r="P908">
        <f t="shared" si="132"/>
        <v>0</v>
      </c>
      <c r="R908">
        <f t="shared" si="133"/>
        <v>0</v>
      </c>
      <c r="S908">
        <f t="shared" si="134"/>
        <v>0</v>
      </c>
      <c r="T908">
        <f t="shared" si="135"/>
        <v>0</v>
      </c>
    </row>
    <row r="909" spans="10:20" x14ac:dyDescent="0.25">
      <c r="J909">
        <v>0.28924706996731786</v>
      </c>
      <c r="K909">
        <f t="shared" si="127"/>
        <v>1</v>
      </c>
      <c r="L909">
        <f t="shared" si="128"/>
        <v>0.28924706996731786</v>
      </c>
      <c r="M909">
        <f t="shared" si="131"/>
        <v>1</v>
      </c>
      <c r="N909">
        <f t="shared" si="129"/>
        <v>1</v>
      </c>
      <c r="O909">
        <f t="shared" si="130"/>
        <v>76</v>
      </c>
      <c r="P909">
        <f t="shared" si="132"/>
        <v>0</v>
      </c>
      <c r="R909">
        <f t="shared" si="133"/>
        <v>0</v>
      </c>
      <c r="S909">
        <f t="shared" si="134"/>
        <v>0</v>
      </c>
      <c r="T909">
        <f t="shared" si="135"/>
        <v>0</v>
      </c>
    </row>
    <row r="910" spans="10:20" x14ac:dyDescent="0.25">
      <c r="J910">
        <v>0.44988855473379297</v>
      </c>
      <c r="K910">
        <f t="shared" si="127"/>
        <v>0</v>
      </c>
      <c r="L910">
        <f t="shared" si="128"/>
        <v>0</v>
      </c>
      <c r="M910">
        <f t="shared" si="131"/>
        <v>0</v>
      </c>
      <c r="N910">
        <f t="shared" si="129"/>
        <v>2</v>
      </c>
      <c r="O910">
        <f t="shared" si="130"/>
        <v>76</v>
      </c>
      <c r="P910">
        <f t="shared" si="132"/>
        <v>0</v>
      </c>
      <c r="R910">
        <f t="shared" si="133"/>
        <v>0</v>
      </c>
      <c r="S910">
        <f t="shared" si="134"/>
        <v>0</v>
      </c>
      <c r="T910">
        <f t="shared" si="135"/>
        <v>0</v>
      </c>
    </row>
    <row r="911" spans="10:20" x14ac:dyDescent="0.25">
      <c r="J911">
        <v>0.843839226622352</v>
      </c>
      <c r="K911">
        <f t="shared" si="127"/>
        <v>1</v>
      </c>
      <c r="L911">
        <f t="shared" si="128"/>
        <v>0.843839226622352</v>
      </c>
      <c r="M911">
        <f t="shared" si="131"/>
        <v>1</v>
      </c>
      <c r="N911">
        <f t="shared" si="129"/>
        <v>2</v>
      </c>
      <c r="O911">
        <f t="shared" si="130"/>
        <v>76</v>
      </c>
      <c r="P911">
        <f t="shared" si="132"/>
        <v>0</v>
      </c>
      <c r="R911">
        <f t="shared" si="133"/>
        <v>0</v>
      </c>
      <c r="S911">
        <f t="shared" si="134"/>
        <v>0</v>
      </c>
      <c r="T911">
        <f t="shared" si="135"/>
        <v>0</v>
      </c>
    </row>
    <row r="912" spans="10:20" x14ac:dyDescent="0.25">
      <c r="J912">
        <v>0.54965233281113923</v>
      </c>
      <c r="K912">
        <f t="shared" si="127"/>
        <v>0</v>
      </c>
      <c r="L912">
        <f t="shared" si="128"/>
        <v>0</v>
      </c>
      <c r="M912">
        <f t="shared" si="131"/>
        <v>0</v>
      </c>
      <c r="N912">
        <f t="shared" si="129"/>
        <v>3</v>
      </c>
      <c r="O912">
        <f t="shared" si="130"/>
        <v>76</v>
      </c>
      <c r="P912">
        <f t="shared" si="132"/>
        <v>0</v>
      </c>
      <c r="R912">
        <f t="shared" si="133"/>
        <v>0</v>
      </c>
      <c r="S912">
        <f t="shared" si="134"/>
        <v>0</v>
      </c>
      <c r="T912">
        <f t="shared" si="135"/>
        <v>0</v>
      </c>
    </row>
    <row r="913" spans="10:20" x14ac:dyDescent="0.25">
      <c r="J913">
        <v>0.23561746198694489</v>
      </c>
      <c r="K913">
        <f t="shared" si="127"/>
        <v>1</v>
      </c>
      <c r="L913">
        <f t="shared" si="128"/>
        <v>0.23561746198694489</v>
      </c>
      <c r="M913">
        <f t="shared" si="131"/>
        <v>1</v>
      </c>
      <c r="N913">
        <f t="shared" si="129"/>
        <v>3</v>
      </c>
      <c r="O913">
        <f t="shared" si="130"/>
        <v>76</v>
      </c>
      <c r="P913">
        <f t="shared" si="132"/>
        <v>0</v>
      </c>
      <c r="R913">
        <f t="shared" si="133"/>
        <v>0</v>
      </c>
      <c r="S913">
        <f t="shared" si="134"/>
        <v>0</v>
      </c>
      <c r="T913">
        <f t="shared" si="135"/>
        <v>0</v>
      </c>
    </row>
    <row r="914" spans="10:20" x14ac:dyDescent="0.25">
      <c r="J914">
        <v>0.2558526382086016</v>
      </c>
      <c r="K914">
        <f t="shared" si="127"/>
        <v>0</v>
      </c>
      <c r="L914">
        <f t="shared" si="128"/>
        <v>0</v>
      </c>
      <c r="M914">
        <f t="shared" si="131"/>
        <v>0</v>
      </c>
      <c r="N914">
        <f t="shared" si="129"/>
        <v>4</v>
      </c>
      <c r="O914">
        <f t="shared" si="130"/>
        <v>76</v>
      </c>
      <c r="P914">
        <f t="shared" si="132"/>
        <v>0</v>
      </c>
      <c r="R914">
        <f t="shared" si="133"/>
        <v>0</v>
      </c>
      <c r="S914">
        <f t="shared" si="134"/>
        <v>0</v>
      </c>
      <c r="T914">
        <f t="shared" si="135"/>
        <v>0</v>
      </c>
    </row>
    <row r="915" spans="10:20" x14ac:dyDescent="0.25">
      <c r="J915">
        <v>0.43128419563921305</v>
      </c>
      <c r="K915">
        <f t="shared" si="127"/>
        <v>1</v>
      </c>
      <c r="L915">
        <f t="shared" si="128"/>
        <v>0.43128419563921305</v>
      </c>
      <c r="M915">
        <f t="shared" si="131"/>
        <v>1</v>
      </c>
      <c r="N915">
        <f t="shared" si="129"/>
        <v>4</v>
      </c>
      <c r="O915">
        <f t="shared" si="130"/>
        <v>76</v>
      </c>
      <c r="P915">
        <f t="shared" si="132"/>
        <v>0</v>
      </c>
      <c r="R915">
        <f t="shared" si="133"/>
        <v>0</v>
      </c>
      <c r="S915">
        <f t="shared" si="134"/>
        <v>0</v>
      </c>
      <c r="T915">
        <f t="shared" si="135"/>
        <v>0</v>
      </c>
    </row>
    <row r="916" spans="10:20" x14ac:dyDescent="0.25">
      <c r="J916">
        <v>0.1279683603799433</v>
      </c>
      <c r="K916">
        <f t="shared" si="127"/>
        <v>0</v>
      </c>
      <c r="L916">
        <f t="shared" si="128"/>
        <v>0</v>
      </c>
      <c r="M916">
        <f t="shared" si="131"/>
        <v>0</v>
      </c>
      <c r="N916">
        <f t="shared" si="129"/>
        <v>5</v>
      </c>
      <c r="O916">
        <f t="shared" si="130"/>
        <v>76</v>
      </c>
      <c r="P916">
        <f t="shared" si="132"/>
        <v>0</v>
      </c>
      <c r="R916">
        <f t="shared" si="133"/>
        <v>0</v>
      </c>
      <c r="S916">
        <f t="shared" si="134"/>
        <v>0</v>
      </c>
      <c r="T916">
        <f t="shared" si="135"/>
        <v>0</v>
      </c>
    </row>
    <row r="917" spans="10:20" x14ac:dyDescent="0.25">
      <c r="J917">
        <v>0.89063975764920245</v>
      </c>
      <c r="K917">
        <f t="shared" si="127"/>
        <v>1</v>
      </c>
      <c r="L917">
        <f t="shared" si="128"/>
        <v>0.89063975764920245</v>
      </c>
      <c r="M917">
        <f t="shared" si="131"/>
        <v>1</v>
      </c>
      <c r="N917">
        <f t="shared" si="129"/>
        <v>5</v>
      </c>
      <c r="O917">
        <f t="shared" si="130"/>
        <v>76</v>
      </c>
      <c r="P917">
        <f t="shared" si="132"/>
        <v>0</v>
      </c>
      <c r="R917">
        <f t="shared" si="133"/>
        <v>0</v>
      </c>
      <c r="S917">
        <f t="shared" si="134"/>
        <v>0</v>
      </c>
      <c r="T917">
        <f t="shared" si="135"/>
        <v>0</v>
      </c>
    </row>
    <row r="918" spans="10:20" x14ac:dyDescent="0.25">
      <c r="J918">
        <v>0.51925119087934191</v>
      </c>
      <c r="K918">
        <f t="shared" si="127"/>
        <v>0</v>
      </c>
      <c r="L918">
        <f t="shared" si="128"/>
        <v>0</v>
      </c>
      <c r="M918">
        <f t="shared" si="131"/>
        <v>0</v>
      </c>
      <c r="N918">
        <f t="shared" si="129"/>
        <v>6</v>
      </c>
      <c r="O918">
        <f t="shared" si="130"/>
        <v>76</v>
      </c>
      <c r="P918">
        <f t="shared" si="132"/>
        <v>0</v>
      </c>
      <c r="R918">
        <f t="shared" si="133"/>
        <v>0</v>
      </c>
      <c r="S918">
        <f t="shared" si="134"/>
        <v>0</v>
      </c>
      <c r="T918">
        <f t="shared" si="135"/>
        <v>0</v>
      </c>
    </row>
    <row r="919" spans="10:20" x14ac:dyDescent="0.25">
      <c r="J919">
        <v>0.38325345569725122</v>
      </c>
      <c r="K919">
        <f t="shared" si="127"/>
        <v>1</v>
      </c>
      <c r="L919">
        <f t="shared" si="128"/>
        <v>0.38325345569725122</v>
      </c>
      <c r="M919">
        <f t="shared" si="131"/>
        <v>1</v>
      </c>
      <c r="N919">
        <f t="shared" si="129"/>
        <v>6</v>
      </c>
      <c r="O919">
        <f t="shared" si="130"/>
        <v>76</v>
      </c>
      <c r="P919">
        <f t="shared" si="132"/>
        <v>0</v>
      </c>
      <c r="R919">
        <f t="shared" si="133"/>
        <v>0</v>
      </c>
      <c r="S919">
        <f t="shared" si="134"/>
        <v>0</v>
      </c>
      <c r="T919">
        <f t="shared" si="135"/>
        <v>0</v>
      </c>
    </row>
    <row r="920" spans="10:20" x14ac:dyDescent="0.25">
      <c r="J920">
        <v>0.7690243369678893</v>
      </c>
      <c r="K920">
        <f t="shared" ref="K920:K983" si="136">IF(K919=1,0,1)</f>
        <v>0</v>
      </c>
      <c r="L920">
        <f t="shared" ref="L920:L983" si="137">K920*J920</f>
        <v>0</v>
      </c>
      <c r="M920">
        <f t="shared" si="131"/>
        <v>0</v>
      </c>
      <c r="N920">
        <f t="shared" ref="N920:N983" si="138">IF(N919&lt;$N$2,N919+M919,1)</f>
        <v>7</v>
      </c>
      <c r="O920">
        <f t="shared" ref="O920:O983" si="139">IF(AND(N920=1,M920=1),O919+1,O919)</f>
        <v>76</v>
      </c>
      <c r="P920">
        <f t="shared" si="132"/>
        <v>0</v>
      </c>
      <c r="R920">
        <f t="shared" si="133"/>
        <v>0</v>
      </c>
      <c r="S920">
        <f t="shared" si="134"/>
        <v>0</v>
      </c>
      <c r="T920">
        <f t="shared" si="135"/>
        <v>0</v>
      </c>
    </row>
    <row r="921" spans="10:20" x14ac:dyDescent="0.25">
      <c r="J921">
        <v>0.35993951855435824</v>
      </c>
      <c r="K921">
        <f t="shared" si="136"/>
        <v>1</v>
      </c>
      <c r="L921">
        <f t="shared" si="137"/>
        <v>0.35993951855435824</v>
      </c>
      <c r="M921">
        <f t="shared" si="131"/>
        <v>1</v>
      </c>
      <c r="N921">
        <f t="shared" si="138"/>
        <v>1</v>
      </c>
      <c r="O921">
        <f t="shared" si="139"/>
        <v>77</v>
      </c>
      <c r="P921">
        <f t="shared" si="132"/>
        <v>0</v>
      </c>
      <c r="R921">
        <f t="shared" si="133"/>
        <v>0</v>
      </c>
      <c r="S921">
        <f t="shared" si="134"/>
        <v>0</v>
      </c>
      <c r="T921">
        <f t="shared" si="135"/>
        <v>0</v>
      </c>
    </row>
    <row r="922" spans="10:20" x14ac:dyDescent="0.25">
      <c r="J922">
        <v>5.8190376853607395E-3</v>
      </c>
      <c r="K922">
        <f t="shared" si="136"/>
        <v>0</v>
      </c>
      <c r="L922">
        <f t="shared" si="137"/>
        <v>0</v>
      </c>
      <c r="M922">
        <f t="shared" si="131"/>
        <v>0</v>
      </c>
      <c r="N922">
        <f t="shared" si="138"/>
        <v>2</v>
      </c>
      <c r="O922">
        <f t="shared" si="139"/>
        <v>77</v>
      </c>
      <c r="P922">
        <f t="shared" si="132"/>
        <v>0</v>
      </c>
      <c r="R922">
        <f t="shared" si="133"/>
        <v>0</v>
      </c>
      <c r="S922">
        <f t="shared" si="134"/>
        <v>0</v>
      </c>
      <c r="T922">
        <f t="shared" si="135"/>
        <v>0</v>
      </c>
    </row>
    <row r="923" spans="10:20" x14ac:dyDescent="0.25">
      <c r="J923">
        <v>0.70419417966915288</v>
      </c>
      <c r="K923">
        <f t="shared" si="136"/>
        <v>1</v>
      </c>
      <c r="L923">
        <f t="shared" si="137"/>
        <v>0.70419417966915288</v>
      </c>
      <c r="M923">
        <f t="shared" si="131"/>
        <v>1</v>
      </c>
      <c r="N923">
        <f t="shared" si="138"/>
        <v>2</v>
      </c>
      <c r="O923">
        <f t="shared" si="139"/>
        <v>77</v>
      </c>
      <c r="P923">
        <f t="shared" si="132"/>
        <v>0</v>
      </c>
      <c r="R923">
        <f t="shared" si="133"/>
        <v>0</v>
      </c>
      <c r="S923">
        <f t="shared" si="134"/>
        <v>0</v>
      </c>
      <c r="T923">
        <f t="shared" si="135"/>
        <v>0</v>
      </c>
    </row>
    <row r="924" spans="10:20" x14ac:dyDescent="0.25">
      <c r="J924">
        <v>5.2979738632015105E-2</v>
      </c>
      <c r="K924">
        <f t="shared" si="136"/>
        <v>0</v>
      </c>
      <c r="L924">
        <f t="shared" si="137"/>
        <v>0</v>
      </c>
      <c r="M924">
        <f t="shared" si="131"/>
        <v>0</v>
      </c>
      <c r="N924">
        <f t="shared" si="138"/>
        <v>3</v>
      </c>
      <c r="O924">
        <f t="shared" si="139"/>
        <v>77</v>
      </c>
      <c r="P924">
        <f t="shared" si="132"/>
        <v>0</v>
      </c>
      <c r="R924">
        <f t="shared" si="133"/>
        <v>0</v>
      </c>
      <c r="S924">
        <f t="shared" si="134"/>
        <v>0</v>
      </c>
      <c r="T924">
        <f t="shared" si="135"/>
        <v>0</v>
      </c>
    </row>
    <row r="925" spans="10:20" x14ac:dyDescent="0.25">
      <c r="J925">
        <v>0.21499130233671693</v>
      </c>
      <c r="K925">
        <f t="shared" si="136"/>
        <v>1</v>
      </c>
      <c r="L925">
        <f t="shared" si="137"/>
        <v>0.21499130233671693</v>
      </c>
      <c r="M925">
        <f t="shared" si="131"/>
        <v>1</v>
      </c>
      <c r="N925">
        <f t="shared" si="138"/>
        <v>3</v>
      </c>
      <c r="O925">
        <f t="shared" si="139"/>
        <v>77</v>
      </c>
      <c r="P925">
        <f t="shared" si="132"/>
        <v>0</v>
      </c>
      <c r="R925">
        <f t="shared" si="133"/>
        <v>0</v>
      </c>
      <c r="S925">
        <f t="shared" si="134"/>
        <v>0</v>
      </c>
      <c r="T925">
        <f t="shared" si="135"/>
        <v>0</v>
      </c>
    </row>
    <row r="926" spans="10:20" x14ac:dyDescent="0.25">
      <c r="J926">
        <v>0.27868493648094905</v>
      </c>
      <c r="K926">
        <f t="shared" si="136"/>
        <v>0</v>
      </c>
      <c r="L926">
        <f t="shared" si="137"/>
        <v>0</v>
      </c>
      <c r="M926">
        <f t="shared" si="131"/>
        <v>0</v>
      </c>
      <c r="N926">
        <f t="shared" si="138"/>
        <v>4</v>
      </c>
      <c r="O926">
        <f t="shared" si="139"/>
        <v>77</v>
      </c>
      <c r="P926">
        <f t="shared" si="132"/>
        <v>0</v>
      </c>
      <c r="R926">
        <f t="shared" si="133"/>
        <v>0</v>
      </c>
      <c r="S926">
        <f t="shared" si="134"/>
        <v>0</v>
      </c>
      <c r="T926">
        <f t="shared" si="135"/>
        <v>0</v>
      </c>
    </row>
    <row r="927" spans="10:20" x14ac:dyDescent="0.25">
      <c r="J927">
        <v>0.17372120662641111</v>
      </c>
      <c r="K927">
        <f t="shared" si="136"/>
        <v>1</v>
      </c>
      <c r="L927">
        <f t="shared" si="137"/>
        <v>0.17372120662641111</v>
      </c>
      <c r="M927">
        <f t="shared" si="131"/>
        <v>1</v>
      </c>
      <c r="N927">
        <f t="shared" si="138"/>
        <v>4</v>
      </c>
      <c r="O927">
        <f t="shared" si="139"/>
        <v>77</v>
      </c>
      <c r="P927">
        <f t="shared" si="132"/>
        <v>0</v>
      </c>
      <c r="R927">
        <f t="shared" si="133"/>
        <v>0</v>
      </c>
      <c r="S927">
        <f t="shared" si="134"/>
        <v>0</v>
      </c>
      <c r="T927">
        <f t="shared" si="135"/>
        <v>0</v>
      </c>
    </row>
    <row r="928" spans="10:20" x14ac:dyDescent="0.25">
      <c r="J928">
        <v>0.31434218127870761</v>
      </c>
      <c r="K928">
        <f t="shared" si="136"/>
        <v>0</v>
      </c>
      <c r="L928">
        <f t="shared" si="137"/>
        <v>0</v>
      </c>
      <c r="M928">
        <f t="shared" si="131"/>
        <v>0</v>
      </c>
      <c r="N928">
        <f t="shared" si="138"/>
        <v>5</v>
      </c>
      <c r="O928">
        <f t="shared" si="139"/>
        <v>77</v>
      </c>
      <c r="P928">
        <f t="shared" si="132"/>
        <v>0</v>
      </c>
      <c r="R928">
        <f t="shared" si="133"/>
        <v>0</v>
      </c>
      <c r="S928">
        <f t="shared" si="134"/>
        <v>0</v>
      </c>
      <c r="T928">
        <f t="shared" si="135"/>
        <v>0</v>
      </c>
    </row>
    <row r="929" spans="10:20" x14ac:dyDescent="0.25">
      <c r="J929">
        <v>0.1086483094947398</v>
      </c>
      <c r="K929">
        <f t="shared" si="136"/>
        <v>1</v>
      </c>
      <c r="L929">
        <f t="shared" si="137"/>
        <v>0.1086483094947398</v>
      </c>
      <c r="M929">
        <f t="shared" si="131"/>
        <v>1</v>
      </c>
      <c r="N929">
        <f t="shared" si="138"/>
        <v>5</v>
      </c>
      <c r="O929">
        <f t="shared" si="139"/>
        <v>77</v>
      </c>
      <c r="P929">
        <f t="shared" si="132"/>
        <v>0</v>
      </c>
      <c r="R929">
        <f t="shared" si="133"/>
        <v>0</v>
      </c>
      <c r="S929">
        <f t="shared" si="134"/>
        <v>0</v>
      </c>
      <c r="T929">
        <f t="shared" si="135"/>
        <v>0</v>
      </c>
    </row>
    <row r="930" spans="10:20" x14ac:dyDescent="0.25">
      <c r="J930">
        <v>0.93900546399956109</v>
      </c>
      <c r="K930">
        <f t="shared" si="136"/>
        <v>0</v>
      </c>
      <c r="L930">
        <f t="shared" si="137"/>
        <v>0</v>
      </c>
      <c r="M930">
        <f t="shared" si="131"/>
        <v>0</v>
      </c>
      <c r="N930">
        <f t="shared" si="138"/>
        <v>6</v>
      </c>
      <c r="O930">
        <f t="shared" si="139"/>
        <v>77</v>
      </c>
      <c r="P930">
        <f t="shared" si="132"/>
        <v>0</v>
      </c>
      <c r="R930">
        <f t="shared" si="133"/>
        <v>0</v>
      </c>
      <c r="S930">
        <f t="shared" si="134"/>
        <v>0</v>
      </c>
      <c r="T930">
        <f t="shared" si="135"/>
        <v>0</v>
      </c>
    </row>
    <row r="931" spans="10:20" x14ac:dyDescent="0.25">
      <c r="J931">
        <v>0.52430851983996341</v>
      </c>
      <c r="K931">
        <f t="shared" si="136"/>
        <v>1</v>
      </c>
      <c r="L931">
        <f t="shared" si="137"/>
        <v>0.52430851983996341</v>
      </c>
      <c r="M931">
        <f t="shared" si="131"/>
        <v>1</v>
      </c>
      <c r="N931">
        <f t="shared" si="138"/>
        <v>6</v>
      </c>
      <c r="O931">
        <f t="shared" si="139"/>
        <v>77</v>
      </c>
      <c r="P931">
        <f t="shared" si="132"/>
        <v>0</v>
      </c>
      <c r="R931">
        <f t="shared" si="133"/>
        <v>0</v>
      </c>
      <c r="S931">
        <f t="shared" si="134"/>
        <v>0</v>
      </c>
      <c r="T931">
        <f t="shared" si="135"/>
        <v>0</v>
      </c>
    </row>
    <row r="932" spans="10:20" x14ac:dyDescent="0.25">
      <c r="J932">
        <v>0.41710285199836217</v>
      </c>
      <c r="K932">
        <f t="shared" si="136"/>
        <v>0</v>
      </c>
      <c r="L932">
        <f t="shared" si="137"/>
        <v>0</v>
      </c>
      <c r="M932">
        <f t="shared" si="131"/>
        <v>0</v>
      </c>
      <c r="N932">
        <f t="shared" si="138"/>
        <v>7</v>
      </c>
      <c r="O932">
        <f t="shared" si="139"/>
        <v>77</v>
      </c>
      <c r="P932">
        <f t="shared" si="132"/>
        <v>0</v>
      </c>
      <c r="R932">
        <f t="shared" si="133"/>
        <v>0</v>
      </c>
      <c r="S932">
        <f t="shared" si="134"/>
        <v>0</v>
      </c>
      <c r="T932">
        <f t="shared" si="135"/>
        <v>0</v>
      </c>
    </row>
    <row r="933" spans="10:20" x14ac:dyDescent="0.25">
      <c r="J933">
        <v>0.91132115077692499</v>
      </c>
      <c r="K933">
        <f t="shared" si="136"/>
        <v>1</v>
      </c>
      <c r="L933">
        <f t="shared" si="137"/>
        <v>0.91132115077692499</v>
      </c>
      <c r="M933">
        <f t="shared" si="131"/>
        <v>1</v>
      </c>
      <c r="N933">
        <f t="shared" si="138"/>
        <v>1</v>
      </c>
      <c r="O933">
        <f t="shared" si="139"/>
        <v>78</v>
      </c>
      <c r="P933">
        <f t="shared" si="132"/>
        <v>0</v>
      </c>
      <c r="R933">
        <f t="shared" si="133"/>
        <v>0</v>
      </c>
      <c r="S933">
        <f t="shared" si="134"/>
        <v>0</v>
      </c>
      <c r="T933">
        <f t="shared" si="135"/>
        <v>0</v>
      </c>
    </row>
    <row r="934" spans="10:20" x14ac:dyDescent="0.25">
      <c r="J934">
        <v>0.75424066475350326</v>
      </c>
      <c r="K934">
        <f t="shared" si="136"/>
        <v>0</v>
      </c>
      <c r="L934">
        <f t="shared" si="137"/>
        <v>0</v>
      </c>
      <c r="M934">
        <f t="shared" si="131"/>
        <v>0</v>
      </c>
      <c r="N934">
        <f t="shared" si="138"/>
        <v>2</v>
      </c>
      <c r="O934">
        <f t="shared" si="139"/>
        <v>78</v>
      </c>
      <c r="P934">
        <f t="shared" si="132"/>
        <v>0</v>
      </c>
      <c r="R934">
        <f t="shared" si="133"/>
        <v>0</v>
      </c>
      <c r="S934">
        <f t="shared" si="134"/>
        <v>0</v>
      </c>
      <c r="T934">
        <f t="shared" si="135"/>
        <v>0</v>
      </c>
    </row>
    <row r="935" spans="10:20" x14ac:dyDescent="0.25">
      <c r="J935">
        <v>0.69864038517391869</v>
      </c>
      <c r="K935">
        <f t="shared" si="136"/>
        <v>1</v>
      </c>
      <c r="L935">
        <f t="shared" si="137"/>
        <v>0.69864038517391869</v>
      </c>
      <c r="M935">
        <f t="shared" si="131"/>
        <v>1</v>
      </c>
      <c r="N935">
        <f t="shared" si="138"/>
        <v>2</v>
      </c>
      <c r="O935">
        <f t="shared" si="139"/>
        <v>78</v>
      </c>
      <c r="P935">
        <f t="shared" si="132"/>
        <v>0</v>
      </c>
      <c r="R935">
        <f t="shared" si="133"/>
        <v>0</v>
      </c>
      <c r="S935">
        <f t="shared" si="134"/>
        <v>0</v>
      </c>
      <c r="T935">
        <f t="shared" si="135"/>
        <v>0</v>
      </c>
    </row>
    <row r="936" spans="10:20" x14ac:dyDescent="0.25">
      <c r="J936">
        <v>0.32457269640662245</v>
      </c>
      <c r="K936">
        <f t="shared" si="136"/>
        <v>0</v>
      </c>
      <c r="L936">
        <f t="shared" si="137"/>
        <v>0</v>
      </c>
      <c r="M936">
        <f t="shared" si="131"/>
        <v>0</v>
      </c>
      <c r="N936">
        <f t="shared" si="138"/>
        <v>3</v>
      </c>
      <c r="O936">
        <f t="shared" si="139"/>
        <v>78</v>
      </c>
      <c r="P936">
        <f t="shared" si="132"/>
        <v>0</v>
      </c>
      <c r="R936">
        <f t="shared" si="133"/>
        <v>0</v>
      </c>
      <c r="S936">
        <f t="shared" si="134"/>
        <v>0</v>
      </c>
      <c r="T936">
        <f t="shared" si="135"/>
        <v>0</v>
      </c>
    </row>
    <row r="937" spans="10:20" x14ac:dyDescent="0.25">
      <c r="J937">
        <v>0.49069415079505929</v>
      </c>
      <c r="K937">
        <f t="shared" si="136"/>
        <v>1</v>
      </c>
      <c r="L937">
        <f t="shared" si="137"/>
        <v>0.49069415079505929</v>
      </c>
      <c r="M937">
        <f t="shared" si="131"/>
        <v>1</v>
      </c>
      <c r="N937">
        <f t="shared" si="138"/>
        <v>3</v>
      </c>
      <c r="O937">
        <f t="shared" si="139"/>
        <v>78</v>
      </c>
      <c r="P937">
        <f t="shared" si="132"/>
        <v>0</v>
      </c>
      <c r="R937">
        <f t="shared" si="133"/>
        <v>0</v>
      </c>
      <c r="S937">
        <f t="shared" si="134"/>
        <v>0</v>
      </c>
      <c r="T937">
        <f t="shared" si="135"/>
        <v>0</v>
      </c>
    </row>
    <row r="938" spans="10:20" x14ac:dyDescent="0.25">
      <c r="J938">
        <v>0.80611212529787324</v>
      </c>
      <c r="K938">
        <f t="shared" si="136"/>
        <v>0</v>
      </c>
      <c r="L938">
        <f t="shared" si="137"/>
        <v>0</v>
      </c>
      <c r="M938">
        <f t="shared" si="131"/>
        <v>0</v>
      </c>
      <c r="N938">
        <f t="shared" si="138"/>
        <v>4</v>
      </c>
      <c r="O938">
        <f t="shared" si="139"/>
        <v>78</v>
      </c>
      <c r="P938">
        <f t="shared" si="132"/>
        <v>0</v>
      </c>
      <c r="R938">
        <f t="shared" si="133"/>
        <v>0</v>
      </c>
      <c r="S938">
        <f t="shared" si="134"/>
        <v>0</v>
      </c>
      <c r="T938">
        <f t="shared" si="135"/>
        <v>0</v>
      </c>
    </row>
    <row r="939" spans="10:20" x14ac:dyDescent="0.25">
      <c r="J939">
        <v>0.87505727547234458</v>
      </c>
      <c r="K939">
        <f t="shared" si="136"/>
        <v>1</v>
      </c>
      <c r="L939">
        <f t="shared" si="137"/>
        <v>0.87505727547234458</v>
      </c>
      <c r="M939">
        <f t="shared" si="131"/>
        <v>1</v>
      </c>
      <c r="N939">
        <f t="shared" si="138"/>
        <v>4</v>
      </c>
      <c r="O939">
        <f t="shared" si="139"/>
        <v>78</v>
      </c>
      <c r="P939">
        <f t="shared" si="132"/>
        <v>0</v>
      </c>
      <c r="R939">
        <f t="shared" si="133"/>
        <v>0</v>
      </c>
      <c r="S939">
        <f t="shared" si="134"/>
        <v>0</v>
      </c>
      <c r="T939">
        <f t="shared" si="135"/>
        <v>0</v>
      </c>
    </row>
    <row r="940" spans="10:20" x14ac:dyDescent="0.25">
      <c r="J940">
        <v>9.1323210615434469E-2</v>
      </c>
      <c r="K940">
        <f t="shared" si="136"/>
        <v>0</v>
      </c>
      <c r="L940">
        <f t="shared" si="137"/>
        <v>0</v>
      </c>
      <c r="M940">
        <f t="shared" si="131"/>
        <v>0</v>
      </c>
      <c r="N940">
        <f t="shared" si="138"/>
        <v>5</v>
      </c>
      <c r="O940">
        <f t="shared" si="139"/>
        <v>78</v>
      </c>
      <c r="P940">
        <f t="shared" si="132"/>
        <v>0</v>
      </c>
      <c r="R940">
        <f t="shared" si="133"/>
        <v>0</v>
      </c>
      <c r="S940">
        <f t="shared" si="134"/>
        <v>0</v>
      </c>
      <c r="T940">
        <f t="shared" si="135"/>
        <v>0</v>
      </c>
    </row>
    <row r="941" spans="10:20" x14ac:dyDescent="0.25">
      <c r="J941">
        <v>0.44070449241644927</v>
      </c>
      <c r="K941">
        <f t="shared" si="136"/>
        <v>1</v>
      </c>
      <c r="L941">
        <f t="shared" si="137"/>
        <v>0.44070449241644927</v>
      </c>
      <c r="M941">
        <f t="shared" si="131"/>
        <v>1</v>
      </c>
      <c r="N941">
        <f t="shared" si="138"/>
        <v>5</v>
      </c>
      <c r="O941">
        <f t="shared" si="139"/>
        <v>78</v>
      </c>
      <c r="P941">
        <f t="shared" si="132"/>
        <v>0</v>
      </c>
      <c r="R941">
        <f t="shared" si="133"/>
        <v>0</v>
      </c>
      <c r="S941">
        <f t="shared" si="134"/>
        <v>0</v>
      </c>
      <c r="T941">
        <f t="shared" si="135"/>
        <v>0</v>
      </c>
    </row>
    <row r="942" spans="10:20" x14ac:dyDescent="0.25">
      <c r="J942">
        <v>8.4548635526900728E-2</v>
      </c>
      <c r="K942">
        <f t="shared" si="136"/>
        <v>0</v>
      </c>
      <c r="L942">
        <f t="shared" si="137"/>
        <v>0</v>
      </c>
      <c r="M942">
        <f t="shared" si="131"/>
        <v>0</v>
      </c>
      <c r="N942">
        <f t="shared" si="138"/>
        <v>6</v>
      </c>
      <c r="O942">
        <f t="shared" si="139"/>
        <v>78</v>
      </c>
      <c r="P942">
        <f t="shared" si="132"/>
        <v>0</v>
      </c>
      <c r="R942">
        <f t="shared" si="133"/>
        <v>0</v>
      </c>
      <c r="S942">
        <f t="shared" si="134"/>
        <v>0</v>
      </c>
      <c r="T942">
        <f t="shared" si="135"/>
        <v>0</v>
      </c>
    </row>
    <row r="943" spans="10:20" x14ac:dyDescent="0.25">
      <c r="J943">
        <v>0.11119961028034808</v>
      </c>
      <c r="K943">
        <f t="shared" si="136"/>
        <v>1</v>
      </c>
      <c r="L943">
        <f t="shared" si="137"/>
        <v>0.11119961028034808</v>
      </c>
      <c r="M943">
        <f t="shared" si="131"/>
        <v>1</v>
      </c>
      <c r="N943">
        <f t="shared" si="138"/>
        <v>6</v>
      </c>
      <c r="O943">
        <f t="shared" si="139"/>
        <v>78</v>
      </c>
      <c r="P943">
        <f t="shared" si="132"/>
        <v>0</v>
      </c>
      <c r="R943">
        <f t="shared" si="133"/>
        <v>0</v>
      </c>
      <c r="S943">
        <f t="shared" si="134"/>
        <v>0</v>
      </c>
      <c r="T943">
        <f t="shared" si="135"/>
        <v>0</v>
      </c>
    </row>
    <row r="944" spans="10:20" x14ac:dyDescent="0.25">
      <c r="J944">
        <v>0.53353497648691028</v>
      </c>
      <c r="K944">
        <f t="shared" si="136"/>
        <v>0</v>
      </c>
      <c r="L944">
        <f t="shared" si="137"/>
        <v>0</v>
      </c>
      <c r="M944">
        <f t="shared" si="131"/>
        <v>0</v>
      </c>
      <c r="N944">
        <f t="shared" si="138"/>
        <v>7</v>
      </c>
      <c r="O944">
        <f t="shared" si="139"/>
        <v>78</v>
      </c>
      <c r="P944">
        <f t="shared" si="132"/>
        <v>0</v>
      </c>
      <c r="R944">
        <f t="shared" si="133"/>
        <v>0</v>
      </c>
      <c r="S944">
        <f t="shared" si="134"/>
        <v>0</v>
      </c>
      <c r="T944">
        <f t="shared" si="135"/>
        <v>0</v>
      </c>
    </row>
    <row r="945" spans="10:20" x14ac:dyDescent="0.25">
      <c r="J945">
        <v>5.0026157396424908E-2</v>
      </c>
      <c r="K945">
        <f t="shared" si="136"/>
        <v>1</v>
      </c>
      <c r="L945">
        <f t="shared" si="137"/>
        <v>5.0026157396424908E-2</v>
      </c>
      <c r="M945">
        <f t="shared" si="131"/>
        <v>1</v>
      </c>
      <c r="N945">
        <f t="shared" si="138"/>
        <v>1</v>
      </c>
      <c r="O945">
        <f t="shared" si="139"/>
        <v>79</v>
      </c>
      <c r="P945">
        <f t="shared" si="132"/>
        <v>0</v>
      </c>
      <c r="R945">
        <f t="shared" si="133"/>
        <v>0</v>
      </c>
      <c r="S945">
        <f t="shared" si="134"/>
        <v>0</v>
      </c>
      <c r="T945">
        <f t="shared" si="135"/>
        <v>0</v>
      </c>
    </row>
    <row r="946" spans="10:20" x14ac:dyDescent="0.25">
      <c r="J946">
        <v>0.57014772234799815</v>
      </c>
      <c r="K946">
        <f t="shared" si="136"/>
        <v>0</v>
      </c>
      <c r="L946">
        <f t="shared" si="137"/>
        <v>0</v>
      </c>
      <c r="M946">
        <f t="shared" si="131"/>
        <v>0</v>
      </c>
      <c r="N946">
        <f t="shared" si="138"/>
        <v>2</v>
      </c>
      <c r="O946">
        <f t="shared" si="139"/>
        <v>79</v>
      </c>
      <c r="P946">
        <f t="shared" si="132"/>
        <v>0</v>
      </c>
      <c r="R946">
        <f t="shared" si="133"/>
        <v>0</v>
      </c>
      <c r="S946">
        <f t="shared" si="134"/>
        <v>0</v>
      </c>
      <c r="T946">
        <f t="shared" si="135"/>
        <v>0</v>
      </c>
    </row>
    <row r="947" spans="10:20" x14ac:dyDescent="0.25">
      <c r="J947">
        <v>0.20531387386468491</v>
      </c>
      <c r="K947">
        <f t="shared" si="136"/>
        <v>1</v>
      </c>
      <c r="L947">
        <f t="shared" si="137"/>
        <v>0.20531387386468491</v>
      </c>
      <c r="M947">
        <f t="shared" si="131"/>
        <v>1</v>
      </c>
      <c r="N947">
        <f t="shared" si="138"/>
        <v>2</v>
      </c>
      <c r="O947">
        <f t="shared" si="139"/>
        <v>79</v>
      </c>
      <c r="P947">
        <f t="shared" si="132"/>
        <v>0</v>
      </c>
      <c r="R947">
        <f t="shared" si="133"/>
        <v>0</v>
      </c>
      <c r="S947">
        <f t="shared" si="134"/>
        <v>0</v>
      </c>
      <c r="T947">
        <f t="shared" si="135"/>
        <v>0</v>
      </c>
    </row>
    <row r="948" spans="10:20" x14ac:dyDescent="0.25">
      <c r="J948">
        <v>0.22128438911982384</v>
      </c>
      <c r="K948">
        <f t="shared" si="136"/>
        <v>0</v>
      </c>
      <c r="L948">
        <f t="shared" si="137"/>
        <v>0</v>
      </c>
      <c r="M948">
        <f t="shared" si="131"/>
        <v>0</v>
      </c>
      <c r="N948">
        <f t="shared" si="138"/>
        <v>3</v>
      </c>
      <c r="O948">
        <f t="shared" si="139"/>
        <v>79</v>
      </c>
      <c r="P948">
        <f t="shared" si="132"/>
        <v>0</v>
      </c>
      <c r="R948">
        <f t="shared" si="133"/>
        <v>0</v>
      </c>
      <c r="S948">
        <f t="shared" si="134"/>
        <v>0</v>
      </c>
      <c r="T948">
        <f t="shared" si="135"/>
        <v>0</v>
      </c>
    </row>
    <row r="949" spans="10:20" x14ac:dyDescent="0.25">
      <c r="J949">
        <v>0.63322088422085321</v>
      </c>
      <c r="K949">
        <f t="shared" si="136"/>
        <v>1</v>
      </c>
      <c r="L949">
        <f t="shared" si="137"/>
        <v>0.63322088422085321</v>
      </c>
      <c r="M949">
        <f t="shared" si="131"/>
        <v>1</v>
      </c>
      <c r="N949">
        <f t="shared" si="138"/>
        <v>3</v>
      </c>
      <c r="O949">
        <f t="shared" si="139"/>
        <v>79</v>
      </c>
      <c r="P949">
        <f t="shared" si="132"/>
        <v>0</v>
      </c>
      <c r="R949">
        <f t="shared" si="133"/>
        <v>0</v>
      </c>
      <c r="S949">
        <f t="shared" si="134"/>
        <v>0</v>
      </c>
      <c r="T949">
        <f t="shared" si="135"/>
        <v>0</v>
      </c>
    </row>
    <row r="950" spans="10:20" x14ac:dyDescent="0.25">
      <c r="J950">
        <v>0.59102946399244682</v>
      </c>
      <c r="K950">
        <f t="shared" si="136"/>
        <v>0</v>
      </c>
      <c r="L950">
        <f t="shared" si="137"/>
        <v>0</v>
      </c>
      <c r="M950">
        <f t="shared" si="131"/>
        <v>0</v>
      </c>
      <c r="N950">
        <f t="shared" si="138"/>
        <v>4</v>
      </c>
      <c r="O950">
        <f t="shared" si="139"/>
        <v>79</v>
      </c>
      <c r="P950">
        <f t="shared" si="132"/>
        <v>0</v>
      </c>
      <c r="R950">
        <f t="shared" si="133"/>
        <v>0</v>
      </c>
      <c r="S950">
        <f t="shared" si="134"/>
        <v>0</v>
      </c>
      <c r="T950">
        <f t="shared" si="135"/>
        <v>0</v>
      </c>
    </row>
    <row r="951" spans="10:20" x14ac:dyDescent="0.25">
      <c r="J951">
        <v>0.13776875737724248</v>
      </c>
      <c r="K951">
        <f t="shared" si="136"/>
        <v>1</v>
      </c>
      <c r="L951">
        <f t="shared" si="137"/>
        <v>0.13776875737724248</v>
      </c>
      <c r="M951">
        <f t="shared" si="131"/>
        <v>1</v>
      </c>
      <c r="N951">
        <f t="shared" si="138"/>
        <v>4</v>
      </c>
      <c r="O951">
        <f t="shared" si="139"/>
        <v>79</v>
      </c>
      <c r="P951">
        <f t="shared" si="132"/>
        <v>0</v>
      </c>
      <c r="R951">
        <f t="shared" si="133"/>
        <v>0</v>
      </c>
      <c r="S951">
        <f t="shared" si="134"/>
        <v>0</v>
      </c>
      <c r="T951">
        <f t="shared" si="135"/>
        <v>0</v>
      </c>
    </row>
    <row r="952" spans="10:20" x14ac:dyDescent="0.25">
      <c r="J952">
        <v>2.3894018578954901E-3</v>
      </c>
      <c r="K952">
        <f t="shared" si="136"/>
        <v>0</v>
      </c>
      <c r="L952">
        <f t="shared" si="137"/>
        <v>0</v>
      </c>
      <c r="M952">
        <f t="shared" si="131"/>
        <v>0</v>
      </c>
      <c r="N952">
        <f t="shared" si="138"/>
        <v>5</v>
      </c>
      <c r="O952">
        <f t="shared" si="139"/>
        <v>79</v>
      </c>
      <c r="P952">
        <f t="shared" si="132"/>
        <v>0</v>
      </c>
      <c r="R952">
        <f t="shared" si="133"/>
        <v>0</v>
      </c>
      <c r="S952">
        <f t="shared" si="134"/>
        <v>0</v>
      </c>
      <c r="T952">
        <f t="shared" si="135"/>
        <v>0</v>
      </c>
    </row>
    <row r="953" spans="10:20" x14ac:dyDescent="0.25">
      <c r="J953">
        <v>0.1059265274725889</v>
      </c>
      <c r="K953">
        <f t="shared" si="136"/>
        <v>1</v>
      </c>
      <c r="L953">
        <f t="shared" si="137"/>
        <v>0.1059265274725889</v>
      </c>
      <c r="M953">
        <f t="shared" si="131"/>
        <v>1</v>
      </c>
      <c r="N953">
        <f t="shared" si="138"/>
        <v>5</v>
      </c>
      <c r="O953">
        <f t="shared" si="139"/>
        <v>79</v>
      </c>
      <c r="P953">
        <f t="shared" si="132"/>
        <v>0</v>
      </c>
      <c r="R953">
        <f t="shared" si="133"/>
        <v>0</v>
      </c>
      <c r="S953">
        <f t="shared" si="134"/>
        <v>0</v>
      </c>
      <c r="T953">
        <f t="shared" si="135"/>
        <v>0</v>
      </c>
    </row>
    <row r="954" spans="10:20" x14ac:dyDescent="0.25">
      <c r="J954">
        <v>0.31102095516911155</v>
      </c>
      <c r="K954">
        <f t="shared" si="136"/>
        <v>0</v>
      </c>
      <c r="L954">
        <f t="shared" si="137"/>
        <v>0</v>
      </c>
      <c r="M954">
        <f t="shared" si="131"/>
        <v>0</v>
      </c>
      <c r="N954">
        <f t="shared" si="138"/>
        <v>6</v>
      </c>
      <c r="O954">
        <f t="shared" si="139"/>
        <v>79</v>
      </c>
      <c r="P954">
        <f t="shared" si="132"/>
        <v>0</v>
      </c>
      <c r="R954">
        <f t="shared" si="133"/>
        <v>0</v>
      </c>
      <c r="S954">
        <f t="shared" si="134"/>
        <v>0</v>
      </c>
      <c r="T954">
        <f t="shared" si="135"/>
        <v>0</v>
      </c>
    </row>
    <row r="955" spans="10:20" x14ac:dyDescent="0.25">
      <c r="J955">
        <v>0.36639673610335188</v>
      </c>
      <c r="K955">
        <f t="shared" si="136"/>
        <v>1</v>
      </c>
      <c r="L955">
        <f t="shared" si="137"/>
        <v>0.36639673610335188</v>
      </c>
      <c r="M955">
        <f t="shared" si="131"/>
        <v>1</v>
      </c>
      <c r="N955">
        <f t="shared" si="138"/>
        <v>6</v>
      </c>
      <c r="O955">
        <f t="shared" si="139"/>
        <v>79</v>
      </c>
      <c r="P955">
        <f t="shared" si="132"/>
        <v>0</v>
      </c>
      <c r="R955">
        <f t="shared" si="133"/>
        <v>0</v>
      </c>
      <c r="S955">
        <f t="shared" si="134"/>
        <v>0</v>
      </c>
      <c r="T955">
        <f t="shared" si="135"/>
        <v>0</v>
      </c>
    </row>
    <row r="956" spans="10:20" x14ac:dyDescent="0.25">
      <c r="J956">
        <v>0.86821842591916853</v>
      </c>
      <c r="K956">
        <f t="shared" si="136"/>
        <v>0</v>
      </c>
      <c r="L956">
        <f t="shared" si="137"/>
        <v>0</v>
      </c>
      <c r="M956">
        <f t="shared" si="131"/>
        <v>0</v>
      </c>
      <c r="N956">
        <f t="shared" si="138"/>
        <v>7</v>
      </c>
      <c r="O956">
        <f t="shared" si="139"/>
        <v>79</v>
      </c>
      <c r="P956">
        <f t="shared" si="132"/>
        <v>0</v>
      </c>
      <c r="R956">
        <f t="shared" si="133"/>
        <v>0</v>
      </c>
      <c r="S956">
        <f t="shared" si="134"/>
        <v>0</v>
      </c>
      <c r="T956">
        <f t="shared" si="135"/>
        <v>0</v>
      </c>
    </row>
    <row r="957" spans="10:20" x14ac:dyDescent="0.25">
      <c r="J957">
        <v>0.71562956703444347</v>
      </c>
      <c r="K957">
        <f t="shared" si="136"/>
        <v>1</v>
      </c>
      <c r="L957">
        <f t="shared" si="137"/>
        <v>0.71562956703444347</v>
      </c>
      <c r="M957">
        <f t="shared" si="131"/>
        <v>1</v>
      </c>
      <c r="N957">
        <f t="shared" si="138"/>
        <v>1</v>
      </c>
      <c r="O957">
        <f t="shared" si="139"/>
        <v>80</v>
      </c>
      <c r="P957">
        <f t="shared" si="132"/>
        <v>0</v>
      </c>
      <c r="R957">
        <f t="shared" si="133"/>
        <v>0</v>
      </c>
      <c r="S957">
        <f t="shared" si="134"/>
        <v>0</v>
      </c>
      <c r="T957">
        <f t="shared" si="135"/>
        <v>0</v>
      </c>
    </row>
    <row r="958" spans="10:20" x14ac:dyDescent="0.25">
      <c r="J958">
        <v>0.31877672559850478</v>
      </c>
      <c r="K958">
        <f t="shared" si="136"/>
        <v>0</v>
      </c>
      <c r="L958">
        <f t="shared" si="137"/>
        <v>0</v>
      </c>
      <c r="M958">
        <f t="shared" si="131"/>
        <v>0</v>
      </c>
      <c r="N958">
        <f t="shared" si="138"/>
        <v>2</v>
      </c>
      <c r="O958">
        <f t="shared" si="139"/>
        <v>80</v>
      </c>
      <c r="P958">
        <f t="shared" si="132"/>
        <v>0</v>
      </c>
      <c r="R958">
        <f t="shared" si="133"/>
        <v>0</v>
      </c>
      <c r="S958">
        <f t="shared" si="134"/>
        <v>0</v>
      </c>
      <c r="T958">
        <f t="shared" si="135"/>
        <v>0</v>
      </c>
    </row>
    <row r="959" spans="10:20" x14ac:dyDescent="0.25">
      <c r="J959">
        <v>0.44164728124389008</v>
      </c>
      <c r="K959">
        <f t="shared" si="136"/>
        <v>1</v>
      </c>
      <c r="L959">
        <f t="shared" si="137"/>
        <v>0.44164728124389008</v>
      </c>
      <c r="M959">
        <f t="shared" si="131"/>
        <v>1</v>
      </c>
      <c r="N959">
        <f t="shared" si="138"/>
        <v>2</v>
      </c>
      <c r="O959">
        <f t="shared" si="139"/>
        <v>80</v>
      </c>
      <c r="P959">
        <f t="shared" si="132"/>
        <v>0</v>
      </c>
      <c r="R959">
        <f t="shared" si="133"/>
        <v>0</v>
      </c>
      <c r="S959">
        <f t="shared" si="134"/>
        <v>0</v>
      </c>
      <c r="T959">
        <f t="shared" si="135"/>
        <v>0</v>
      </c>
    </row>
    <row r="960" spans="10:20" x14ac:dyDescent="0.25">
      <c r="J960">
        <v>0.76992901481383702</v>
      </c>
      <c r="K960">
        <f t="shared" si="136"/>
        <v>0</v>
      </c>
      <c r="L960">
        <f t="shared" si="137"/>
        <v>0</v>
      </c>
      <c r="M960">
        <f t="shared" si="131"/>
        <v>0</v>
      </c>
      <c r="N960">
        <f t="shared" si="138"/>
        <v>3</v>
      </c>
      <c r="O960">
        <f t="shared" si="139"/>
        <v>80</v>
      </c>
      <c r="P960">
        <f t="shared" si="132"/>
        <v>0</v>
      </c>
      <c r="R960">
        <f t="shared" si="133"/>
        <v>0</v>
      </c>
      <c r="S960">
        <f t="shared" si="134"/>
        <v>0</v>
      </c>
      <c r="T960">
        <f t="shared" si="135"/>
        <v>0</v>
      </c>
    </row>
    <row r="961" spans="10:20" x14ac:dyDescent="0.25">
      <c r="J961">
        <v>0.7658775802940071</v>
      </c>
      <c r="K961">
        <f t="shared" si="136"/>
        <v>1</v>
      </c>
      <c r="L961">
        <f t="shared" si="137"/>
        <v>0.7658775802940071</v>
      </c>
      <c r="M961">
        <f t="shared" si="131"/>
        <v>1</v>
      </c>
      <c r="N961">
        <f t="shared" si="138"/>
        <v>3</v>
      </c>
      <c r="O961">
        <f t="shared" si="139"/>
        <v>80</v>
      </c>
      <c r="P961">
        <f t="shared" si="132"/>
        <v>0</v>
      </c>
      <c r="R961">
        <f t="shared" si="133"/>
        <v>0</v>
      </c>
      <c r="S961">
        <f t="shared" si="134"/>
        <v>0</v>
      </c>
      <c r="T961">
        <f t="shared" si="135"/>
        <v>0</v>
      </c>
    </row>
    <row r="962" spans="10:20" x14ac:dyDescent="0.25">
      <c r="J962">
        <v>2.1102485469819965E-2</v>
      </c>
      <c r="K962">
        <f t="shared" si="136"/>
        <v>0</v>
      </c>
      <c r="L962">
        <f t="shared" si="137"/>
        <v>0</v>
      </c>
      <c r="M962">
        <f t="shared" si="131"/>
        <v>0</v>
      </c>
      <c r="N962">
        <f t="shared" si="138"/>
        <v>4</v>
      </c>
      <c r="O962">
        <f t="shared" si="139"/>
        <v>80</v>
      </c>
      <c r="P962">
        <f t="shared" si="132"/>
        <v>0</v>
      </c>
      <c r="R962">
        <f t="shared" si="133"/>
        <v>0</v>
      </c>
      <c r="S962">
        <f t="shared" si="134"/>
        <v>0</v>
      </c>
      <c r="T962">
        <f t="shared" si="135"/>
        <v>0</v>
      </c>
    </row>
    <row r="963" spans="10:20" x14ac:dyDescent="0.25">
      <c r="J963">
        <v>9.1453877285024521E-2</v>
      </c>
      <c r="K963">
        <f t="shared" si="136"/>
        <v>1</v>
      </c>
      <c r="L963">
        <f t="shared" si="137"/>
        <v>9.1453877285024521E-2</v>
      </c>
      <c r="M963">
        <f t="shared" si="131"/>
        <v>1</v>
      </c>
      <c r="N963">
        <f t="shared" si="138"/>
        <v>4</v>
      </c>
      <c r="O963">
        <f t="shared" si="139"/>
        <v>80</v>
      </c>
      <c r="P963">
        <f t="shared" si="132"/>
        <v>0</v>
      </c>
      <c r="R963">
        <f t="shared" si="133"/>
        <v>0</v>
      </c>
      <c r="S963">
        <f t="shared" si="134"/>
        <v>0</v>
      </c>
      <c r="T963">
        <f t="shared" si="135"/>
        <v>0</v>
      </c>
    </row>
    <row r="964" spans="10:20" x14ac:dyDescent="0.25">
      <c r="J964">
        <v>0.7925000994294944</v>
      </c>
      <c r="K964">
        <f t="shared" si="136"/>
        <v>0</v>
      </c>
      <c r="L964">
        <f t="shared" si="137"/>
        <v>0</v>
      </c>
      <c r="M964">
        <f t="shared" si="131"/>
        <v>0</v>
      </c>
      <c r="N964">
        <f t="shared" si="138"/>
        <v>5</v>
      </c>
      <c r="O964">
        <f t="shared" si="139"/>
        <v>80</v>
      </c>
      <c r="P964">
        <f t="shared" si="132"/>
        <v>0</v>
      </c>
      <c r="R964">
        <f t="shared" si="133"/>
        <v>0</v>
      </c>
      <c r="S964">
        <f t="shared" si="134"/>
        <v>0</v>
      </c>
      <c r="T964">
        <f t="shared" si="135"/>
        <v>0</v>
      </c>
    </row>
    <row r="965" spans="10:20" x14ac:dyDescent="0.25">
      <c r="J965">
        <v>2.7761021634224781E-2</v>
      </c>
      <c r="K965">
        <f t="shared" si="136"/>
        <v>1</v>
      </c>
      <c r="L965">
        <f t="shared" si="137"/>
        <v>2.7761021634224781E-2</v>
      </c>
      <c r="M965">
        <f t="shared" si="131"/>
        <v>1</v>
      </c>
      <c r="N965">
        <f t="shared" si="138"/>
        <v>5</v>
      </c>
      <c r="O965">
        <f t="shared" si="139"/>
        <v>80</v>
      </c>
      <c r="P965">
        <f t="shared" si="132"/>
        <v>0</v>
      </c>
      <c r="R965">
        <f t="shared" si="133"/>
        <v>0</v>
      </c>
      <c r="S965">
        <f t="shared" si="134"/>
        <v>0</v>
      </c>
      <c r="T965">
        <f t="shared" si="135"/>
        <v>0</v>
      </c>
    </row>
    <row r="966" spans="10:20" x14ac:dyDescent="0.25">
      <c r="J966">
        <v>0.50400007335541075</v>
      </c>
      <c r="K966">
        <f t="shared" si="136"/>
        <v>0</v>
      </c>
      <c r="L966">
        <f t="shared" si="137"/>
        <v>0</v>
      </c>
      <c r="M966">
        <f t="shared" si="131"/>
        <v>0</v>
      </c>
      <c r="N966">
        <f t="shared" si="138"/>
        <v>6</v>
      </c>
      <c r="O966">
        <f t="shared" si="139"/>
        <v>80</v>
      </c>
      <c r="P966">
        <f t="shared" si="132"/>
        <v>0</v>
      </c>
      <c r="R966">
        <f t="shared" si="133"/>
        <v>0</v>
      </c>
      <c r="S966">
        <f t="shared" si="134"/>
        <v>0</v>
      </c>
      <c r="T966">
        <f t="shared" si="135"/>
        <v>0</v>
      </c>
    </row>
    <row r="967" spans="10:20" x14ac:dyDescent="0.25">
      <c r="J967">
        <v>0.87614014512183991</v>
      </c>
      <c r="K967">
        <f t="shared" si="136"/>
        <v>1</v>
      </c>
      <c r="L967">
        <f t="shared" si="137"/>
        <v>0.87614014512183991</v>
      </c>
      <c r="M967">
        <f t="shared" si="131"/>
        <v>1</v>
      </c>
      <c r="N967">
        <f t="shared" si="138"/>
        <v>6</v>
      </c>
      <c r="O967">
        <f t="shared" si="139"/>
        <v>80</v>
      </c>
      <c r="P967">
        <f t="shared" si="132"/>
        <v>0</v>
      </c>
      <c r="R967">
        <f t="shared" si="133"/>
        <v>0</v>
      </c>
      <c r="S967">
        <f t="shared" si="134"/>
        <v>0</v>
      </c>
      <c r="T967">
        <f t="shared" si="135"/>
        <v>0</v>
      </c>
    </row>
    <row r="968" spans="10:20" x14ac:dyDescent="0.25">
      <c r="J968">
        <v>0.16337141963667046</v>
      </c>
      <c r="K968">
        <f t="shared" si="136"/>
        <v>0</v>
      </c>
      <c r="L968">
        <f t="shared" si="137"/>
        <v>0</v>
      </c>
      <c r="M968">
        <f t="shared" ref="M968:M1031" si="140">IF(L968&gt;$M$2,1,0)</f>
        <v>0</v>
      </c>
      <c r="N968">
        <f t="shared" si="138"/>
        <v>7</v>
      </c>
      <c r="O968">
        <f t="shared" si="139"/>
        <v>80</v>
      </c>
      <c r="P968">
        <f t="shared" ref="P968:P1031" si="141">IF(INDEX($B$7:$H$1029,O968,2)&gt;0,1,0)</f>
        <v>0</v>
      </c>
      <c r="R968">
        <f t="shared" ref="R968:R1031" si="142">IF(  M968&gt;0,INDEX($B$7:$H$1029,O968,N968),0)*P968</f>
        <v>0</v>
      </c>
      <c r="S968">
        <f t="shared" ref="S968:S1031" si="143">M968*P968</f>
        <v>0</v>
      </c>
      <c r="T968">
        <f t="shared" ref="T968:T1031" si="144">IF(N969=$N$2,1,0)*P968</f>
        <v>0</v>
      </c>
    </row>
    <row r="969" spans="10:20" x14ac:dyDescent="0.25">
      <c r="J969">
        <v>0.86882581265717906</v>
      </c>
      <c r="K969">
        <f t="shared" si="136"/>
        <v>1</v>
      </c>
      <c r="L969">
        <f t="shared" si="137"/>
        <v>0.86882581265717906</v>
      </c>
      <c r="M969">
        <f t="shared" si="140"/>
        <v>1</v>
      </c>
      <c r="N969">
        <f t="shared" si="138"/>
        <v>1</v>
      </c>
      <c r="O969">
        <f t="shared" si="139"/>
        <v>81</v>
      </c>
      <c r="P969">
        <f t="shared" si="141"/>
        <v>0</v>
      </c>
      <c r="R969">
        <f t="shared" si="142"/>
        <v>0</v>
      </c>
      <c r="S969">
        <f t="shared" si="143"/>
        <v>0</v>
      </c>
      <c r="T969">
        <f t="shared" si="144"/>
        <v>0</v>
      </c>
    </row>
    <row r="970" spans="10:20" x14ac:dyDescent="0.25">
      <c r="J970">
        <v>0.20442815557931793</v>
      </c>
      <c r="K970">
        <f t="shared" si="136"/>
        <v>0</v>
      </c>
      <c r="L970">
        <f t="shared" si="137"/>
        <v>0</v>
      </c>
      <c r="M970">
        <f t="shared" si="140"/>
        <v>0</v>
      </c>
      <c r="N970">
        <f t="shared" si="138"/>
        <v>2</v>
      </c>
      <c r="O970">
        <f t="shared" si="139"/>
        <v>81</v>
      </c>
      <c r="P970">
        <f t="shared" si="141"/>
        <v>0</v>
      </c>
      <c r="R970">
        <f t="shared" si="142"/>
        <v>0</v>
      </c>
      <c r="S970">
        <f t="shared" si="143"/>
        <v>0</v>
      </c>
      <c r="T970">
        <f t="shared" si="144"/>
        <v>0</v>
      </c>
    </row>
    <row r="971" spans="10:20" x14ac:dyDescent="0.25">
      <c r="J971">
        <v>0.75048039116484788</v>
      </c>
      <c r="K971">
        <f t="shared" si="136"/>
        <v>1</v>
      </c>
      <c r="L971">
        <f t="shared" si="137"/>
        <v>0.75048039116484788</v>
      </c>
      <c r="M971">
        <f t="shared" si="140"/>
        <v>1</v>
      </c>
      <c r="N971">
        <f t="shared" si="138"/>
        <v>2</v>
      </c>
      <c r="O971">
        <f t="shared" si="139"/>
        <v>81</v>
      </c>
      <c r="P971">
        <f t="shared" si="141"/>
        <v>0</v>
      </c>
      <c r="R971">
        <f t="shared" si="142"/>
        <v>0</v>
      </c>
      <c r="S971">
        <f t="shared" si="143"/>
        <v>0</v>
      </c>
      <c r="T971">
        <f t="shared" si="144"/>
        <v>0</v>
      </c>
    </row>
    <row r="972" spans="10:20" x14ac:dyDescent="0.25">
      <c r="J972">
        <v>0.52554049123715463</v>
      </c>
      <c r="K972">
        <f t="shared" si="136"/>
        <v>0</v>
      </c>
      <c r="L972">
        <f t="shared" si="137"/>
        <v>0</v>
      </c>
      <c r="M972">
        <f t="shared" si="140"/>
        <v>0</v>
      </c>
      <c r="N972">
        <f t="shared" si="138"/>
        <v>3</v>
      </c>
      <c r="O972">
        <f t="shared" si="139"/>
        <v>81</v>
      </c>
      <c r="P972">
        <f t="shared" si="141"/>
        <v>0</v>
      </c>
      <c r="R972">
        <f t="shared" si="142"/>
        <v>0</v>
      </c>
      <c r="S972">
        <f t="shared" si="143"/>
        <v>0</v>
      </c>
      <c r="T972">
        <f t="shared" si="144"/>
        <v>0</v>
      </c>
    </row>
    <row r="973" spans="10:20" x14ac:dyDescent="0.25">
      <c r="J973">
        <v>0.24220909786270517</v>
      </c>
      <c r="K973">
        <f t="shared" si="136"/>
        <v>1</v>
      </c>
      <c r="L973">
        <f t="shared" si="137"/>
        <v>0.24220909786270517</v>
      </c>
      <c r="M973">
        <f t="shared" si="140"/>
        <v>1</v>
      </c>
      <c r="N973">
        <f t="shared" si="138"/>
        <v>3</v>
      </c>
      <c r="O973">
        <f t="shared" si="139"/>
        <v>81</v>
      </c>
      <c r="P973">
        <f t="shared" si="141"/>
        <v>0</v>
      </c>
      <c r="R973">
        <f t="shared" si="142"/>
        <v>0</v>
      </c>
      <c r="S973">
        <f t="shared" si="143"/>
        <v>0</v>
      </c>
      <c r="T973">
        <f t="shared" si="144"/>
        <v>0</v>
      </c>
    </row>
    <row r="974" spans="10:20" x14ac:dyDescent="0.25">
      <c r="J974">
        <v>8.8278843755957515E-2</v>
      </c>
      <c r="K974">
        <f t="shared" si="136"/>
        <v>0</v>
      </c>
      <c r="L974">
        <f t="shared" si="137"/>
        <v>0</v>
      </c>
      <c r="M974">
        <f t="shared" si="140"/>
        <v>0</v>
      </c>
      <c r="N974">
        <f t="shared" si="138"/>
        <v>4</v>
      </c>
      <c r="O974">
        <f t="shared" si="139"/>
        <v>81</v>
      </c>
      <c r="P974">
        <f t="shared" si="141"/>
        <v>0</v>
      </c>
      <c r="R974">
        <f t="shared" si="142"/>
        <v>0</v>
      </c>
      <c r="S974">
        <f t="shared" si="143"/>
        <v>0</v>
      </c>
      <c r="T974">
        <f t="shared" si="144"/>
        <v>0</v>
      </c>
    </row>
    <row r="975" spans="10:20" x14ac:dyDescent="0.25">
      <c r="J975">
        <v>0.10633038102009096</v>
      </c>
      <c r="K975">
        <f t="shared" si="136"/>
        <v>1</v>
      </c>
      <c r="L975">
        <f t="shared" si="137"/>
        <v>0.10633038102009096</v>
      </c>
      <c r="M975">
        <f t="shared" si="140"/>
        <v>1</v>
      </c>
      <c r="N975">
        <f t="shared" si="138"/>
        <v>4</v>
      </c>
      <c r="O975">
        <f t="shared" si="139"/>
        <v>81</v>
      </c>
      <c r="P975">
        <f t="shared" si="141"/>
        <v>0</v>
      </c>
      <c r="R975">
        <f t="shared" si="142"/>
        <v>0</v>
      </c>
      <c r="S975">
        <f t="shared" si="143"/>
        <v>0</v>
      </c>
      <c r="T975">
        <f t="shared" si="144"/>
        <v>0</v>
      </c>
    </row>
    <row r="976" spans="10:20" x14ac:dyDescent="0.25">
      <c r="J976">
        <v>0.66301827872634878</v>
      </c>
      <c r="K976">
        <f t="shared" si="136"/>
        <v>0</v>
      </c>
      <c r="L976">
        <f t="shared" si="137"/>
        <v>0</v>
      </c>
      <c r="M976">
        <f t="shared" si="140"/>
        <v>0</v>
      </c>
      <c r="N976">
        <f t="shared" si="138"/>
        <v>5</v>
      </c>
      <c r="O976">
        <f t="shared" si="139"/>
        <v>81</v>
      </c>
      <c r="P976">
        <f t="shared" si="141"/>
        <v>0</v>
      </c>
      <c r="R976">
        <f t="shared" si="142"/>
        <v>0</v>
      </c>
      <c r="S976">
        <f t="shared" si="143"/>
        <v>0</v>
      </c>
      <c r="T976">
        <f t="shared" si="144"/>
        <v>0</v>
      </c>
    </row>
    <row r="977" spans="10:20" x14ac:dyDescent="0.25">
      <c r="J977">
        <v>0.65799184939342326</v>
      </c>
      <c r="K977">
        <f t="shared" si="136"/>
        <v>1</v>
      </c>
      <c r="L977">
        <f t="shared" si="137"/>
        <v>0.65799184939342326</v>
      </c>
      <c r="M977">
        <f t="shared" si="140"/>
        <v>1</v>
      </c>
      <c r="N977">
        <f t="shared" si="138"/>
        <v>5</v>
      </c>
      <c r="O977">
        <f t="shared" si="139"/>
        <v>81</v>
      </c>
      <c r="P977">
        <f t="shared" si="141"/>
        <v>0</v>
      </c>
      <c r="R977">
        <f t="shared" si="142"/>
        <v>0</v>
      </c>
      <c r="S977">
        <f t="shared" si="143"/>
        <v>0</v>
      </c>
      <c r="T977">
        <f t="shared" si="144"/>
        <v>0</v>
      </c>
    </row>
    <row r="978" spans="10:20" x14ac:dyDescent="0.25">
      <c r="J978">
        <v>0.15047041118819249</v>
      </c>
      <c r="K978">
        <f t="shared" si="136"/>
        <v>0</v>
      </c>
      <c r="L978">
        <f t="shared" si="137"/>
        <v>0</v>
      </c>
      <c r="M978">
        <f t="shared" si="140"/>
        <v>0</v>
      </c>
      <c r="N978">
        <f t="shared" si="138"/>
        <v>6</v>
      </c>
      <c r="O978">
        <f t="shared" si="139"/>
        <v>81</v>
      </c>
      <c r="P978">
        <f t="shared" si="141"/>
        <v>0</v>
      </c>
      <c r="R978">
        <f t="shared" si="142"/>
        <v>0</v>
      </c>
      <c r="S978">
        <f t="shared" si="143"/>
        <v>0</v>
      </c>
      <c r="T978">
        <f t="shared" si="144"/>
        <v>0</v>
      </c>
    </row>
    <row r="979" spans="10:20" x14ac:dyDescent="0.25">
      <c r="J979">
        <v>0.27720442110619514</v>
      </c>
      <c r="K979">
        <f t="shared" si="136"/>
        <v>1</v>
      </c>
      <c r="L979">
        <f t="shared" si="137"/>
        <v>0.27720442110619514</v>
      </c>
      <c r="M979">
        <f t="shared" si="140"/>
        <v>1</v>
      </c>
      <c r="N979">
        <f t="shared" si="138"/>
        <v>6</v>
      </c>
      <c r="O979">
        <f t="shared" si="139"/>
        <v>81</v>
      </c>
      <c r="P979">
        <f t="shared" si="141"/>
        <v>0</v>
      </c>
      <c r="R979">
        <f t="shared" si="142"/>
        <v>0</v>
      </c>
      <c r="S979">
        <f t="shared" si="143"/>
        <v>0</v>
      </c>
      <c r="T979">
        <f t="shared" si="144"/>
        <v>0</v>
      </c>
    </row>
    <row r="980" spans="10:20" x14ac:dyDescent="0.25">
      <c r="J980">
        <v>0.64605371387562405</v>
      </c>
      <c r="K980">
        <f t="shared" si="136"/>
        <v>0</v>
      </c>
      <c r="L980">
        <f t="shared" si="137"/>
        <v>0</v>
      </c>
      <c r="M980">
        <f t="shared" si="140"/>
        <v>0</v>
      </c>
      <c r="N980">
        <f t="shared" si="138"/>
        <v>7</v>
      </c>
      <c r="O980">
        <f t="shared" si="139"/>
        <v>81</v>
      </c>
      <c r="P980">
        <f t="shared" si="141"/>
        <v>0</v>
      </c>
      <c r="R980">
        <f t="shared" si="142"/>
        <v>0</v>
      </c>
      <c r="S980">
        <f t="shared" si="143"/>
        <v>0</v>
      </c>
      <c r="T980">
        <f t="shared" si="144"/>
        <v>0</v>
      </c>
    </row>
    <row r="981" spans="10:20" x14ac:dyDescent="0.25">
      <c r="J981">
        <v>0.3279616841756442</v>
      </c>
      <c r="K981">
        <f t="shared" si="136"/>
        <v>1</v>
      </c>
      <c r="L981">
        <f t="shared" si="137"/>
        <v>0.3279616841756442</v>
      </c>
      <c r="M981">
        <f t="shared" si="140"/>
        <v>1</v>
      </c>
      <c r="N981">
        <f t="shared" si="138"/>
        <v>1</v>
      </c>
      <c r="O981">
        <f t="shared" si="139"/>
        <v>82</v>
      </c>
      <c r="P981">
        <f t="shared" si="141"/>
        <v>0</v>
      </c>
      <c r="R981">
        <f t="shared" si="142"/>
        <v>0</v>
      </c>
      <c r="S981">
        <f t="shared" si="143"/>
        <v>0</v>
      </c>
      <c r="T981">
        <f t="shared" si="144"/>
        <v>0</v>
      </c>
    </row>
    <row r="982" spans="10:20" x14ac:dyDescent="0.25">
      <c r="J982">
        <v>0.79478980351442563</v>
      </c>
      <c r="K982">
        <f t="shared" si="136"/>
        <v>0</v>
      </c>
      <c r="L982">
        <f t="shared" si="137"/>
        <v>0</v>
      </c>
      <c r="M982">
        <f t="shared" si="140"/>
        <v>0</v>
      </c>
      <c r="N982">
        <f t="shared" si="138"/>
        <v>2</v>
      </c>
      <c r="O982">
        <f t="shared" si="139"/>
        <v>82</v>
      </c>
      <c r="P982">
        <f t="shared" si="141"/>
        <v>0</v>
      </c>
      <c r="R982">
        <f t="shared" si="142"/>
        <v>0</v>
      </c>
      <c r="S982">
        <f t="shared" si="143"/>
        <v>0</v>
      </c>
      <c r="T982">
        <f t="shared" si="144"/>
        <v>0</v>
      </c>
    </row>
    <row r="983" spans="10:20" x14ac:dyDescent="0.25">
      <c r="J983">
        <v>0.99401909766378038</v>
      </c>
      <c r="K983">
        <f t="shared" si="136"/>
        <v>1</v>
      </c>
      <c r="L983">
        <f t="shared" si="137"/>
        <v>0.99401909766378038</v>
      </c>
      <c r="M983">
        <f t="shared" si="140"/>
        <v>1</v>
      </c>
      <c r="N983">
        <f t="shared" si="138"/>
        <v>2</v>
      </c>
      <c r="O983">
        <f t="shared" si="139"/>
        <v>82</v>
      </c>
      <c r="P983">
        <f t="shared" si="141"/>
        <v>0</v>
      </c>
      <c r="R983">
        <f t="shared" si="142"/>
        <v>0</v>
      </c>
      <c r="S983">
        <f t="shared" si="143"/>
        <v>0</v>
      </c>
      <c r="T983">
        <f t="shared" si="144"/>
        <v>0</v>
      </c>
    </row>
    <row r="984" spans="10:20" x14ac:dyDescent="0.25">
      <c r="J984">
        <v>6.73417519581192E-2</v>
      </c>
      <c r="K984">
        <f t="shared" ref="K984:K1047" si="145">IF(K983=1,0,1)</f>
        <v>0</v>
      </c>
      <c r="L984">
        <f t="shared" ref="L984:L1047" si="146">K984*J984</f>
        <v>0</v>
      </c>
      <c r="M984">
        <f t="shared" si="140"/>
        <v>0</v>
      </c>
      <c r="N984">
        <f t="shared" ref="N984:N1047" si="147">IF(N983&lt;$N$2,N983+M983,1)</f>
        <v>3</v>
      </c>
      <c r="O984">
        <f t="shared" ref="O984:O1047" si="148">IF(AND(N984=1,M984=1),O983+1,O983)</f>
        <v>82</v>
      </c>
      <c r="P984">
        <f t="shared" si="141"/>
        <v>0</v>
      </c>
      <c r="R984">
        <f t="shared" si="142"/>
        <v>0</v>
      </c>
      <c r="S984">
        <f t="shared" si="143"/>
        <v>0</v>
      </c>
      <c r="T984">
        <f t="shared" si="144"/>
        <v>0</v>
      </c>
    </row>
    <row r="985" spans="10:20" x14ac:dyDescent="0.25">
      <c r="J985">
        <v>0.43576540843290135</v>
      </c>
      <c r="K985">
        <f t="shared" si="145"/>
        <v>1</v>
      </c>
      <c r="L985">
        <f t="shared" si="146"/>
        <v>0.43576540843290135</v>
      </c>
      <c r="M985">
        <f t="shared" si="140"/>
        <v>1</v>
      </c>
      <c r="N985">
        <f t="shared" si="147"/>
        <v>3</v>
      </c>
      <c r="O985">
        <f t="shared" si="148"/>
        <v>82</v>
      </c>
      <c r="P985">
        <f t="shared" si="141"/>
        <v>0</v>
      </c>
      <c r="R985">
        <f t="shared" si="142"/>
        <v>0</v>
      </c>
      <c r="S985">
        <f t="shared" si="143"/>
        <v>0</v>
      </c>
      <c r="T985">
        <f t="shared" si="144"/>
        <v>0</v>
      </c>
    </row>
    <row r="986" spans="10:20" x14ac:dyDescent="0.25">
      <c r="J986">
        <v>0.54593541550353897</v>
      </c>
      <c r="K986">
        <f t="shared" si="145"/>
        <v>0</v>
      </c>
      <c r="L986">
        <f t="shared" si="146"/>
        <v>0</v>
      </c>
      <c r="M986">
        <f t="shared" si="140"/>
        <v>0</v>
      </c>
      <c r="N986">
        <f t="shared" si="147"/>
        <v>4</v>
      </c>
      <c r="O986">
        <f t="shared" si="148"/>
        <v>82</v>
      </c>
      <c r="P986">
        <f t="shared" si="141"/>
        <v>0</v>
      </c>
      <c r="R986">
        <f t="shared" si="142"/>
        <v>0</v>
      </c>
      <c r="S986">
        <f t="shared" si="143"/>
        <v>0</v>
      </c>
      <c r="T986">
        <f t="shared" si="144"/>
        <v>0</v>
      </c>
    </row>
    <row r="987" spans="10:20" x14ac:dyDescent="0.25">
      <c r="J987">
        <v>0.77044682287586164</v>
      </c>
      <c r="K987">
        <f t="shared" si="145"/>
        <v>1</v>
      </c>
      <c r="L987">
        <f t="shared" si="146"/>
        <v>0.77044682287586164</v>
      </c>
      <c r="M987">
        <f t="shared" si="140"/>
        <v>1</v>
      </c>
      <c r="N987">
        <f t="shared" si="147"/>
        <v>4</v>
      </c>
      <c r="O987">
        <f t="shared" si="148"/>
        <v>82</v>
      </c>
      <c r="P987">
        <f t="shared" si="141"/>
        <v>0</v>
      </c>
      <c r="R987">
        <f t="shared" si="142"/>
        <v>0</v>
      </c>
      <c r="S987">
        <f t="shared" si="143"/>
        <v>0</v>
      </c>
      <c r="T987">
        <f t="shared" si="144"/>
        <v>0</v>
      </c>
    </row>
    <row r="988" spans="10:20" x14ac:dyDescent="0.25">
      <c r="J988">
        <v>0.24742194144960128</v>
      </c>
      <c r="K988">
        <f t="shared" si="145"/>
        <v>0</v>
      </c>
      <c r="L988">
        <f t="shared" si="146"/>
        <v>0</v>
      </c>
      <c r="M988">
        <f t="shared" si="140"/>
        <v>0</v>
      </c>
      <c r="N988">
        <f t="shared" si="147"/>
        <v>5</v>
      </c>
      <c r="O988">
        <f t="shared" si="148"/>
        <v>82</v>
      </c>
      <c r="P988">
        <f t="shared" si="141"/>
        <v>0</v>
      </c>
      <c r="R988">
        <f t="shared" si="142"/>
        <v>0</v>
      </c>
      <c r="S988">
        <f t="shared" si="143"/>
        <v>0</v>
      </c>
      <c r="T988">
        <f t="shared" si="144"/>
        <v>0</v>
      </c>
    </row>
    <row r="989" spans="10:20" x14ac:dyDescent="0.25">
      <c r="J989">
        <v>0.13026412544475929</v>
      </c>
      <c r="K989">
        <f t="shared" si="145"/>
        <v>1</v>
      </c>
      <c r="L989">
        <f t="shared" si="146"/>
        <v>0.13026412544475929</v>
      </c>
      <c r="M989">
        <f t="shared" si="140"/>
        <v>1</v>
      </c>
      <c r="N989">
        <f t="shared" si="147"/>
        <v>5</v>
      </c>
      <c r="O989">
        <f t="shared" si="148"/>
        <v>82</v>
      </c>
      <c r="P989">
        <f t="shared" si="141"/>
        <v>0</v>
      </c>
      <c r="R989">
        <f t="shared" si="142"/>
        <v>0</v>
      </c>
      <c r="S989">
        <f t="shared" si="143"/>
        <v>0</v>
      </c>
      <c r="T989">
        <f t="shared" si="144"/>
        <v>0</v>
      </c>
    </row>
    <row r="990" spans="10:20" x14ac:dyDescent="0.25">
      <c r="J990">
        <v>0.9586097408569878</v>
      </c>
      <c r="K990">
        <f t="shared" si="145"/>
        <v>0</v>
      </c>
      <c r="L990">
        <f t="shared" si="146"/>
        <v>0</v>
      </c>
      <c r="M990">
        <f t="shared" si="140"/>
        <v>0</v>
      </c>
      <c r="N990">
        <f t="shared" si="147"/>
        <v>6</v>
      </c>
      <c r="O990">
        <f t="shared" si="148"/>
        <v>82</v>
      </c>
      <c r="P990">
        <f t="shared" si="141"/>
        <v>0</v>
      </c>
      <c r="R990">
        <f t="shared" si="142"/>
        <v>0</v>
      </c>
      <c r="S990">
        <f t="shared" si="143"/>
        <v>0</v>
      </c>
      <c r="T990">
        <f t="shared" si="144"/>
        <v>0</v>
      </c>
    </row>
    <row r="991" spans="10:20" x14ac:dyDescent="0.25">
      <c r="J991">
        <v>0.24811170216604062</v>
      </c>
      <c r="K991">
        <f t="shared" si="145"/>
        <v>1</v>
      </c>
      <c r="L991">
        <f t="shared" si="146"/>
        <v>0.24811170216604062</v>
      </c>
      <c r="M991">
        <f t="shared" si="140"/>
        <v>1</v>
      </c>
      <c r="N991">
        <f t="shared" si="147"/>
        <v>6</v>
      </c>
      <c r="O991">
        <f t="shared" si="148"/>
        <v>82</v>
      </c>
      <c r="P991">
        <f t="shared" si="141"/>
        <v>0</v>
      </c>
      <c r="R991">
        <f t="shared" si="142"/>
        <v>0</v>
      </c>
      <c r="S991">
        <f t="shared" si="143"/>
        <v>0</v>
      </c>
      <c r="T991">
        <f t="shared" si="144"/>
        <v>0</v>
      </c>
    </row>
    <row r="992" spans="10:20" x14ac:dyDescent="0.25">
      <c r="J992">
        <v>4.3845979263985146E-2</v>
      </c>
      <c r="K992">
        <f t="shared" si="145"/>
        <v>0</v>
      </c>
      <c r="L992">
        <f t="shared" si="146"/>
        <v>0</v>
      </c>
      <c r="M992">
        <f t="shared" si="140"/>
        <v>0</v>
      </c>
      <c r="N992">
        <f t="shared" si="147"/>
        <v>7</v>
      </c>
      <c r="O992">
        <f t="shared" si="148"/>
        <v>82</v>
      </c>
      <c r="P992">
        <f t="shared" si="141"/>
        <v>0</v>
      </c>
      <c r="R992">
        <f t="shared" si="142"/>
        <v>0</v>
      </c>
      <c r="S992">
        <f t="shared" si="143"/>
        <v>0</v>
      </c>
      <c r="T992">
        <f t="shared" si="144"/>
        <v>0</v>
      </c>
    </row>
    <row r="993" spans="10:20" x14ac:dyDescent="0.25">
      <c r="J993">
        <v>0.23416350038826494</v>
      </c>
      <c r="K993">
        <f t="shared" si="145"/>
        <v>1</v>
      </c>
      <c r="L993">
        <f t="shared" si="146"/>
        <v>0.23416350038826494</v>
      </c>
      <c r="M993">
        <f t="shared" si="140"/>
        <v>1</v>
      </c>
      <c r="N993">
        <f t="shared" si="147"/>
        <v>1</v>
      </c>
      <c r="O993">
        <f t="shared" si="148"/>
        <v>83</v>
      </c>
      <c r="P993">
        <f t="shared" si="141"/>
        <v>0</v>
      </c>
      <c r="R993">
        <f t="shared" si="142"/>
        <v>0</v>
      </c>
      <c r="S993">
        <f t="shared" si="143"/>
        <v>0</v>
      </c>
      <c r="T993">
        <f t="shared" si="144"/>
        <v>0</v>
      </c>
    </row>
    <row r="994" spans="10:20" x14ac:dyDescent="0.25">
      <c r="J994">
        <v>0.28889865795426051</v>
      </c>
      <c r="K994">
        <f t="shared" si="145"/>
        <v>0</v>
      </c>
      <c r="L994">
        <f t="shared" si="146"/>
        <v>0</v>
      </c>
      <c r="M994">
        <f t="shared" si="140"/>
        <v>0</v>
      </c>
      <c r="N994">
        <f t="shared" si="147"/>
        <v>2</v>
      </c>
      <c r="O994">
        <f t="shared" si="148"/>
        <v>83</v>
      </c>
      <c r="P994">
        <f t="shared" si="141"/>
        <v>0</v>
      </c>
      <c r="R994">
        <f t="shared" si="142"/>
        <v>0</v>
      </c>
      <c r="S994">
        <f t="shared" si="143"/>
        <v>0</v>
      </c>
      <c r="T994">
        <f t="shared" si="144"/>
        <v>0</v>
      </c>
    </row>
    <row r="995" spans="10:20" x14ac:dyDescent="0.25">
      <c r="J995">
        <v>0.25817595869176102</v>
      </c>
      <c r="K995">
        <f t="shared" si="145"/>
        <v>1</v>
      </c>
      <c r="L995">
        <f t="shared" si="146"/>
        <v>0.25817595869176102</v>
      </c>
      <c r="M995">
        <f t="shared" si="140"/>
        <v>1</v>
      </c>
      <c r="N995">
        <f t="shared" si="147"/>
        <v>2</v>
      </c>
      <c r="O995">
        <f t="shared" si="148"/>
        <v>83</v>
      </c>
      <c r="P995">
        <f t="shared" si="141"/>
        <v>0</v>
      </c>
      <c r="R995">
        <f t="shared" si="142"/>
        <v>0</v>
      </c>
      <c r="S995">
        <f t="shared" si="143"/>
        <v>0</v>
      </c>
      <c r="T995">
        <f t="shared" si="144"/>
        <v>0</v>
      </c>
    </row>
    <row r="996" spans="10:20" x14ac:dyDescent="0.25">
      <c r="J996">
        <v>0.41611705747198657</v>
      </c>
      <c r="K996">
        <f t="shared" si="145"/>
        <v>0</v>
      </c>
      <c r="L996">
        <f t="shared" si="146"/>
        <v>0</v>
      </c>
      <c r="M996">
        <f t="shared" si="140"/>
        <v>0</v>
      </c>
      <c r="N996">
        <f t="shared" si="147"/>
        <v>3</v>
      </c>
      <c r="O996">
        <f t="shared" si="148"/>
        <v>83</v>
      </c>
      <c r="P996">
        <f t="shared" si="141"/>
        <v>0</v>
      </c>
      <c r="R996">
        <f t="shared" si="142"/>
        <v>0</v>
      </c>
      <c r="S996">
        <f t="shared" si="143"/>
        <v>0</v>
      </c>
      <c r="T996">
        <f t="shared" si="144"/>
        <v>0</v>
      </c>
    </row>
    <row r="997" spans="10:20" x14ac:dyDescent="0.25">
      <c r="J997">
        <v>0.85725879562579677</v>
      </c>
      <c r="K997">
        <f t="shared" si="145"/>
        <v>1</v>
      </c>
      <c r="L997">
        <f t="shared" si="146"/>
        <v>0.85725879562579677</v>
      </c>
      <c r="M997">
        <f t="shared" si="140"/>
        <v>1</v>
      </c>
      <c r="N997">
        <f t="shared" si="147"/>
        <v>3</v>
      </c>
      <c r="O997">
        <f t="shared" si="148"/>
        <v>83</v>
      </c>
      <c r="P997">
        <f t="shared" si="141"/>
        <v>0</v>
      </c>
      <c r="R997">
        <f t="shared" si="142"/>
        <v>0</v>
      </c>
      <c r="S997">
        <f t="shared" si="143"/>
        <v>0</v>
      </c>
      <c r="T997">
        <f t="shared" si="144"/>
        <v>0</v>
      </c>
    </row>
    <row r="998" spans="10:20" x14ac:dyDescent="0.25">
      <c r="J998">
        <v>0.73383957605839056</v>
      </c>
      <c r="K998">
        <f t="shared" si="145"/>
        <v>0</v>
      </c>
      <c r="L998">
        <f t="shared" si="146"/>
        <v>0</v>
      </c>
      <c r="M998">
        <f t="shared" si="140"/>
        <v>0</v>
      </c>
      <c r="N998">
        <f t="shared" si="147"/>
        <v>4</v>
      </c>
      <c r="O998">
        <f t="shared" si="148"/>
        <v>83</v>
      </c>
      <c r="P998">
        <f t="shared" si="141"/>
        <v>0</v>
      </c>
      <c r="R998">
        <f t="shared" si="142"/>
        <v>0</v>
      </c>
      <c r="S998">
        <f t="shared" si="143"/>
        <v>0</v>
      </c>
      <c r="T998">
        <f t="shared" si="144"/>
        <v>0</v>
      </c>
    </row>
    <row r="999" spans="10:20" x14ac:dyDescent="0.25">
      <c r="J999">
        <v>0.31313288437673714</v>
      </c>
      <c r="K999">
        <f t="shared" si="145"/>
        <v>1</v>
      </c>
      <c r="L999">
        <f t="shared" si="146"/>
        <v>0.31313288437673714</v>
      </c>
      <c r="M999">
        <f t="shared" si="140"/>
        <v>1</v>
      </c>
      <c r="N999">
        <f t="shared" si="147"/>
        <v>4</v>
      </c>
      <c r="O999">
        <f t="shared" si="148"/>
        <v>83</v>
      </c>
      <c r="P999">
        <f t="shared" si="141"/>
        <v>0</v>
      </c>
      <c r="R999">
        <f t="shared" si="142"/>
        <v>0</v>
      </c>
      <c r="S999">
        <f t="shared" si="143"/>
        <v>0</v>
      </c>
      <c r="T999">
        <f t="shared" si="144"/>
        <v>0</v>
      </c>
    </row>
    <row r="1000" spans="10:20" x14ac:dyDescent="0.25">
      <c r="J1000">
        <v>0.54258576116873447</v>
      </c>
      <c r="K1000">
        <f t="shared" si="145"/>
        <v>0</v>
      </c>
      <c r="L1000">
        <f t="shared" si="146"/>
        <v>0</v>
      </c>
      <c r="M1000">
        <f t="shared" si="140"/>
        <v>0</v>
      </c>
      <c r="N1000">
        <f t="shared" si="147"/>
        <v>5</v>
      </c>
      <c r="O1000">
        <f t="shared" si="148"/>
        <v>83</v>
      </c>
      <c r="P1000">
        <f t="shared" si="141"/>
        <v>0</v>
      </c>
      <c r="R1000">
        <f t="shared" si="142"/>
        <v>0</v>
      </c>
      <c r="S1000">
        <f t="shared" si="143"/>
        <v>0</v>
      </c>
      <c r="T1000">
        <f t="shared" si="144"/>
        <v>0</v>
      </c>
    </row>
    <row r="1001" spans="10:20" x14ac:dyDescent="0.25">
      <c r="J1001">
        <v>0.25098196729182931</v>
      </c>
      <c r="K1001">
        <f t="shared" si="145"/>
        <v>1</v>
      </c>
      <c r="L1001">
        <f t="shared" si="146"/>
        <v>0.25098196729182931</v>
      </c>
      <c r="M1001">
        <f t="shared" si="140"/>
        <v>1</v>
      </c>
      <c r="N1001">
        <f t="shared" si="147"/>
        <v>5</v>
      </c>
      <c r="O1001">
        <f t="shared" si="148"/>
        <v>83</v>
      </c>
      <c r="P1001">
        <f t="shared" si="141"/>
        <v>0</v>
      </c>
      <c r="R1001">
        <f t="shared" si="142"/>
        <v>0</v>
      </c>
      <c r="S1001">
        <f t="shared" si="143"/>
        <v>0</v>
      </c>
      <c r="T1001">
        <f t="shared" si="144"/>
        <v>0</v>
      </c>
    </row>
    <row r="1002" spans="10:20" x14ac:dyDescent="0.25">
      <c r="J1002">
        <v>0.60061303321790793</v>
      </c>
      <c r="K1002">
        <f t="shared" si="145"/>
        <v>0</v>
      </c>
      <c r="L1002">
        <f t="shared" si="146"/>
        <v>0</v>
      </c>
      <c r="M1002">
        <f t="shared" si="140"/>
        <v>0</v>
      </c>
      <c r="N1002">
        <f t="shared" si="147"/>
        <v>6</v>
      </c>
      <c r="O1002">
        <f t="shared" si="148"/>
        <v>83</v>
      </c>
      <c r="P1002">
        <f t="shared" si="141"/>
        <v>0</v>
      </c>
      <c r="R1002">
        <f t="shared" si="142"/>
        <v>0</v>
      </c>
      <c r="S1002">
        <f t="shared" si="143"/>
        <v>0</v>
      </c>
      <c r="T1002">
        <f t="shared" si="144"/>
        <v>0</v>
      </c>
    </row>
    <row r="1003" spans="10:20" x14ac:dyDescent="0.25">
      <c r="J1003">
        <v>0.45165049174999805</v>
      </c>
      <c r="K1003">
        <f t="shared" si="145"/>
        <v>1</v>
      </c>
      <c r="L1003">
        <f t="shared" si="146"/>
        <v>0.45165049174999805</v>
      </c>
      <c r="M1003">
        <f t="shared" si="140"/>
        <v>1</v>
      </c>
      <c r="N1003">
        <f t="shared" si="147"/>
        <v>6</v>
      </c>
      <c r="O1003">
        <f t="shared" si="148"/>
        <v>83</v>
      </c>
      <c r="P1003">
        <f t="shared" si="141"/>
        <v>0</v>
      </c>
      <c r="R1003">
        <f t="shared" si="142"/>
        <v>0</v>
      </c>
      <c r="S1003">
        <f t="shared" si="143"/>
        <v>0</v>
      </c>
      <c r="T1003">
        <f t="shared" si="144"/>
        <v>0</v>
      </c>
    </row>
    <row r="1004" spans="10:20" x14ac:dyDescent="0.25">
      <c r="J1004">
        <v>0.60422004798287199</v>
      </c>
      <c r="K1004">
        <f t="shared" si="145"/>
        <v>0</v>
      </c>
      <c r="L1004">
        <f t="shared" si="146"/>
        <v>0</v>
      </c>
      <c r="M1004">
        <f t="shared" si="140"/>
        <v>0</v>
      </c>
      <c r="N1004">
        <f t="shared" si="147"/>
        <v>7</v>
      </c>
      <c r="O1004">
        <f t="shared" si="148"/>
        <v>83</v>
      </c>
      <c r="P1004">
        <f t="shared" si="141"/>
        <v>0</v>
      </c>
      <c r="R1004">
        <f t="shared" si="142"/>
        <v>0</v>
      </c>
      <c r="S1004">
        <f t="shared" si="143"/>
        <v>0</v>
      </c>
      <c r="T1004">
        <f t="shared" si="144"/>
        <v>0</v>
      </c>
    </row>
    <row r="1005" spans="10:20" x14ac:dyDescent="0.25">
      <c r="J1005">
        <v>0.71388445744710027</v>
      </c>
      <c r="K1005">
        <f t="shared" si="145"/>
        <v>1</v>
      </c>
      <c r="L1005">
        <f t="shared" si="146"/>
        <v>0.71388445744710027</v>
      </c>
      <c r="M1005">
        <f t="shared" si="140"/>
        <v>1</v>
      </c>
      <c r="N1005">
        <f t="shared" si="147"/>
        <v>1</v>
      </c>
      <c r="O1005">
        <f t="shared" si="148"/>
        <v>84</v>
      </c>
      <c r="P1005">
        <f t="shared" si="141"/>
        <v>0</v>
      </c>
      <c r="R1005">
        <f t="shared" si="142"/>
        <v>0</v>
      </c>
      <c r="S1005">
        <f t="shared" si="143"/>
        <v>0</v>
      </c>
      <c r="T1005">
        <f t="shared" si="144"/>
        <v>0</v>
      </c>
    </row>
    <row r="1006" spans="10:20" x14ac:dyDescent="0.25">
      <c r="J1006">
        <v>0.97760438869051991</v>
      </c>
      <c r="K1006">
        <f t="shared" si="145"/>
        <v>0</v>
      </c>
      <c r="L1006">
        <f t="shared" si="146"/>
        <v>0</v>
      </c>
      <c r="M1006">
        <f t="shared" si="140"/>
        <v>0</v>
      </c>
      <c r="N1006">
        <f t="shared" si="147"/>
        <v>2</v>
      </c>
      <c r="O1006">
        <f t="shared" si="148"/>
        <v>84</v>
      </c>
      <c r="P1006">
        <f t="shared" si="141"/>
        <v>0</v>
      </c>
      <c r="R1006">
        <f t="shared" si="142"/>
        <v>0</v>
      </c>
      <c r="S1006">
        <f t="shared" si="143"/>
        <v>0</v>
      </c>
      <c r="T1006">
        <f t="shared" si="144"/>
        <v>0</v>
      </c>
    </row>
    <row r="1007" spans="10:20" x14ac:dyDescent="0.25">
      <c r="J1007">
        <v>0.8786742527966912</v>
      </c>
      <c r="K1007">
        <f t="shared" si="145"/>
        <v>1</v>
      </c>
      <c r="L1007">
        <f t="shared" si="146"/>
        <v>0.8786742527966912</v>
      </c>
      <c r="M1007">
        <f t="shared" si="140"/>
        <v>1</v>
      </c>
      <c r="N1007">
        <f t="shared" si="147"/>
        <v>2</v>
      </c>
      <c r="O1007">
        <f t="shared" si="148"/>
        <v>84</v>
      </c>
      <c r="P1007">
        <f t="shared" si="141"/>
        <v>0</v>
      </c>
      <c r="R1007">
        <f t="shared" si="142"/>
        <v>0</v>
      </c>
      <c r="S1007">
        <f t="shared" si="143"/>
        <v>0</v>
      </c>
      <c r="T1007">
        <f t="shared" si="144"/>
        <v>0</v>
      </c>
    </row>
    <row r="1008" spans="10:20" x14ac:dyDescent="0.25">
      <c r="J1008">
        <v>0.26245136883691589</v>
      </c>
      <c r="K1008">
        <f t="shared" si="145"/>
        <v>0</v>
      </c>
      <c r="L1008">
        <f t="shared" si="146"/>
        <v>0</v>
      </c>
      <c r="M1008">
        <f t="shared" si="140"/>
        <v>0</v>
      </c>
      <c r="N1008">
        <f t="shared" si="147"/>
        <v>3</v>
      </c>
      <c r="O1008">
        <f t="shared" si="148"/>
        <v>84</v>
      </c>
      <c r="P1008">
        <f t="shared" si="141"/>
        <v>0</v>
      </c>
      <c r="R1008">
        <f t="shared" si="142"/>
        <v>0</v>
      </c>
      <c r="S1008">
        <f t="shared" si="143"/>
        <v>0</v>
      </c>
      <c r="T1008">
        <f t="shared" si="144"/>
        <v>0</v>
      </c>
    </row>
    <row r="1009" spans="10:20" x14ac:dyDescent="0.25">
      <c r="J1009">
        <v>0.2677219763361367</v>
      </c>
      <c r="K1009">
        <f t="shared" si="145"/>
        <v>1</v>
      </c>
      <c r="L1009">
        <f t="shared" si="146"/>
        <v>0.2677219763361367</v>
      </c>
      <c r="M1009">
        <f t="shared" si="140"/>
        <v>1</v>
      </c>
      <c r="N1009">
        <f t="shared" si="147"/>
        <v>3</v>
      </c>
      <c r="O1009">
        <f t="shared" si="148"/>
        <v>84</v>
      </c>
      <c r="P1009">
        <f t="shared" si="141"/>
        <v>0</v>
      </c>
      <c r="R1009">
        <f t="shared" si="142"/>
        <v>0</v>
      </c>
      <c r="S1009">
        <f t="shared" si="143"/>
        <v>0</v>
      </c>
      <c r="T1009">
        <f t="shared" si="144"/>
        <v>0</v>
      </c>
    </row>
    <row r="1010" spans="10:20" x14ac:dyDescent="0.25">
      <c r="J1010">
        <v>0.42209332180097103</v>
      </c>
      <c r="K1010">
        <f t="shared" si="145"/>
        <v>0</v>
      </c>
      <c r="L1010">
        <f t="shared" si="146"/>
        <v>0</v>
      </c>
      <c r="M1010">
        <f t="shared" si="140"/>
        <v>0</v>
      </c>
      <c r="N1010">
        <f t="shared" si="147"/>
        <v>4</v>
      </c>
      <c r="O1010">
        <f t="shared" si="148"/>
        <v>84</v>
      </c>
      <c r="P1010">
        <f t="shared" si="141"/>
        <v>0</v>
      </c>
      <c r="R1010">
        <f t="shared" si="142"/>
        <v>0</v>
      </c>
      <c r="S1010">
        <f t="shared" si="143"/>
        <v>0</v>
      </c>
      <c r="T1010">
        <f t="shared" si="144"/>
        <v>0</v>
      </c>
    </row>
    <row r="1011" spans="10:20" x14ac:dyDescent="0.25">
      <c r="J1011">
        <v>0.87261718021699652</v>
      </c>
      <c r="K1011">
        <f t="shared" si="145"/>
        <v>1</v>
      </c>
      <c r="L1011">
        <f t="shared" si="146"/>
        <v>0.87261718021699652</v>
      </c>
      <c r="M1011">
        <f t="shared" si="140"/>
        <v>1</v>
      </c>
      <c r="N1011">
        <f t="shared" si="147"/>
        <v>4</v>
      </c>
      <c r="O1011">
        <f t="shared" si="148"/>
        <v>84</v>
      </c>
      <c r="P1011">
        <f t="shared" si="141"/>
        <v>0</v>
      </c>
      <c r="R1011">
        <f t="shared" si="142"/>
        <v>0</v>
      </c>
      <c r="S1011">
        <f t="shared" si="143"/>
        <v>0</v>
      </c>
      <c r="T1011">
        <f t="shared" si="144"/>
        <v>0</v>
      </c>
    </row>
    <row r="1012" spans="10:20" x14ac:dyDescent="0.25">
      <c r="J1012">
        <v>0.15762974937143659</v>
      </c>
      <c r="K1012">
        <f t="shared" si="145"/>
        <v>0</v>
      </c>
      <c r="L1012">
        <f t="shared" si="146"/>
        <v>0</v>
      </c>
      <c r="M1012">
        <f t="shared" si="140"/>
        <v>0</v>
      </c>
      <c r="N1012">
        <f t="shared" si="147"/>
        <v>5</v>
      </c>
      <c r="O1012">
        <f t="shared" si="148"/>
        <v>84</v>
      </c>
      <c r="P1012">
        <f t="shared" si="141"/>
        <v>0</v>
      </c>
      <c r="R1012">
        <f t="shared" si="142"/>
        <v>0</v>
      </c>
      <c r="S1012">
        <f t="shared" si="143"/>
        <v>0</v>
      </c>
      <c r="T1012">
        <f t="shared" si="144"/>
        <v>0</v>
      </c>
    </row>
    <row r="1013" spans="10:20" x14ac:dyDescent="0.25">
      <c r="J1013">
        <v>0.4553851904701901</v>
      </c>
      <c r="K1013">
        <f t="shared" si="145"/>
        <v>1</v>
      </c>
      <c r="L1013">
        <f t="shared" si="146"/>
        <v>0.4553851904701901</v>
      </c>
      <c r="M1013">
        <f t="shared" si="140"/>
        <v>1</v>
      </c>
      <c r="N1013">
        <f t="shared" si="147"/>
        <v>5</v>
      </c>
      <c r="O1013">
        <f t="shared" si="148"/>
        <v>84</v>
      </c>
      <c r="P1013">
        <f t="shared" si="141"/>
        <v>0</v>
      </c>
      <c r="R1013">
        <f t="shared" si="142"/>
        <v>0</v>
      </c>
      <c r="S1013">
        <f t="shared" si="143"/>
        <v>0</v>
      </c>
      <c r="T1013">
        <f t="shared" si="144"/>
        <v>0</v>
      </c>
    </row>
    <row r="1014" spans="10:20" x14ac:dyDescent="0.25">
      <c r="J1014">
        <v>0.99286888401372886</v>
      </c>
      <c r="K1014">
        <f t="shared" si="145"/>
        <v>0</v>
      </c>
      <c r="L1014">
        <f t="shared" si="146"/>
        <v>0</v>
      </c>
      <c r="M1014">
        <f t="shared" si="140"/>
        <v>0</v>
      </c>
      <c r="N1014">
        <f t="shared" si="147"/>
        <v>6</v>
      </c>
      <c r="O1014">
        <f t="shared" si="148"/>
        <v>84</v>
      </c>
      <c r="P1014">
        <f t="shared" si="141"/>
        <v>0</v>
      </c>
      <c r="R1014">
        <f t="shared" si="142"/>
        <v>0</v>
      </c>
      <c r="S1014">
        <f t="shared" si="143"/>
        <v>0</v>
      </c>
      <c r="T1014">
        <f t="shared" si="144"/>
        <v>0</v>
      </c>
    </row>
    <row r="1015" spans="10:20" x14ac:dyDescent="0.25">
      <c r="J1015">
        <v>0.98919535271288617</v>
      </c>
      <c r="K1015">
        <f t="shared" si="145"/>
        <v>1</v>
      </c>
      <c r="L1015">
        <f t="shared" si="146"/>
        <v>0.98919535271288617</v>
      </c>
      <c r="M1015">
        <f t="shared" si="140"/>
        <v>1</v>
      </c>
      <c r="N1015">
        <f t="shared" si="147"/>
        <v>6</v>
      </c>
      <c r="O1015">
        <f t="shared" si="148"/>
        <v>84</v>
      </c>
      <c r="P1015">
        <f t="shared" si="141"/>
        <v>0</v>
      </c>
      <c r="R1015">
        <f t="shared" si="142"/>
        <v>0</v>
      </c>
      <c r="S1015">
        <f t="shared" si="143"/>
        <v>0</v>
      </c>
      <c r="T1015">
        <f t="shared" si="144"/>
        <v>0</v>
      </c>
    </row>
    <row r="1016" spans="10:20" x14ac:dyDescent="0.25">
      <c r="J1016">
        <v>0.75488136953138774</v>
      </c>
      <c r="K1016">
        <f t="shared" si="145"/>
        <v>0</v>
      </c>
      <c r="L1016">
        <f t="shared" si="146"/>
        <v>0</v>
      </c>
      <c r="M1016">
        <f t="shared" si="140"/>
        <v>0</v>
      </c>
      <c r="N1016">
        <f t="shared" si="147"/>
        <v>7</v>
      </c>
      <c r="O1016">
        <f t="shared" si="148"/>
        <v>84</v>
      </c>
      <c r="P1016">
        <f t="shared" si="141"/>
        <v>0</v>
      </c>
      <c r="R1016">
        <f t="shared" si="142"/>
        <v>0</v>
      </c>
      <c r="S1016">
        <f t="shared" si="143"/>
        <v>0</v>
      </c>
      <c r="T1016">
        <f t="shared" si="144"/>
        <v>0</v>
      </c>
    </row>
    <row r="1017" spans="10:20" x14ac:dyDescent="0.25">
      <c r="J1017">
        <v>0.10243973339701695</v>
      </c>
      <c r="K1017">
        <f t="shared" si="145"/>
        <v>1</v>
      </c>
      <c r="L1017">
        <f t="shared" si="146"/>
        <v>0.10243973339701695</v>
      </c>
      <c r="M1017">
        <f t="shared" si="140"/>
        <v>1</v>
      </c>
      <c r="N1017">
        <f t="shared" si="147"/>
        <v>1</v>
      </c>
      <c r="O1017">
        <f t="shared" si="148"/>
        <v>85</v>
      </c>
      <c r="P1017">
        <f t="shared" si="141"/>
        <v>0</v>
      </c>
      <c r="R1017">
        <f t="shared" si="142"/>
        <v>0</v>
      </c>
      <c r="S1017">
        <f t="shared" si="143"/>
        <v>0</v>
      </c>
      <c r="T1017">
        <f t="shared" si="144"/>
        <v>0</v>
      </c>
    </row>
    <row r="1018" spans="10:20" x14ac:dyDescent="0.25">
      <c r="J1018">
        <v>0.52161186003049687</v>
      </c>
      <c r="K1018">
        <f t="shared" si="145"/>
        <v>0</v>
      </c>
      <c r="L1018">
        <f t="shared" si="146"/>
        <v>0</v>
      </c>
      <c r="M1018">
        <f t="shared" si="140"/>
        <v>0</v>
      </c>
      <c r="N1018">
        <f t="shared" si="147"/>
        <v>2</v>
      </c>
      <c r="O1018">
        <f t="shared" si="148"/>
        <v>85</v>
      </c>
      <c r="P1018">
        <f t="shared" si="141"/>
        <v>0</v>
      </c>
      <c r="R1018">
        <f t="shared" si="142"/>
        <v>0</v>
      </c>
      <c r="S1018">
        <f t="shared" si="143"/>
        <v>0</v>
      </c>
      <c r="T1018">
        <f t="shared" si="144"/>
        <v>0</v>
      </c>
    </row>
    <row r="1019" spans="10:20" x14ac:dyDescent="0.25">
      <c r="J1019">
        <v>0.92742648343763101</v>
      </c>
      <c r="K1019">
        <f t="shared" si="145"/>
        <v>1</v>
      </c>
      <c r="L1019">
        <f t="shared" si="146"/>
        <v>0.92742648343763101</v>
      </c>
      <c r="M1019">
        <f t="shared" si="140"/>
        <v>1</v>
      </c>
      <c r="N1019">
        <f t="shared" si="147"/>
        <v>2</v>
      </c>
      <c r="O1019">
        <f t="shared" si="148"/>
        <v>85</v>
      </c>
      <c r="P1019">
        <f t="shared" si="141"/>
        <v>0</v>
      </c>
      <c r="R1019">
        <f t="shared" si="142"/>
        <v>0</v>
      </c>
      <c r="S1019">
        <f t="shared" si="143"/>
        <v>0</v>
      </c>
      <c r="T1019">
        <f t="shared" si="144"/>
        <v>0</v>
      </c>
    </row>
    <row r="1020" spans="10:20" x14ac:dyDescent="0.25">
      <c r="J1020">
        <v>0.55565802894700556</v>
      </c>
      <c r="K1020">
        <f t="shared" si="145"/>
        <v>0</v>
      </c>
      <c r="L1020">
        <f t="shared" si="146"/>
        <v>0</v>
      </c>
      <c r="M1020">
        <f t="shared" si="140"/>
        <v>0</v>
      </c>
      <c r="N1020">
        <f t="shared" si="147"/>
        <v>3</v>
      </c>
      <c r="O1020">
        <f t="shared" si="148"/>
        <v>85</v>
      </c>
      <c r="P1020">
        <f t="shared" si="141"/>
        <v>0</v>
      </c>
      <c r="R1020">
        <f t="shared" si="142"/>
        <v>0</v>
      </c>
      <c r="S1020">
        <f t="shared" si="143"/>
        <v>0</v>
      </c>
      <c r="T1020">
        <f t="shared" si="144"/>
        <v>0</v>
      </c>
    </row>
    <row r="1021" spans="10:20" x14ac:dyDescent="0.25">
      <c r="J1021">
        <v>0.70027192485026679</v>
      </c>
      <c r="K1021">
        <f t="shared" si="145"/>
        <v>1</v>
      </c>
      <c r="L1021">
        <f t="shared" si="146"/>
        <v>0.70027192485026679</v>
      </c>
      <c r="M1021">
        <f t="shared" si="140"/>
        <v>1</v>
      </c>
      <c r="N1021">
        <f t="shared" si="147"/>
        <v>3</v>
      </c>
      <c r="O1021">
        <f t="shared" si="148"/>
        <v>85</v>
      </c>
      <c r="P1021">
        <f t="shared" si="141"/>
        <v>0</v>
      </c>
      <c r="R1021">
        <f t="shared" si="142"/>
        <v>0</v>
      </c>
      <c r="S1021">
        <f t="shared" si="143"/>
        <v>0</v>
      </c>
      <c r="T1021">
        <f t="shared" si="144"/>
        <v>0</v>
      </c>
    </row>
    <row r="1022" spans="10:20" x14ac:dyDescent="0.25">
      <c r="J1022">
        <v>0.58576252465650536</v>
      </c>
      <c r="K1022">
        <f t="shared" si="145"/>
        <v>0</v>
      </c>
      <c r="L1022">
        <f t="shared" si="146"/>
        <v>0</v>
      </c>
      <c r="M1022">
        <f t="shared" si="140"/>
        <v>0</v>
      </c>
      <c r="N1022">
        <f t="shared" si="147"/>
        <v>4</v>
      </c>
      <c r="O1022">
        <f t="shared" si="148"/>
        <v>85</v>
      </c>
      <c r="P1022">
        <f t="shared" si="141"/>
        <v>0</v>
      </c>
      <c r="R1022">
        <f t="shared" si="142"/>
        <v>0</v>
      </c>
      <c r="S1022">
        <f t="shared" si="143"/>
        <v>0</v>
      </c>
      <c r="T1022">
        <f t="shared" si="144"/>
        <v>0</v>
      </c>
    </row>
    <row r="1023" spans="10:20" x14ac:dyDescent="0.25">
      <c r="J1023">
        <v>0.66953724198404363</v>
      </c>
      <c r="K1023">
        <f t="shared" si="145"/>
        <v>1</v>
      </c>
      <c r="L1023">
        <f t="shared" si="146"/>
        <v>0.66953724198404363</v>
      </c>
      <c r="M1023">
        <f t="shared" si="140"/>
        <v>1</v>
      </c>
      <c r="N1023">
        <f t="shared" si="147"/>
        <v>4</v>
      </c>
      <c r="O1023">
        <f t="shared" si="148"/>
        <v>85</v>
      </c>
      <c r="P1023">
        <f t="shared" si="141"/>
        <v>0</v>
      </c>
      <c r="R1023">
        <f t="shared" si="142"/>
        <v>0</v>
      </c>
      <c r="S1023">
        <f t="shared" si="143"/>
        <v>0</v>
      </c>
      <c r="T1023">
        <f t="shared" si="144"/>
        <v>0</v>
      </c>
    </row>
    <row r="1024" spans="10:20" x14ac:dyDescent="0.25">
      <c r="J1024">
        <v>0.81837877779000057</v>
      </c>
      <c r="K1024">
        <f t="shared" si="145"/>
        <v>0</v>
      </c>
      <c r="L1024">
        <f t="shared" si="146"/>
        <v>0</v>
      </c>
      <c r="M1024">
        <f t="shared" si="140"/>
        <v>0</v>
      </c>
      <c r="N1024">
        <f t="shared" si="147"/>
        <v>5</v>
      </c>
      <c r="O1024">
        <f t="shared" si="148"/>
        <v>85</v>
      </c>
      <c r="P1024">
        <f t="shared" si="141"/>
        <v>0</v>
      </c>
      <c r="R1024">
        <f t="shared" si="142"/>
        <v>0</v>
      </c>
      <c r="S1024">
        <f t="shared" si="143"/>
        <v>0</v>
      </c>
      <c r="T1024">
        <f t="shared" si="144"/>
        <v>0</v>
      </c>
    </row>
    <row r="1025" spans="10:20" x14ac:dyDescent="0.25">
      <c r="J1025">
        <v>0.20021590966528302</v>
      </c>
      <c r="K1025">
        <f t="shared" si="145"/>
        <v>1</v>
      </c>
      <c r="L1025">
        <f t="shared" si="146"/>
        <v>0.20021590966528302</v>
      </c>
      <c r="M1025">
        <f t="shared" si="140"/>
        <v>1</v>
      </c>
      <c r="N1025">
        <f t="shared" si="147"/>
        <v>5</v>
      </c>
      <c r="O1025">
        <f t="shared" si="148"/>
        <v>85</v>
      </c>
      <c r="P1025">
        <f t="shared" si="141"/>
        <v>0</v>
      </c>
      <c r="R1025">
        <f t="shared" si="142"/>
        <v>0</v>
      </c>
      <c r="S1025">
        <f t="shared" si="143"/>
        <v>0</v>
      </c>
      <c r="T1025">
        <f t="shared" si="144"/>
        <v>0</v>
      </c>
    </row>
    <row r="1026" spans="10:20" x14ac:dyDescent="0.25">
      <c r="J1026">
        <v>2.4796249858413999E-2</v>
      </c>
      <c r="K1026">
        <f t="shared" si="145"/>
        <v>0</v>
      </c>
      <c r="L1026">
        <f t="shared" si="146"/>
        <v>0</v>
      </c>
      <c r="M1026">
        <f t="shared" si="140"/>
        <v>0</v>
      </c>
      <c r="N1026">
        <f t="shared" si="147"/>
        <v>6</v>
      </c>
      <c r="O1026">
        <f t="shared" si="148"/>
        <v>85</v>
      </c>
      <c r="P1026">
        <f t="shared" si="141"/>
        <v>0</v>
      </c>
      <c r="R1026">
        <f t="shared" si="142"/>
        <v>0</v>
      </c>
      <c r="S1026">
        <f t="shared" si="143"/>
        <v>0</v>
      </c>
      <c r="T1026">
        <f t="shared" si="144"/>
        <v>0</v>
      </c>
    </row>
    <row r="1027" spans="10:20" x14ac:dyDescent="0.25">
      <c r="J1027">
        <v>0.36499416518841865</v>
      </c>
      <c r="K1027">
        <f t="shared" si="145"/>
        <v>1</v>
      </c>
      <c r="L1027">
        <f t="shared" si="146"/>
        <v>0.36499416518841865</v>
      </c>
      <c r="M1027">
        <f t="shared" si="140"/>
        <v>1</v>
      </c>
      <c r="N1027">
        <f t="shared" si="147"/>
        <v>6</v>
      </c>
      <c r="O1027">
        <f t="shared" si="148"/>
        <v>85</v>
      </c>
      <c r="P1027">
        <f t="shared" si="141"/>
        <v>0</v>
      </c>
      <c r="R1027">
        <f t="shared" si="142"/>
        <v>0</v>
      </c>
      <c r="S1027">
        <f t="shared" si="143"/>
        <v>0</v>
      </c>
      <c r="T1027">
        <f t="shared" si="144"/>
        <v>0</v>
      </c>
    </row>
    <row r="1028" spans="10:20" x14ac:dyDescent="0.25">
      <c r="J1028">
        <v>0.28187186859925406</v>
      </c>
      <c r="K1028">
        <f t="shared" si="145"/>
        <v>0</v>
      </c>
      <c r="L1028">
        <f t="shared" si="146"/>
        <v>0</v>
      </c>
      <c r="M1028">
        <f t="shared" si="140"/>
        <v>0</v>
      </c>
      <c r="N1028">
        <f t="shared" si="147"/>
        <v>7</v>
      </c>
      <c r="O1028">
        <f t="shared" si="148"/>
        <v>85</v>
      </c>
      <c r="P1028">
        <f t="shared" si="141"/>
        <v>0</v>
      </c>
      <c r="R1028">
        <f t="shared" si="142"/>
        <v>0</v>
      </c>
      <c r="S1028">
        <f t="shared" si="143"/>
        <v>0</v>
      </c>
      <c r="T1028">
        <f t="shared" si="144"/>
        <v>0</v>
      </c>
    </row>
    <row r="1029" spans="10:20" x14ac:dyDescent="0.25">
      <c r="J1029">
        <v>0.87249724532708983</v>
      </c>
      <c r="K1029">
        <f t="shared" si="145"/>
        <v>1</v>
      </c>
      <c r="L1029">
        <f t="shared" si="146"/>
        <v>0.87249724532708983</v>
      </c>
      <c r="M1029">
        <f t="shared" si="140"/>
        <v>1</v>
      </c>
      <c r="N1029">
        <f t="shared" si="147"/>
        <v>1</v>
      </c>
      <c r="O1029">
        <f t="shared" si="148"/>
        <v>86</v>
      </c>
      <c r="P1029">
        <f t="shared" si="141"/>
        <v>0</v>
      </c>
      <c r="R1029">
        <f t="shared" si="142"/>
        <v>0</v>
      </c>
      <c r="S1029">
        <f t="shared" si="143"/>
        <v>0</v>
      </c>
      <c r="T1029">
        <f t="shared" si="144"/>
        <v>0</v>
      </c>
    </row>
    <row r="1030" spans="10:20" x14ac:dyDescent="0.25">
      <c r="J1030">
        <v>2.792164282469034E-2</v>
      </c>
      <c r="K1030">
        <f t="shared" si="145"/>
        <v>0</v>
      </c>
      <c r="L1030">
        <f t="shared" si="146"/>
        <v>0</v>
      </c>
      <c r="M1030">
        <f t="shared" si="140"/>
        <v>0</v>
      </c>
      <c r="N1030">
        <f t="shared" si="147"/>
        <v>2</v>
      </c>
      <c r="O1030">
        <f t="shared" si="148"/>
        <v>86</v>
      </c>
      <c r="P1030">
        <f t="shared" si="141"/>
        <v>0</v>
      </c>
      <c r="R1030">
        <f t="shared" si="142"/>
        <v>0</v>
      </c>
      <c r="S1030">
        <f t="shared" si="143"/>
        <v>0</v>
      </c>
      <c r="T1030">
        <f t="shared" si="144"/>
        <v>0</v>
      </c>
    </row>
    <row r="1031" spans="10:20" x14ac:dyDescent="0.25">
      <c r="J1031">
        <v>1.1486422242326766E-2</v>
      </c>
      <c r="K1031">
        <f t="shared" si="145"/>
        <v>1</v>
      </c>
      <c r="L1031">
        <f t="shared" si="146"/>
        <v>1.1486422242326766E-2</v>
      </c>
      <c r="M1031">
        <f t="shared" si="140"/>
        <v>1</v>
      </c>
      <c r="N1031">
        <f t="shared" si="147"/>
        <v>2</v>
      </c>
      <c r="O1031">
        <f t="shared" si="148"/>
        <v>86</v>
      </c>
      <c r="P1031">
        <f t="shared" si="141"/>
        <v>0</v>
      </c>
      <c r="R1031">
        <f t="shared" si="142"/>
        <v>0</v>
      </c>
      <c r="S1031">
        <f t="shared" si="143"/>
        <v>0</v>
      </c>
      <c r="T1031">
        <f t="shared" si="144"/>
        <v>0</v>
      </c>
    </row>
    <row r="1032" spans="10:20" x14ac:dyDescent="0.25">
      <c r="J1032">
        <v>0.29077918961825699</v>
      </c>
      <c r="K1032">
        <f t="shared" si="145"/>
        <v>0</v>
      </c>
      <c r="L1032">
        <f t="shared" si="146"/>
        <v>0</v>
      </c>
      <c r="M1032">
        <f t="shared" ref="M1032:M1095" si="149">IF(L1032&gt;$M$2,1,0)</f>
        <v>0</v>
      </c>
      <c r="N1032">
        <f t="shared" si="147"/>
        <v>3</v>
      </c>
      <c r="O1032">
        <f t="shared" si="148"/>
        <v>86</v>
      </c>
      <c r="P1032">
        <f t="shared" ref="P1032:P1095" si="150">IF(INDEX($B$7:$H$1029,O1032,2)&gt;0,1,0)</f>
        <v>0</v>
      </c>
      <c r="R1032">
        <f t="shared" ref="R1032:R1095" si="151">IF(  M1032&gt;0,INDEX($B$7:$H$1029,O1032,N1032),0)*P1032</f>
        <v>0</v>
      </c>
      <c r="S1032">
        <f t="shared" ref="S1032:S1095" si="152">M1032*P1032</f>
        <v>0</v>
      </c>
      <c r="T1032">
        <f t="shared" ref="T1032:T1095" si="153">IF(N1033=$N$2,1,0)*P1032</f>
        <v>0</v>
      </c>
    </row>
    <row r="1033" spans="10:20" x14ac:dyDescent="0.25">
      <c r="J1033">
        <v>0.90817285256043934</v>
      </c>
      <c r="K1033">
        <f t="shared" si="145"/>
        <v>1</v>
      </c>
      <c r="L1033">
        <f t="shared" si="146"/>
        <v>0.90817285256043934</v>
      </c>
      <c r="M1033">
        <f t="shared" si="149"/>
        <v>1</v>
      </c>
      <c r="N1033">
        <f t="shared" si="147"/>
        <v>3</v>
      </c>
      <c r="O1033">
        <f t="shared" si="148"/>
        <v>86</v>
      </c>
      <c r="P1033">
        <f t="shared" si="150"/>
        <v>0</v>
      </c>
      <c r="R1033">
        <f t="shared" si="151"/>
        <v>0</v>
      </c>
      <c r="S1033">
        <f t="shared" si="152"/>
        <v>0</v>
      </c>
      <c r="T1033">
        <f t="shared" si="153"/>
        <v>0</v>
      </c>
    </row>
    <row r="1034" spans="10:20" x14ac:dyDescent="0.25">
      <c r="J1034">
        <v>0.88782099577307838</v>
      </c>
      <c r="K1034">
        <f t="shared" si="145"/>
        <v>0</v>
      </c>
      <c r="L1034">
        <f t="shared" si="146"/>
        <v>0</v>
      </c>
      <c r="M1034">
        <f t="shared" si="149"/>
        <v>0</v>
      </c>
      <c r="N1034">
        <f t="shared" si="147"/>
        <v>4</v>
      </c>
      <c r="O1034">
        <f t="shared" si="148"/>
        <v>86</v>
      </c>
      <c r="P1034">
        <f t="shared" si="150"/>
        <v>0</v>
      </c>
      <c r="R1034">
        <f t="shared" si="151"/>
        <v>0</v>
      </c>
      <c r="S1034">
        <f t="shared" si="152"/>
        <v>0</v>
      </c>
      <c r="T1034">
        <f t="shared" si="153"/>
        <v>0</v>
      </c>
    </row>
    <row r="1035" spans="10:20" x14ac:dyDescent="0.25">
      <c r="J1035">
        <v>0.57320413352193755</v>
      </c>
      <c r="K1035">
        <f t="shared" si="145"/>
        <v>1</v>
      </c>
      <c r="L1035">
        <f t="shared" si="146"/>
        <v>0.57320413352193755</v>
      </c>
      <c r="M1035">
        <f t="shared" si="149"/>
        <v>1</v>
      </c>
      <c r="N1035">
        <f t="shared" si="147"/>
        <v>4</v>
      </c>
      <c r="O1035">
        <f t="shared" si="148"/>
        <v>86</v>
      </c>
      <c r="P1035">
        <f t="shared" si="150"/>
        <v>0</v>
      </c>
      <c r="R1035">
        <f t="shared" si="151"/>
        <v>0</v>
      </c>
      <c r="S1035">
        <f t="shared" si="152"/>
        <v>0</v>
      </c>
      <c r="T1035">
        <f t="shared" si="153"/>
        <v>0</v>
      </c>
    </row>
    <row r="1036" spans="10:20" x14ac:dyDescent="0.25">
      <c r="J1036">
        <v>1.2492370134709052E-2</v>
      </c>
      <c r="K1036">
        <f t="shared" si="145"/>
        <v>0</v>
      </c>
      <c r="L1036">
        <f t="shared" si="146"/>
        <v>0</v>
      </c>
      <c r="M1036">
        <f t="shared" si="149"/>
        <v>0</v>
      </c>
      <c r="N1036">
        <f t="shared" si="147"/>
        <v>5</v>
      </c>
      <c r="O1036">
        <f t="shared" si="148"/>
        <v>86</v>
      </c>
      <c r="P1036">
        <f t="shared" si="150"/>
        <v>0</v>
      </c>
      <c r="R1036">
        <f t="shared" si="151"/>
        <v>0</v>
      </c>
      <c r="S1036">
        <f t="shared" si="152"/>
        <v>0</v>
      </c>
      <c r="T1036">
        <f t="shared" si="153"/>
        <v>0</v>
      </c>
    </row>
    <row r="1037" spans="10:20" x14ac:dyDescent="0.25">
      <c r="J1037">
        <v>0.83877239975140228</v>
      </c>
      <c r="K1037">
        <f t="shared" si="145"/>
        <v>1</v>
      </c>
      <c r="L1037">
        <f t="shared" si="146"/>
        <v>0.83877239975140228</v>
      </c>
      <c r="M1037">
        <f t="shared" si="149"/>
        <v>1</v>
      </c>
      <c r="N1037">
        <f t="shared" si="147"/>
        <v>5</v>
      </c>
      <c r="O1037">
        <f t="shared" si="148"/>
        <v>86</v>
      </c>
      <c r="P1037">
        <f t="shared" si="150"/>
        <v>0</v>
      </c>
      <c r="R1037">
        <f t="shared" si="151"/>
        <v>0</v>
      </c>
      <c r="S1037">
        <f t="shared" si="152"/>
        <v>0</v>
      </c>
      <c r="T1037">
        <f t="shared" si="153"/>
        <v>0</v>
      </c>
    </row>
    <row r="1038" spans="10:20" x14ac:dyDescent="0.25">
      <c r="J1038">
        <v>0.61273726910888371</v>
      </c>
      <c r="K1038">
        <f t="shared" si="145"/>
        <v>0</v>
      </c>
      <c r="L1038">
        <f t="shared" si="146"/>
        <v>0</v>
      </c>
      <c r="M1038">
        <f t="shared" si="149"/>
        <v>0</v>
      </c>
      <c r="N1038">
        <f t="shared" si="147"/>
        <v>6</v>
      </c>
      <c r="O1038">
        <f t="shared" si="148"/>
        <v>86</v>
      </c>
      <c r="P1038">
        <f t="shared" si="150"/>
        <v>0</v>
      </c>
      <c r="R1038">
        <f t="shared" si="151"/>
        <v>0</v>
      </c>
      <c r="S1038">
        <f t="shared" si="152"/>
        <v>0</v>
      </c>
      <c r="T1038">
        <f t="shared" si="153"/>
        <v>0</v>
      </c>
    </row>
    <row r="1039" spans="10:20" x14ac:dyDescent="0.25">
      <c r="J1039">
        <v>0.62373409519733836</v>
      </c>
      <c r="K1039">
        <f t="shared" si="145"/>
        <v>1</v>
      </c>
      <c r="L1039">
        <f t="shared" si="146"/>
        <v>0.62373409519733836</v>
      </c>
      <c r="M1039">
        <f t="shared" si="149"/>
        <v>1</v>
      </c>
      <c r="N1039">
        <f t="shared" si="147"/>
        <v>6</v>
      </c>
      <c r="O1039">
        <f t="shared" si="148"/>
        <v>86</v>
      </c>
      <c r="P1039">
        <f t="shared" si="150"/>
        <v>0</v>
      </c>
      <c r="R1039">
        <f t="shared" si="151"/>
        <v>0</v>
      </c>
      <c r="S1039">
        <f t="shared" si="152"/>
        <v>0</v>
      </c>
      <c r="T1039">
        <f t="shared" si="153"/>
        <v>0</v>
      </c>
    </row>
    <row r="1040" spans="10:20" x14ac:dyDescent="0.25">
      <c r="J1040">
        <v>0.11199709670326397</v>
      </c>
      <c r="K1040">
        <f t="shared" si="145"/>
        <v>0</v>
      </c>
      <c r="L1040">
        <f t="shared" si="146"/>
        <v>0</v>
      </c>
      <c r="M1040">
        <f t="shared" si="149"/>
        <v>0</v>
      </c>
      <c r="N1040">
        <f t="shared" si="147"/>
        <v>7</v>
      </c>
      <c r="O1040">
        <f t="shared" si="148"/>
        <v>86</v>
      </c>
      <c r="P1040">
        <f t="shared" si="150"/>
        <v>0</v>
      </c>
      <c r="R1040">
        <f t="shared" si="151"/>
        <v>0</v>
      </c>
      <c r="S1040">
        <f t="shared" si="152"/>
        <v>0</v>
      </c>
      <c r="T1040">
        <f t="shared" si="153"/>
        <v>0</v>
      </c>
    </row>
    <row r="1041" spans="10:20" x14ac:dyDescent="0.25">
      <c r="J1041">
        <v>0.43105074578422342</v>
      </c>
      <c r="K1041">
        <f t="shared" si="145"/>
        <v>1</v>
      </c>
      <c r="L1041">
        <f t="shared" si="146"/>
        <v>0.43105074578422342</v>
      </c>
      <c r="M1041">
        <f t="shared" si="149"/>
        <v>1</v>
      </c>
      <c r="N1041">
        <f t="shared" si="147"/>
        <v>1</v>
      </c>
      <c r="O1041">
        <f t="shared" si="148"/>
        <v>87</v>
      </c>
      <c r="P1041">
        <f t="shared" si="150"/>
        <v>0</v>
      </c>
      <c r="R1041">
        <f t="shared" si="151"/>
        <v>0</v>
      </c>
      <c r="S1041">
        <f t="shared" si="152"/>
        <v>0</v>
      </c>
      <c r="T1041">
        <f t="shared" si="153"/>
        <v>0</v>
      </c>
    </row>
    <row r="1042" spans="10:20" x14ac:dyDescent="0.25">
      <c r="J1042">
        <v>0.60520075601122048</v>
      </c>
      <c r="K1042">
        <f t="shared" si="145"/>
        <v>0</v>
      </c>
      <c r="L1042">
        <f t="shared" si="146"/>
        <v>0</v>
      </c>
      <c r="M1042">
        <f t="shared" si="149"/>
        <v>0</v>
      </c>
      <c r="N1042">
        <f t="shared" si="147"/>
        <v>2</v>
      </c>
      <c r="O1042">
        <f t="shared" si="148"/>
        <v>87</v>
      </c>
      <c r="P1042">
        <f t="shared" si="150"/>
        <v>0</v>
      </c>
      <c r="R1042">
        <f t="shared" si="151"/>
        <v>0</v>
      </c>
      <c r="S1042">
        <f t="shared" si="152"/>
        <v>0</v>
      </c>
      <c r="T1042">
        <f t="shared" si="153"/>
        <v>0</v>
      </c>
    </row>
    <row r="1043" spans="10:20" x14ac:dyDescent="0.25">
      <c r="J1043">
        <v>0.5618072482347215</v>
      </c>
      <c r="K1043">
        <f t="shared" si="145"/>
        <v>1</v>
      </c>
      <c r="L1043">
        <f t="shared" si="146"/>
        <v>0.5618072482347215</v>
      </c>
      <c r="M1043">
        <f t="shared" si="149"/>
        <v>1</v>
      </c>
      <c r="N1043">
        <f t="shared" si="147"/>
        <v>2</v>
      </c>
      <c r="O1043">
        <f t="shared" si="148"/>
        <v>87</v>
      </c>
      <c r="P1043">
        <f t="shared" si="150"/>
        <v>0</v>
      </c>
      <c r="R1043">
        <f t="shared" si="151"/>
        <v>0</v>
      </c>
      <c r="S1043">
        <f t="shared" si="152"/>
        <v>0</v>
      </c>
      <c r="T1043">
        <f t="shared" si="153"/>
        <v>0</v>
      </c>
    </row>
    <row r="1044" spans="10:20" x14ac:dyDescent="0.25">
      <c r="J1044">
        <v>0.44643025431095729</v>
      </c>
      <c r="K1044">
        <f t="shared" si="145"/>
        <v>0</v>
      </c>
      <c r="L1044">
        <f t="shared" si="146"/>
        <v>0</v>
      </c>
      <c r="M1044">
        <f t="shared" si="149"/>
        <v>0</v>
      </c>
      <c r="N1044">
        <f t="shared" si="147"/>
        <v>3</v>
      </c>
      <c r="O1044">
        <f t="shared" si="148"/>
        <v>87</v>
      </c>
      <c r="P1044">
        <f t="shared" si="150"/>
        <v>0</v>
      </c>
      <c r="R1044">
        <f t="shared" si="151"/>
        <v>0</v>
      </c>
      <c r="S1044">
        <f t="shared" si="152"/>
        <v>0</v>
      </c>
      <c r="T1044">
        <f t="shared" si="153"/>
        <v>0</v>
      </c>
    </row>
    <row r="1045" spans="10:20" x14ac:dyDescent="0.25">
      <c r="J1045">
        <v>0.17448017048327757</v>
      </c>
      <c r="K1045">
        <f t="shared" si="145"/>
        <v>1</v>
      </c>
      <c r="L1045">
        <f t="shared" si="146"/>
        <v>0.17448017048327757</v>
      </c>
      <c r="M1045">
        <f t="shared" si="149"/>
        <v>1</v>
      </c>
      <c r="N1045">
        <f t="shared" si="147"/>
        <v>3</v>
      </c>
      <c r="O1045">
        <f t="shared" si="148"/>
        <v>87</v>
      </c>
      <c r="P1045">
        <f t="shared" si="150"/>
        <v>0</v>
      </c>
      <c r="R1045">
        <f t="shared" si="151"/>
        <v>0</v>
      </c>
      <c r="S1045">
        <f t="shared" si="152"/>
        <v>0</v>
      </c>
      <c r="T1045">
        <f t="shared" si="153"/>
        <v>0</v>
      </c>
    </row>
    <row r="1046" spans="10:20" x14ac:dyDescent="0.25">
      <c r="J1046">
        <v>0.75264563560004427</v>
      </c>
      <c r="K1046">
        <f t="shared" si="145"/>
        <v>0</v>
      </c>
      <c r="L1046">
        <f t="shared" si="146"/>
        <v>0</v>
      </c>
      <c r="M1046">
        <f t="shared" si="149"/>
        <v>0</v>
      </c>
      <c r="N1046">
        <f t="shared" si="147"/>
        <v>4</v>
      </c>
      <c r="O1046">
        <f t="shared" si="148"/>
        <v>87</v>
      </c>
      <c r="P1046">
        <f t="shared" si="150"/>
        <v>0</v>
      </c>
      <c r="R1046">
        <f t="shared" si="151"/>
        <v>0</v>
      </c>
      <c r="S1046">
        <f t="shared" si="152"/>
        <v>0</v>
      </c>
      <c r="T1046">
        <f t="shared" si="153"/>
        <v>0</v>
      </c>
    </row>
    <row r="1047" spans="10:20" x14ac:dyDescent="0.25">
      <c r="J1047">
        <v>0.206398006412712</v>
      </c>
      <c r="K1047">
        <f t="shared" si="145"/>
        <v>1</v>
      </c>
      <c r="L1047">
        <f t="shared" si="146"/>
        <v>0.206398006412712</v>
      </c>
      <c r="M1047">
        <f t="shared" si="149"/>
        <v>1</v>
      </c>
      <c r="N1047">
        <f t="shared" si="147"/>
        <v>4</v>
      </c>
      <c r="O1047">
        <f t="shared" si="148"/>
        <v>87</v>
      </c>
      <c r="P1047">
        <f t="shared" si="150"/>
        <v>0</v>
      </c>
      <c r="R1047">
        <f t="shared" si="151"/>
        <v>0</v>
      </c>
      <c r="S1047">
        <f t="shared" si="152"/>
        <v>0</v>
      </c>
      <c r="T1047">
        <f t="shared" si="153"/>
        <v>0</v>
      </c>
    </row>
    <row r="1048" spans="10:20" x14ac:dyDescent="0.25">
      <c r="J1048">
        <v>0.46619334250497657</v>
      </c>
      <c r="K1048">
        <f t="shared" ref="K1048:K1111" si="154">IF(K1047=1,0,1)</f>
        <v>0</v>
      </c>
      <c r="L1048">
        <f t="shared" ref="L1048:L1111" si="155">K1048*J1048</f>
        <v>0</v>
      </c>
      <c r="M1048">
        <f t="shared" si="149"/>
        <v>0</v>
      </c>
      <c r="N1048">
        <f t="shared" ref="N1048:N1111" si="156">IF(N1047&lt;$N$2,N1047+M1047,1)</f>
        <v>5</v>
      </c>
      <c r="O1048">
        <f t="shared" ref="O1048:O1111" si="157">IF(AND(N1048=1,M1048=1),O1047+1,O1047)</f>
        <v>87</v>
      </c>
      <c r="P1048">
        <f t="shared" si="150"/>
        <v>0</v>
      </c>
      <c r="R1048">
        <f t="shared" si="151"/>
        <v>0</v>
      </c>
      <c r="S1048">
        <f t="shared" si="152"/>
        <v>0</v>
      </c>
      <c r="T1048">
        <f t="shared" si="153"/>
        <v>0</v>
      </c>
    </row>
    <row r="1049" spans="10:20" x14ac:dyDescent="0.25">
      <c r="J1049">
        <v>0.72779935752354485</v>
      </c>
      <c r="K1049">
        <f t="shared" si="154"/>
        <v>1</v>
      </c>
      <c r="L1049">
        <f t="shared" si="155"/>
        <v>0.72779935752354485</v>
      </c>
      <c r="M1049">
        <f t="shared" si="149"/>
        <v>1</v>
      </c>
      <c r="N1049">
        <f t="shared" si="156"/>
        <v>5</v>
      </c>
      <c r="O1049">
        <f t="shared" si="157"/>
        <v>87</v>
      </c>
      <c r="P1049">
        <f t="shared" si="150"/>
        <v>0</v>
      </c>
      <c r="R1049">
        <f t="shared" si="151"/>
        <v>0</v>
      </c>
      <c r="S1049">
        <f t="shared" si="152"/>
        <v>0</v>
      </c>
      <c r="T1049">
        <f t="shared" si="153"/>
        <v>0</v>
      </c>
    </row>
    <row r="1050" spans="10:20" x14ac:dyDescent="0.25">
      <c r="J1050">
        <v>0.829187689545269</v>
      </c>
      <c r="K1050">
        <f t="shared" si="154"/>
        <v>0</v>
      </c>
      <c r="L1050">
        <f t="shared" si="155"/>
        <v>0</v>
      </c>
      <c r="M1050">
        <f t="shared" si="149"/>
        <v>0</v>
      </c>
      <c r="N1050">
        <f t="shared" si="156"/>
        <v>6</v>
      </c>
      <c r="O1050">
        <f t="shared" si="157"/>
        <v>87</v>
      </c>
      <c r="P1050">
        <f t="shared" si="150"/>
        <v>0</v>
      </c>
      <c r="R1050">
        <f t="shared" si="151"/>
        <v>0</v>
      </c>
      <c r="S1050">
        <f t="shared" si="152"/>
        <v>0</v>
      </c>
      <c r="T1050">
        <f t="shared" si="153"/>
        <v>0</v>
      </c>
    </row>
    <row r="1051" spans="10:20" x14ac:dyDescent="0.25">
      <c r="J1051">
        <v>0.55068791865380728</v>
      </c>
      <c r="K1051">
        <f t="shared" si="154"/>
        <v>1</v>
      </c>
      <c r="L1051">
        <f t="shared" si="155"/>
        <v>0.55068791865380728</v>
      </c>
      <c r="M1051">
        <f t="shared" si="149"/>
        <v>1</v>
      </c>
      <c r="N1051">
        <f t="shared" si="156"/>
        <v>6</v>
      </c>
      <c r="O1051">
        <f t="shared" si="157"/>
        <v>87</v>
      </c>
      <c r="P1051">
        <f t="shared" si="150"/>
        <v>0</v>
      </c>
      <c r="R1051">
        <f t="shared" si="151"/>
        <v>0</v>
      </c>
      <c r="S1051">
        <f t="shared" si="152"/>
        <v>0</v>
      </c>
      <c r="T1051">
        <f t="shared" si="153"/>
        <v>0</v>
      </c>
    </row>
    <row r="1052" spans="10:20" x14ac:dyDescent="0.25">
      <c r="J1052">
        <v>0.132936346754573</v>
      </c>
      <c r="K1052">
        <f t="shared" si="154"/>
        <v>0</v>
      </c>
      <c r="L1052">
        <f t="shared" si="155"/>
        <v>0</v>
      </c>
      <c r="M1052">
        <f t="shared" si="149"/>
        <v>0</v>
      </c>
      <c r="N1052">
        <f t="shared" si="156"/>
        <v>7</v>
      </c>
      <c r="O1052">
        <f t="shared" si="157"/>
        <v>87</v>
      </c>
      <c r="P1052">
        <f t="shared" si="150"/>
        <v>0</v>
      </c>
      <c r="R1052">
        <f t="shared" si="151"/>
        <v>0</v>
      </c>
      <c r="S1052">
        <f t="shared" si="152"/>
        <v>0</v>
      </c>
      <c r="T1052">
        <f t="shared" si="153"/>
        <v>0</v>
      </c>
    </row>
    <row r="1053" spans="10:20" x14ac:dyDescent="0.25">
      <c r="J1053">
        <v>0.19286442790276037</v>
      </c>
      <c r="K1053">
        <f t="shared" si="154"/>
        <v>1</v>
      </c>
      <c r="L1053">
        <f t="shared" si="155"/>
        <v>0.19286442790276037</v>
      </c>
      <c r="M1053">
        <f t="shared" si="149"/>
        <v>1</v>
      </c>
      <c r="N1053">
        <f t="shared" si="156"/>
        <v>1</v>
      </c>
      <c r="O1053">
        <f t="shared" si="157"/>
        <v>88</v>
      </c>
      <c r="P1053">
        <f t="shared" si="150"/>
        <v>0</v>
      </c>
      <c r="R1053">
        <f t="shared" si="151"/>
        <v>0</v>
      </c>
      <c r="S1053">
        <f t="shared" si="152"/>
        <v>0</v>
      </c>
      <c r="T1053">
        <f t="shared" si="153"/>
        <v>0</v>
      </c>
    </row>
    <row r="1054" spans="10:20" x14ac:dyDescent="0.25">
      <c r="J1054">
        <v>0.60080661494234078</v>
      </c>
      <c r="K1054">
        <f t="shared" si="154"/>
        <v>0</v>
      </c>
      <c r="L1054">
        <f t="shared" si="155"/>
        <v>0</v>
      </c>
      <c r="M1054">
        <f t="shared" si="149"/>
        <v>0</v>
      </c>
      <c r="N1054">
        <f t="shared" si="156"/>
        <v>2</v>
      </c>
      <c r="O1054">
        <f t="shared" si="157"/>
        <v>88</v>
      </c>
      <c r="P1054">
        <f t="shared" si="150"/>
        <v>0</v>
      </c>
      <c r="R1054">
        <f t="shared" si="151"/>
        <v>0</v>
      </c>
      <c r="S1054">
        <f t="shared" si="152"/>
        <v>0</v>
      </c>
      <c r="T1054">
        <f t="shared" si="153"/>
        <v>0</v>
      </c>
    </row>
    <row r="1055" spans="10:20" x14ac:dyDescent="0.25">
      <c r="J1055">
        <v>0.767247607711525</v>
      </c>
      <c r="K1055">
        <f t="shared" si="154"/>
        <v>1</v>
      </c>
      <c r="L1055">
        <f t="shared" si="155"/>
        <v>0.767247607711525</v>
      </c>
      <c r="M1055">
        <f t="shared" si="149"/>
        <v>1</v>
      </c>
      <c r="N1055">
        <f t="shared" si="156"/>
        <v>2</v>
      </c>
      <c r="O1055">
        <f t="shared" si="157"/>
        <v>88</v>
      </c>
      <c r="P1055">
        <f t="shared" si="150"/>
        <v>0</v>
      </c>
      <c r="R1055">
        <f t="shared" si="151"/>
        <v>0</v>
      </c>
      <c r="S1055">
        <f t="shared" si="152"/>
        <v>0</v>
      </c>
      <c r="T1055">
        <f t="shared" si="153"/>
        <v>0</v>
      </c>
    </row>
    <row r="1056" spans="10:20" x14ac:dyDescent="0.25">
      <c r="J1056">
        <v>3.1599318044533087E-2</v>
      </c>
      <c r="K1056">
        <f t="shared" si="154"/>
        <v>0</v>
      </c>
      <c r="L1056">
        <f t="shared" si="155"/>
        <v>0</v>
      </c>
      <c r="M1056">
        <f t="shared" si="149"/>
        <v>0</v>
      </c>
      <c r="N1056">
        <f t="shared" si="156"/>
        <v>3</v>
      </c>
      <c r="O1056">
        <f t="shared" si="157"/>
        <v>88</v>
      </c>
      <c r="P1056">
        <f t="shared" si="150"/>
        <v>0</v>
      </c>
      <c r="R1056">
        <f t="shared" si="151"/>
        <v>0</v>
      </c>
      <c r="S1056">
        <f t="shared" si="152"/>
        <v>0</v>
      </c>
      <c r="T1056">
        <f t="shared" si="153"/>
        <v>0</v>
      </c>
    </row>
    <row r="1057" spans="10:20" x14ac:dyDescent="0.25">
      <c r="J1057">
        <v>0.15259009083323671</v>
      </c>
      <c r="K1057">
        <f t="shared" si="154"/>
        <v>1</v>
      </c>
      <c r="L1057">
        <f t="shared" si="155"/>
        <v>0.15259009083323671</v>
      </c>
      <c r="M1057">
        <f t="shared" si="149"/>
        <v>1</v>
      </c>
      <c r="N1057">
        <f t="shared" si="156"/>
        <v>3</v>
      </c>
      <c r="O1057">
        <f t="shared" si="157"/>
        <v>88</v>
      </c>
      <c r="P1057">
        <f t="shared" si="150"/>
        <v>0</v>
      </c>
      <c r="R1057">
        <f t="shared" si="151"/>
        <v>0</v>
      </c>
      <c r="S1057">
        <f t="shared" si="152"/>
        <v>0</v>
      </c>
      <c r="T1057">
        <f t="shared" si="153"/>
        <v>0</v>
      </c>
    </row>
    <row r="1058" spans="10:20" x14ac:dyDescent="0.25">
      <c r="J1058">
        <v>0.58885691087295255</v>
      </c>
      <c r="K1058">
        <f t="shared" si="154"/>
        <v>0</v>
      </c>
      <c r="L1058">
        <f t="shared" si="155"/>
        <v>0</v>
      </c>
      <c r="M1058">
        <f t="shared" si="149"/>
        <v>0</v>
      </c>
      <c r="N1058">
        <f t="shared" si="156"/>
        <v>4</v>
      </c>
      <c r="O1058">
        <f t="shared" si="157"/>
        <v>88</v>
      </c>
      <c r="P1058">
        <f t="shared" si="150"/>
        <v>0</v>
      </c>
      <c r="R1058">
        <f t="shared" si="151"/>
        <v>0</v>
      </c>
      <c r="S1058">
        <f t="shared" si="152"/>
        <v>0</v>
      </c>
      <c r="T1058">
        <f t="shared" si="153"/>
        <v>0</v>
      </c>
    </row>
    <row r="1059" spans="10:20" x14ac:dyDescent="0.25">
      <c r="J1059">
        <v>0.69042483817119005</v>
      </c>
      <c r="K1059">
        <f t="shared" si="154"/>
        <v>1</v>
      </c>
      <c r="L1059">
        <f t="shared" si="155"/>
        <v>0.69042483817119005</v>
      </c>
      <c r="M1059">
        <f t="shared" si="149"/>
        <v>1</v>
      </c>
      <c r="N1059">
        <f t="shared" si="156"/>
        <v>4</v>
      </c>
      <c r="O1059">
        <f t="shared" si="157"/>
        <v>88</v>
      </c>
      <c r="P1059">
        <f t="shared" si="150"/>
        <v>0</v>
      </c>
      <c r="R1059">
        <f t="shared" si="151"/>
        <v>0</v>
      </c>
      <c r="S1059">
        <f t="shared" si="152"/>
        <v>0</v>
      </c>
      <c r="T1059">
        <f t="shared" si="153"/>
        <v>0</v>
      </c>
    </row>
    <row r="1060" spans="10:20" x14ac:dyDescent="0.25">
      <c r="J1060">
        <v>0.18571814657250263</v>
      </c>
      <c r="K1060">
        <f t="shared" si="154"/>
        <v>0</v>
      </c>
      <c r="L1060">
        <f t="shared" si="155"/>
        <v>0</v>
      </c>
      <c r="M1060">
        <f t="shared" si="149"/>
        <v>0</v>
      </c>
      <c r="N1060">
        <f t="shared" si="156"/>
        <v>5</v>
      </c>
      <c r="O1060">
        <f t="shared" si="157"/>
        <v>88</v>
      </c>
      <c r="P1060">
        <f t="shared" si="150"/>
        <v>0</v>
      </c>
      <c r="R1060">
        <f t="shared" si="151"/>
        <v>0</v>
      </c>
      <c r="S1060">
        <f t="shared" si="152"/>
        <v>0</v>
      </c>
      <c r="T1060">
        <f t="shared" si="153"/>
        <v>0</v>
      </c>
    </row>
    <row r="1061" spans="10:20" x14ac:dyDescent="0.25">
      <c r="J1061">
        <v>0.28862955501815912</v>
      </c>
      <c r="K1061">
        <f t="shared" si="154"/>
        <v>1</v>
      </c>
      <c r="L1061">
        <f t="shared" si="155"/>
        <v>0.28862955501815912</v>
      </c>
      <c r="M1061">
        <f t="shared" si="149"/>
        <v>1</v>
      </c>
      <c r="N1061">
        <f t="shared" si="156"/>
        <v>5</v>
      </c>
      <c r="O1061">
        <f t="shared" si="157"/>
        <v>88</v>
      </c>
      <c r="P1061">
        <f t="shared" si="150"/>
        <v>0</v>
      </c>
      <c r="R1061">
        <f t="shared" si="151"/>
        <v>0</v>
      </c>
      <c r="S1061">
        <f t="shared" si="152"/>
        <v>0</v>
      </c>
      <c r="T1061">
        <f t="shared" si="153"/>
        <v>0</v>
      </c>
    </row>
    <row r="1062" spans="10:20" x14ac:dyDescent="0.25">
      <c r="J1062">
        <v>0.56232807958035613</v>
      </c>
      <c r="K1062">
        <f t="shared" si="154"/>
        <v>0</v>
      </c>
      <c r="L1062">
        <f t="shared" si="155"/>
        <v>0</v>
      </c>
      <c r="M1062">
        <f t="shared" si="149"/>
        <v>0</v>
      </c>
      <c r="N1062">
        <f t="shared" si="156"/>
        <v>6</v>
      </c>
      <c r="O1062">
        <f t="shared" si="157"/>
        <v>88</v>
      </c>
      <c r="P1062">
        <f t="shared" si="150"/>
        <v>0</v>
      </c>
      <c r="R1062">
        <f t="shared" si="151"/>
        <v>0</v>
      </c>
      <c r="S1062">
        <f t="shared" si="152"/>
        <v>0</v>
      </c>
      <c r="T1062">
        <f t="shared" si="153"/>
        <v>0</v>
      </c>
    </row>
    <row r="1063" spans="10:20" x14ac:dyDescent="0.25">
      <c r="J1063">
        <v>0.19890100590795157</v>
      </c>
      <c r="K1063">
        <f t="shared" si="154"/>
        <v>1</v>
      </c>
      <c r="L1063">
        <f t="shared" si="155"/>
        <v>0.19890100590795157</v>
      </c>
      <c r="M1063">
        <f t="shared" si="149"/>
        <v>1</v>
      </c>
      <c r="N1063">
        <f t="shared" si="156"/>
        <v>6</v>
      </c>
      <c r="O1063">
        <f t="shared" si="157"/>
        <v>88</v>
      </c>
      <c r="P1063">
        <f t="shared" si="150"/>
        <v>0</v>
      </c>
      <c r="R1063">
        <f t="shared" si="151"/>
        <v>0</v>
      </c>
      <c r="S1063">
        <f t="shared" si="152"/>
        <v>0</v>
      </c>
      <c r="T1063">
        <f t="shared" si="153"/>
        <v>0</v>
      </c>
    </row>
    <row r="1064" spans="10:20" x14ac:dyDescent="0.25">
      <c r="J1064">
        <v>0.77599324409388004</v>
      </c>
      <c r="K1064">
        <f t="shared" si="154"/>
        <v>0</v>
      </c>
      <c r="L1064">
        <f t="shared" si="155"/>
        <v>0</v>
      </c>
      <c r="M1064">
        <f t="shared" si="149"/>
        <v>0</v>
      </c>
      <c r="N1064">
        <f t="shared" si="156"/>
        <v>7</v>
      </c>
      <c r="O1064">
        <f t="shared" si="157"/>
        <v>88</v>
      </c>
      <c r="P1064">
        <f t="shared" si="150"/>
        <v>0</v>
      </c>
      <c r="R1064">
        <f t="shared" si="151"/>
        <v>0</v>
      </c>
      <c r="S1064">
        <f t="shared" si="152"/>
        <v>0</v>
      </c>
      <c r="T1064">
        <f t="shared" si="153"/>
        <v>0</v>
      </c>
    </row>
    <row r="1065" spans="10:20" x14ac:dyDescent="0.25">
      <c r="J1065">
        <v>0.65500919960967408</v>
      </c>
      <c r="K1065">
        <f t="shared" si="154"/>
        <v>1</v>
      </c>
      <c r="L1065">
        <f t="shared" si="155"/>
        <v>0.65500919960967408</v>
      </c>
      <c r="M1065">
        <f t="shared" si="149"/>
        <v>1</v>
      </c>
      <c r="N1065">
        <f t="shared" si="156"/>
        <v>1</v>
      </c>
      <c r="O1065">
        <f t="shared" si="157"/>
        <v>89</v>
      </c>
      <c r="P1065">
        <f t="shared" si="150"/>
        <v>0</v>
      </c>
      <c r="R1065">
        <f t="shared" si="151"/>
        <v>0</v>
      </c>
      <c r="S1065">
        <f t="shared" si="152"/>
        <v>0</v>
      </c>
      <c r="T1065">
        <f t="shared" si="153"/>
        <v>0</v>
      </c>
    </row>
    <row r="1066" spans="10:20" x14ac:dyDescent="0.25">
      <c r="J1066">
        <v>0.14722697626700287</v>
      </c>
      <c r="K1066">
        <f t="shared" si="154"/>
        <v>0</v>
      </c>
      <c r="L1066">
        <f t="shared" si="155"/>
        <v>0</v>
      </c>
      <c r="M1066">
        <f t="shared" si="149"/>
        <v>0</v>
      </c>
      <c r="N1066">
        <f t="shared" si="156"/>
        <v>2</v>
      </c>
      <c r="O1066">
        <f t="shared" si="157"/>
        <v>89</v>
      </c>
      <c r="P1066">
        <f t="shared" si="150"/>
        <v>0</v>
      </c>
      <c r="R1066">
        <f t="shared" si="151"/>
        <v>0</v>
      </c>
      <c r="S1066">
        <f t="shared" si="152"/>
        <v>0</v>
      </c>
      <c r="T1066">
        <f t="shared" si="153"/>
        <v>0</v>
      </c>
    </row>
    <row r="1067" spans="10:20" x14ac:dyDescent="0.25">
      <c r="J1067">
        <v>0.95873186618644968</v>
      </c>
      <c r="K1067">
        <f t="shared" si="154"/>
        <v>1</v>
      </c>
      <c r="L1067">
        <f t="shared" si="155"/>
        <v>0.95873186618644968</v>
      </c>
      <c r="M1067">
        <f t="shared" si="149"/>
        <v>1</v>
      </c>
      <c r="N1067">
        <f t="shared" si="156"/>
        <v>2</v>
      </c>
      <c r="O1067">
        <f t="shared" si="157"/>
        <v>89</v>
      </c>
      <c r="P1067">
        <f t="shared" si="150"/>
        <v>0</v>
      </c>
      <c r="R1067">
        <f t="shared" si="151"/>
        <v>0</v>
      </c>
      <c r="S1067">
        <f t="shared" si="152"/>
        <v>0</v>
      </c>
      <c r="T1067">
        <f t="shared" si="153"/>
        <v>0</v>
      </c>
    </row>
    <row r="1068" spans="10:20" x14ac:dyDescent="0.25">
      <c r="J1068">
        <v>0.56927290236937866</v>
      </c>
      <c r="K1068">
        <f t="shared" si="154"/>
        <v>0</v>
      </c>
      <c r="L1068">
        <f t="shared" si="155"/>
        <v>0</v>
      </c>
      <c r="M1068">
        <f t="shared" si="149"/>
        <v>0</v>
      </c>
      <c r="N1068">
        <f t="shared" si="156"/>
        <v>3</v>
      </c>
      <c r="O1068">
        <f t="shared" si="157"/>
        <v>89</v>
      </c>
      <c r="P1068">
        <f t="shared" si="150"/>
        <v>0</v>
      </c>
      <c r="R1068">
        <f t="shared" si="151"/>
        <v>0</v>
      </c>
      <c r="S1068">
        <f t="shared" si="152"/>
        <v>0</v>
      </c>
      <c r="T1068">
        <f t="shared" si="153"/>
        <v>0</v>
      </c>
    </row>
    <row r="1069" spans="10:20" x14ac:dyDescent="0.25">
      <c r="J1069">
        <v>0.18804292892347796</v>
      </c>
      <c r="K1069">
        <f t="shared" si="154"/>
        <v>1</v>
      </c>
      <c r="L1069">
        <f t="shared" si="155"/>
        <v>0.18804292892347796</v>
      </c>
      <c r="M1069">
        <f t="shared" si="149"/>
        <v>1</v>
      </c>
      <c r="N1069">
        <f t="shared" si="156"/>
        <v>3</v>
      </c>
      <c r="O1069">
        <f t="shared" si="157"/>
        <v>89</v>
      </c>
      <c r="P1069">
        <f t="shared" si="150"/>
        <v>0</v>
      </c>
      <c r="R1069">
        <f t="shared" si="151"/>
        <v>0</v>
      </c>
      <c r="S1069">
        <f t="shared" si="152"/>
        <v>0</v>
      </c>
      <c r="T1069">
        <f t="shared" si="153"/>
        <v>0</v>
      </c>
    </row>
    <row r="1070" spans="10:20" x14ac:dyDescent="0.25">
      <c r="J1070">
        <v>3.8549379024180097E-2</v>
      </c>
      <c r="K1070">
        <f t="shared" si="154"/>
        <v>0</v>
      </c>
      <c r="L1070">
        <f t="shared" si="155"/>
        <v>0</v>
      </c>
      <c r="M1070">
        <f t="shared" si="149"/>
        <v>0</v>
      </c>
      <c r="N1070">
        <f t="shared" si="156"/>
        <v>4</v>
      </c>
      <c r="O1070">
        <f t="shared" si="157"/>
        <v>89</v>
      </c>
      <c r="P1070">
        <f t="shared" si="150"/>
        <v>0</v>
      </c>
      <c r="R1070">
        <f t="shared" si="151"/>
        <v>0</v>
      </c>
      <c r="S1070">
        <f t="shared" si="152"/>
        <v>0</v>
      </c>
      <c r="T1070">
        <f t="shared" si="153"/>
        <v>0</v>
      </c>
    </row>
    <row r="1071" spans="10:20" x14ac:dyDescent="0.25">
      <c r="J1071">
        <v>0.26900709164937098</v>
      </c>
      <c r="K1071">
        <f t="shared" si="154"/>
        <v>1</v>
      </c>
      <c r="L1071">
        <f t="shared" si="155"/>
        <v>0.26900709164937098</v>
      </c>
      <c r="M1071">
        <f t="shared" si="149"/>
        <v>1</v>
      </c>
      <c r="N1071">
        <f t="shared" si="156"/>
        <v>4</v>
      </c>
      <c r="O1071">
        <f t="shared" si="157"/>
        <v>89</v>
      </c>
      <c r="P1071">
        <f t="shared" si="150"/>
        <v>0</v>
      </c>
      <c r="R1071">
        <f t="shared" si="151"/>
        <v>0</v>
      </c>
      <c r="S1071">
        <f t="shared" si="152"/>
        <v>0</v>
      </c>
      <c r="T1071">
        <f t="shared" si="153"/>
        <v>0</v>
      </c>
    </row>
    <row r="1072" spans="10:20" x14ac:dyDescent="0.25">
      <c r="J1072">
        <v>0.97464369837667708</v>
      </c>
      <c r="K1072">
        <f t="shared" si="154"/>
        <v>0</v>
      </c>
      <c r="L1072">
        <f t="shared" si="155"/>
        <v>0</v>
      </c>
      <c r="M1072">
        <f t="shared" si="149"/>
        <v>0</v>
      </c>
      <c r="N1072">
        <f t="shared" si="156"/>
        <v>5</v>
      </c>
      <c r="O1072">
        <f t="shared" si="157"/>
        <v>89</v>
      </c>
      <c r="P1072">
        <f t="shared" si="150"/>
        <v>0</v>
      </c>
      <c r="R1072">
        <f t="shared" si="151"/>
        <v>0</v>
      </c>
      <c r="S1072">
        <f t="shared" si="152"/>
        <v>0</v>
      </c>
      <c r="T1072">
        <f t="shared" si="153"/>
        <v>0</v>
      </c>
    </row>
    <row r="1073" spans="10:20" x14ac:dyDescent="0.25">
      <c r="J1073">
        <v>0.69875657871664087</v>
      </c>
      <c r="K1073">
        <f t="shared" si="154"/>
        <v>1</v>
      </c>
      <c r="L1073">
        <f t="shared" si="155"/>
        <v>0.69875657871664087</v>
      </c>
      <c r="M1073">
        <f t="shared" si="149"/>
        <v>1</v>
      </c>
      <c r="N1073">
        <f t="shared" si="156"/>
        <v>5</v>
      </c>
      <c r="O1073">
        <f t="shared" si="157"/>
        <v>89</v>
      </c>
      <c r="P1073">
        <f t="shared" si="150"/>
        <v>0</v>
      </c>
      <c r="R1073">
        <f t="shared" si="151"/>
        <v>0</v>
      </c>
      <c r="S1073">
        <f t="shared" si="152"/>
        <v>0</v>
      </c>
      <c r="T1073">
        <f t="shared" si="153"/>
        <v>0</v>
      </c>
    </row>
    <row r="1074" spans="10:20" x14ac:dyDescent="0.25">
      <c r="J1074">
        <v>0.28441919980454644</v>
      </c>
      <c r="K1074">
        <f t="shared" si="154"/>
        <v>0</v>
      </c>
      <c r="L1074">
        <f t="shared" si="155"/>
        <v>0</v>
      </c>
      <c r="M1074">
        <f t="shared" si="149"/>
        <v>0</v>
      </c>
      <c r="N1074">
        <f t="shared" si="156"/>
        <v>6</v>
      </c>
      <c r="O1074">
        <f t="shared" si="157"/>
        <v>89</v>
      </c>
      <c r="P1074">
        <f t="shared" si="150"/>
        <v>0</v>
      </c>
      <c r="R1074">
        <f t="shared" si="151"/>
        <v>0</v>
      </c>
      <c r="S1074">
        <f t="shared" si="152"/>
        <v>0</v>
      </c>
      <c r="T1074">
        <f t="shared" si="153"/>
        <v>0</v>
      </c>
    </row>
    <row r="1075" spans="10:20" x14ac:dyDescent="0.25">
      <c r="J1075">
        <v>0.17961177480990809</v>
      </c>
      <c r="K1075">
        <f t="shared" si="154"/>
        <v>1</v>
      </c>
      <c r="L1075">
        <f t="shared" si="155"/>
        <v>0.17961177480990809</v>
      </c>
      <c r="M1075">
        <f t="shared" si="149"/>
        <v>1</v>
      </c>
      <c r="N1075">
        <f t="shared" si="156"/>
        <v>6</v>
      </c>
      <c r="O1075">
        <f t="shared" si="157"/>
        <v>89</v>
      </c>
      <c r="P1075">
        <f t="shared" si="150"/>
        <v>0</v>
      </c>
      <c r="R1075">
        <f t="shared" si="151"/>
        <v>0</v>
      </c>
      <c r="S1075">
        <f t="shared" si="152"/>
        <v>0</v>
      </c>
      <c r="T1075">
        <f t="shared" si="153"/>
        <v>0</v>
      </c>
    </row>
    <row r="1076" spans="10:20" x14ac:dyDescent="0.25">
      <c r="J1076">
        <v>2.7219554714377647E-2</v>
      </c>
      <c r="K1076">
        <f t="shared" si="154"/>
        <v>0</v>
      </c>
      <c r="L1076">
        <f t="shared" si="155"/>
        <v>0</v>
      </c>
      <c r="M1076">
        <f t="shared" si="149"/>
        <v>0</v>
      </c>
      <c r="N1076">
        <f t="shared" si="156"/>
        <v>7</v>
      </c>
      <c r="O1076">
        <f t="shared" si="157"/>
        <v>89</v>
      </c>
      <c r="P1076">
        <f t="shared" si="150"/>
        <v>0</v>
      </c>
      <c r="R1076">
        <f t="shared" si="151"/>
        <v>0</v>
      </c>
      <c r="S1076">
        <f t="shared" si="152"/>
        <v>0</v>
      </c>
      <c r="T1076">
        <f t="shared" si="153"/>
        <v>0</v>
      </c>
    </row>
    <row r="1077" spans="10:20" x14ac:dyDescent="0.25">
      <c r="J1077">
        <v>0.17120475209522967</v>
      </c>
      <c r="K1077">
        <f t="shared" si="154"/>
        <v>1</v>
      </c>
      <c r="L1077">
        <f t="shared" si="155"/>
        <v>0.17120475209522967</v>
      </c>
      <c r="M1077">
        <f t="shared" si="149"/>
        <v>1</v>
      </c>
      <c r="N1077">
        <f t="shared" si="156"/>
        <v>1</v>
      </c>
      <c r="O1077">
        <f t="shared" si="157"/>
        <v>90</v>
      </c>
      <c r="P1077">
        <f t="shared" si="150"/>
        <v>0</v>
      </c>
      <c r="R1077">
        <f t="shared" si="151"/>
        <v>0</v>
      </c>
      <c r="S1077">
        <f t="shared" si="152"/>
        <v>0</v>
      </c>
      <c r="T1077">
        <f t="shared" si="153"/>
        <v>0</v>
      </c>
    </row>
    <row r="1078" spans="10:20" x14ac:dyDescent="0.25">
      <c r="J1078">
        <v>0.89529234947348879</v>
      </c>
      <c r="K1078">
        <f t="shared" si="154"/>
        <v>0</v>
      </c>
      <c r="L1078">
        <f t="shared" si="155"/>
        <v>0</v>
      </c>
      <c r="M1078">
        <f t="shared" si="149"/>
        <v>0</v>
      </c>
      <c r="N1078">
        <f t="shared" si="156"/>
        <v>2</v>
      </c>
      <c r="O1078">
        <f t="shared" si="157"/>
        <v>90</v>
      </c>
      <c r="P1078">
        <f t="shared" si="150"/>
        <v>0</v>
      </c>
      <c r="R1078">
        <f t="shared" si="151"/>
        <v>0</v>
      </c>
      <c r="S1078">
        <f t="shared" si="152"/>
        <v>0</v>
      </c>
      <c r="T1078">
        <f t="shared" si="153"/>
        <v>0</v>
      </c>
    </row>
    <row r="1079" spans="10:20" x14ac:dyDescent="0.25">
      <c r="J1079">
        <v>0.56869764037054338</v>
      </c>
      <c r="K1079">
        <f t="shared" si="154"/>
        <v>1</v>
      </c>
      <c r="L1079">
        <f t="shared" si="155"/>
        <v>0.56869764037054338</v>
      </c>
      <c r="M1079">
        <f t="shared" si="149"/>
        <v>1</v>
      </c>
      <c r="N1079">
        <f t="shared" si="156"/>
        <v>2</v>
      </c>
      <c r="O1079">
        <f t="shared" si="157"/>
        <v>90</v>
      </c>
      <c r="P1079">
        <f t="shared" si="150"/>
        <v>0</v>
      </c>
      <c r="R1079">
        <f t="shared" si="151"/>
        <v>0</v>
      </c>
      <c r="S1079">
        <f t="shared" si="152"/>
        <v>0</v>
      </c>
      <c r="T1079">
        <f t="shared" si="153"/>
        <v>0</v>
      </c>
    </row>
    <row r="1080" spans="10:20" x14ac:dyDescent="0.25">
      <c r="J1080">
        <v>5.1217221998718254E-2</v>
      </c>
      <c r="K1080">
        <f t="shared" si="154"/>
        <v>0</v>
      </c>
      <c r="L1080">
        <f t="shared" si="155"/>
        <v>0</v>
      </c>
      <c r="M1080">
        <f t="shared" si="149"/>
        <v>0</v>
      </c>
      <c r="N1080">
        <f t="shared" si="156"/>
        <v>3</v>
      </c>
      <c r="O1080">
        <f t="shared" si="157"/>
        <v>90</v>
      </c>
      <c r="P1080">
        <f t="shared" si="150"/>
        <v>0</v>
      </c>
      <c r="R1080">
        <f t="shared" si="151"/>
        <v>0</v>
      </c>
      <c r="S1080">
        <f t="shared" si="152"/>
        <v>0</v>
      </c>
      <c r="T1080">
        <f t="shared" si="153"/>
        <v>0</v>
      </c>
    </row>
    <row r="1081" spans="10:20" x14ac:dyDescent="0.25">
      <c r="J1081">
        <v>0.70809813701179403</v>
      </c>
      <c r="K1081">
        <f t="shared" si="154"/>
        <v>1</v>
      </c>
      <c r="L1081">
        <f t="shared" si="155"/>
        <v>0.70809813701179403</v>
      </c>
      <c r="M1081">
        <f t="shared" si="149"/>
        <v>1</v>
      </c>
      <c r="N1081">
        <f t="shared" si="156"/>
        <v>3</v>
      </c>
      <c r="O1081">
        <f t="shared" si="157"/>
        <v>90</v>
      </c>
      <c r="P1081">
        <f t="shared" si="150"/>
        <v>0</v>
      </c>
      <c r="R1081">
        <f t="shared" si="151"/>
        <v>0</v>
      </c>
      <c r="S1081">
        <f t="shared" si="152"/>
        <v>0</v>
      </c>
      <c r="T1081">
        <f t="shared" si="153"/>
        <v>0</v>
      </c>
    </row>
    <row r="1082" spans="10:20" x14ac:dyDescent="0.25">
      <c r="J1082">
        <v>0.46808964107716222</v>
      </c>
      <c r="K1082">
        <f t="shared" si="154"/>
        <v>0</v>
      </c>
      <c r="L1082">
        <f t="shared" si="155"/>
        <v>0</v>
      </c>
      <c r="M1082">
        <f t="shared" si="149"/>
        <v>0</v>
      </c>
      <c r="N1082">
        <f t="shared" si="156"/>
        <v>4</v>
      </c>
      <c r="O1082">
        <f t="shared" si="157"/>
        <v>90</v>
      </c>
      <c r="P1082">
        <f t="shared" si="150"/>
        <v>0</v>
      </c>
      <c r="R1082">
        <f t="shared" si="151"/>
        <v>0</v>
      </c>
      <c r="S1082">
        <f t="shared" si="152"/>
        <v>0</v>
      </c>
      <c r="T1082">
        <f t="shared" si="153"/>
        <v>0</v>
      </c>
    </row>
    <row r="1083" spans="10:20" x14ac:dyDescent="0.25">
      <c r="J1083">
        <v>0.97090015220735815</v>
      </c>
      <c r="K1083">
        <f t="shared" si="154"/>
        <v>1</v>
      </c>
      <c r="L1083">
        <f t="shared" si="155"/>
        <v>0.97090015220735815</v>
      </c>
      <c r="M1083">
        <f t="shared" si="149"/>
        <v>1</v>
      </c>
      <c r="N1083">
        <f t="shared" si="156"/>
        <v>4</v>
      </c>
      <c r="O1083">
        <f t="shared" si="157"/>
        <v>90</v>
      </c>
      <c r="P1083">
        <f t="shared" si="150"/>
        <v>0</v>
      </c>
      <c r="R1083">
        <f t="shared" si="151"/>
        <v>0</v>
      </c>
      <c r="S1083">
        <f t="shared" si="152"/>
        <v>0</v>
      </c>
      <c r="T1083">
        <f t="shared" si="153"/>
        <v>0</v>
      </c>
    </row>
    <row r="1084" spans="10:20" x14ac:dyDescent="0.25">
      <c r="J1084">
        <v>0.67085886144451223</v>
      </c>
      <c r="K1084">
        <f t="shared" si="154"/>
        <v>0</v>
      </c>
      <c r="L1084">
        <f t="shared" si="155"/>
        <v>0</v>
      </c>
      <c r="M1084">
        <f t="shared" si="149"/>
        <v>0</v>
      </c>
      <c r="N1084">
        <f t="shared" si="156"/>
        <v>5</v>
      </c>
      <c r="O1084">
        <f t="shared" si="157"/>
        <v>90</v>
      </c>
      <c r="P1084">
        <f t="shared" si="150"/>
        <v>0</v>
      </c>
      <c r="R1084">
        <f t="shared" si="151"/>
        <v>0</v>
      </c>
      <c r="S1084">
        <f t="shared" si="152"/>
        <v>0</v>
      </c>
      <c r="T1084">
        <f t="shared" si="153"/>
        <v>0</v>
      </c>
    </row>
    <row r="1085" spans="10:20" x14ac:dyDescent="0.25">
      <c r="J1085">
        <v>0.24659936794434412</v>
      </c>
      <c r="K1085">
        <f t="shared" si="154"/>
        <v>1</v>
      </c>
      <c r="L1085">
        <f t="shared" si="155"/>
        <v>0.24659936794434412</v>
      </c>
      <c r="M1085">
        <f t="shared" si="149"/>
        <v>1</v>
      </c>
      <c r="N1085">
        <f t="shared" si="156"/>
        <v>5</v>
      </c>
      <c r="O1085">
        <f t="shared" si="157"/>
        <v>90</v>
      </c>
      <c r="P1085">
        <f t="shared" si="150"/>
        <v>0</v>
      </c>
      <c r="R1085">
        <f t="shared" si="151"/>
        <v>0</v>
      </c>
      <c r="S1085">
        <f t="shared" si="152"/>
        <v>0</v>
      </c>
      <c r="T1085">
        <f t="shared" si="153"/>
        <v>0</v>
      </c>
    </row>
    <row r="1086" spans="10:20" x14ac:dyDescent="0.25">
      <c r="J1086">
        <v>0.9199300688664197</v>
      </c>
      <c r="K1086">
        <f t="shared" si="154"/>
        <v>0</v>
      </c>
      <c r="L1086">
        <f t="shared" si="155"/>
        <v>0</v>
      </c>
      <c r="M1086">
        <f t="shared" si="149"/>
        <v>0</v>
      </c>
      <c r="N1086">
        <f t="shared" si="156"/>
        <v>6</v>
      </c>
      <c r="O1086">
        <f t="shared" si="157"/>
        <v>90</v>
      </c>
      <c r="P1086">
        <f t="shared" si="150"/>
        <v>0</v>
      </c>
      <c r="R1086">
        <f t="shared" si="151"/>
        <v>0</v>
      </c>
      <c r="S1086">
        <f t="shared" si="152"/>
        <v>0</v>
      </c>
      <c r="T1086">
        <f t="shared" si="153"/>
        <v>0</v>
      </c>
    </row>
    <row r="1087" spans="10:20" x14ac:dyDescent="0.25">
      <c r="J1087">
        <v>0.72986338970775322</v>
      </c>
      <c r="K1087">
        <f t="shared" si="154"/>
        <v>1</v>
      </c>
      <c r="L1087">
        <f t="shared" si="155"/>
        <v>0.72986338970775322</v>
      </c>
      <c r="M1087">
        <f t="shared" si="149"/>
        <v>1</v>
      </c>
      <c r="N1087">
        <f t="shared" si="156"/>
        <v>6</v>
      </c>
      <c r="O1087">
        <f t="shared" si="157"/>
        <v>90</v>
      </c>
      <c r="P1087">
        <f t="shared" si="150"/>
        <v>0</v>
      </c>
      <c r="R1087">
        <f t="shared" si="151"/>
        <v>0</v>
      </c>
      <c r="S1087">
        <f t="shared" si="152"/>
        <v>0</v>
      </c>
      <c r="T1087">
        <f t="shared" si="153"/>
        <v>0</v>
      </c>
    </row>
    <row r="1088" spans="10:20" x14ac:dyDescent="0.25">
      <c r="J1088">
        <v>0.71949566196094905</v>
      </c>
      <c r="K1088">
        <f t="shared" si="154"/>
        <v>0</v>
      </c>
      <c r="L1088">
        <f t="shared" si="155"/>
        <v>0</v>
      </c>
      <c r="M1088">
        <f t="shared" si="149"/>
        <v>0</v>
      </c>
      <c r="N1088">
        <f t="shared" si="156"/>
        <v>7</v>
      </c>
      <c r="O1088">
        <f t="shared" si="157"/>
        <v>90</v>
      </c>
      <c r="P1088">
        <f t="shared" si="150"/>
        <v>0</v>
      </c>
      <c r="R1088">
        <f t="shared" si="151"/>
        <v>0</v>
      </c>
      <c r="S1088">
        <f t="shared" si="152"/>
        <v>0</v>
      </c>
      <c r="T1088">
        <f t="shared" si="153"/>
        <v>0</v>
      </c>
    </row>
    <row r="1089" spans="10:20" x14ac:dyDescent="0.25">
      <c r="J1089">
        <v>6.9578638782806124E-2</v>
      </c>
      <c r="K1089">
        <f t="shared" si="154"/>
        <v>1</v>
      </c>
      <c r="L1089">
        <f t="shared" si="155"/>
        <v>6.9578638782806124E-2</v>
      </c>
      <c r="M1089">
        <f t="shared" si="149"/>
        <v>1</v>
      </c>
      <c r="N1089">
        <f t="shared" si="156"/>
        <v>1</v>
      </c>
      <c r="O1089">
        <f t="shared" si="157"/>
        <v>91</v>
      </c>
      <c r="P1089">
        <f t="shared" si="150"/>
        <v>0</v>
      </c>
      <c r="R1089">
        <f t="shared" si="151"/>
        <v>0</v>
      </c>
      <c r="S1089">
        <f t="shared" si="152"/>
        <v>0</v>
      </c>
      <c r="T1089">
        <f t="shared" si="153"/>
        <v>0</v>
      </c>
    </row>
    <row r="1090" spans="10:20" x14ac:dyDescent="0.25">
      <c r="J1090">
        <v>0.40477104742004033</v>
      </c>
      <c r="K1090">
        <f t="shared" si="154"/>
        <v>0</v>
      </c>
      <c r="L1090">
        <f t="shared" si="155"/>
        <v>0</v>
      </c>
      <c r="M1090">
        <f t="shared" si="149"/>
        <v>0</v>
      </c>
      <c r="N1090">
        <f t="shared" si="156"/>
        <v>2</v>
      </c>
      <c r="O1090">
        <f t="shared" si="157"/>
        <v>91</v>
      </c>
      <c r="P1090">
        <f t="shared" si="150"/>
        <v>0</v>
      </c>
      <c r="R1090">
        <f t="shared" si="151"/>
        <v>0</v>
      </c>
      <c r="S1090">
        <f t="shared" si="152"/>
        <v>0</v>
      </c>
      <c r="T1090">
        <f t="shared" si="153"/>
        <v>0</v>
      </c>
    </row>
    <row r="1091" spans="10:20" x14ac:dyDescent="0.25">
      <c r="J1091">
        <v>0.44771150907180657</v>
      </c>
      <c r="K1091">
        <f t="shared" si="154"/>
        <v>1</v>
      </c>
      <c r="L1091">
        <f t="shared" si="155"/>
        <v>0.44771150907180657</v>
      </c>
      <c r="M1091">
        <f t="shared" si="149"/>
        <v>1</v>
      </c>
      <c r="N1091">
        <f t="shared" si="156"/>
        <v>2</v>
      </c>
      <c r="O1091">
        <f t="shared" si="157"/>
        <v>91</v>
      </c>
      <c r="P1091">
        <f t="shared" si="150"/>
        <v>0</v>
      </c>
      <c r="R1091">
        <f t="shared" si="151"/>
        <v>0</v>
      </c>
      <c r="S1091">
        <f t="shared" si="152"/>
        <v>0</v>
      </c>
      <c r="T1091">
        <f t="shared" si="153"/>
        <v>0</v>
      </c>
    </row>
    <row r="1092" spans="10:20" x14ac:dyDescent="0.25">
      <c r="J1092">
        <v>0.70087101390047091</v>
      </c>
      <c r="K1092">
        <f t="shared" si="154"/>
        <v>0</v>
      </c>
      <c r="L1092">
        <f t="shared" si="155"/>
        <v>0</v>
      </c>
      <c r="M1092">
        <f t="shared" si="149"/>
        <v>0</v>
      </c>
      <c r="N1092">
        <f t="shared" si="156"/>
        <v>3</v>
      </c>
      <c r="O1092">
        <f t="shared" si="157"/>
        <v>91</v>
      </c>
      <c r="P1092">
        <f t="shared" si="150"/>
        <v>0</v>
      </c>
      <c r="R1092">
        <f t="shared" si="151"/>
        <v>0</v>
      </c>
      <c r="S1092">
        <f t="shared" si="152"/>
        <v>0</v>
      </c>
      <c r="T1092">
        <f t="shared" si="153"/>
        <v>0</v>
      </c>
    </row>
    <row r="1093" spans="10:20" x14ac:dyDescent="0.25">
      <c r="J1093">
        <v>5.6919348219712451E-2</v>
      </c>
      <c r="K1093">
        <f t="shared" si="154"/>
        <v>1</v>
      </c>
      <c r="L1093">
        <f t="shared" si="155"/>
        <v>5.6919348219712451E-2</v>
      </c>
      <c r="M1093">
        <f t="shared" si="149"/>
        <v>1</v>
      </c>
      <c r="N1093">
        <f t="shared" si="156"/>
        <v>3</v>
      </c>
      <c r="O1093">
        <f t="shared" si="157"/>
        <v>91</v>
      </c>
      <c r="P1093">
        <f t="shared" si="150"/>
        <v>0</v>
      </c>
      <c r="R1093">
        <f t="shared" si="151"/>
        <v>0</v>
      </c>
      <c r="S1093">
        <f t="shared" si="152"/>
        <v>0</v>
      </c>
      <c r="T1093">
        <f t="shared" si="153"/>
        <v>0</v>
      </c>
    </row>
    <row r="1094" spans="10:20" x14ac:dyDescent="0.25">
      <c r="J1094">
        <v>0.90904641595765756</v>
      </c>
      <c r="K1094">
        <f t="shared" si="154"/>
        <v>0</v>
      </c>
      <c r="L1094">
        <f t="shared" si="155"/>
        <v>0</v>
      </c>
      <c r="M1094">
        <f t="shared" si="149"/>
        <v>0</v>
      </c>
      <c r="N1094">
        <f t="shared" si="156"/>
        <v>4</v>
      </c>
      <c r="O1094">
        <f t="shared" si="157"/>
        <v>91</v>
      </c>
      <c r="P1094">
        <f t="shared" si="150"/>
        <v>0</v>
      </c>
      <c r="R1094">
        <f t="shared" si="151"/>
        <v>0</v>
      </c>
      <c r="S1094">
        <f t="shared" si="152"/>
        <v>0</v>
      </c>
      <c r="T1094">
        <f t="shared" si="153"/>
        <v>0</v>
      </c>
    </row>
    <row r="1095" spans="10:20" x14ac:dyDescent="0.25">
      <c r="J1095">
        <v>0.51630236348651448</v>
      </c>
      <c r="K1095">
        <f t="shared" si="154"/>
        <v>1</v>
      </c>
      <c r="L1095">
        <f t="shared" si="155"/>
        <v>0.51630236348651448</v>
      </c>
      <c r="M1095">
        <f t="shared" si="149"/>
        <v>1</v>
      </c>
      <c r="N1095">
        <f t="shared" si="156"/>
        <v>4</v>
      </c>
      <c r="O1095">
        <f t="shared" si="157"/>
        <v>91</v>
      </c>
      <c r="P1095">
        <f t="shared" si="150"/>
        <v>0</v>
      </c>
      <c r="R1095">
        <f t="shared" si="151"/>
        <v>0</v>
      </c>
      <c r="S1095">
        <f t="shared" si="152"/>
        <v>0</v>
      </c>
      <c r="T1095">
        <f t="shared" si="153"/>
        <v>0</v>
      </c>
    </row>
    <row r="1096" spans="10:20" x14ac:dyDescent="0.25">
      <c r="J1096">
        <v>0.41968673574339477</v>
      </c>
      <c r="K1096">
        <f t="shared" si="154"/>
        <v>0</v>
      </c>
      <c r="L1096">
        <f t="shared" si="155"/>
        <v>0</v>
      </c>
      <c r="M1096">
        <f t="shared" ref="M1096:M1159" si="158">IF(L1096&gt;$M$2,1,0)</f>
        <v>0</v>
      </c>
      <c r="N1096">
        <f t="shared" si="156"/>
        <v>5</v>
      </c>
      <c r="O1096">
        <f t="shared" si="157"/>
        <v>91</v>
      </c>
      <c r="P1096">
        <f t="shared" ref="P1096:P1159" si="159">IF(INDEX($B$7:$H$1029,O1096,2)&gt;0,1,0)</f>
        <v>0</v>
      </c>
      <c r="R1096">
        <f t="shared" ref="R1096:R1159" si="160">IF(  M1096&gt;0,INDEX($B$7:$H$1029,O1096,N1096),0)*P1096</f>
        <v>0</v>
      </c>
      <c r="S1096">
        <f t="shared" ref="S1096:S1159" si="161">M1096*P1096</f>
        <v>0</v>
      </c>
      <c r="T1096">
        <f t="shared" ref="T1096:T1159" si="162">IF(N1097=$N$2,1,0)*P1096</f>
        <v>0</v>
      </c>
    </row>
    <row r="1097" spans="10:20" x14ac:dyDescent="0.25">
      <c r="J1097">
        <v>0.43490276747892909</v>
      </c>
      <c r="K1097">
        <f t="shared" si="154"/>
        <v>1</v>
      </c>
      <c r="L1097">
        <f t="shared" si="155"/>
        <v>0.43490276747892909</v>
      </c>
      <c r="M1097">
        <f t="shared" si="158"/>
        <v>1</v>
      </c>
      <c r="N1097">
        <f t="shared" si="156"/>
        <v>5</v>
      </c>
      <c r="O1097">
        <f t="shared" si="157"/>
        <v>91</v>
      </c>
      <c r="P1097">
        <f t="shared" si="159"/>
        <v>0</v>
      </c>
      <c r="R1097">
        <f t="shared" si="160"/>
        <v>0</v>
      </c>
      <c r="S1097">
        <f t="shared" si="161"/>
        <v>0</v>
      </c>
      <c r="T1097">
        <f t="shared" si="162"/>
        <v>0</v>
      </c>
    </row>
    <row r="1098" spans="10:20" x14ac:dyDescent="0.25">
      <c r="J1098">
        <v>0.22879686117663889</v>
      </c>
      <c r="K1098">
        <f t="shared" si="154"/>
        <v>0</v>
      </c>
      <c r="L1098">
        <f t="shared" si="155"/>
        <v>0</v>
      </c>
      <c r="M1098">
        <f t="shared" si="158"/>
        <v>0</v>
      </c>
      <c r="N1098">
        <f t="shared" si="156"/>
        <v>6</v>
      </c>
      <c r="O1098">
        <f t="shared" si="157"/>
        <v>91</v>
      </c>
      <c r="P1098">
        <f t="shared" si="159"/>
        <v>0</v>
      </c>
      <c r="R1098">
        <f t="shared" si="160"/>
        <v>0</v>
      </c>
      <c r="S1098">
        <f t="shared" si="161"/>
        <v>0</v>
      </c>
      <c r="T1098">
        <f t="shared" si="162"/>
        <v>0</v>
      </c>
    </row>
    <row r="1099" spans="10:20" x14ac:dyDescent="0.25">
      <c r="J1099">
        <v>0.11127592669885999</v>
      </c>
      <c r="K1099">
        <f t="shared" si="154"/>
        <v>1</v>
      </c>
      <c r="L1099">
        <f t="shared" si="155"/>
        <v>0.11127592669885999</v>
      </c>
      <c r="M1099">
        <f t="shared" si="158"/>
        <v>1</v>
      </c>
      <c r="N1099">
        <f t="shared" si="156"/>
        <v>6</v>
      </c>
      <c r="O1099">
        <f t="shared" si="157"/>
        <v>91</v>
      </c>
      <c r="P1099">
        <f t="shared" si="159"/>
        <v>0</v>
      </c>
      <c r="R1099">
        <f t="shared" si="160"/>
        <v>0</v>
      </c>
      <c r="S1099">
        <f t="shared" si="161"/>
        <v>0</v>
      </c>
      <c r="T1099">
        <f t="shared" si="162"/>
        <v>0</v>
      </c>
    </row>
    <row r="1100" spans="10:20" x14ac:dyDescent="0.25">
      <c r="J1100">
        <v>0.415373373438923</v>
      </c>
      <c r="K1100">
        <f t="shared" si="154"/>
        <v>0</v>
      </c>
      <c r="L1100">
        <f t="shared" si="155"/>
        <v>0</v>
      </c>
      <c r="M1100">
        <f t="shared" si="158"/>
        <v>0</v>
      </c>
      <c r="N1100">
        <f t="shared" si="156"/>
        <v>7</v>
      </c>
      <c r="O1100">
        <f t="shared" si="157"/>
        <v>91</v>
      </c>
      <c r="P1100">
        <f t="shared" si="159"/>
        <v>0</v>
      </c>
      <c r="R1100">
        <f t="shared" si="160"/>
        <v>0</v>
      </c>
      <c r="S1100">
        <f t="shared" si="161"/>
        <v>0</v>
      </c>
      <c r="T1100">
        <f t="shared" si="162"/>
        <v>0</v>
      </c>
    </row>
    <row r="1101" spans="10:20" x14ac:dyDescent="0.25">
      <c r="J1101">
        <v>0.23695647001657683</v>
      </c>
      <c r="K1101">
        <f t="shared" si="154"/>
        <v>1</v>
      </c>
      <c r="L1101">
        <f t="shared" si="155"/>
        <v>0.23695647001657683</v>
      </c>
      <c r="M1101">
        <f t="shared" si="158"/>
        <v>1</v>
      </c>
      <c r="N1101">
        <f t="shared" si="156"/>
        <v>1</v>
      </c>
      <c r="O1101">
        <f t="shared" si="157"/>
        <v>92</v>
      </c>
      <c r="P1101">
        <f t="shared" si="159"/>
        <v>0</v>
      </c>
      <c r="R1101">
        <f t="shared" si="160"/>
        <v>0</v>
      </c>
      <c r="S1101">
        <f t="shared" si="161"/>
        <v>0</v>
      </c>
      <c r="T1101">
        <f t="shared" si="162"/>
        <v>0</v>
      </c>
    </row>
    <row r="1102" spans="10:20" x14ac:dyDescent="0.25">
      <c r="J1102">
        <v>0.32510552405828708</v>
      </c>
      <c r="K1102">
        <f t="shared" si="154"/>
        <v>0</v>
      </c>
      <c r="L1102">
        <f t="shared" si="155"/>
        <v>0</v>
      </c>
      <c r="M1102">
        <f t="shared" si="158"/>
        <v>0</v>
      </c>
      <c r="N1102">
        <f t="shared" si="156"/>
        <v>2</v>
      </c>
      <c r="O1102">
        <f t="shared" si="157"/>
        <v>92</v>
      </c>
      <c r="P1102">
        <f t="shared" si="159"/>
        <v>0</v>
      </c>
      <c r="R1102">
        <f t="shared" si="160"/>
        <v>0</v>
      </c>
      <c r="S1102">
        <f t="shared" si="161"/>
        <v>0</v>
      </c>
      <c r="T1102">
        <f t="shared" si="162"/>
        <v>0</v>
      </c>
    </row>
    <row r="1103" spans="10:20" x14ac:dyDescent="0.25">
      <c r="J1103">
        <v>8.1227867949001942E-3</v>
      </c>
      <c r="K1103">
        <f t="shared" si="154"/>
        <v>1</v>
      </c>
      <c r="L1103">
        <f t="shared" si="155"/>
        <v>8.1227867949001942E-3</v>
      </c>
      <c r="M1103">
        <f t="shared" si="158"/>
        <v>1</v>
      </c>
      <c r="N1103">
        <f t="shared" si="156"/>
        <v>2</v>
      </c>
      <c r="O1103">
        <f t="shared" si="157"/>
        <v>92</v>
      </c>
      <c r="P1103">
        <f t="shared" si="159"/>
        <v>0</v>
      </c>
      <c r="R1103">
        <f t="shared" si="160"/>
        <v>0</v>
      </c>
      <c r="S1103">
        <f t="shared" si="161"/>
        <v>0</v>
      </c>
      <c r="T1103">
        <f t="shared" si="162"/>
        <v>0</v>
      </c>
    </row>
    <row r="1104" spans="10:20" x14ac:dyDescent="0.25">
      <c r="J1104">
        <v>0.94021666843313889</v>
      </c>
      <c r="K1104">
        <f t="shared" si="154"/>
        <v>0</v>
      </c>
      <c r="L1104">
        <f t="shared" si="155"/>
        <v>0</v>
      </c>
      <c r="M1104">
        <f t="shared" si="158"/>
        <v>0</v>
      </c>
      <c r="N1104">
        <f t="shared" si="156"/>
        <v>3</v>
      </c>
      <c r="O1104">
        <f t="shared" si="157"/>
        <v>92</v>
      </c>
      <c r="P1104">
        <f t="shared" si="159"/>
        <v>0</v>
      </c>
      <c r="R1104">
        <f t="shared" si="160"/>
        <v>0</v>
      </c>
      <c r="S1104">
        <f t="shared" si="161"/>
        <v>0</v>
      </c>
      <c r="T1104">
        <f t="shared" si="162"/>
        <v>0</v>
      </c>
    </row>
    <row r="1105" spans="10:20" x14ac:dyDescent="0.25">
      <c r="J1105">
        <v>1.4848704865170204E-3</v>
      </c>
      <c r="K1105">
        <f t="shared" si="154"/>
        <v>1</v>
      </c>
      <c r="L1105">
        <f t="shared" si="155"/>
        <v>1.4848704865170204E-3</v>
      </c>
      <c r="M1105">
        <f t="shared" si="158"/>
        <v>1</v>
      </c>
      <c r="N1105">
        <f t="shared" si="156"/>
        <v>3</v>
      </c>
      <c r="O1105">
        <f t="shared" si="157"/>
        <v>92</v>
      </c>
      <c r="P1105">
        <f t="shared" si="159"/>
        <v>0</v>
      </c>
      <c r="R1105">
        <f t="shared" si="160"/>
        <v>0</v>
      </c>
      <c r="S1105">
        <f t="shared" si="161"/>
        <v>0</v>
      </c>
      <c r="T1105">
        <f t="shared" si="162"/>
        <v>0</v>
      </c>
    </row>
    <row r="1106" spans="10:20" x14ac:dyDescent="0.25">
      <c r="J1106">
        <v>0.50434936406493047</v>
      </c>
      <c r="K1106">
        <f t="shared" si="154"/>
        <v>0</v>
      </c>
      <c r="L1106">
        <f t="shared" si="155"/>
        <v>0</v>
      </c>
      <c r="M1106">
        <f t="shared" si="158"/>
        <v>0</v>
      </c>
      <c r="N1106">
        <f t="shared" si="156"/>
        <v>4</v>
      </c>
      <c r="O1106">
        <f t="shared" si="157"/>
        <v>92</v>
      </c>
      <c r="P1106">
        <f t="shared" si="159"/>
        <v>0</v>
      </c>
      <c r="R1106">
        <f t="shared" si="160"/>
        <v>0</v>
      </c>
      <c r="S1106">
        <f t="shared" si="161"/>
        <v>0</v>
      </c>
      <c r="T1106">
        <f t="shared" si="162"/>
        <v>0</v>
      </c>
    </row>
    <row r="1107" spans="10:20" x14ac:dyDescent="0.25">
      <c r="J1107">
        <v>0.41789117034121692</v>
      </c>
      <c r="K1107">
        <f t="shared" si="154"/>
        <v>1</v>
      </c>
      <c r="L1107">
        <f t="shared" si="155"/>
        <v>0.41789117034121692</v>
      </c>
      <c r="M1107">
        <f t="shared" si="158"/>
        <v>1</v>
      </c>
      <c r="N1107">
        <f t="shared" si="156"/>
        <v>4</v>
      </c>
      <c r="O1107">
        <f t="shared" si="157"/>
        <v>92</v>
      </c>
      <c r="P1107">
        <f t="shared" si="159"/>
        <v>0</v>
      </c>
      <c r="R1107">
        <f t="shared" si="160"/>
        <v>0</v>
      </c>
      <c r="S1107">
        <f t="shared" si="161"/>
        <v>0</v>
      </c>
      <c r="T1107">
        <f t="shared" si="162"/>
        <v>0</v>
      </c>
    </row>
    <row r="1108" spans="10:20" x14ac:dyDescent="0.25">
      <c r="J1108">
        <v>0.99103351456257505</v>
      </c>
      <c r="K1108">
        <f t="shared" si="154"/>
        <v>0</v>
      </c>
      <c r="L1108">
        <f t="shared" si="155"/>
        <v>0</v>
      </c>
      <c r="M1108">
        <f t="shared" si="158"/>
        <v>0</v>
      </c>
      <c r="N1108">
        <f t="shared" si="156"/>
        <v>5</v>
      </c>
      <c r="O1108">
        <f t="shared" si="157"/>
        <v>92</v>
      </c>
      <c r="P1108">
        <f t="shared" si="159"/>
        <v>0</v>
      </c>
      <c r="R1108">
        <f t="shared" si="160"/>
        <v>0</v>
      </c>
      <c r="S1108">
        <f t="shared" si="161"/>
        <v>0</v>
      </c>
      <c r="T1108">
        <f t="shared" si="162"/>
        <v>0</v>
      </c>
    </row>
    <row r="1109" spans="10:20" x14ac:dyDescent="0.25">
      <c r="J1109">
        <v>0.46037887663128052</v>
      </c>
      <c r="K1109">
        <f t="shared" si="154"/>
        <v>1</v>
      </c>
      <c r="L1109">
        <f t="shared" si="155"/>
        <v>0.46037887663128052</v>
      </c>
      <c r="M1109">
        <f t="shared" si="158"/>
        <v>1</v>
      </c>
      <c r="N1109">
        <f t="shared" si="156"/>
        <v>5</v>
      </c>
      <c r="O1109">
        <f t="shared" si="157"/>
        <v>92</v>
      </c>
      <c r="P1109">
        <f t="shared" si="159"/>
        <v>0</v>
      </c>
      <c r="R1109">
        <f t="shared" si="160"/>
        <v>0</v>
      </c>
      <c r="S1109">
        <f t="shared" si="161"/>
        <v>0</v>
      </c>
      <c r="T1109">
        <f t="shared" si="162"/>
        <v>0</v>
      </c>
    </row>
    <row r="1110" spans="10:20" x14ac:dyDescent="0.25">
      <c r="J1110">
        <v>0.76373288184661747</v>
      </c>
      <c r="K1110">
        <f t="shared" si="154"/>
        <v>0</v>
      </c>
      <c r="L1110">
        <f t="shared" si="155"/>
        <v>0</v>
      </c>
      <c r="M1110">
        <f t="shared" si="158"/>
        <v>0</v>
      </c>
      <c r="N1110">
        <f t="shared" si="156"/>
        <v>6</v>
      </c>
      <c r="O1110">
        <f t="shared" si="157"/>
        <v>92</v>
      </c>
      <c r="P1110">
        <f t="shared" si="159"/>
        <v>0</v>
      </c>
      <c r="R1110">
        <f t="shared" si="160"/>
        <v>0</v>
      </c>
      <c r="S1110">
        <f t="shared" si="161"/>
        <v>0</v>
      </c>
      <c r="T1110">
        <f t="shared" si="162"/>
        <v>0</v>
      </c>
    </row>
    <row r="1111" spans="10:20" x14ac:dyDescent="0.25">
      <c r="J1111">
        <v>0.72006245374580791</v>
      </c>
      <c r="K1111">
        <f t="shared" si="154"/>
        <v>1</v>
      </c>
      <c r="L1111">
        <f t="shared" si="155"/>
        <v>0.72006245374580791</v>
      </c>
      <c r="M1111">
        <f t="shared" si="158"/>
        <v>1</v>
      </c>
      <c r="N1111">
        <f t="shared" si="156"/>
        <v>6</v>
      </c>
      <c r="O1111">
        <f t="shared" si="157"/>
        <v>92</v>
      </c>
      <c r="P1111">
        <f t="shared" si="159"/>
        <v>0</v>
      </c>
      <c r="R1111">
        <f t="shared" si="160"/>
        <v>0</v>
      </c>
      <c r="S1111">
        <f t="shared" si="161"/>
        <v>0</v>
      </c>
      <c r="T1111">
        <f t="shared" si="162"/>
        <v>0</v>
      </c>
    </row>
    <row r="1112" spans="10:20" x14ac:dyDescent="0.25">
      <c r="J1112">
        <v>0.97563646004846327</v>
      </c>
      <c r="K1112">
        <f t="shared" ref="K1112:K1175" si="163">IF(K1111=1,0,1)</f>
        <v>0</v>
      </c>
      <c r="L1112">
        <f t="shared" ref="L1112:L1175" si="164">K1112*J1112</f>
        <v>0</v>
      </c>
      <c r="M1112">
        <f t="shared" si="158"/>
        <v>0</v>
      </c>
      <c r="N1112">
        <f t="shared" ref="N1112:N1175" si="165">IF(N1111&lt;$N$2,N1111+M1111,1)</f>
        <v>7</v>
      </c>
      <c r="O1112">
        <f t="shared" ref="O1112:O1175" si="166">IF(AND(N1112=1,M1112=1),O1111+1,O1111)</f>
        <v>92</v>
      </c>
      <c r="P1112">
        <f t="shared" si="159"/>
        <v>0</v>
      </c>
      <c r="R1112">
        <f t="shared" si="160"/>
        <v>0</v>
      </c>
      <c r="S1112">
        <f t="shared" si="161"/>
        <v>0</v>
      </c>
      <c r="T1112">
        <f t="shared" si="162"/>
        <v>0</v>
      </c>
    </row>
    <row r="1113" spans="10:20" x14ac:dyDescent="0.25">
      <c r="J1113">
        <v>0.28646602937219789</v>
      </c>
      <c r="K1113">
        <f t="shared" si="163"/>
        <v>1</v>
      </c>
      <c r="L1113">
        <f t="shared" si="164"/>
        <v>0.28646602937219789</v>
      </c>
      <c r="M1113">
        <f t="shared" si="158"/>
        <v>1</v>
      </c>
      <c r="N1113">
        <f t="shared" si="165"/>
        <v>1</v>
      </c>
      <c r="O1113">
        <f t="shared" si="166"/>
        <v>93</v>
      </c>
      <c r="P1113">
        <f t="shared" si="159"/>
        <v>0</v>
      </c>
      <c r="R1113">
        <f t="shared" si="160"/>
        <v>0</v>
      </c>
      <c r="S1113">
        <f t="shared" si="161"/>
        <v>0</v>
      </c>
      <c r="T1113">
        <f t="shared" si="162"/>
        <v>0</v>
      </c>
    </row>
    <row r="1114" spans="10:20" x14ac:dyDescent="0.25">
      <c r="J1114">
        <v>0.31796865612614233</v>
      </c>
      <c r="K1114">
        <f t="shared" si="163"/>
        <v>0</v>
      </c>
      <c r="L1114">
        <f t="shared" si="164"/>
        <v>0</v>
      </c>
      <c r="M1114">
        <f t="shared" si="158"/>
        <v>0</v>
      </c>
      <c r="N1114">
        <f t="shared" si="165"/>
        <v>2</v>
      </c>
      <c r="O1114">
        <f t="shared" si="166"/>
        <v>93</v>
      </c>
      <c r="P1114">
        <f t="shared" si="159"/>
        <v>0</v>
      </c>
      <c r="R1114">
        <f t="shared" si="160"/>
        <v>0</v>
      </c>
      <c r="S1114">
        <f t="shared" si="161"/>
        <v>0</v>
      </c>
      <c r="T1114">
        <f t="shared" si="162"/>
        <v>0</v>
      </c>
    </row>
    <row r="1115" spans="10:20" x14ac:dyDescent="0.25">
      <c r="J1115">
        <v>0.1079109858383811</v>
      </c>
      <c r="K1115">
        <f t="shared" si="163"/>
        <v>1</v>
      </c>
      <c r="L1115">
        <f t="shared" si="164"/>
        <v>0.1079109858383811</v>
      </c>
      <c r="M1115">
        <f t="shared" si="158"/>
        <v>1</v>
      </c>
      <c r="N1115">
        <f t="shared" si="165"/>
        <v>2</v>
      </c>
      <c r="O1115">
        <f t="shared" si="166"/>
        <v>93</v>
      </c>
      <c r="P1115">
        <f t="shared" si="159"/>
        <v>0</v>
      </c>
      <c r="R1115">
        <f t="shared" si="160"/>
        <v>0</v>
      </c>
      <c r="S1115">
        <f t="shared" si="161"/>
        <v>0</v>
      </c>
      <c r="T1115">
        <f t="shared" si="162"/>
        <v>0</v>
      </c>
    </row>
    <row r="1116" spans="10:20" x14ac:dyDescent="0.25">
      <c r="J1116">
        <v>0.83641182114308987</v>
      </c>
      <c r="K1116">
        <f t="shared" si="163"/>
        <v>0</v>
      </c>
      <c r="L1116">
        <f t="shared" si="164"/>
        <v>0</v>
      </c>
      <c r="M1116">
        <f t="shared" si="158"/>
        <v>0</v>
      </c>
      <c r="N1116">
        <f t="shared" si="165"/>
        <v>3</v>
      </c>
      <c r="O1116">
        <f t="shared" si="166"/>
        <v>93</v>
      </c>
      <c r="P1116">
        <f t="shared" si="159"/>
        <v>0</v>
      </c>
      <c r="R1116">
        <f t="shared" si="160"/>
        <v>0</v>
      </c>
      <c r="S1116">
        <f t="shared" si="161"/>
        <v>0</v>
      </c>
      <c r="T1116">
        <f t="shared" si="162"/>
        <v>0</v>
      </c>
    </row>
    <row r="1117" spans="10:20" x14ac:dyDescent="0.25">
      <c r="J1117">
        <v>0.57705743102587037</v>
      </c>
      <c r="K1117">
        <f t="shared" si="163"/>
        <v>1</v>
      </c>
      <c r="L1117">
        <f t="shared" si="164"/>
        <v>0.57705743102587037</v>
      </c>
      <c r="M1117">
        <f t="shared" si="158"/>
        <v>1</v>
      </c>
      <c r="N1117">
        <f t="shared" si="165"/>
        <v>3</v>
      </c>
      <c r="O1117">
        <f t="shared" si="166"/>
        <v>93</v>
      </c>
      <c r="P1117">
        <f t="shared" si="159"/>
        <v>0</v>
      </c>
      <c r="R1117">
        <f t="shared" si="160"/>
        <v>0</v>
      </c>
      <c r="S1117">
        <f t="shared" si="161"/>
        <v>0</v>
      </c>
      <c r="T1117">
        <f t="shared" si="162"/>
        <v>0</v>
      </c>
    </row>
    <row r="1118" spans="10:20" x14ac:dyDescent="0.25">
      <c r="J1118">
        <v>0.16318982363122814</v>
      </c>
      <c r="K1118">
        <f t="shared" si="163"/>
        <v>0</v>
      </c>
      <c r="L1118">
        <f t="shared" si="164"/>
        <v>0</v>
      </c>
      <c r="M1118">
        <f t="shared" si="158"/>
        <v>0</v>
      </c>
      <c r="N1118">
        <f t="shared" si="165"/>
        <v>4</v>
      </c>
      <c r="O1118">
        <f t="shared" si="166"/>
        <v>93</v>
      </c>
      <c r="P1118">
        <f t="shared" si="159"/>
        <v>0</v>
      </c>
      <c r="R1118">
        <f t="shared" si="160"/>
        <v>0</v>
      </c>
      <c r="S1118">
        <f t="shared" si="161"/>
        <v>0</v>
      </c>
      <c r="T1118">
        <f t="shared" si="162"/>
        <v>0</v>
      </c>
    </row>
    <row r="1119" spans="10:20" x14ac:dyDescent="0.25">
      <c r="J1119">
        <v>0.69604605906621186</v>
      </c>
      <c r="K1119">
        <f t="shared" si="163"/>
        <v>1</v>
      </c>
      <c r="L1119">
        <f t="shared" si="164"/>
        <v>0.69604605906621186</v>
      </c>
      <c r="M1119">
        <f t="shared" si="158"/>
        <v>1</v>
      </c>
      <c r="N1119">
        <f t="shared" si="165"/>
        <v>4</v>
      </c>
      <c r="O1119">
        <f t="shared" si="166"/>
        <v>93</v>
      </c>
      <c r="P1119">
        <f t="shared" si="159"/>
        <v>0</v>
      </c>
      <c r="R1119">
        <f t="shared" si="160"/>
        <v>0</v>
      </c>
      <c r="S1119">
        <f t="shared" si="161"/>
        <v>0</v>
      </c>
      <c r="T1119">
        <f t="shared" si="162"/>
        <v>0</v>
      </c>
    </row>
    <row r="1120" spans="10:20" x14ac:dyDescent="0.25">
      <c r="J1120">
        <v>0.85576549093585297</v>
      </c>
      <c r="K1120">
        <f t="shared" si="163"/>
        <v>0</v>
      </c>
      <c r="L1120">
        <f t="shared" si="164"/>
        <v>0</v>
      </c>
      <c r="M1120">
        <f t="shared" si="158"/>
        <v>0</v>
      </c>
      <c r="N1120">
        <f t="shared" si="165"/>
        <v>5</v>
      </c>
      <c r="O1120">
        <f t="shared" si="166"/>
        <v>93</v>
      </c>
      <c r="P1120">
        <f t="shared" si="159"/>
        <v>0</v>
      </c>
      <c r="R1120">
        <f t="shared" si="160"/>
        <v>0</v>
      </c>
      <c r="S1120">
        <f t="shared" si="161"/>
        <v>0</v>
      </c>
      <c r="T1120">
        <f t="shared" si="162"/>
        <v>0</v>
      </c>
    </row>
    <row r="1121" spans="10:20" x14ac:dyDescent="0.25">
      <c r="J1121">
        <v>0.265053033096321</v>
      </c>
      <c r="K1121">
        <f t="shared" si="163"/>
        <v>1</v>
      </c>
      <c r="L1121">
        <f t="shared" si="164"/>
        <v>0.265053033096321</v>
      </c>
      <c r="M1121">
        <f t="shared" si="158"/>
        <v>1</v>
      </c>
      <c r="N1121">
        <f t="shared" si="165"/>
        <v>5</v>
      </c>
      <c r="O1121">
        <f t="shared" si="166"/>
        <v>93</v>
      </c>
      <c r="P1121">
        <f t="shared" si="159"/>
        <v>0</v>
      </c>
      <c r="R1121">
        <f t="shared" si="160"/>
        <v>0</v>
      </c>
      <c r="S1121">
        <f t="shared" si="161"/>
        <v>0</v>
      </c>
      <c r="T1121">
        <f t="shared" si="162"/>
        <v>0</v>
      </c>
    </row>
    <row r="1122" spans="10:20" x14ac:dyDescent="0.25">
      <c r="J1122">
        <v>0.24126797149888235</v>
      </c>
      <c r="K1122">
        <f t="shared" si="163"/>
        <v>0</v>
      </c>
      <c r="L1122">
        <f t="shared" si="164"/>
        <v>0</v>
      </c>
      <c r="M1122">
        <f t="shared" si="158"/>
        <v>0</v>
      </c>
      <c r="N1122">
        <f t="shared" si="165"/>
        <v>6</v>
      </c>
      <c r="O1122">
        <f t="shared" si="166"/>
        <v>93</v>
      </c>
      <c r="P1122">
        <f t="shared" si="159"/>
        <v>0</v>
      </c>
      <c r="R1122">
        <f t="shared" si="160"/>
        <v>0</v>
      </c>
      <c r="S1122">
        <f t="shared" si="161"/>
        <v>0</v>
      </c>
      <c r="T1122">
        <f t="shared" si="162"/>
        <v>0</v>
      </c>
    </row>
    <row r="1123" spans="10:20" x14ac:dyDescent="0.25">
      <c r="J1123">
        <v>0.77404635549695944</v>
      </c>
      <c r="K1123">
        <f t="shared" si="163"/>
        <v>1</v>
      </c>
      <c r="L1123">
        <f t="shared" si="164"/>
        <v>0.77404635549695944</v>
      </c>
      <c r="M1123">
        <f t="shared" si="158"/>
        <v>1</v>
      </c>
      <c r="N1123">
        <f t="shared" si="165"/>
        <v>6</v>
      </c>
      <c r="O1123">
        <f t="shared" si="166"/>
        <v>93</v>
      </c>
      <c r="P1123">
        <f t="shared" si="159"/>
        <v>0</v>
      </c>
      <c r="R1123">
        <f t="shared" si="160"/>
        <v>0</v>
      </c>
      <c r="S1123">
        <f t="shared" si="161"/>
        <v>0</v>
      </c>
      <c r="T1123">
        <f t="shared" si="162"/>
        <v>0</v>
      </c>
    </row>
    <row r="1124" spans="10:20" x14ac:dyDescent="0.25">
      <c r="J1124">
        <v>0.71421964148361716</v>
      </c>
      <c r="K1124">
        <f t="shared" si="163"/>
        <v>0</v>
      </c>
      <c r="L1124">
        <f t="shared" si="164"/>
        <v>0</v>
      </c>
      <c r="M1124">
        <f t="shared" si="158"/>
        <v>0</v>
      </c>
      <c r="N1124">
        <f t="shared" si="165"/>
        <v>7</v>
      </c>
      <c r="O1124">
        <f t="shared" si="166"/>
        <v>93</v>
      </c>
      <c r="P1124">
        <f t="shared" si="159"/>
        <v>0</v>
      </c>
      <c r="R1124">
        <f t="shared" si="160"/>
        <v>0</v>
      </c>
      <c r="S1124">
        <f t="shared" si="161"/>
        <v>0</v>
      </c>
      <c r="T1124">
        <f t="shared" si="162"/>
        <v>0</v>
      </c>
    </row>
    <row r="1125" spans="10:20" x14ac:dyDescent="0.25">
      <c r="J1125">
        <v>0.4601683907550228</v>
      </c>
      <c r="K1125">
        <f t="shared" si="163"/>
        <v>1</v>
      </c>
      <c r="L1125">
        <f t="shared" si="164"/>
        <v>0.4601683907550228</v>
      </c>
      <c r="M1125">
        <f t="shared" si="158"/>
        <v>1</v>
      </c>
      <c r="N1125">
        <f t="shared" si="165"/>
        <v>1</v>
      </c>
      <c r="O1125">
        <f t="shared" si="166"/>
        <v>94</v>
      </c>
      <c r="P1125">
        <f t="shared" si="159"/>
        <v>0</v>
      </c>
      <c r="R1125">
        <f t="shared" si="160"/>
        <v>0</v>
      </c>
      <c r="S1125">
        <f t="shared" si="161"/>
        <v>0</v>
      </c>
      <c r="T1125">
        <f t="shared" si="162"/>
        <v>0</v>
      </c>
    </row>
    <row r="1126" spans="10:20" x14ac:dyDescent="0.25">
      <c r="J1126">
        <v>8.462639480306422E-2</v>
      </c>
      <c r="K1126">
        <f t="shared" si="163"/>
        <v>0</v>
      </c>
      <c r="L1126">
        <f t="shared" si="164"/>
        <v>0</v>
      </c>
      <c r="M1126">
        <f t="shared" si="158"/>
        <v>0</v>
      </c>
      <c r="N1126">
        <f t="shared" si="165"/>
        <v>2</v>
      </c>
      <c r="O1126">
        <f t="shared" si="166"/>
        <v>94</v>
      </c>
      <c r="P1126">
        <f t="shared" si="159"/>
        <v>0</v>
      </c>
      <c r="R1126">
        <f t="shared" si="160"/>
        <v>0</v>
      </c>
      <c r="S1126">
        <f t="shared" si="161"/>
        <v>0</v>
      </c>
      <c r="T1126">
        <f t="shared" si="162"/>
        <v>0</v>
      </c>
    </row>
    <row r="1127" spans="10:20" x14ac:dyDescent="0.25">
      <c r="J1127">
        <v>0.53413735790768879</v>
      </c>
      <c r="K1127">
        <f t="shared" si="163"/>
        <v>1</v>
      </c>
      <c r="L1127">
        <f t="shared" si="164"/>
        <v>0.53413735790768879</v>
      </c>
      <c r="M1127">
        <f t="shared" si="158"/>
        <v>1</v>
      </c>
      <c r="N1127">
        <f t="shared" si="165"/>
        <v>2</v>
      </c>
      <c r="O1127">
        <f t="shared" si="166"/>
        <v>94</v>
      </c>
      <c r="P1127">
        <f t="shared" si="159"/>
        <v>0</v>
      </c>
      <c r="R1127">
        <f t="shared" si="160"/>
        <v>0</v>
      </c>
      <c r="S1127">
        <f t="shared" si="161"/>
        <v>0</v>
      </c>
      <c r="T1127">
        <f t="shared" si="162"/>
        <v>0</v>
      </c>
    </row>
    <row r="1128" spans="10:20" x14ac:dyDescent="0.25">
      <c r="J1128">
        <v>0.72735953567722289</v>
      </c>
      <c r="K1128">
        <f t="shared" si="163"/>
        <v>0</v>
      </c>
      <c r="L1128">
        <f t="shared" si="164"/>
        <v>0</v>
      </c>
      <c r="M1128">
        <f t="shared" si="158"/>
        <v>0</v>
      </c>
      <c r="N1128">
        <f t="shared" si="165"/>
        <v>3</v>
      </c>
      <c r="O1128">
        <f t="shared" si="166"/>
        <v>94</v>
      </c>
      <c r="P1128">
        <f t="shared" si="159"/>
        <v>0</v>
      </c>
      <c r="R1128">
        <f t="shared" si="160"/>
        <v>0</v>
      </c>
      <c r="S1128">
        <f t="shared" si="161"/>
        <v>0</v>
      </c>
      <c r="T1128">
        <f t="shared" si="162"/>
        <v>0</v>
      </c>
    </row>
    <row r="1129" spans="10:20" x14ac:dyDescent="0.25">
      <c r="J1129">
        <v>0.6777974280511645</v>
      </c>
      <c r="K1129">
        <f t="shared" si="163"/>
        <v>1</v>
      </c>
      <c r="L1129">
        <f t="shared" si="164"/>
        <v>0.6777974280511645</v>
      </c>
      <c r="M1129">
        <f t="shared" si="158"/>
        <v>1</v>
      </c>
      <c r="N1129">
        <f t="shared" si="165"/>
        <v>3</v>
      </c>
      <c r="O1129">
        <f t="shared" si="166"/>
        <v>94</v>
      </c>
      <c r="P1129">
        <f t="shared" si="159"/>
        <v>0</v>
      </c>
      <c r="R1129">
        <f t="shared" si="160"/>
        <v>0</v>
      </c>
      <c r="S1129">
        <f t="shared" si="161"/>
        <v>0</v>
      </c>
      <c r="T1129">
        <f t="shared" si="162"/>
        <v>0</v>
      </c>
    </row>
    <row r="1130" spans="10:20" x14ac:dyDescent="0.25">
      <c r="J1130">
        <v>0.95106979817971293</v>
      </c>
      <c r="K1130">
        <f t="shared" si="163"/>
        <v>0</v>
      </c>
      <c r="L1130">
        <f t="shared" si="164"/>
        <v>0</v>
      </c>
      <c r="M1130">
        <f t="shared" si="158"/>
        <v>0</v>
      </c>
      <c r="N1130">
        <f t="shared" si="165"/>
        <v>4</v>
      </c>
      <c r="O1130">
        <f t="shared" si="166"/>
        <v>94</v>
      </c>
      <c r="P1130">
        <f t="shared" si="159"/>
        <v>0</v>
      </c>
      <c r="R1130">
        <f t="shared" si="160"/>
        <v>0</v>
      </c>
      <c r="S1130">
        <f t="shared" si="161"/>
        <v>0</v>
      </c>
      <c r="T1130">
        <f t="shared" si="162"/>
        <v>0</v>
      </c>
    </row>
    <row r="1131" spans="10:20" x14ac:dyDescent="0.25">
      <c r="J1131">
        <v>0.20545462191457398</v>
      </c>
      <c r="K1131">
        <f t="shared" si="163"/>
        <v>1</v>
      </c>
      <c r="L1131">
        <f t="shared" si="164"/>
        <v>0.20545462191457398</v>
      </c>
      <c r="M1131">
        <f t="shared" si="158"/>
        <v>1</v>
      </c>
      <c r="N1131">
        <f t="shared" si="165"/>
        <v>4</v>
      </c>
      <c r="O1131">
        <f t="shared" si="166"/>
        <v>94</v>
      </c>
      <c r="P1131">
        <f t="shared" si="159"/>
        <v>0</v>
      </c>
      <c r="R1131">
        <f t="shared" si="160"/>
        <v>0</v>
      </c>
      <c r="S1131">
        <f t="shared" si="161"/>
        <v>0</v>
      </c>
      <c r="T1131">
        <f t="shared" si="162"/>
        <v>0</v>
      </c>
    </row>
    <row r="1132" spans="10:20" x14ac:dyDescent="0.25">
      <c r="J1132">
        <v>6.9069785775218051E-2</v>
      </c>
      <c r="K1132">
        <f t="shared" si="163"/>
        <v>0</v>
      </c>
      <c r="L1132">
        <f t="shared" si="164"/>
        <v>0</v>
      </c>
      <c r="M1132">
        <f t="shared" si="158"/>
        <v>0</v>
      </c>
      <c r="N1132">
        <f t="shared" si="165"/>
        <v>5</v>
      </c>
      <c r="O1132">
        <f t="shared" si="166"/>
        <v>94</v>
      </c>
      <c r="P1132">
        <f t="shared" si="159"/>
        <v>0</v>
      </c>
      <c r="R1132">
        <f t="shared" si="160"/>
        <v>0</v>
      </c>
      <c r="S1132">
        <f t="shared" si="161"/>
        <v>0</v>
      </c>
      <c r="T1132">
        <f t="shared" si="162"/>
        <v>0</v>
      </c>
    </row>
    <row r="1133" spans="10:20" x14ac:dyDescent="0.25">
      <c r="J1133">
        <v>0.44408906031994955</v>
      </c>
      <c r="K1133">
        <f t="shared" si="163"/>
        <v>1</v>
      </c>
      <c r="L1133">
        <f t="shared" si="164"/>
        <v>0.44408906031994955</v>
      </c>
      <c r="M1133">
        <f t="shared" si="158"/>
        <v>1</v>
      </c>
      <c r="N1133">
        <f t="shared" si="165"/>
        <v>5</v>
      </c>
      <c r="O1133">
        <f t="shared" si="166"/>
        <v>94</v>
      </c>
      <c r="P1133">
        <f t="shared" si="159"/>
        <v>0</v>
      </c>
      <c r="R1133">
        <f t="shared" si="160"/>
        <v>0</v>
      </c>
      <c r="S1133">
        <f t="shared" si="161"/>
        <v>0</v>
      </c>
      <c r="T1133">
        <f t="shared" si="162"/>
        <v>0</v>
      </c>
    </row>
    <row r="1134" spans="10:20" x14ac:dyDescent="0.25">
      <c r="J1134">
        <v>0.74003874306604145</v>
      </c>
      <c r="K1134">
        <f t="shared" si="163"/>
        <v>0</v>
      </c>
      <c r="L1134">
        <f t="shared" si="164"/>
        <v>0</v>
      </c>
      <c r="M1134">
        <f t="shared" si="158"/>
        <v>0</v>
      </c>
      <c r="N1134">
        <f t="shared" si="165"/>
        <v>6</v>
      </c>
      <c r="O1134">
        <f t="shared" si="166"/>
        <v>94</v>
      </c>
      <c r="P1134">
        <f t="shared" si="159"/>
        <v>0</v>
      </c>
      <c r="R1134">
        <f t="shared" si="160"/>
        <v>0</v>
      </c>
      <c r="S1134">
        <f t="shared" si="161"/>
        <v>0</v>
      </c>
      <c r="T1134">
        <f t="shared" si="162"/>
        <v>0</v>
      </c>
    </row>
    <row r="1135" spans="10:20" x14ac:dyDescent="0.25">
      <c r="J1135">
        <v>0.16306159961832112</v>
      </c>
      <c r="K1135">
        <f t="shared" si="163"/>
        <v>1</v>
      </c>
      <c r="L1135">
        <f t="shared" si="164"/>
        <v>0.16306159961832112</v>
      </c>
      <c r="M1135">
        <f t="shared" si="158"/>
        <v>1</v>
      </c>
      <c r="N1135">
        <f t="shared" si="165"/>
        <v>6</v>
      </c>
      <c r="O1135">
        <f t="shared" si="166"/>
        <v>94</v>
      </c>
      <c r="P1135">
        <f t="shared" si="159"/>
        <v>0</v>
      </c>
      <c r="R1135">
        <f t="shared" si="160"/>
        <v>0</v>
      </c>
      <c r="S1135">
        <f t="shared" si="161"/>
        <v>0</v>
      </c>
      <c r="T1135">
        <f t="shared" si="162"/>
        <v>0</v>
      </c>
    </row>
    <row r="1136" spans="10:20" x14ac:dyDescent="0.25">
      <c r="J1136">
        <v>8.5231357124974094E-2</v>
      </c>
      <c r="K1136">
        <f t="shared" si="163"/>
        <v>0</v>
      </c>
      <c r="L1136">
        <f t="shared" si="164"/>
        <v>0</v>
      </c>
      <c r="M1136">
        <f t="shared" si="158"/>
        <v>0</v>
      </c>
      <c r="N1136">
        <f t="shared" si="165"/>
        <v>7</v>
      </c>
      <c r="O1136">
        <f t="shared" si="166"/>
        <v>94</v>
      </c>
      <c r="P1136">
        <f t="shared" si="159"/>
        <v>0</v>
      </c>
      <c r="R1136">
        <f t="shared" si="160"/>
        <v>0</v>
      </c>
      <c r="S1136">
        <f t="shared" si="161"/>
        <v>0</v>
      </c>
      <c r="T1136">
        <f t="shared" si="162"/>
        <v>0</v>
      </c>
    </row>
    <row r="1137" spans="10:20" x14ac:dyDescent="0.25">
      <c r="J1137">
        <v>0.97271690088705254</v>
      </c>
      <c r="K1137">
        <f t="shared" si="163"/>
        <v>1</v>
      </c>
      <c r="L1137">
        <f t="shared" si="164"/>
        <v>0.97271690088705254</v>
      </c>
      <c r="M1137">
        <f t="shared" si="158"/>
        <v>1</v>
      </c>
      <c r="N1137">
        <f t="shared" si="165"/>
        <v>1</v>
      </c>
      <c r="O1137">
        <f t="shared" si="166"/>
        <v>95</v>
      </c>
      <c r="P1137">
        <f t="shared" si="159"/>
        <v>0</v>
      </c>
      <c r="R1137">
        <f t="shared" si="160"/>
        <v>0</v>
      </c>
      <c r="S1137">
        <f t="shared" si="161"/>
        <v>0</v>
      </c>
      <c r="T1137">
        <f t="shared" si="162"/>
        <v>0</v>
      </c>
    </row>
    <row r="1138" spans="10:20" x14ac:dyDescent="0.25">
      <c r="J1138">
        <v>0.78632539537645219</v>
      </c>
      <c r="K1138">
        <f t="shared" si="163"/>
        <v>0</v>
      </c>
      <c r="L1138">
        <f t="shared" si="164"/>
        <v>0</v>
      </c>
      <c r="M1138">
        <f t="shared" si="158"/>
        <v>0</v>
      </c>
      <c r="N1138">
        <f t="shared" si="165"/>
        <v>2</v>
      </c>
      <c r="O1138">
        <f t="shared" si="166"/>
        <v>95</v>
      </c>
      <c r="P1138">
        <f t="shared" si="159"/>
        <v>0</v>
      </c>
      <c r="R1138">
        <f t="shared" si="160"/>
        <v>0</v>
      </c>
      <c r="S1138">
        <f t="shared" si="161"/>
        <v>0</v>
      </c>
      <c r="T1138">
        <f t="shared" si="162"/>
        <v>0</v>
      </c>
    </row>
    <row r="1139" spans="10:20" x14ac:dyDescent="0.25">
      <c r="J1139">
        <v>0.41300810981388492</v>
      </c>
      <c r="K1139">
        <f t="shared" si="163"/>
        <v>1</v>
      </c>
      <c r="L1139">
        <f t="shared" si="164"/>
        <v>0.41300810981388492</v>
      </c>
      <c r="M1139">
        <f t="shared" si="158"/>
        <v>1</v>
      </c>
      <c r="N1139">
        <f t="shared" si="165"/>
        <v>2</v>
      </c>
      <c r="O1139">
        <f t="shared" si="166"/>
        <v>95</v>
      </c>
      <c r="P1139">
        <f t="shared" si="159"/>
        <v>0</v>
      </c>
      <c r="R1139">
        <f t="shared" si="160"/>
        <v>0</v>
      </c>
      <c r="S1139">
        <f t="shared" si="161"/>
        <v>0</v>
      </c>
      <c r="T1139">
        <f t="shared" si="162"/>
        <v>0</v>
      </c>
    </row>
    <row r="1140" spans="10:20" x14ac:dyDescent="0.25">
      <c r="J1140">
        <v>0.76861971855392675</v>
      </c>
      <c r="K1140">
        <f t="shared" si="163"/>
        <v>0</v>
      </c>
      <c r="L1140">
        <f t="shared" si="164"/>
        <v>0</v>
      </c>
      <c r="M1140">
        <f t="shared" si="158"/>
        <v>0</v>
      </c>
      <c r="N1140">
        <f t="shared" si="165"/>
        <v>3</v>
      </c>
      <c r="O1140">
        <f t="shared" si="166"/>
        <v>95</v>
      </c>
      <c r="P1140">
        <f t="shared" si="159"/>
        <v>0</v>
      </c>
      <c r="R1140">
        <f t="shared" si="160"/>
        <v>0</v>
      </c>
      <c r="S1140">
        <f t="shared" si="161"/>
        <v>0</v>
      </c>
      <c r="T1140">
        <f t="shared" si="162"/>
        <v>0</v>
      </c>
    </row>
    <row r="1141" spans="10:20" x14ac:dyDescent="0.25">
      <c r="J1141">
        <v>0.38803269826812625</v>
      </c>
      <c r="K1141">
        <f t="shared" si="163"/>
        <v>1</v>
      </c>
      <c r="L1141">
        <f t="shared" si="164"/>
        <v>0.38803269826812625</v>
      </c>
      <c r="M1141">
        <f t="shared" si="158"/>
        <v>1</v>
      </c>
      <c r="N1141">
        <f t="shared" si="165"/>
        <v>3</v>
      </c>
      <c r="O1141">
        <f t="shared" si="166"/>
        <v>95</v>
      </c>
      <c r="P1141">
        <f t="shared" si="159"/>
        <v>0</v>
      </c>
      <c r="R1141">
        <f t="shared" si="160"/>
        <v>0</v>
      </c>
      <c r="S1141">
        <f t="shared" si="161"/>
        <v>0</v>
      </c>
      <c r="T1141">
        <f t="shared" si="162"/>
        <v>0</v>
      </c>
    </row>
    <row r="1142" spans="10:20" x14ac:dyDescent="0.25">
      <c r="J1142">
        <v>0.10921637959905006</v>
      </c>
      <c r="K1142">
        <f t="shared" si="163"/>
        <v>0</v>
      </c>
      <c r="L1142">
        <f t="shared" si="164"/>
        <v>0</v>
      </c>
      <c r="M1142">
        <f t="shared" si="158"/>
        <v>0</v>
      </c>
      <c r="N1142">
        <f t="shared" si="165"/>
        <v>4</v>
      </c>
      <c r="O1142">
        <f t="shared" si="166"/>
        <v>95</v>
      </c>
      <c r="P1142">
        <f t="shared" si="159"/>
        <v>0</v>
      </c>
      <c r="R1142">
        <f t="shared" si="160"/>
        <v>0</v>
      </c>
      <c r="S1142">
        <f t="shared" si="161"/>
        <v>0</v>
      </c>
      <c r="T1142">
        <f t="shared" si="162"/>
        <v>0</v>
      </c>
    </row>
    <row r="1143" spans="10:20" x14ac:dyDescent="0.25">
      <c r="J1143">
        <v>0.87688985775134776</v>
      </c>
      <c r="K1143">
        <f t="shared" si="163"/>
        <v>1</v>
      </c>
      <c r="L1143">
        <f t="shared" si="164"/>
        <v>0.87688985775134776</v>
      </c>
      <c r="M1143">
        <f t="shared" si="158"/>
        <v>1</v>
      </c>
      <c r="N1143">
        <f t="shared" si="165"/>
        <v>4</v>
      </c>
      <c r="O1143">
        <f t="shared" si="166"/>
        <v>95</v>
      </c>
      <c r="P1143">
        <f t="shared" si="159"/>
        <v>0</v>
      </c>
      <c r="R1143">
        <f t="shared" si="160"/>
        <v>0</v>
      </c>
      <c r="S1143">
        <f t="shared" si="161"/>
        <v>0</v>
      </c>
      <c r="T1143">
        <f t="shared" si="162"/>
        <v>0</v>
      </c>
    </row>
    <row r="1144" spans="10:20" x14ac:dyDescent="0.25">
      <c r="J1144">
        <v>4.2168466372863311E-2</v>
      </c>
      <c r="K1144">
        <f t="shared" si="163"/>
        <v>0</v>
      </c>
      <c r="L1144">
        <f t="shared" si="164"/>
        <v>0</v>
      </c>
      <c r="M1144">
        <f t="shared" si="158"/>
        <v>0</v>
      </c>
      <c r="N1144">
        <f t="shared" si="165"/>
        <v>5</v>
      </c>
      <c r="O1144">
        <f t="shared" si="166"/>
        <v>95</v>
      </c>
      <c r="P1144">
        <f t="shared" si="159"/>
        <v>0</v>
      </c>
      <c r="R1144">
        <f t="shared" si="160"/>
        <v>0</v>
      </c>
      <c r="S1144">
        <f t="shared" si="161"/>
        <v>0</v>
      </c>
      <c r="T1144">
        <f t="shared" si="162"/>
        <v>0</v>
      </c>
    </row>
    <row r="1145" spans="10:20" x14ac:dyDescent="0.25">
      <c r="J1145">
        <v>0.78524762775840251</v>
      </c>
      <c r="K1145">
        <f t="shared" si="163"/>
        <v>1</v>
      </c>
      <c r="L1145">
        <f t="shared" si="164"/>
        <v>0.78524762775840251</v>
      </c>
      <c r="M1145">
        <f t="shared" si="158"/>
        <v>1</v>
      </c>
      <c r="N1145">
        <f t="shared" si="165"/>
        <v>5</v>
      </c>
      <c r="O1145">
        <f t="shared" si="166"/>
        <v>95</v>
      </c>
      <c r="P1145">
        <f t="shared" si="159"/>
        <v>0</v>
      </c>
      <c r="R1145">
        <f t="shared" si="160"/>
        <v>0</v>
      </c>
      <c r="S1145">
        <f t="shared" si="161"/>
        <v>0</v>
      </c>
      <c r="T1145">
        <f t="shared" si="162"/>
        <v>0</v>
      </c>
    </row>
    <row r="1146" spans="10:20" x14ac:dyDescent="0.25">
      <c r="J1146">
        <v>0.62403587890274848</v>
      </c>
      <c r="K1146">
        <f t="shared" si="163"/>
        <v>0</v>
      </c>
      <c r="L1146">
        <f t="shared" si="164"/>
        <v>0</v>
      </c>
      <c r="M1146">
        <f t="shared" si="158"/>
        <v>0</v>
      </c>
      <c r="N1146">
        <f t="shared" si="165"/>
        <v>6</v>
      </c>
      <c r="O1146">
        <f t="shared" si="166"/>
        <v>95</v>
      </c>
      <c r="P1146">
        <f t="shared" si="159"/>
        <v>0</v>
      </c>
      <c r="R1146">
        <f t="shared" si="160"/>
        <v>0</v>
      </c>
      <c r="S1146">
        <f t="shared" si="161"/>
        <v>0</v>
      </c>
      <c r="T1146">
        <f t="shared" si="162"/>
        <v>0</v>
      </c>
    </row>
    <row r="1147" spans="10:20" x14ac:dyDescent="0.25">
      <c r="J1147">
        <v>0.88775498207849846</v>
      </c>
      <c r="K1147">
        <f t="shared" si="163"/>
        <v>1</v>
      </c>
      <c r="L1147">
        <f t="shared" si="164"/>
        <v>0.88775498207849846</v>
      </c>
      <c r="M1147">
        <f t="shared" si="158"/>
        <v>1</v>
      </c>
      <c r="N1147">
        <f t="shared" si="165"/>
        <v>6</v>
      </c>
      <c r="O1147">
        <f t="shared" si="166"/>
        <v>95</v>
      </c>
      <c r="P1147">
        <f t="shared" si="159"/>
        <v>0</v>
      </c>
      <c r="R1147">
        <f t="shared" si="160"/>
        <v>0</v>
      </c>
      <c r="S1147">
        <f t="shared" si="161"/>
        <v>0</v>
      </c>
      <c r="T1147">
        <f t="shared" si="162"/>
        <v>0</v>
      </c>
    </row>
    <row r="1148" spans="10:20" x14ac:dyDescent="0.25">
      <c r="J1148">
        <v>0.84639638907836401</v>
      </c>
      <c r="K1148">
        <f t="shared" si="163"/>
        <v>0</v>
      </c>
      <c r="L1148">
        <f t="shared" si="164"/>
        <v>0</v>
      </c>
      <c r="M1148">
        <f t="shared" si="158"/>
        <v>0</v>
      </c>
      <c r="N1148">
        <f t="shared" si="165"/>
        <v>7</v>
      </c>
      <c r="O1148">
        <f t="shared" si="166"/>
        <v>95</v>
      </c>
      <c r="P1148">
        <f t="shared" si="159"/>
        <v>0</v>
      </c>
      <c r="R1148">
        <f t="shared" si="160"/>
        <v>0</v>
      </c>
      <c r="S1148">
        <f t="shared" si="161"/>
        <v>0</v>
      </c>
      <c r="T1148">
        <f t="shared" si="162"/>
        <v>0</v>
      </c>
    </row>
    <row r="1149" spans="10:20" x14ac:dyDescent="0.25">
      <c r="J1149">
        <v>0.35346606046967866</v>
      </c>
      <c r="K1149">
        <f t="shared" si="163"/>
        <v>1</v>
      </c>
      <c r="L1149">
        <f t="shared" si="164"/>
        <v>0.35346606046967866</v>
      </c>
      <c r="M1149">
        <f t="shared" si="158"/>
        <v>1</v>
      </c>
      <c r="N1149">
        <f t="shared" si="165"/>
        <v>1</v>
      </c>
      <c r="O1149">
        <f t="shared" si="166"/>
        <v>96</v>
      </c>
      <c r="P1149">
        <f t="shared" si="159"/>
        <v>0</v>
      </c>
      <c r="R1149">
        <f t="shared" si="160"/>
        <v>0</v>
      </c>
      <c r="S1149">
        <f t="shared" si="161"/>
        <v>0</v>
      </c>
      <c r="T1149">
        <f t="shared" si="162"/>
        <v>0</v>
      </c>
    </row>
    <row r="1150" spans="10:20" x14ac:dyDescent="0.25">
      <c r="J1150">
        <v>4.7780524043948058E-2</v>
      </c>
      <c r="K1150">
        <f t="shared" si="163"/>
        <v>0</v>
      </c>
      <c r="L1150">
        <f t="shared" si="164"/>
        <v>0</v>
      </c>
      <c r="M1150">
        <f t="shared" si="158"/>
        <v>0</v>
      </c>
      <c r="N1150">
        <f t="shared" si="165"/>
        <v>2</v>
      </c>
      <c r="O1150">
        <f t="shared" si="166"/>
        <v>96</v>
      </c>
      <c r="P1150">
        <f t="shared" si="159"/>
        <v>0</v>
      </c>
      <c r="R1150">
        <f t="shared" si="160"/>
        <v>0</v>
      </c>
      <c r="S1150">
        <f t="shared" si="161"/>
        <v>0</v>
      </c>
      <c r="T1150">
        <f t="shared" si="162"/>
        <v>0</v>
      </c>
    </row>
    <row r="1151" spans="10:20" x14ac:dyDescent="0.25">
      <c r="J1151">
        <v>0.87198176329792498</v>
      </c>
      <c r="K1151">
        <f t="shared" si="163"/>
        <v>1</v>
      </c>
      <c r="L1151">
        <f t="shared" si="164"/>
        <v>0.87198176329792498</v>
      </c>
      <c r="M1151">
        <f t="shared" si="158"/>
        <v>1</v>
      </c>
      <c r="N1151">
        <f t="shared" si="165"/>
        <v>2</v>
      </c>
      <c r="O1151">
        <f t="shared" si="166"/>
        <v>96</v>
      </c>
      <c r="P1151">
        <f t="shared" si="159"/>
        <v>0</v>
      </c>
      <c r="R1151">
        <f t="shared" si="160"/>
        <v>0</v>
      </c>
      <c r="S1151">
        <f t="shared" si="161"/>
        <v>0</v>
      </c>
      <c r="T1151">
        <f t="shared" si="162"/>
        <v>0</v>
      </c>
    </row>
    <row r="1152" spans="10:20" x14ac:dyDescent="0.25">
      <c r="J1152">
        <v>0.44365616076646941</v>
      </c>
      <c r="K1152">
        <f t="shared" si="163"/>
        <v>0</v>
      </c>
      <c r="L1152">
        <f t="shared" si="164"/>
        <v>0</v>
      </c>
      <c r="M1152">
        <f t="shared" si="158"/>
        <v>0</v>
      </c>
      <c r="N1152">
        <f t="shared" si="165"/>
        <v>3</v>
      </c>
      <c r="O1152">
        <f t="shared" si="166"/>
        <v>96</v>
      </c>
      <c r="P1152">
        <f t="shared" si="159"/>
        <v>0</v>
      </c>
      <c r="R1152">
        <f t="shared" si="160"/>
        <v>0</v>
      </c>
      <c r="S1152">
        <f t="shared" si="161"/>
        <v>0</v>
      </c>
      <c r="T1152">
        <f t="shared" si="162"/>
        <v>0</v>
      </c>
    </row>
    <row r="1153" spans="10:20" x14ac:dyDescent="0.25">
      <c r="J1153">
        <v>0.84252925779065924</v>
      </c>
      <c r="K1153">
        <f t="shared" si="163"/>
        <v>1</v>
      </c>
      <c r="L1153">
        <f t="shared" si="164"/>
        <v>0.84252925779065924</v>
      </c>
      <c r="M1153">
        <f t="shared" si="158"/>
        <v>1</v>
      </c>
      <c r="N1153">
        <f t="shared" si="165"/>
        <v>3</v>
      </c>
      <c r="O1153">
        <f t="shared" si="166"/>
        <v>96</v>
      </c>
      <c r="P1153">
        <f t="shared" si="159"/>
        <v>0</v>
      </c>
      <c r="R1153">
        <f t="shared" si="160"/>
        <v>0</v>
      </c>
      <c r="S1153">
        <f t="shared" si="161"/>
        <v>0</v>
      </c>
      <c r="T1153">
        <f t="shared" si="162"/>
        <v>0</v>
      </c>
    </row>
    <row r="1154" spans="10:20" x14ac:dyDescent="0.25">
      <c r="J1154">
        <v>0.52876190758036468</v>
      </c>
      <c r="K1154">
        <f t="shared" si="163"/>
        <v>0</v>
      </c>
      <c r="L1154">
        <f t="shared" si="164"/>
        <v>0</v>
      </c>
      <c r="M1154">
        <f t="shared" si="158"/>
        <v>0</v>
      </c>
      <c r="N1154">
        <f t="shared" si="165"/>
        <v>4</v>
      </c>
      <c r="O1154">
        <f t="shared" si="166"/>
        <v>96</v>
      </c>
      <c r="P1154">
        <f t="shared" si="159"/>
        <v>0</v>
      </c>
      <c r="R1154">
        <f t="shared" si="160"/>
        <v>0</v>
      </c>
      <c r="S1154">
        <f t="shared" si="161"/>
        <v>0</v>
      </c>
      <c r="T1154">
        <f t="shared" si="162"/>
        <v>0</v>
      </c>
    </row>
    <row r="1155" spans="10:20" x14ac:dyDescent="0.25">
      <c r="J1155">
        <v>0.36692223213381647</v>
      </c>
      <c r="K1155">
        <f t="shared" si="163"/>
        <v>1</v>
      </c>
      <c r="L1155">
        <f t="shared" si="164"/>
        <v>0.36692223213381647</v>
      </c>
      <c r="M1155">
        <f t="shared" si="158"/>
        <v>1</v>
      </c>
      <c r="N1155">
        <f t="shared" si="165"/>
        <v>4</v>
      </c>
      <c r="O1155">
        <f t="shared" si="166"/>
        <v>96</v>
      </c>
      <c r="P1155">
        <f t="shared" si="159"/>
        <v>0</v>
      </c>
      <c r="R1155">
        <f t="shared" si="160"/>
        <v>0</v>
      </c>
      <c r="S1155">
        <f t="shared" si="161"/>
        <v>0</v>
      </c>
      <c r="T1155">
        <f t="shared" si="162"/>
        <v>0</v>
      </c>
    </row>
    <row r="1156" spans="10:20" x14ac:dyDescent="0.25">
      <c r="J1156">
        <v>0.11123491136087282</v>
      </c>
      <c r="K1156">
        <f t="shared" si="163"/>
        <v>0</v>
      </c>
      <c r="L1156">
        <f t="shared" si="164"/>
        <v>0</v>
      </c>
      <c r="M1156">
        <f t="shared" si="158"/>
        <v>0</v>
      </c>
      <c r="N1156">
        <f t="shared" si="165"/>
        <v>5</v>
      </c>
      <c r="O1156">
        <f t="shared" si="166"/>
        <v>96</v>
      </c>
      <c r="P1156">
        <f t="shared" si="159"/>
        <v>0</v>
      </c>
      <c r="R1156">
        <f t="shared" si="160"/>
        <v>0</v>
      </c>
      <c r="S1156">
        <f t="shared" si="161"/>
        <v>0</v>
      </c>
      <c r="T1156">
        <f t="shared" si="162"/>
        <v>0</v>
      </c>
    </row>
    <row r="1157" spans="10:20" x14ac:dyDescent="0.25">
      <c r="J1157">
        <v>0.6691963940379394</v>
      </c>
      <c r="K1157">
        <f t="shared" si="163"/>
        <v>1</v>
      </c>
      <c r="L1157">
        <f t="shared" si="164"/>
        <v>0.6691963940379394</v>
      </c>
      <c r="M1157">
        <f t="shared" si="158"/>
        <v>1</v>
      </c>
      <c r="N1157">
        <f t="shared" si="165"/>
        <v>5</v>
      </c>
      <c r="O1157">
        <f t="shared" si="166"/>
        <v>96</v>
      </c>
      <c r="P1157">
        <f t="shared" si="159"/>
        <v>0</v>
      </c>
      <c r="R1157">
        <f t="shared" si="160"/>
        <v>0</v>
      </c>
      <c r="S1157">
        <f t="shared" si="161"/>
        <v>0</v>
      </c>
      <c r="T1157">
        <f t="shared" si="162"/>
        <v>0</v>
      </c>
    </row>
    <row r="1158" spans="10:20" x14ac:dyDescent="0.25">
      <c r="J1158">
        <v>0.39270908170134122</v>
      </c>
      <c r="K1158">
        <f t="shared" si="163"/>
        <v>0</v>
      </c>
      <c r="L1158">
        <f t="shared" si="164"/>
        <v>0</v>
      </c>
      <c r="M1158">
        <f t="shared" si="158"/>
        <v>0</v>
      </c>
      <c r="N1158">
        <f t="shared" si="165"/>
        <v>6</v>
      </c>
      <c r="O1158">
        <f t="shared" si="166"/>
        <v>96</v>
      </c>
      <c r="P1158">
        <f t="shared" si="159"/>
        <v>0</v>
      </c>
      <c r="R1158">
        <f t="shared" si="160"/>
        <v>0</v>
      </c>
      <c r="S1158">
        <f t="shared" si="161"/>
        <v>0</v>
      </c>
      <c r="T1158">
        <f t="shared" si="162"/>
        <v>0</v>
      </c>
    </row>
    <row r="1159" spans="10:20" x14ac:dyDescent="0.25">
      <c r="J1159">
        <v>0.49364051918304974</v>
      </c>
      <c r="K1159">
        <f t="shared" si="163"/>
        <v>1</v>
      </c>
      <c r="L1159">
        <f t="shared" si="164"/>
        <v>0.49364051918304974</v>
      </c>
      <c r="M1159">
        <f t="shared" si="158"/>
        <v>1</v>
      </c>
      <c r="N1159">
        <f t="shared" si="165"/>
        <v>6</v>
      </c>
      <c r="O1159">
        <f t="shared" si="166"/>
        <v>96</v>
      </c>
      <c r="P1159">
        <f t="shared" si="159"/>
        <v>0</v>
      </c>
      <c r="R1159">
        <f t="shared" si="160"/>
        <v>0</v>
      </c>
      <c r="S1159">
        <f t="shared" si="161"/>
        <v>0</v>
      </c>
      <c r="T1159">
        <f t="shared" si="162"/>
        <v>0</v>
      </c>
    </row>
    <row r="1160" spans="10:20" x14ac:dyDescent="0.25">
      <c r="J1160">
        <v>3.0541624183463956E-2</v>
      </c>
      <c r="K1160">
        <f t="shared" si="163"/>
        <v>0</v>
      </c>
      <c r="L1160">
        <f t="shared" si="164"/>
        <v>0</v>
      </c>
      <c r="M1160">
        <f t="shared" ref="M1160:M1223" si="167">IF(L1160&gt;$M$2,1,0)</f>
        <v>0</v>
      </c>
      <c r="N1160">
        <f t="shared" si="165"/>
        <v>7</v>
      </c>
      <c r="O1160">
        <f t="shared" si="166"/>
        <v>96</v>
      </c>
      <c r="P1160">
        <f t="shared" ref="P1160:P1223" si="168">IF(INDEX($B$7:$H$1029,O1160,2)&gt;0,1,0)</f>
        <v>0</v>
      </c>
      <c r="R1160">
        <f t="shared" ref="R1160:R1223" si="169">IF(  M1160&gt;0,INDEX($B$7:$H$1029,O1160,N1160),0)*P1160</f>
        <v>0</v>
      </c>
      <c r="S1160">
        <f t="shared" ref="S1160:S1223" si="170">M1160*P1160</f>
        <v>0</v>
      </c>
      <c r="T1160">
        <f t="shared" ref="T1160:T1223" si="171">IF(N1161=$N$2,1,0)*P1160</f>
        <v>0</v>
      </c>
    </row>
    <row r="1161" spans="10:20" x14ac:dyDescent="0.25">
      <c r="J1161">
        <v>3.5308201038683928E-2</v>
      </c>
      <c r="K1161">
        <f t="shared" si="163"/>
        <v>1</v>
      </c>
      <c r="L1161">
        <f t="shared" si="164"/>
        <v>3.5308201038683928E-2</v>
      </c>
      <c r="M1161">
        <f t="shared" si="167"/>
        <v>1</v>
      </c>
      <c r="N1161">
        <f t="shared" si="165"/>
        <v>1</v>
      </c>
      <c r="O1161">
        <f t="shared" si="166"/>
        <v>97</v>
      </c>
      <c r="P1161">
        <f t="shared" si="168"/>
        <v>0</v>
      </c>
      <c r="R1161">
        <f t="shared" si="169"/>
        <v>0</v>
      </c>
      <c r="S1161">
        <f t="shared" si="170"/>
        <v>0</v>
      </c>
      <c r="T1161">
        <f t="shared" si="171"/>
        <v>0</v>
      </c>
    </row>
    <row r="1162" spans="10:20" x14ac:dyDescent="0.25">
      <c r="J1162">
        <v>0.54815055555241887</v>
      </c>
      <c r="K1162">
        <f t="shared" si="163"/>
        <v>0</v>
      </c>
      <c r="L1162">
        <f t="shared" si="164"/>
        <v>0</v>
      </c>
      <c r="M1162">
        <f t="shared" si="167"/>
        <v>0</v>
      </c>
      <c r="N1162">
        <f t="shared" si="165"/>
        <v>2</v>
      </c>
      <c r="O1162">
        <f t="shared" si="166"/>
        <v>97</v>
      </c>
      <c r="P1162">
        <f t="shared" si="168"/>
        <v>0</v>
      </c>
      <c r="R1162">
        <f t="shared" si="169"/>
        <v>0</v>
      </c>
      <c r="S1162">
        <f t="shared" si="170"/>
        <v>0</v>
      </c>
      <c r="T1162">
        <f t="shared" si="171"/>
        <v>0</v>
      </c>
    </row>
    <row r="1163" spans="10:20" x14ac:dyDescent="0.25">
      <c r="J1163">
        <v>0.54972622613743571</v>
      </c>
      <c r="K1163">
        <f t="shared" si="163"/>
        <v>1</v>
      </c>
      <c r="L1163">
        <f t="shared" si="164"/>
        <v>0.54972622613743571</v>
      </c>
      <c r="M1163">
        <f t="shared" si="167"/>
        <v>1</v>
      </c>
      <c r="N1163">
        <f t="shared" si="165"/>
        <v>2</v>
      </c>
      <c r="O1163">
        <f t="shared" si="166"/>
        <v>97</v>
      </c>
      <c r="P1163">
        <f t="shared" si="168"/>
        <v>0</v>
      </c>
      <c r="R1163">
        <f t="shared" si="169"/>
        <v>0</v>
      </c>
      <c r="S1163">
        <f t="shared" si="170"/>
        <v>0</v>
      </c>
      <c r="T1163">
        <f t="shared" si="171"/>
        <v>0</v>
      </c>
    </row>
    <row r="1164" spans="10:20" x14ac:dyDescent="0.25">
      <c r="J1164">
        <v>0.68921583258732433</v>
      </c>
      <c r="K1164">
        <f t="shared" si="163"/>
        <v>0</v>
      </c>
      <c r="L1164">
        <f t="shared" si="164"/>
        <v>0</v>
      </c>
      <c r="M1164">
        <f t="shared" si="167"/>
        <v>0</v>
      </c>
      <c r="N1164">
        <f t="shared" si="165"/>
        <v>3</v>
      </c>
      <c r="O1164">
        <f t="shared" si="166"/>
        <v>97</v>
      </c>
      <c r="P1164">
        <f t="shared" si="168"/>
        <v>0</v>
      </c>
      <c r="R1164">
        <f t="shared" si="169"/>
        <v>0</v>
      </c>
      <c r="S1164">
        <f t="shared" si="170"/>
        <v>0</v>
      </c>
      <c r="T1164">
        <f t="shared" si="171"/>
        <v>0</v>
      </c>
    </row>
    <row r="1165" spans="10:20" x14ac:dyDescent="0.25">
      <c r="J1165">
        <v>0.35017833110027607</v>
      </c>
      <c r="K1165">
        <f t="shared" si="163"/>
        <v>1</v>
      </c>
      <c r="L1165">
        <f t="shared" si="164"/>
        <v>0.35017833110027607</v>
      </c>
      <c r="M1165">
        <f t="shared" si="167"/>
        <v>1</v>
      </c>
      <c r="N1165">
        <f t="shared" si="165"/>
        <v>3</v>
      </c>
      <c r="O1165">
        <f t="shared" si="166"/>
        <v>97</v>
      </c>
      <c r="P1165">
        <f t="shared" si="168"/>
        <v>0</v>
      </c>
      <c r="R1165">
        <f t="shared" si="169"/>
        <v>0</v>
      </c>
      <c r="S1165">
        <f t="shared" si="170"/>
        <v>0</v>
      </c>
      <c r="T1165">
        <f t="shared" si="171"/>
        <v>0</v>
      </c>
    </row>
    <row r="1166" spans="10:20" x14ac:dyDescent="0.25">
      <c r="J1166">
        <v>0.58697777898503789</v>
      </c>
      <c r="K1166">
        <f t="shared" si="163"/>
        <v>0</v>
      </c>
      <c r="L1166">
        <f t="shared" si="164"/>
        <v>0</v>
      </c>
      <c r="M1166">
        <f t="shared" si="167"/>
        <v>0</v>
      </c>
      <c r="N1166">
        <f t="shared" si="165"/>
        <v>4</v>
      </c>
      <c r="O1166">
        <f t="shared" si="166"/>
        <v>97</v>
      </c>
      <c r="P1166">
        <f t="shared" si="168"/>
        <v>0</v>
      </c>
      <c r="R1166">
        <f t="shared" si="169"/>
        <v>0</v>
      </c>
      <c r="S1166">
        <f t="shared" si="170"/>
        <v>0</v>
      </c>
      <c r="T1166">
        <f t="shared" si="171"/>
        <v>0</v>
      </c>
    </row>
    <row r="1167" spans="10:20" x14ac:dyDescent="0.25">
      <c r="J1167">
        <v>0.35062476146215227</v>
      </c>
      <c r="K1167">
        <f t="shared" si="163"/>
        <v>1</v>
      </c>
      <c r="L1167">
        <f t="shared" si="164"/>
        <v>0.35062476146215227</v>
      </c>
      <c r="M1167">
        <f t="shared" si="167"/>
        <v>1</v>
      </c>
      <c r="N1167">
        <f t="shared" si="165"/>
        <v>4</v>
      </c>
      <c r="O1167">
        <f t="shared" si="166"/>
        <v>97</v>
      </c>
      <c r="P1167">
        <f t="shared" si="168"/>
        <v>0</v>
      </c>
      <c r="R1167">
        <f t="shared" si="169"/>
        <v>0</v>
      </c>
      <c r="S1167">
        <f t="shared" si="170"/>
        <v>0</v>
      </c>
      <c r="T1167">
        <f t="shared" si="171"/>
        <v>0</v>
      </c>
    </row>
    <row r="1168" spans="10:20" x14ac:dyDescent="0.25">
      <c r="J1168">
        <v>0.68224681217374128</v>
      </c>
      <c r="K1168">
        <f t="shared" si="163"/>
        <v>0</v>
      </c>
      <c r="L1168">
        <f t="shared" si="164"/>
        <v>0</v>
      </c>
      <c r="M1168">
        <f t="shared" si="167"/>
        <v>0</v>
      </c>
      <c r="N1168">
        <f t="shared" si="165"/>
        <v>5</v>
      </c>
      <c r="O1168">
        <f t="shared" si="166"/>
        <v>97</v>
      </c>
      <c r="P1168">
        <f t="shared" si="168"/>
        <v>0</v>
      </c>
      <c r="R1168">
        <f t="shared" si="169"/>
        <v>0</v>
      </c>
      <c r="S1168">
        <f t="shared" si="170"/>
        <v>0</v>
      </c>
      <c r="T1168">
        <f t="shared" si="171"/>
        <v>0</v>
      </c>
    </row>
    <row r="1169" spans="10:20" x14ac:dyDescent="0.25">
      <c r="J1169">
        <v>0.77292000149014739</v>
      </c>
      <c r="K1169">
        <f t="shared" si="163"/>
        <v>1</v>
      </c>
      <c r="L1169">
        <f t="shared" si="164"/>
        <v>0.77292000149014739</v>
      </c>
      <c r="M1169">
        <f t="shared" si="167"/>
        <v>1</v>
      </c>
      <c r="N1169">
        <f t="shared" si="165"/>
        <v>5</v>
      </c>
      <c r="O1169">
        <f t="shared" si="166"/>
        <v>97</v>
      </c>
      <c r="P1169">
        <f t="shared" si="168"/>
        <v>0</v>
      </c>
      <c r="R1169">
        <f t="shared" si="169"/>
        <v>0</v>
      </c>
      <c r="S1169">
        <f t="shared" si="170"/>
        <v>0</v>
      </c>
      <c r="T1169">
        <f t="shared" si="171"/>
        <v>0</v>
      </c>
    </row>
    <row r="1170" spans="10:20" x14ac:dyDescent="0.25">
      <c r="J1170">
        <v>0.3591422620735335</v>
      </c>
      <c r="K1170">
        <f t="shared" si="163"/>
        <v>0</v>
      </c>
      <c r="L1170">
        <f t="shared" si="164"/>
        <v>0</v>
      </c>
      <c r="M1170">
        <f t="shared" si="167"/>
        <v>0</v>
      </c>
      <c r="N1170">
        <f t="shared" si="165"/>
        <v>6</v>
      </c>
      <c r="O1170">
        <f t="shared" si="166"/>
        <v>97</v>
      </c>
      <c r="P1170">
        <f t="shared" si="168"/>
        <v>0</v>
      </c>
      <c r="R1170">
        <f t="shared" si="169"/>
        <v>0</v>
      </c>
      <c r="S1170">
        <f t="shared" si="170"/>
        <v>0</v>
      </c>
      <c r="T1170">
        <f t="shared" si="171"/>
        <v>0</v>
      </c>
    </row>
    <row r="1171" spans="10:20" x14ac:dyDescent="0.25">
      <c r="J1171">
        <v>0.78592098258675003</v>
      </c>
      <c r="K1171">
        <f t="shared" si="163"/>
        <v>1</v>
      </c>
      <c r="L1171">
        <f t="shared" si="164"/>
        <v>0.78592098258675003</v>
      </c>
      <c r="M1171">
        <f t="shared" si="167"/>
        <v>1</v>
      </c>
      <c r="N1171">
        <f t="shared" si="165"/>
        <v>6</v>
      </c>
      <c r="O1171">
        <f t="shared" si="166"/>
        <v>97</v>
      </c>
      <c r="P1171">
        <f t="shared" si="168"/>
        <v>0</v>
      </c>
      <c r="R1171">
        <f t="shared" si="169"/>
        <v>0</v>
      </c>
      <c r="S1171">
        <f t="shared" si="170"/>
        <v>0</v>
      </c>
      <c r="T1171">
        <f t="shared" si="171"/>
        <v>0</v>
      </c>
    </row>
    <row r="1172" spans="10:20" x14ac:dyDescent="0.25">
      <c r="J1172">
        <v>0.38836362551043613</v>
      </c>
      <c r="K1172">
        <f t="shared" si="163"/>
        <v>0</v>
      </c>
      <c r="L1172">
        <f t="shared" si="164"/>
        <v>0</v>
      </c>
      <c r="M1172">
        <f t="shared" si="167"/>
        <v>0</v>
      </c>
      <c r="N1172">
        <f t="shared" si="165"/>
        <v>7</v>
      </c>
      <c r="O1172">
        <f t="shared" si="166"/>
        <v>97</v>
      </c>
      <c r="P1172">
        <f t="shared" si="168"/>
        <v>0</v>
      </c>
      <c r="R1172">
        <f t="shared" si="169"/>
        <v>0</v>
      </c>
      <c r="S1172">
        <f t="shared" si="170"/>
        <v>0</v>
      </c>
      <c r="T1172">
        <f t="shared" si="171"/>
        <v>0</v>
      </c>
    </row>
    <row r="1173" spans="10:20" x14ac:dyDescent="0.25">
      <c r="J1173">
        <v>0.2572340018812922</v>
      </c>
      <c r="K1173">
        <f t="shared" si="163"/>
        <v>1</v>
      </c>
      <c r="L1173">
        <f t="shared" si="164"/>
        <v>0.2572340018812922</v>
      </c>
      <c r="M1173">
        <f t="shared" si="167"/>
        <v>1</v>
      </c>
      <c r="N1173">
        <f t="shared" si="165"/>
        <v>1</v>
      </c>
      <c r="O1173">
        <f t="shared" si="166"/>
        <v>98</v>
      </c>
      <c r="P1173">
        <f t="shared" si="168"/>
        <v>0</v>
      </c>
      <c r="R1173">
        <f t="shared" si="169"/>
        <v>0</v>
      </c>
      <c r="S1173">
        <f t="shared" si="170"/>
        <v>0</v>
      </c>
      <c r="T1173">
        <f t="shared" si="171"/>
        <v>0</v>
      </c>
    </row>
    <row r="1174" spans="10:20" x14ac:dyDescent="0.25">
      <c r="J1174">
        <v>0.7986147965998589</v>
      </c>
      <c r="K1174">
        <f t="shared" si="163"/>
        <v>0</v>
      </c>
      <c r="L1174">
        <f t="shared" si="164"/>
        <v>0</v>
      </c>
      <c r="M1174">
        <f t="shared" si="167"/>
        <v>0</v>
      </c>
      <c r="N1174">
        <f t="shared" si="165"/>
        <v>2</v>
      </c>
      <c r="O1174">
        <f t="shared" si="166"/>
        <v>98</v>
      </c>
      <c r="P1174">
        <f t="shared" si="168"/>
        <v>0</v>
      </c>
      <c r="R1174">
        <f t="shared" si="169"/>
        <v>0</v>
      </c>
      <c r="S1174">
        <f t="shared" si="170"/>
        <v>0</v>
      </c>
      <c r="T1174">
        <f t="shared" si="171"/>
        <v>0</v>
      </c>
    </row>
    <row r="1175" spans="10:20" x14ac:dyDescent="0.25">
      <c r="J1175">
        <v>0.3454168213514297</v>
      </c>
      <c r="K1175">
        <f t="shared" si="163"/>
        <v>1</v>
      </c>
      <c r="L1175">
        <f t="shared" si="164"/>
        <v>0.3454168213514297</v>
      </c>
      <c r="M1175">
        <f t="shared" si="167"/>
        <v>1</v>
      </c>
      <c r="N1175">
        <f t="shared" si="165"/>
        <v>2</v>
      </c>
      <c r="O1175">
        <f t="shared" si="166"/>
        <v>98</v>
      </c>
      <c r="P1175">
        <f t="shared" si="168"/>
        <v>0</v>
      </c>
      <c r="R1175">
        <f t="shared" si="169"/>
        <v>0</v>
      </c>
      <c r="S1175">
        <f t="shared" si="170"/>
        <v>0</v>
      </c>
      <c r="T1175">
        <f t="shared" si="171"/>
        <v>0</v>
      </c>
    </row>
    <row r="1176" spans="10:20" x14ac:dyDescent="0.25">
      <c r="J1176">
        <v>0.7865678046421184</v>
      </c>
      <c r="K1176">
        <f t="shared" ref="K1176:K1239" si="172">IF(K1175=1,0,1)</f>
        <v>0</v>
      </c>
      <c r="L1176">
        <f t="shared" ref="L1176:L1239" si="173">K1176*J1176</f>
        <v>0</v>
      </c>
      <c r="M1176">
        <f t="shared" si="167"/>
        <v>0</v>
      </c>
      <c r="N1176">
        <f t="shared" ref="N1176:N1239" si="174">IF(N1175&lt;$N$2,N1175+M1175,1)</f>
        <v>3</v>
      </c>
      <c r="O1176">
        <f t="shared" ref="O1176:O1239" si="175">IF(AND(N1176=1,M1176=1),O1175+1,O1175)</f>
        <v>98</v>
      </c>
      <c r="P1176">
        <f t="shared" si="168"/>
        <v>0</v>
      </c>
      <c r="R1176">
        <f t="shared" si="169"/>
        <v>0</v>
      </c>
      <c r="S1176">
        <f t="shared" si="170"/>
        <v>0</v>
      </c>
      <c r="T1176">
        <f t="shared" si="171"/>
        <v>0</v>
      </c>
    </row>
    <row r="1177" spans="10:20" x14ac:dyDescent="0.25">
      <c r="J1177">
        <v>0.47721461401277188</v>
      </c>
      <c r="K1177">
        <f t="shared" si="172"/>
        <v>1</v>
      </c>
      <c r="L1177">
        <f t="shared" si="173"/>
        <v>0.47721461401277188</v>
      </c>
      <c r="M1177">
        <f t="shared" si="167"/>
        <v>1</v>
      </c>
      <c r="N1177">
        <f t="shared" si="174"/>
        <v>3</v>
      </c>
      <c r="O1177">
        <f t="shared" si="175"/>
        <v>98</v>
      </c>
      <c r="P1177">
        <f t="shared" si="168"/>
        <v>0</v>
      </c>
      <c r="R1177">
        <f t="shared" si="169"/>
        <v>0</v>
      </c>
      <c r="S1177">
        <f t="shared" si="170"/>
        <v>0</v>
      </c>
      <c r="T1177">
        <f t="shared" si="171"/>
        <v>0</v>
      </c>
    </row>
    <row r="1178" spans="10:20" x14ac:dyDescent="0.25">
      <c r="J1178">
        <v>1.6777246338671836E-2</v>
      </c>
      <c r="K1178">
        <f t="shared" si="172"/>
        <v>0</v>
      </c>
      <c r="L1178">
        <f t="shared" si="173"/>
        <v>0</v>
      </c>
      <c r="M1178">
        <f t="shared" si="167"/>
        <v>0</v>
      </c>
      <c r="N1178">
        <f t="shared" si="174"/>
        <v>4</v>
      </c>
      <c r="O1178">
        <f t="shared" si="175"/>
        <v>98</v>
      </c>
      <c r="P1178">
        <f t="shared" si="168"/>
        <v>0</v>
      </c>
      <c r="R1178">
        <f t="shared" si="169"/>
        <v>0</v>
      </c>
      <c r="S1178">
        <f t="shared" si="170"/>
        <v>0</v>
      </c>
      <c r="T1178">
        <f t="shared" si="171"/>
        <v>0</v>
      </c>
    </row>
    <row r="1179" spans="10:20" x14ac:dyDescent="0.25">
      <c r="J1179">
        <v>0.96029432148997218</v>
      </c>
      <c r="K1179">
        <f t="shared" si="172"/>
        <v>1</v>
      </c>
      <c r="L1179">
        <f t="shared" si="173"/>
        <v>0.96029432148997218</v>
      </c>
      <c r="M1179">
        <f t="shared" si="167"/>
        <v>1</v>
      </c>
      <c r="N1179">
        <f t="shared" si="174"/>
        <v>4</v>
      </c>
      <c r="O1179">
        <f t="shared" si="175"/>
        <v>98</v>
      </c>
      <c r="P1179">
        <f t="shared" si="168"/>
        <v>0</v>
      </c>
      <c r="R1179">
        <f t="shared" si="169"/>
        <v>0</v>
      </c>
      <c r="S1179">
        <f t="shared" si="170"/>
        <v>0</v>
      </c>
      <c r="T1179">
        <f t="shared" si="171"/>
        <v>0</v>
      </c>
    </row>
    <row r="1180" spans="10:20" x14ac:dyDescent="0.25">
      <c r="J1180">
        <v>0.307808669326333</v>
      </c>
      <c r="K1180">
        <f t="shared" si="172"/>
        <v>0</v>
      </c>
      <c r="L1180">
        <f t="shared" si="173"/>
        <v>0</v>
      </c>
      <c r="M1180">
        <f t="shared" si="167"/>
        <v>0</v>
      </c>
      <c r="N1180">
        <f t="shared" si="174"/>
        <v>5</v>
      </c>
      <c r="O1180">
        <f t="shared" si="175"/>
        <v>98</v>
      </c>
      <c r="P1180">
        <f t="shared" si="168"/>
        <v>0</v>
      </c>
      <c r="R1180">
        <f t="shared" si="169"/>
        <v>0</v>
      </c>
      <c r="S1180">
        <f t="shared" si="170"/>
        <v>0</v>
      </c>
      <c r="T1180">
        <f t="shared" si="171"/>
        <v>0</v>
      </c>
    </row>
    <row r="1181" spans="10:20" x14ac:dyDescent="0.25">
      <c r="J1181">
        <v>0.40761051957297079</v>
      </c>
      <c r="K1181">
        <f t="shared" si="172"/>
        <v>1</v>
      </c>
      <c r="L1181">
        <f t="shared" si="173"/>
        <v>0.40761051957297079</v>
      </c>
      <c r="M1181">
        <f t="shared" si="167"/>
        <v>1</v>
      </c>
      <c r="N1181">
        <f t="shared" si="174"/>
        <v>5</v>
      </c>
      <c r="O1181">
        <f t="shared" si="175"/>
        <v>98</v>
      </c>
      <c r="P1181">
        <f t="shared" si="168"/>
        <v>0</v>
      </c>
      <c r="R1181">
        <f t="shared" si="169"/>
        <v>0</v>
      </c>
      <c r="S1181">
        <f t="shared" si="170"/>
        <v>0</v>
      </c>
      <c r="T1181">
        <f t="shared" si="171"/>
        <v>0</v>
      </c>
    </row>
    <row r="1182" spans="10:20" x14ac:dyDescent="0.25">
      <c r="J1182">
        <v>0.67942341131404216</v>
      </c>
      <c r="K1182">
        <f t="shared" si="172"/>
        <v>0</v>
      </c>
      <c r="L1182">
        <f t="shared" si="173"/>
        <v>0</v>
      </c>
      <c r="M1182">
        <f t="shared" si="167"/>
        <v>0</v>
      </c>
      <c r="N1182">
        <f t="shared" si="174"/>
        <v>6</v>
      </c>
      <c r="O1182">
        <f t="shared" si="175"/>
        <v>98</v>
      </c>
      <c r="P1182">
        <f t="shared" si="168"/>
        <v>0</v>
      </c>
      <c r="R1182">
        <f t="shared" si="169"/>
        <v>0</v>
      </c>
      <c r="S1182">
        <f t="shared" si="170"/>
        <v>0</v>
      </c>
      <c r="T1182">
        <f t="shared" si="171"/>
        <v>0</v>
      </c>
    </row>
    <row r="1183" spans="10:20" x14ac:dyDescent="0.25">
      <c r="J1183">
        <v>0.98825912268043203</v>
      </c>
      <c r="K1183">
        <f t="shared" si="172"/>
        <v>1</v>
      </c>
      <c r="L1183">
        <f t="shared" si="173"/>
        <v>0.98825912268043203</v>
      </c>
      <c r="M1183">
        <f t="shared" si="167"/>
        <v>1</v>
      </c>
      <c r="N1183">
        <f t="shared" si="174"/>
        <v>6</v>
      </c>
      <c r="O1183">
        <f t="shared" si="175"/>
        <v>98</v>
      </c>
      <c r="P1183">
        <f t="shared" si="168"/>
        <v>0</v>
      </c>
      <c r="R1183">
        <f t="shared" si="169"/>
        <v>0</v>
      </c>
      <c r="S1183">
        <f t="shared" si="170"/>
        <v>0</v>
      </c>
      <c r="T1183">
        <f t="shared" si="171"/>
        <v>0</v>
      </c>
    </row>
    <row r="1184" spans="10:20" x14ac:dyDescent="0.25">
      <c r="J1184">
        <v>0.14151212289906767</v>
      </c>
      <c r="K1184">
        <f t="shared" si="172"/>
        <v>0</v>
      </c>
      <c r="L1184">
        <f t="shared" si="173"/>
        <v>0</v>
      </c>
      <c r="M1184">
        <f t="shared" si="167"/>
        <v>0</v>
      </c>
      <c r="N1184">
        <f t="shared" si="174"/>
        <v>7</v>
      </c>
      <c r="O1184">
        <f t="shared" si="175"/>
        <v>98</v>
      </c>
      <c r="P1184">
        <f t="shared" si="168"/>
        <v>0</v>
      </c>
      <c r="R1184">
        <f t="shared" si="169"/>
        <v>0</v>
      </c>
      <c r="S1184">
        <f t="shared" si="170"/>
        <v>0</v>
      </c>
      <c r="T1184">
        <f t="shared" si="171"/>
        <v>0</v>
      </c>
    </row>
    <row r="1185" spans="10:20" x14ac:dyDescent="0.25">
      <c r="J1185">
        <v>0.84254314257226115</v>
      </c>
      <c r="K1185">
        <f t="shared" si="172"/>
        <v>1</v>
      </c>
      <c r="L1185">
        <f t="shared" si="173"/>
        <v>0.84254314257226115</v>
      </c>
      <c r="M1185">
        <f t="shared" si="167"/>
        <v>1</v>
      </c>
      <c r="N1185">
        <f t="shared" si="174"/>
        <v>1</v>
      </c>
      <c r="O1185">
        <f t="shared" si="175"/>
        <v>99</v>
      </c>
      <c r="P1185">
        <f t="shared" si="168"/>
        <v>0</v>
      </c>
      <c r="R1185">
        <f t="shared" si="169"/>
        <v>0</v>
      </c>
      <c r="S1185">
        <f t="shared" si="170"/>
        <v>0</v>
      </c>
      <c r="T1185">
        <f t="shared" si="171"/>
        <v>0</v>
      </c>
    </row>
    <row r="1186" spans="10:20" x14ac:dyDescent="0.25">
      <c r="J1186">
        <v>0.59908825192953996</v>
      </c>
      <c r="K1186">
        <f t="shared" si="172"/>
        <v>0</v>
      </c>
      <c r="L1186">
        <f t="shared" si="173"/>
        <v>0</v>
      </c>
      <c r="M1186">
        <f t="shared" si="167"/>
        <v>0</v>
      </c>
      <c r="N1186">
        <f t="shared" si="174"/>
        <v>2</v>
      </c>
      <c r="O1186">
        <f t="shared" si="175"/>
        <v>99</v>
      </c>
      <c r="P1186">
        <f t="shared" si="168"/>
        <v>0</v>
      </c>
      <c r="R1186">
        <f t="shared" si="169"/>
        <v>0</v>
      </c>
      <c r="S1186">
        <f t="shared" si="170"/>
        <v>0</v>
      </c>
      <c r="T1186">
        <f t="shared" si="171"/>
        <v>0</v>
      </c>
    </row>
    <row r="1187" spans="10:20" x14ac:dyDescent="0.25">
      <c r="J1187">
        <v>0.84200171638313215</v>
      </c>
      <c r="K1187">
        <f t="shared" si="172"/>
        <v>1</v>
      </c>
      <c r="L1187">
        <f t="shared" si="173"/>
        <v>0.84200171638313215</v>
      </c>
      <c r="M1187">
        <f t="shared" si="167"/>
        <v>1</v>
      </c>
      <c r="N1187">
        <f t="shared" si="174"/>
        <v>2</v>
      </c>
      <c r="O1187">
        <f t="shared" si="175"/>
        <v>99</v>
      </c>
      <c r="P1187">
        <f t="shared" si="168"/>
        <v>0</v>
      </c>
      <c r="R1187">
        <f t="shared" si="169"/>
        <v>0</v>
      </c>
      <c r="S1187">
        <f t="shared" si="170"/>
        <v>0</v>
      </c>
      <c r="T1187">
        <f t="shared" si="171"/>
        <v>0</v>
      </c>
    </row>
    <row r="1188" spans="10:20" x14ac:dyDescent="0.25">
      <c r="J1188">
        <v>0.61278203641201989</v>
      </c>
      <c r="K1188">
        <f t="shared" si="172"/>
        <v>0</v>
      </c>
      <c r="L1188">
        <f t="shared" si="173"/>
        <v>0</v>
      </c>
      <c r="M1188">
        <f t="shared" si="167"/>
        <v>0</v>
      </c>
      <c r="N1188">
        <f t="shared" si="174"/>
        <v>3</v>
      </c>
      <c r="O1188">
        <f t="shared" si="175"/>
        <v>99</v>
      </c>
      <c r="P1188">
        <f t="shared" si="168"/>
        <v>0</v>
      </c>
      <c r="R1188">
        <f t="shared" si="169"/>
        <v>0</v>
      </c>
      <c r="S1188">
        <f t="shared" si="170"/>
        <v>0</v>
      </c>
      <c r="T1188">
        <f t="shared" si="171"/>
        <v>0</v>
      </c>
    </row>
    <row r="1189" spans="10:20" x14ac:dyDescent="0.25">
      <c r="J1189">
        <v>0.60477431972791407</v>
      </c>
      <c r="K1189">
        <f t="shared" si="172"/>
        <v>1</v>
      </c>
      <c r="L1189">
        <f t="shared" si="173"/>
        <v>0.60477431972791407</v>
      </c>
      <c r="M1189">
        <f t="shared" si="167"/>
        <v>1</v>
      </c>
      <c r="N1189">
        <f t="shared" si="174"/>
        <v>3</v>
      </c>
      <c r="O1189">
        <f t="shared" si="175"/>
        <v>99</v>
      </c>
      <c r="P1189">
        <f t="shared" si="168"/>
        <v>0</v>
      </c>
      <c r="R1189">
        <f t="shared" si="169"/>
        <v>0</v>
      </c>
      <c r="S1189">
        <f t="shared" si="170"/>
        <v>0</v>
      </c>
      <c r="T1189">
        <f t="shared" si="171"/>
        <v>0</v>
      </c>
    </row>
    <row r="1190" spans="10:20" x14ac:dyDescent="0.25">
      <c r="J1190">
        <v>8.8181573088661702E-2</v>
      </c>
      <c r="K1190">
        <f t="shared" si="172"/>
        <v>0</v>
      </c>
      <c r="L1190">
        <f t="shared" si="173"/>
        <v>0</v>
      </c>
      <c r="M1190">
        <f t="shared" si="167"/>
        <v>0</v>
      </c>
      <c r="N1190">
        <f t="shared" si="174"/>
        <v>4</v>
      </c>
      <c r="O1190">
        <f t="shared" si="175"/>
        <v>99</v>
      </c>
      <c r="P1190">
        <f t="shared" si="168"/>
        <v>0</v>
      </c>
      <c r="R1190">
        <f t="shared" si="169"/>
        <v>0</v>
      </c>
      <c r="S1190">
        <f t="shared" si="170"/>
        <v>0</v>
      </c>
      <c r="T1190">
        <f t="shared" si="171"/>
        <v>0</v>
      </c>
    </row>
    <row r="1191" spans="10:20" x14ac:dyDescent="0.25">
      <c r="J1191">
        <v>0.5135085561509769</v>
      </c>
      <c r="K1191">
        <f t="shared" si="172"/>
        <v>1</v>
      </c>
      <c r="L1191">
        <f t="shared" si="173"/>
        <v>0.5135085561509769</v>
      </c>
      <c r="M1191">
        <f t="shared" si="167"/>
        <v>1</v>
      </c>
      <c r="N1191">
        <f t="shared" si="174"/>
        <v>4</v>
      </c>
      <c r="O1191">
        <f t="shared" si="175"/>
        <v>99</v>
      </c>
      <c r="P1191">
        <f t="shared" si="168"/>
        <v>0</v>
      </c>
      <c r="R1191">
        <f t="shared" si="169"/>
        <v>0</v>
      </c>
      <c r="S1191">
        <f t="shared" si="170"/>
        <v>0</v>
      </c>
      <c r="T1191">
        <f t="shared" si="171"/>
        <v>0</v>
      </c>
    </row>
    <row r="1192" spans="10:20" x14ac:dyDescent="0.25">
      <c r="J1192">
        <v>0.15665934288472327</v>
      </c>
      <c r="K1192">
        <f t="shared" si="172"/>
        <v>0</v>
      </c>
      <c r="L1192">
        <f t="shared" si="173"/>
        <v>0</v>
      </c>
      <c r="M1192">
        <f t="shared" si="167"/>
        <v>0</v>
      </c>
      <c r="N1192">
        <f t="shared" si="174"/>
        <v>5</v>
      </c>
      <c r="O1192">
        <f t="shared" si="175"/>
        <v>99</v>
      </c>
      <c r="P1192">
        <f t="shared" si="168"/>
        <v>0</v>
      </c>
      <c r="R1192">
        <f t="shared" si="169"/>
        <v>0</v>
      </c>
      <c r="S1192">
        <f t="shared" si="170"/>
        <v>0</v>
      </c>
      <c r="T1192">
        <f t="shared" si="171"/>
        <v>0</v>
      </c>
    </row>
    <row r="1193" spans="10:20" x14ac:dyDescent="0.25">
      <c r="J1193">
        <v>0.65933920384049349</v>
      </c>
      <c r="K1193">
        <f t="shared" si="172"/>
        <v>1</v>
      </c>
      <c r="L1193">
        <f t="shared" si="173"/>
        <v>0.65933920384049349</v>
      </c>
      <c r="M1193">
        <f t="shared" si="167"/>
        <v>1</v>
      </c>
      <c r="N1193">
        <f t="shared" si="174"/>
        <v>5</v>
      </c>
      <c r="O1193">
        <f t="shared" si="175"/>
        <v>99</v>
      </c>
      <c r="P1193">
        <f t="shared" si="168"/>
        <v>0</v>
      </c>
      <c r="R1193">
        <f t="shared" si="169"/>
        <v>0</v>
      </c>
      <c r="S1193">
        <f t="shared" si="170"/>
        <v>0</v>
      </c>
      <c r="T1193">
        <f t="shared" si="171"/>
        <v>0</v>
      </c>
    </row>
    <row r="1194" spans="10:20" x14ac:dyDescent="0.25">
      <c r="J1194">
        <v>0.18343475997541936</v>
      </c>
      <c r="K1194">
        <f t="shared" si="172"/>
        <v>0</v>
      </c>
      <c r="L1194">
        <f t="shared" si="173"/>
        <v>0</v>
      </c>
      <c r="M1194">
        <f t="shared" si="167"/>
        <v>0</v>
      </c>
      <c r="N1194">
        <f t="shared" si="174"/>
        <v>6</v>
      </c>
      <c r="O1194">
        <f t="shared" si="175"/>
        <v>99</v>
      </c>
      <c r="P1194">
        <f t="shared" si="168"/>
        <v>0</v>
      </c>
      <c r="R1194">
        <f t="shared" si="169"/>
        <v>0</v>
      </c>
      <c r="S1194">
        <f t="shared" si="170"/>
        <v>0</v>
      </c>
      <c r="T1194">
        <f t="shared" si="171"/>
        <v>0</v>
      </c>
    </row>
    <row r="1195" spans="10:20" x14ac:dyDescent="0.25">
      <c r="J1195">
        <v>0.86241627244968133</v>
      </c>
      <c r="K1195">
        <f t="shared" si="172"/>
        <v>1</v>
      </c>
      <c r="L1195">
        <f t="shared" si="173"/>
        <v>0.86241627244968133</v>
      </c>
      <c r="M1195">
        <f t="shared" si="167"/>
        <v>1</v>
      </c>
      <c r="N1195">
        <f t="shared" si="174"/>
        <v>6</v>
      </c>
      <c r="O1195">
        <f t="shared" si="175"/>
        <v>99</v>
      </c>
      <c r="P1195">
        <f t="shared" si="168"/>
        <v>0</v>
      </c>
      <c r="R1195">
        <f t="shared" si="169"/>
        <v>0</v>
      </c>
      <c r="S1195">
        <f t="shared" si="170"/>
        <v>0</v>
      </c>
      <c r="T1195">
        <f t="shared" si="171"/>
        <v>0</v>
      </c>
    </row>
    <row r="1196" spans="10:20" x14ac:dyDescent="0.25">
      <c r="J1196">
        <v>0.18069198927774377</v>
      </c>
      <c r="K1196">
        <f t="shared" si="172"/>
        <v>0</v>
      </c>
      <c r="L1196">
        <f t="shared" si="173"/>
        <v>0</v>
      </c>
      <c r="M1196">
        <f t="shared" si="167"/>
        <v>0</v>
      </c>
      <c r="N1196">
        <f t="shared" si="174"/>
        <v>7</v>
      </c>
      <c r="O1196">
        <f t="shared" si="175"/>
        <v>99</v>
      </c>
      <c r="P1196">
        <f t="shared" si="168"/>
        <v>0</v>
      </c>
      <c r="R1196">
        <f t="shared" si="169"/>
        <v>0</v>
      </c>
      <c r="S1196">
        <f t="shared" si="170"/>
        <v>0</v>
      </c>
      <c r="T1196">
        <f t="shared" si="171"/>
        <v>0</v>
      </c>
    </row>
    <row r="1197" spans="10:20" x14ac:dyDescent="0.25">
      <c r="J1197">
        <v>0.42181305043550288</v>
      </c>
      <c r="K1197">
        <f t="shared" si="172"/>
        <v>1</v>
      </c>
      <c r="L1197">
        <f t="shared" si="173"/>
        <v>0.42181305043550288</v>
      </c>
      <c r="M1197">
        <f t="shared" si="167"/>
        <v>1</v>
      </c>
      <c r="N1197">
        <f t="shared" si="174"/>
        <v>1</v>
      </c>
      <c r="O1197">
        <f t="shared" si="175"/>
        <v>100</v>
      </c>
      <c r="P1197">
        <f t="shared" si="168"/>
        <v>0</v>
      </c>
      <c r="R1197">
        <f t="shared" si="169"/>
        <v>0</v>
      </c>
      <c r="S1197">
        <f t="shared" si="170"/>
        <v>0</v>
      </c>
      <c r="T1197">
        <f t="shared" si="171"/>
        <v>0</v>
      </c>
    </row>
    <row r="1198" spans="10:20" x14ac:dyDescent="0.25">
      <c r="J1198">
        <v>0.43466297764347017</v>
      </c>
      <c r="K1198">
        <f t="shared" si="172"/>
        <v>0</v>
      </c>
      <c r="L1198">
        <f t="shared" si="173"/>
        <v>0</v>
      </c>
      <c r="M1198">
        <f t="shared" si="167"/>
        <v>0</v>
      </c>
      <c r="N1198">
        <f t="shared" si="174"/>
        <v>2</v>
      </c>
      <c r="O1198">
        <f t="shared" si="175"/>
        <v>100</v>
      </c>
      <c r="P1198">
        <f t="shared" si="168"/>
        <v>0</v>
      </c>
      <c r="R1198">
        <f t="shared" si="169"/>
        <v>0</v>
      </c>
      <c r="S1198">
        <f t="shared" si="170"/>
        <v>0</v>
      </c>
      <c r="T1198">
        <f t="shared" si="171"/>
        <v>0</v>
      </c>
    </row>
    <row r="1199" spans="10:20" x14ac:dyDescent="0.25">
      <c r="J1199">
        <v>0.25706459664844206</v>
      </c>
      <c r="K1199">
        <f t="shared" si="172"/>
        <v>1</v>
      </c>
      <c r="L1199">
        <f t="shared" si="173"/>
        <v>0.25706459664844206</v>
      </c>
      <c r="M1199">
        <f t="shared" si="167"/>
        <v>1</v>
      </c>
      <c r="N1199">
        <f t="shared" si="174"/>
        <v>2</v>
      </c>
      <c r="O1199">
        <f t="shared" si="175"/>
        <v>100</v>
      </c>
      <c r="P1199">
        <f t="shared" si="168"/>
        <v>0</v>
      </c>
      <c r="R1199">
        <f t="shared" si="169"/>
        <v>0</v>
      </c>
      <c r="S1199">
        <f t="shared" si="170"/>
        <v>0</v>
      </c>
      <c r="T1199">
        <f t="shared" si="171"/>
        <v>0</v>
      </c>
    </row>
    <row r="1200" spans="10:20" x14ac:dyDescent="0.25">
      <c r="J1200">
        <v>0.52602819350874119</v>
      </c>
      <c r="K1200">
        <f t="shared" si="172"/>
        <v>0</v>
      </c>
      <c r="L1200">
        <f t="shared" si="173"/>
        <v>0</v>
      </c>
      <c r="M1200">
        <f t="shared" si="167"/>
        <v>0</v>
      </c>
      <c r="N1200">
        <f t="shared" si="174"/>
        <v>3</v>
      </c>
      <c r="O1200">
        <f t="shared" si="175"/>
        <v>100</v>
      </c>
      <c r="P1200">
        <f t="shared" si="168"/>
        <v>0</v>
      </c>
      <c r="R1200">
        <f t="shared" si="169"/>
        <v>0</v>
      </c>
      <c r="S1200">
        <f t="shared" si="170"/>
        <v>0</v>
      </c>
      <c r="T1200">
        <f t="shared" si="171"/>
        <v>0</v>
      </c>
    </row>
    <row r="1201" spans="10:20" x14ac:dyDescent="0.25">
      <c r="J1201">
        <v>0.66495715137283196</v>
      </c>
      <c r="K1201">
        <f t="shared" si="172"/>
        <v>1</v>
      </c>
      <c r="L1201">
        <f t="shared" si="173"/>
        <v>0.66495715137283196</v>
      </c>
      <c r="M1201">
        <f t="shared" si="167"/>
        <v>1</v>
      </c>
      <c r="N1201">
        <f t="shared" si="174"/>
        <v>3</v>
      </c>
      <c r="O1201">
        <f t="shared" si="175"/>
        <v>100</v>
      </c>
      <c r="P1201">
        <f t="shared" si="168"/>
        <v>0</v>
      </c>
      <c r="R1201">
        <f t="shared" si="169"/>
        <v>0</v>
      </c>
      <c r="S1201">
        <f t="shared" si="170"/>
        <v>0</v>
      </c>
      <c r="T1201">
        <f t="shared" si="171"/>
        <v>0</v>
      </c>
    </row>
    <row r="1202" spans="10:20" x14ac:dyDescent="0.25">
      <c r="J1202">
        <v>8.5731562702293651E-2</v>
      </c>
      <c r="K1202">
        <f t="shared" si="172"/>
        <v>0</v>
      </c>
      <c r="L1202">
        <f t="shared" si="173"/>
        <v>0</v>
      </c>
      <c r="M1202">
        <f t="shared" si="167"/>
        <v>0</v>
      </c>
      <c r="N1202">
        <f t="shared" si="174"/>
        <v>4</v>
      </c>
      <c r="O1202">
        <f t="shared" si="175"/>
        <v>100</v>
      </c>
      <c r="P1202">
        <f t="shared" si="168"/>
        <v>0</v>
      </c>
      <c r="R1202">
        <f t="shared" si="169"/>
        <v>0</v>
      </c>
      <c r="S1202">
        <f t="shared" si="170"/>
        <v>0</v>
      </c>
      <c r="T1202">
        <f t="shared" si="171"/>
        <v>0</v>
      </c>
    </row>
    <row r="1203" spans="10:20" x14ac:dyDescent="0.25">
      <c r="J1203">
        <v>0.84454529665008715</v>
      </c>
      <c r="K1203">
        <f t="shared" si="172"/>
        <v>1</v>
      </c>
      <c r="L1203">
        <f t="shared" si="173"/>
        <v>0.84454529665008715</v>
      </c>
      <c r="M1203">
        <f t="shared" si="167"/>
        <v>1</v>
      </c>
      <c r="N1203">
        <f t="shared" si="174"/>
        <v>4</v>
      </c>
      <c r="O1203">
        <f t="shared" si="175"/>
        <v>100</v>
      </c>
      <c r="P1203">
        <f t="shared" si="168"/>
        <v>0</v>
      </c>
      <c r="R1203">
        <f t="shared" si="169"/>
        <v>0</v>
      </c>
      <c r="S1203">
        <f t="shared" si="170"/>
        <v>0</v>
      </c>
      <c r="T1203">
        <f t="shared" si="171"/>
        <v>0</v>
      </c>
    </row>
    <row r="1204" spans="10:20" x14ac:dyDescent="0.25">
      <c r="J1204">
        <v>0.43590830306802841</v>
      </c>
      <c r="K1204">
        <f t="shared" si="172"/>
        <v>0</v>
      </c>
      <c r="L1204">
        <f t="shared" si="173"/>
        <v>0</v>
      </c>
      <c r="M1204">
        <f t="shared" si="167"/>
        <v>0</v>
      </c>
      <c r="N1204">
        <f t="shared" si="174"/>
        <v>5</v>
      </c>
      <c r="O1204">
        <f t="shared" si="175"/>
        <v>100</v>
      </c>
      <c r="P1204">
        <f t="shared" si="168"/>
        <v>0</v>
      </c>
      <c r="R1204">
        <f t="shared" si="169"/>
        <v>0</v>
      </c>
      <c r="S1204">
        <f t="shared" si="170"/>
        <v>0</v>
      </c>
      <c r="T1204">
        <f t="shared" si="171"/>
        <v>0</v>
      </c>
    </row>
    <row r="1205" spans="10:20" x14ac:dyDescent="0.25">
      <c r="J1205">
        <v>0.81191887150339437</v>
      </c>
      <c r="K1205">
        <f t="shared" si="172"/>
        <v>1</v>
      </c>
      <c r="L1205">
        <f t="shared" si="173"/>
        <v>0.81191887150339437</v>
      </c>
      <c r="M1205">
        <f t="shared" si="167"/>
        <v>1</v>
      </c>
      <c r="N1205">
        <f t="shared" si="174"/>
        <v>5</v>
      </c>
      <c r="O1205">
        <f t="shared" si="175"/>
        <v>100</v>
      </c>
      <c r="P1205">
        <f t="shared" si="168"/>
        <v>0</v>
      </c>
      <c r="R1205">
        <f t="shared" si="169"/>
        <v>0</v>
      </c>
      <c r="S1205">
        <f t="shared" si="170"/>
        <v>0</v>
      </c>
      <c r="T1205">
        <f t="shared" si="171"/>
        <v>0</v>
      </c>
    </row>
    <row r="1206" spans="10:20" x14ac:dyDescent="0.25">
      <c r="J1206">
        <v>0.49243546194695997</v>
      </c>
      <c r="K1206">
        <f t="shared" si="172"/>
        <v>0</v>
      </c>
      <c r="L1206">
        <f t="shared" si="173"/>
        <v>0</v>
      </c>
      <c r="M1206">
        <f t="shared" si="167"/>
        <v>0</v>
      </c>
      <c r="N1206">
        <f t="shared" si="174"/>
        <v>6</v>
      </c>
      <c r="O1206">
        <f t="shared" si="175"/>
        <v>100</v>
      </c>
      <c r="P1206">
        <f t="shared" si="168"/>
        <v>0</v>
      </c>
      <c r="R1206">
        <f t="shared" si="169"/>
        <v>0</v>
      </c>
      <c r="S1206">
        <f t="shared" si="170"/>
        <v>0</v>
      </c>
      <c r="T1206">
        <f t="shared" si="171"/>
        <v>0</v>
      </c>
    </row>
    <row r="1207" spans="10:20" x14ac:dyDescent="0.25">
      <c r="J1207">
        <v>0.28302466854410524</v>
      </c>
      <c r="K1207">
        <f t="shared" si="172"/>
        <v>1</v>
      </c>
      <c r="L1207">
        <f t="shared" si="173"/>
        <v>0.28302466854410524</v>
      </c>
      <c r="M1207">
        <f t="shared" si="167"/>
        <v>1</v>
      </c>
      <c r="N1207">
        <f t="shared" si="174"/>
        <v>6</v>
      </c>
      <c r="O1207">
        <f t="shared" si="175"/>
        <v>100</v>
      </c>
      <c r="P1207">
        <f t="shared" si="168"/>
        <v>0</v>
      </c>
      <c r="R1207">
        <f t="shared" si="169"/>
        <v>0</v>
      </c>
      <c r="S1207">
        <f t="shared" si="170"/>
        <v>0</v>
      </c>
      <c r="T1207">
        <f t="shared" si="171"/>
        <v>0</v>
      </c>
    </row>
    <row r="1208" spans="10:20" x14ac:dyDescent="0.25">
      <c r="J1208">
        <v>1.0574059328672725E-2</v>
      </c>
      <c r="K1208">
        <f t="shared" si="172"/>
        <v>0</v>
      </c>
      <c r="L1208">
        <f t="shared" si="173"/>
        <v>0</v>
      </c>
      <c r="M1208">
        <f t="shared" si="167"/>
        <v>0</v>
      </c>
      <c r="N1208">
        <f t="shared" si="174"/>
        <v>7</v>
      </c>
      <c r="O1208">
        <f t="shared" si="175"/>
        <v>100</v>
      </c>
      <c r="P1208">
        <f t="shared" si="168"/>
        <v>0</v>
      </c>
      <c r="R1208">
        <f t="shared" si="169"/>
        <v>0</v>
      </c>
      <c r="S1208">
        <f t="shared" si="170"/>
        <v>0</v>
      </c>
      <c r="T1208">
        <f t="shared" si="171"/>
        <v>0</v>
      </c>
    </row>
    <row r="1209" spans="10:20" x14ac:dyDescent="0.25">
      <c r="J1209">
        <v>0.12067039172356908</v>
      </c>
      <c r="K1209">
        <f t="shared" si="172"/>
        <v>1</v>
      </c>
      <c r="L1209">
        <f t="shared" si="173"/>
        <v>0.12067039172356908</v>
      </c>
      <c r="M1209">
        <f t="shared" si="167"/>
        <v>1</v>
      </c>
      <c r="N1209">
        <f t="shared" si="174"/>
        <v>1</v>
      </c>
      <c r="O1209">
        <f t="shared" si="175"/>
        <v>101</v>
      </c>
      <c r="P1209">
        <f t="shared" si="168"/>
        <v>0</v>
      </c>
      <c r="R1209">
        <f t="shared" si="169"/>
        <v>0</v>
      </c>
      <c r="S1209">
        <f t="shared" si="170"/>
        <v>0</v>
      </c>
      <c r="T1209">
        <f t="shared" si="171"/>
        <v>0</v>
      </c>
    </row>
    <row r="1210" spans="10:20" x14ac:dyDescent="0.25">
      <c r="J1210">
        <v>0.98727331001791552</v>
      </c>
      <c r="K1210">
        <f t="shared" si="172"/>
        <v>0</v>
      </c>
      <c r="L1210">
        <f t="shared" si="173"/>
        <v>0</v>
      </c>
      <c r="M1210">
        <f t="shared" si="167"/>
        <v>0</v>
      </c>
      <c r="N1210">
        <f t="shared" si="174"/>
        <v>2</v>
      </c>
      <c r="O1210">
        <f t="shared" si="175"/>
        <v>101</v>
      </c>
      <c r="P1210">
        <f t="shared" si="168"/>
        <v>0</v>
      </c>
      <c r="R1210">
        <f t="shared" si="169"/>
        <v>0</v>
      </c>
      <c r="S1210">
        <f t="shared" si="170"/>
        <v>0</v>
      </c>
      <c r="T1210">
        <f t="shared" si="171"/>
        <v>0</v>
      </c>
    </row>
    <row r="1211" spans="10:20" x14ac:dyDescent="0.25">
      <c r="J1211">
        <v>0.45985895990969039</v>
      </c>
      <c r="K1211">
        <f t="shared" si="172"/>
        <v>1</v>
      </c>
      <c r="L1211">
        <f t="shared" si="173"/>
        <v>0.45985895990969039</v>
      </c>
      <c r="M1211">
        <f t="shared" si="167"/>
        <v>1</v>
      </c>
      <c r="N1211">
        <f t="shared" si="174"/>
        <v>2</v>
      </c>
      <c r="O1211">
        <f t="shared" si="175"/>
        <v>101</v>
      </c>
      <c r="P1211">
        <f t="shared" si="168"/>
        <v>0</v>
      </c>
      <c r="R1211">
        <f t="shared" si="169"/>
        <v>0</v>
      </c>
      <c r="S1211">
        <f t="shared" si="170"/>
        <v>0</v>
      </c>
      <c r="T1211">
        <f t="shared" si="171"/>
        <v>0</v>
      </c>
    </row>
    <row r="1212" spans="10:20" x14ac:dyDescent="0.25">
      <c r="J1212">
        <v>0.97048612718725313</v>
      </c>
      <c r="K1212">
        <f t="shared" si="172"/>
        <v>0</v>
      </c>
      <c r="L1212">
        <f t="shared" si="173"/>
        <v>0</v>
      </c>
      <c r="M1212">
        <f t="shared" si="167"/>
        <v>0</v>
      </c>
      <c r="N1212">
        <f t="shared" si="174"/>
        <v>3</v>
      </c>
      <c r="O1212">
        <f t="shared" si="175"/>
        <v>101</v>
      </c>
      <c r="P1212">
        <f t="shared" si="168"/>
        <v>0</v>
      </c>
      <c r="R1212">
        <f t="shared" si="169"/>
        <v>0</v>
      </c>
      <c r="S1212">
        <f t="shared" si="170"/>
        <v>0</v>
      </c>
      <c r="T1212">
        <f t="shared" si="171"/>
        <v>0</v>
      </c>
    </row>
    <row r="1213" spans="10:20" x14ac:dyDescent="0.25">
      <c r="J1213">
        <v>0.87116861235458998</v>
      </c>
      <c r="K1213">
        <f t="shared" si="172"/>
        <v>1</v>
      </c>
      <c r="L1213">
        <f t="shared" si="173"/>
        <v>0.87116861235458998</v>
      </c>
      <c r="M1213">
        <f t="shared" si="167"/>
        <v>1</v>
      </c>
      <c r="N1213">
        <f t="shared" si="174"/>
        <v>3</v>
      </c>
      <c r="O1213">
        <f t="shared" si="175"/>
        <v>101</v>
      </c>
      <c r="P1213">
        <f t="shared" si="168"/>
        <v>0</v>
      </c>
      <c r="R1213">
        <f t="shared" si="169"/>
        <v>0</v>
      </c>
      <c r="S1213">
        <f t="shared" si="170"/>
        <v>0</v>
      </c>
      <c r="T1213">
        <f t="shared" si="171"/>
        <v>0</v>
      </c>
    </row>
    <row r="1214" spans="10:20" x14ac:dyDescent="0.25">
      <c r="J1214">
        <v>0.32726232730061433</v>
      </c>
      <c r="K1214">
        <f t="shared" si="172"/>
        <v>0</v>
      </c>
      <c r="L1214">
        <f t="shared" si="173"/>
        <v>0</v>
      </c>
      <c r="M1214">
        <f t="shared" si="167"/>
        <v>0</v>
      </c>
      <c r="N1214">
        <f t="shared" si="174"/>
        <v>4</v>
      </c>
      <c r="O1214">
        <f t="shared" si="175"/>
        <v>101</v>
      </c>
      <c r="P1214">
        <f t="shared" si="168"/>
        <v>0</v>
      </c>
      <c r="R1214">
        <f t="shared" si="169"/>
        <v>0</v>
      </c>
      <c r="S1214">
        <f t="shared" si="170"/>
        <v>0</v>
      </c>
      <c r="T1214">
        <f t="shared" si="171"/>
        <v>0</v>
      </c>
    </row>
    <row r="1215" spans="10:20" x14ac:dyDescent="0.25">
      <c r="J1215">
        <v>0.35510618673257244</v>
      </c>
      <c r="K1215">
        <f t="shared" si="172"/>
        <v>1</v>
      </c>
      <c r="L1215">
        <f t="shared" si="173"/>
        <v>0.35510618673257244</v>
      </c>
      <c r="M1215">
        <f t="shared" si="167"/>
        <v>1</v>
      </c>
      <c r="N1215">
        <f t="shared" si="174"/>
        <v>4</v>
      </c>
      <c r="O1215">
        <f t="shared" si="175"/>
        <v>101</v>
      </c>
      <c r="P1215">
        <f t="shared" si="168"/>
        <v>0</v>
      </c>
      <c r="R1215">
        <f t="shared" si="169"/>
        <v>0</v>
      </c>
      <c r="S1215">
        <f t="shared" si="170"/>
        <v>0</v>
      </c>
      <c r="T1215">
        <f t="shared" si="171"/>
        <v>0</v>
      </c>
    </row>
    <row r="1216" spans="10:20" x14ac:dyDescent="0.25">
      <c r="J1216">
        <v>0.14520385615899301</v>
      </c>
      <c r="K1216">
        <f t="shared" si="172"/>
        <v>0</v>
      </c>
      <c r="L1216">
        <f t="shared" si="173"/>
        <v>0</v>
      </c>
      <c r="M1216">
        <f t="shared" si="167"/>
        <v>0</v>
      </c>
      <c r="N1216">
        <f t="shared" si="174"/>
        <v>5</v>
      </c>
      <c r="O1216">
        <f t="shared" si="175"/>
        <v>101</v>
      </c>
      <c r="P1216">
        <f t="shared" si="168"/>
        <v>0</v>
      </c>
      <c r="R1216">
        <f t="shared" si="169"/>
        <v>0</v>
      </c>
      <c r="S1216">
        <f t="shared" si="170"/>
        <v>0</v>
      </c>
      <c r="T1216">
        <f t="shared" si="171"/>
        <v>0</v>
      </c>
    </row>
    <row r="1217" spans="10:20" x14ac:dyDescent="0.25">
      <c r="J1217">
        <v>0.74014815199806239</v>
      </c>
      <c r="K1217">
        <f t="shared" si="172"/>
        <v>1</v>
      </c>
      <c r="L1217">
        <f t="shared" si="173"/>
        <v>0.74014815199806239</v>
      </c>
      <c r="M1217">
        <f t="shared" si="167"/>
        <v>1</v>
      </c>
      <c r="N1217">
        <f t="shared" si="174"/>
        <v>5</v>
      </c>
      <c r="O1217">
        <f t="shared" si="175"/>
        <v>101</v>
      </c>
      <c r="P1217">
        <f t="shared" si="168"/>
        <v>0</v>
      </c>
      <c r="R1217">
        <f t="shared" si="169"/>
        <v>0</v>
      </c>
      <c r="S1217">
        <f t="shared" si="170"/>
        <v>0</v>
      </c>
      <c r="T1217">
        <f t="shared" si="171"/>
        <v>0</v>
      </c>
    </row>
    <row r="1218" spans="10:20" x14ac:dyDescent="0.25">
      <c r="J1218">
        <v>0.52922557909547407</v>
      </c>
      <c r="K1218">
        <f t="shared" si="172"/>
        <v>0</v>
      </c>
      <c r="L1218">
        <f t="shared" si="173"/>
        <v>0</v>
      </c>
      <c r="M1218">
        <f t="shared" si="167"/>
        <v>0</v>
      </c>
      <c r="N1218">
        <f t="shared" si="174"/>
        <v>6</v>
      </c>
      <c r="O1218">
        <f t="shared" si="175"/>
        <v>101</v>
      </c>
      <c r="P1218">
        <f t="shared" si="168"/>
        <v>0</v>
      </c>
      <c r="R1218">
        <f t="shared" si="169"/>
        <v>0</v>
      </c>
      <c r="S1218">
        <f t="shared" si="170"/>
        <v>0</v>
      </c>
      <c r="T1218">
        <f t="shared" si="171"/>
        <v>0</v>
      </c>
    </row>
    <row r="1219" spans="10:20" x14ac:dyDescent="0.25">
      <c r="J1219">
        <v>0.81855780515633569</v>
      </c>
      <c r="K1219">
        <f t="shared" si="172"/>
        <v>1</v>
      </c>
      <c r="L1219">
        <f t="shared" si="173"/>
        <v>0.81855780515633569</v>
      </c>
      <c r="M1219">
        <f t="shared" si="167"/>
        <v>1</v>
      </c>
      <c r="N1219">
        <f t="shared" si="174"/>
        <v>6</v>
      </c>
      <c r="O1219">
        <f t="shared" si="175"/>
        <v>101</v>
      </c>
      <c r="P1219">
        <f t="shared" si="168"/>
        <v>0</v>
      </c>
      <c r="R1219">
        <f t="shared" si="169"/>
        <v>0</v>
      </c>
      <c r="S1219">
        <f t="shared" si="170"/>
        <v>0</v>
      </c>
      <c r="T1219">
        <f t="shared" si="171"/>
        <v>0</v>
      </c>
    </row>
    <row r="1220" spans="10:20" x14ac:dyDescent="0.25">
      <c r="J1220">
        <v>0.26187943455092888</v>
      </c>
      <c r="K1220">
        <f t="shared" si="172"/>
        <v>0</v>
      </c>
      <c r="L1220">
        <f t="shared" si="173"/>
        <v>0</v>
      </c>
      <c r="M1220">
        <f t="shared" si="167"/>
        <v>0</v>
      </c>
      <c r="N1220">
        <f t="shared" si="174"/>
        <v>7</v>
      </c>
      <c r="O1220">
        <f t="shared" si="175"/>
        <v>101</v>
      </c>
      <c r="P1220">
        <f t="shared" si="168"/>
        <v>0</v>
      </c>
      <c r="R1220">
        <f t="shared" si="169"/>
        <v>0</v>
      </c>
      <c r="S1220">
        <f t="shared" si="170"/>
        <v>0</v>
      </c>
      <c r="T1220">
        <f t="shared" si="171"/>
        <v>0</v>
      </c>
    </row>
    <row r="1221" spans="10:20" x14ac:dyDescent="0.25">
      <c r="J1221">
        <v>0.14715921695352796</v>
      </c>
      <c r="K1221">
        <f t="shared" si="172"/>
        <v>1</v>
      </c>
      <c r="L1221">
        <f t="shared" si="173"/>
        <v>0.14715921695352796</v>
      </c>
      <c r="M1221">
        <f t="shared" si="167"/>
        <v>1</v>
      </c>
      <c r="N1221">
        <f t="shared" si="174"/>
        <v>1</v>
      </c>
      <c r="O1221">
        <f t="shared" si="175"/>
        <v>102</v>
      </c>
      <c r="P1221">
        <f t="shared" si="168"/>
        <v>0</v>
      </c>
      <c r="R1221">
        <f t="shared" si="169"/>
        <v>0</v>
      </c>
      <c r="S1221">
        <f t="shared" si="170"/>
        <v>0</v>
      </c>
      <c r="T1221">
        <f t="shared" si="171"/>
        <v>0</v>
      </c>
    </row>
    <row r="1222" spans="10:20" x14ac:dyDescent="0.25">
      <c r="J1222">
        <v>0.87302086458147199</v>
      </c>
      <c r="K1222">
        <f t="shared" si="172"/>
        <v>0</v>
      </c>
      <c r="L1222">
        <f t="shared" si="173"/>
        <v>0</v>
      </c>
      <c r="M1222">
        <f t="shared" si="167"/>
        <v>0</v>
      </c>
      <c r="N1222">
        <f t="shared" si="174"/>
        <v>2</v>
      </c>
      <c r="O1222">
        <f t="shared" si="175"/>
        <v>102</v>
      </c>
      <c r="P1222">
        <f t="shared" si="168"/>
        <v>0</v>
      </c>
      <c r="R1222">
        <f t="shared" si="169"/>
        <v>0</v>
      </c>
      <c r="S1222">
        <f t="shared" si="170"/>
        <v>0</v>
      </c>
      <c r="T1222">
        <f t="shared" si="171"/>
        <v>0</v>
      </c>
    </row>
    <row r="1223" spans="10:20" x14ac:dyDescent="0.25">
      <c r="J1223">
        <v>7.5377626666540132E-2</v>
      </c>
      <c r="K1223">
        <f t="shared" si="172"/>
        <v>1</v>
      </c>
      <c r="L1223">
        <f t="shared" si="173"/>
        <v>7.5377626666540132E-2</v>
      </c>
      <c r="M1223">
        <f t="shared" si="167"/>
        <v>1</v>
      </c>
      <c r="N1223">
        <f t="shared" si="174"/>
        <v>2</v>
      </c>
      <c r="O1223">
        <f t="shared" si="175"/>
        <v>102</v>
      </c>
      <c r="P1223">
        <f t="shared" si="168"/>
        <v>0</v>
      </c>
      <c r="R1223">
        <f t="shared" si="169"/>
        <v>0</v>
      </c>
      <c r="S1223">
        <f t="shared" si="170"/>
        <v>0</v>
      </c>
      <c r="T1223">
        <f t="shared" si="171"/>
        <v>0</v>
      </c>
    </row>
    <row r="1224" spans="10:20" x14ac:dyDescent="0.25">
      <c r="J1224">
        <v>0.73718967079451503</v>
      </c>
      <c r="K1224">
        <f t="shared" si="172"/>
        <v>0</v>
      </c>
      <c r="L1224">
        <f t="shared" si="173"/>
        <v>0</v>
      </c>
      <c r="M1224">
        <f t="shared" ref="M1224:M1287" si="176">IF(L1224&gt;$M$2,1,0)</f>
        <v>0</v>
      </c>
      <c r="N1224">
        <f t="shared" si="174"/>
        <v>3</v>
      </c>
      <c r="O1224">
        <f t="shared" si="175"/>
        <v>102</v>
      </c>
      <c r="P1224">
        <f t="shared" ref="P1224:P1287" si="177">IF(INDEX($B$7:$H$1029,O1224,2)&gt;0,1,0)</f>
        <v>0</v>
      </c>
      <c r="R1224">
        <f t="shared" ref="R1224:R1287" si="178">IF(  M1224&gt;0,INDEX($B$7:$H$1029,O1224,N1224),0)*P1224</f>
        <v>0</v>
      </c>
      <c r="S1224">
        <f t="shared" ref="S1224:S1287" si="179">M1224*P1224</f>
        <v>0</v>
      </c>
      <c r="T1224">
        <f t="shared" ref="T1224:T1287" si="180">IF(N1225=$N$2,1,0)*P1224</f>
        <v>0</v>
      </c>
    </row>
    <row r="1225" spans="10:20" x14ac:dyDescent="0.25">
      <c r="J1225">
        <v>0.12604776726213973</v>
      </c>
      <c r="K1225">
        <f t="shared" si="172"/>
        <v>1</v>
      </c>
      <c r="L1225">
        <f t="shared" si="173"/>
        <v>0.12604776726213973</v>
      </c>
      <c r="M1225">
        <f t="shared" si="176"/>
        <v>1</v>
      </c>
      <c r="N1225">
        <f t="shared" si="174"/>
        <v>3</v>
      </c>
      <c r="O1225">
        <f t="shared" si="175"/>
        <v>102</v>
      </c>
      <c r="P1225">
        <f t="shared" si="177"/>
        <v>0</v>
      </c>
      <c r="R1225">
        <f t="shared" si="178"/>
        <v>0</v>
      </c>
      <c r="S1225">
        <f t="shared" si="179"/>
        <v>0</v>
      </c>
      <c r="T1225">
        <f t="shared" si="180"/>
        <v>0</v>
      </c>
    </row>
    <row r="1226" spans="10:20" x14ac:dyDescent="0.25">
      <c r="J1226">
        <v>0.10198293802093239</v>
      </c>
      <c r="K1226">
        <f t="shared" si="172"/>
        <v>0</v>
      </c>
      <c r="L1226">
        <f t="shared" si="173"/>
        <v>0</v>
      </c>
      <c r="M1226">
        <f t="shared" si="176"/>
        <v>0</v>
      </c>
      <c r="N1226">
        <f t="shared" si="174"/>
        <v>4</v>
      </c>
      <c r="O1226">
        <f t="shared" si="175"/>
        <v>102</v>
      </c>
      <c r="P1226">
        <f t="shared" si="177"/>
        <v>0</v>
      </c>
      <c r="R1226">
        <f t="shared" si="178"/>
        <v>0</v>
      </c>
      <c r="S1226">
        <f t="shared" si="179"/>
        <v>0</v>
      </c>
      <c r="T1226">
        <f t="shared" si="180"/>
        <v>0</v>
      </c>
    </row>
    <row r="1227" spans="10:20" x14ac:dyDescent="0.25">
      <c r="J1227">
        <v>0.60013777725355655</v>
      </c>
      <c r="K1227">
        <f t="shared" si="172"/>
        <v>1</v>
      </c>
      <c r="L1227">
        <f t="shared" si="173"/>
        <v>0.60013777725355655</v>
      </c>
      <c r="M1227">
        <f t="shared" si="176"/>
        <v>1</v>
      </c>
      <c r="N1227">
        <f t="shared" si="174"/>
        <v>4</v>
      </c>
      <c r="O1227">
        <f t="shared" si="175"/>
        <v>102</v>
      </c>
      <c r="P1227">
        <f t="shared" si="177"/>
        <v>0</v>
      </c>
      <c r="R1227">
        <f t="shared" si="178"/>
        <v>0</v>
      </c>
      <c r="S1227">
        <f t="shared" si="179"/>
        <v>0</v>
      </c>
      <c r="T1227">
        <f t="shared" si="180"/>
        <v>0</v>
      </c>
    </row>
    <row r="1228" spans="10:20" x14ac:dyDescent="0.25">
      <c r="J1228">
        <v>0.1229118013903282</v>
      </c>
      <c r="K1228">
        <f t="shared" si="172"/>
        <v>0</v>
      </c>
      <c r="L1228">
        <f t="shared" si="173"/>
        <v>0</v>
      </c>
      <c r="M1228">
        <f t="shared" si="176"/>
        <v>0</v>
      </c>
      <c r="N1228">
        <f t="shared" si="174"/>
        <v>5</v>
      </c>
      <c r="O1228">
        <f t="shared" si="175"/>
        <v>102</v>
      </c>
      <c r="P1228">
        <f t="shared" si="177"/>
        <v>0</v>
      </c>
      <c r="R1228">
        <f t="shared" si="178"/>
        <v>0</v>
      </c>
      <c r="S1228">
        <f t="shared" si="179"/>
        <v>0</v>
      </c>
      <c r="T1228">
        <f t="shared" si="180"/>
        <v>0</v>
      </c>
    </row>
    <row r="1229" spans="10:20" x14ac:dyDescent="0.25">
      <c r="J1229">
        <v>0.13206381781706655</v>
      </c>
      <c r="K1229">
        <f t="shared" si="172"/>
        <v>1</v>
      </c>
      <c r="L1229">
        <f t="shared" si="173"/>
        <v>0.13206381781706655</v>
      </c>
      <c r="M1229">
        <f t="shared" si="176"/>
        <v>1</v>
      </c>
      <c r="N1229">
        <f t="shared" si="174"/>
        <v>5</v>
      </c>
      <c r="O1229">
        <f t="shared" si="175"/>
        <v>102</v>
      </c>
      <c r="P1229">
        <f t="shared" si="177"/>
        <v>0</v>
      </c>
      <c r="R1229">
        <f t="shared" si="178"/>
        <v>0</v>
      </c>
      <c r="S1229">
        <f t="shared" si="179"/>
        <v>0</v>
      </c>
      <c r="T1229">
        <f t="shared" si="180"/>
        <v>0</v>
      </c>
    </row>
    <row r="1230" spans="10:20" x14ac:dyDescent="0.25">
      <c r="J1230">
        <v>0.99610048178627597</v>
      </c>
      <c r="K1230">
        <f t="shared" si="172"/>
        <v>0</v>
      </c>
      <c r="L1230">
        <f t="shared" si="173"/>
        <v>0</v>
      </c>
      <c r="M1230">
        <f t="shared" si="176"/>
        <v>0</v>
      </c>
      <c r="N1230">
        <f t="shared" si="174"/>
        <v>6</v>
      </c>
      <c r="O1230">
        <f t="shared" si="175"/>
        <v>102</v>
      </c>
      <c r="P1230">
        <f t="shared" si="177"/>
        <v>0</v>
      </c>
      <c r="R1230">
        <f t="shared" si="178"/>
        <v>0</v>
      </c>
      <c r="S1230">
        <f t="shared" si="179"/>
        <v>0</v>
      </c>
      <c r="T1230">
        <f t="shared" si="180"/>
        <v>0</v>
      </c>
    </row>
    <row r="1231" spans="10:20" x14ac:dyDescent="0.25">
      <c r="J1231">
        <v>3.7384239996216873E-2</v>
      </c>
      <c r="K1231">
        <f t="shared" si="172"/>
        <v>1</v>
      </c>
      <c r="L1231">
        <f t="shared" si="173"/>
        <v>3.7384239996216873E-2</v>
      </c>
      <c r="M1231">
        <f t="shared" si="176"/>
        <v>1</v>
      </c>
      <c r="N1231">
        <f t="shared" si="174"/>
        <v>6</v>
      </c>
      <c r="O1231">
        <f t="shared" si="175"/>
        <v>102</v>
      </c>
      <c r="P1231">
        <f t="shared" si="177"/>
        <v>0</v>
      </c>
      <c r="R1231">
        <f t="shared" si="178"/>
        <v>0</v>
      </c>
      <c r="S1231">
        <f t="shared" si="179"/>
        <v>0</v>
      </c>
      <c r="T1231">
        <f t="shared" si="180"/>
        <v>0</v>
      </c>
    </row>
    <row r="1232" spans="10:20" x14ac:dyDescent="0.25">
      <c r="J1232">
        <v>0.62188354826243875</v>
      </c>
      <c r="K1232">
        <f t="shared" si="172"/>
        <v>0</v>
      </c>
      <c r="L1232">
        <f t="shared" si="173"/>
        <v>0</v>
      </c>
      <c r="M1232">
        <f t="shared" si="176"/>
        <v>0</v>
      </c>
      <c r="N1232">
        <f t="shared" si="174"/>
        <v>7</v>
      </c>
      <c r="O1232">
        <f t="shared" si="175"/>
        <v>102</v>
      </c>
      <c r="P1232">
        <f t="shared" si="177"/>
        <v>0</v>
      </c>
      <c r="R1232">
        <f t="shared" si="178"/>
        <v>0</v>
      </c>
      <c r="S1232">
        <f t="shared" si="179"/>
        <v>0</v>
      </c>
      <c r="T1232">
        <f t="shared" si="180"/>
        <v>0</v>
      </c>
    </row>
    <row r="1233" spans="10:20" x14ac:dyDescent="0.25">
      <c r="J1233">
        <v>0.68376683908010905</v>
      </c>
      <c r="K1233">
        <f t="shared" si="172"/>
        <v>1</v>
      </c>
      <c r="L1233">
        <f t="shared" si="173"/>
        <v>0.68376683908010905</v>
      </c>
      <c r="M1233">
        <f t="shared" si="176"/>
        <v>1</v>
      </c>
      <c r="N1233">
        <f t="shared" si="174"/>
        <v>1</v>
      </c>
      <c r="O1233">
        <f t="shared" si="175"/>
        <v>103</v>
      </c>
      <c r="P1233">
        <f t="shared" si="177"/>
        <v>0</v>
      </c>
      <c r="R1233">
        <f t="shared" si="178"/>
        <v>0</v>
      </c>
      <c r="S1233">
        <f t="shared" si="179"/>
        <v>0</v>
      </c>
      <c r="T1233">
        <f t="shared" si="180"/>
        <v>0</v>
      </c>
    </row>
    <row r="1234" spans="10:20" x14ac:dyDescent="0.25">
      <c r="J1234">
        <v>0.21677252410661219</v>
      </c>
      <c r="K1234">
        <f t="shared" si="172"/>
        <v>0</v>
      </c>
      <c r="L1234">
        <f t="shared" si="173"/>
        <v>0</v>
      </c>
      <c r="M1234">
        <f t="shared" si="176"/>
        <v>0</v>
      </c>
      <c r="N1234">
        <f t="shared" si="174"/>
        <v>2</v>
      </c>
      <c r="O1234">
        <f t="shared" si="175"/>
        <v>103</v>
      </c>
      <c r="P1234">
        <f t="shared" si="177"/>
        <v>0</v>
      </c>
      <c r="R1234">
        <f t="shared" si="178"/>
        <v>0</v>
      </c>
      <c r="S1234">
        <f t="shared" si="179"/>
        <v>0</v>
      </c>
      <c r="T1234">
        <f t="shared" si="180"/>
        <v>0</v>
      </c>
    </row>
    <row r="1235" spans="10:20" x14ac:dyDescent="0.25">
      <c r="J1235">
        <v>0.93781457083449171</v>
      </c>
      <c r="K1235">
        <f t="shared" si="172"/>
        <v>1</v>
      </c>
      <c r="L1235">
        <f t="shared" si="173"/>
        <v>0.93781457083449171</v>
      </c>
      <c r="M1235">
        <f t="shared" si="176"/>
        <v>1</v>
      </c>
      <c r="N1235">
        <f t="shared" si="174"/>
        <v>2</v>
      </c>
      <c r="O1235">
        <f t="shared" si="175"/>
        <v>103</v>
      </c>
      <c r="P1235">
        <f t="shared" si="177"/>
        <v>0</v>
      </c>
      <c r="R1235">
        <f t="shared" si="178"/>
        <v>0</v>
      </c>
      <c r="S1235">
        <f t="shared" si="179"/>
        <v>0</v>
      </c>
      <c r="T1235">
        <f t="shared" si="180"/>
        <v>0</v>
      </c>
    </row>
    <row r="1236" spans="10:20" x14ac:dyDescent="0.25">
      <c r="J1236">
        <v>0.11620386104415892</v>
      </c>
      <c r="K1236">
        <f t="shared" si="172"/>
        <v>0</v>
      </c>
      <c r="L1236">
        <f t="shared" si="173"/>
        <v>0</v>
      </c>
      <c r="M1236">
        <f t="shared" si="176"/>
        <v>0</v>
      </c>
      <c r="N1236">
        <f t="shared" si="174"/>
        <v>3</v>
      </c>
      <c r="O1236">
        <f t="shared" si="175"/>
        <v>103</v>
      </c>
      <c r="P1236">
        <f t="shared" si="177"/>
        <v>0</v>
      </c>
      <c r="R1236">
        <f t="shared" si="178"/>
        <v>0</v>
      </c>
      <c r="S1236">
        <f t="shared" si="179"/>
        <v>0</v>
      </c>
      <c r="T1236">
        <f t="shared" si="180"/>
        <v>0</v>
      </c>
    </row>
    <row r="1237" spans="10:20" x14ac:dyDescent="0.25">
      <c r="J1237">
        <v>0.76408897790466657</v>
      </c>
      <c r="K1237">
        <f t="shared" si="172"/>
        <v>1</v>
      </c>
      <c r="L1237">
        <f t="shared" si="173"/>
        <v>0.76408897790466657</v>
      </c>
      <c r="M1237">
        <f t="shared" si="176"/>
        <v>1</v>
      </c>
      <c r="N1237">
        <f t="shared" si="174"/>
        <v>3</v>
      </c>
      <c r="O1237">
        <f t="shared" si="175"/>
        <v>103</v>
      </c>
      <c r="P1237">
        <f t="shared" si="177"/>
        <v>0</v>
      </c>
      <c r="R1237">
        <f t="shared" si="178"/>
        <v>0</v>
      </c>
      <c r="S1237">
        <f t="shared" si="179"/>
        <v>0</v>
      </c>
      <c r="T1237">
        <f t="shared" si="180"/>
        <v>0</v>
      </c>
    </row>
    <row r="1238" spans="10:20" x14ac:dyDescent="0.25">
      <c r="J1238">
        <v>0.40789966770198649</v>
      </c>
      <c r="K1238">
        <f t="shared" si="172"/>
        <v>0</v>
      </c>
      <c r="L1238">
        <f t="shared" si="173"/>
        <v>0</v>
      </c>
      <c r="M1238">
        <f t="shared" si="176"/>
        <v>0</v>
      </c>
      <c r="N1238">
        <f t="shared" si="174"/>
        <v>4</v>
      </c>
      <c r="O1238">
        <f t="shared" si="175"/>
        <v>103</v>
      </c>
      <c r="P1238">
        <f t="shared" si="177"/>
        <v>0</v>
      </c>
      <c r="R1238">
        <f t="shared" si="178"/>
        <v>0</v>
      </c>
      <c r="S1238">
        <f t="shared" si="179"/>
        <v>0</v>
      </c>
      <c r="T1238">
        <f t="shared" si="180"/>
        <v>0</v>
      </c>
    </row>
    <row r="1239" spans="10:20" x14ac:dyDescent="0.25">
      <c r="J1239">
        <v>0.53809431123282958</v>
      </c>
      <c r="K1239">
        <f t="shared" si="172"/>
        <v>1</v>
      </c>
      <c r="L1239">
        <f t="shared" si="173"/>
        <v>0.53809431123282958</v>
      </c>
      <c r="M1239">
        <f t="shared" si="176"/>
        <v>1</v>
      </c>
      <c r="N1239">
        <f t="shared" si="174"/>
        <v>4</v>
      </c>
      <c r="O1239">
        <f t="shared" si="175"/>
        <v>103</v>
      </c>
      <c r="P1239">
        <f t="shared" si="177"/>
        <v>0</v>
      </c>
      <c r="R1239">
        <f t="shared" si="178"/>
        <v>0</v>
      </c>
      <c r="S1239">
        <f t="shared" si="179"/>
        <v>0</v>
      </c>
      <c r="T1239">
        <f t="shared" si="180"/>
        <v>0</v>
      </c>
    </row>
    <row r="1240" spans="10:20" x14ac:dyDescent="0.25">
      <c r="J1240">
        <v>0.73088754840214054</v>
      </c>
      <c r="K1240">
        <f t="shared" ref="K1240:K1303" si="181">IF(K1239=1,0,1)</f>
        <v>0</v>
      </c>
      <c r="L1240">
        <f t="shared" ref="L1240:L1303" si="182">K1240*J1240</f>
        <v>0</v>
      </c>
      <c r="M1240">
        <f t="shared" si="176"/>
        <v>0</v>
      </c>
      <c r="N1240">
        <f t="shared" ref="N1240:N1303" si="183">IF(N1239&lt;$N$2,N1239+M1239,1)</f>
        <v>5</v>
      </c>
      <c r="O1240">
        <f t="shared" ref="O1240:O1303" si="184">IF(AND(N1240=1,M1240=1),O1239+1,O1239)</f>
        <v>103</v>
      </c>
      <c r="P1240">
        <f t="shared" si="177"/>
        <v>0</v>
      </c>
      <c r="R1240">
        <f t="shared" si="178"/>
        <v>0</v>
      </c>
      <c r="S1240">
        <f t="shared" si="179"/>
        <v>0</v>
      </c>
      <c r="T1240">
        <f t="shared" si="180"/>
        <v>0</v>
      </c>
    </row>
    <row r="1241" spans="10:20" x14ac:dyDescent="0.25">
      <c r="J1241">
        <v>0.24733279790057439</v>
      </c>
      <c r="K1241">
        <f t="shared" si="181"/>
        <v>1</v>
      </c>
      <c r="L1241">
        <f t="shared" si="182"/>
        <v>0.24733279790057439</v>
      </c>
      <c r="M1241">
        <f t="shared" si="176"/>
        <v>1</v>
      </c>
      <c r="N1241">
        <f t="shared" si="183"/>
        <v>5</v>
      </c>
      <c r="O1241">
        <f t="shared" si="184"/>
        <v>103</v>
      </c>
      <c r="P1241">
        <f t="shared" si="177"/>
        <v>0</v>
      </c>
      <c r="R1241">
        <f t="shared" si="178"/>
        <v>0</v>
      </c>
      <c r="S1241">
        <f t="shared" si="179"/>
        <v>0</v>
      </c>
      <c r="T1241">
        <f t="shared" si="180"/>
        <v>0</v>
      </c>
    </row>
    <row r="1242" spans="10:20" x14ac:dyDescent="0.25">
      <c r="J1242">
        <v>0.12088089649201239</v>
      </c>
      <c r="K1242">
        <f t="shared" si="181"/>
        <v>0</v>
      </c>
      <c r="L1242">
        <f t="shared" si="182"/>
        <v>0</v>
      </c>
      <c r="M1242">
        <f t="shared" si="176"/>
        <v>0</v>
      </c>
      <c r="N1242">
        <f t="shared" si="183"/>
        <v>6</v>
      </c>
      <c r="O1242">
        <f t="shared" si="184"/>
        <v>103</v>
      </c>
      <c r="P1242">
        <f t="shared" si="177"/>
        <v>0</v>
      </c>
      <c r="R1242">
        <f t="shared" si="178"/>
        <v>0</v>
      </c>
      <c r="S1242">
        <f t="shared" si="179"/>
        <v>0</v>
      </c>
      <c r="T1242">
        <f t="shared" si="180"/>
        <v>0</v>
      </c>
    </row>
    <row r="1243" spans="10:20" x14ac:dyDescent="0.25">
      <c r="J1243">
        <v>0.1927236073671077</v>
      </c>
      <c r="K1243">
        <f t="shared" si="181"/>
        <v>1</v>
      </c>
      <c r="L1243">
        <f t="shared" si="182"/>
        <v>0.1927236073671077</v>
      </c>
      <c r="M1243">
        <f t="shared" si="176"/>
        <v>1</v>
      </c>
      <c r="N1243">
        <f t="shared" si="183"/>
        <v>6</v>
      </c>
      <c r="O1243">
        <f t="shared" si="184"/>
        <v>103</v>
      </c>
      <c r="P1243">
        <f t="shared" si="177"/>
        <v>0</v>
      </c>
      <c r="R1243">
        <f t="shared" si="178"/>
        <v>0</v>
      </c>
      <c r="S1243">
        <f t="shared" si="179"/>
        <v>0</v>
      </c>
      <c r="T1243">
        <f t="shared" si="180"/>
        <v>0</v>
      </c>
    </row>
    <row r="1244" spans="10:20" x14ac:dyDescent="0.25">
      <c r="J1244">
        <v>0.72490508814275256</v>
      </c>
      <c r="K1244">
        <f t="shared" si="181"/>
        <v>0</v>
      </c>
      <c r="L1244">
        <f t="shared" si="182"/>
        <v>0</v>
      </c>
      <c r="M1244">
        <f t="shared" si="176"/>
        <v>0</v>
      </c>
      <c r="N1244">
        <f t="shared" si="183"/>
        <v>7</v>
      </c>
      <c r="O1244">
        <f t="shared" si="184"/>
        <v>103</v>
      </c>
      <c r="P1244">
        <f t="shared" si="177"/>
        <v>0</v>
      </c>
      <c r="R1244">
        <f t="shared" si="178"/>
        <v>0</v>
      </c>
      <c r="S1244">
        <f t="shared" si="179"/>
        <v>0</v>
      </c>
      <c r="T1244">
        <f t="shared" si="180"/>
        <v>0</v>
      </c>
    </row>
    <row r="1245" spans="10:20" x14ac:dyDescent="0.25">
      <c r="J1245">
        <v>0.47996837869328479</v>
      </c>
      <c r="K1245">
        <f t="shared" si="181"/>
        <v>1</v>
      </c>
      <c r="L1245">
        <f t="shared" si="182"/>
        <v>0.47996837869328479</v>
      </c>
      <c r="M1245">
        <f t="shared" si="176"/>
        <v>1</v>
      </c>
      <c r="N1245">
        <f t="shared" si="183"/>
        <v>1</v>
      </c>
      <c r="O1245">
        <f t="shared" si="184"/>
        <v>104</v>
      </c>
      <c r="P1245">
        <f t="shared" si="177"/>
        <v>0</v>
      </c>
      <c r="R1245">
        <f t="shared" si="178"/>
        <v>0</v>
      </c>
      <c r="S1245">
        <f t="shared" si="179"/>
        <v>0</v>
      </c>
      <c r="T1245">
        <f t="shared" si="180"/>
        <v>0</v>
      </c>
    </row>
    <row r="1246" spans="10:20" x14ac:dyDescent="0.25">
      <c r="J1246">
        <v>0.32675567956865614</v>
      </c>
      <c r="K1246">
        <f t="shared" si="181"/>
        <v>0</v>
      </c>
      <c r="L1246">
        <f t="shared" si="182"/>
        <v>0</v>
      </c>
      <c r="M1246">
        <f t="shared" si="176"/>
        <v>0</v>
      </c>
      <c r="N1246">
        <f t="shared" si="183"/>
        <v>2</v>
      </c>
      <c r="O1246">
        <f t="shared" si="184"/>
        <v>104</v>
      </c>
      <c r="P1246">
        <f t="shared" si="177"/>
        <v>0</v>
      </c>
      <c r="R1246">
        <f t="shared" si="178"/>
        <v>0</v>
      </c>
      <c r="S1246">
        <f t="shared" si="179"/>
        <v>0</v>
      </c>
      <c r="T1246">
        <f t="shared" si="180"/>
        <v>0</v>
      </c>
    </row>
    <row r="1247" spans="10:20" x14ac:dyDescent="0.25">
      <c r="J1247">
        <v>0.71606223080760445</v>
      </c>
      <c r="K1247">
        <f t="shared" si="181"/>
        <v>1</v>
      </c>
      <c r="L1247">
        <f t="shared" si="182"/>
        <v>0.71606223080760445</v>
      </c>
      <c r="M1247">
        <f t="shared" si="176"/>
        <v>1</v>
      </c>
      <c r="N1247">
        <f t="shared" si="183"/>
        <v>2</v>
      </c>
      <c r="O1247">
        <f t="shared" si="184"/>
        <v>104</v>
      </c>
      <c r="P1247">
        <f t="shared" si="177"/>
        <v>0</v>
      </c>
      <c r="R1247">
        <f t="shared" si="178"/>
        <v>0</v>
      </c>
      <c r="S1247">
        <f t="shared" si="179"/>
        <v>0</v>
      </c>
      <c r="T1247">
        <f t="shared" si="180"/>
        <v>0</v>
      </c>
    </row>
    <row r="1248" spans="10:20" x14ac:dyDescent="0.25">
      <c r="J1248">
        <v>1.8212827987925229E-2</v>
      </c>
      <c r="K1248">
        <f t="shared" si="181"/>
        <v>0</v>
      </c>
      <c r="L1248">
        <f t="shared" si="182"/>
        <v>0</v>
      </c>
      <c r="M1248">
        <f t="shared" si="176"/>
        <v>0</v>
      </c>
      <c r="N1248">
        <f t="shared" si="183"/>
        <v>3</v>
      </c>
      <c r="O1248">
        <f t="shared" si="184"/>
        <v>104</v>
      </c>
      <c r="P1248">
        <f t="shared" si="177"/>
        <v>0</v>
      </c>
      <c r="R1248">
        <f t="shared" si="178"/>
        <v>0</v>
      </c>
      <c r="S1248">
        <f t="shared" si="179"/>
        <v>0</v>
      </c>
      <c r="T1248">
        <f t="shared" si="180"/>
        <v>0</v>
      </c>
    </row>
    <row r="1249" spans="10:20" x14ac:dyDescent="0.25">
      <c r="J1249">
        <v>8.3364332739363944E-2</v>
      </c>
      <c r="K1249">
        <f t="shared" si="181"/>
        <v>1</v>
      </c>
      <c r="L1249">
        <f t="shared" si="182"/>
        <v>8.3364332739363944E-2</v>
      </c>
      <c r="M1249">
        <f t="shared" si="176"/>
        <v>1</v>
      </c>
      <c r="N1249">
        <f t="shared" si="183"/>
        <v>3</v>
      </c>
      <c r="O1249">
        <f t="shared" si="184"/>
        <v>104</v>
      </c>
      <c r="P1249">
        <f t="shared" si="177"/>
        <v>0</v>
      </c>
      <c r="R1249">
        <f t="shared" si="178"/>
        <v>0</v>
      </c>
      <c r="S1249">
        <f t="shared" si="179"/>
        <v>0</v>
      </c>
      <c r="T1249">
        <f t="shared" si="180"/>
        <v>0</v>
      </c>
    </row>
    <row r="1250" spans="10:20" x14ac:dyDescent="0.25">
      <c r="J1250">
        <v>0.64113463752173494</v>
      </c>
      <c r="K1250">
        <f t="shared" si="181"/>
        <v>0</v>
      </c>
      <c r="L1250">
        <f t="shared" si="182"/>
        <v>0</v>
      </c>
      <c r="M1250">
        <f t="shared" si="176"/>
        <v>0</v>
      </c>
      <c r="N1250">
        <f t="shared" si="183"/>
        <v>4</v>
      </c>
      <c r="O1250">
        <f t="shared" si="184"/>
        <v>104</v>
      </c>
      <c r="P1250">
        <f t="shared" si="177"/>
        <v>0</v>
      </c>
      <c r="R1250">
        <f t="shared" si="178"/>
        <v>0</v>
      </c>
      <c r="S1250">
        <f t="shared" si="179"/>
        <v>0</v>
      </c>
      <c r="T1250">
        <f t="shared" si="180"/>
        <v>0</v>
      </c>
    </row>
    <row r="1251" spans="10:20" x14ac:dyDescent="0.25">
      <c r="J1251">
        <v>0.81722668399848242</v>
      </c>
      <c r="K1251">
        <f t="shared" si="181"/>
        <v>1</v>
      </c>
      <c r="L1251">
        <f t="shared" si="182"/>
        <v>0.81722668399848242</v>
      </c>
      <c r="M1251">
        <f t="shared" si="176"/>
        <v>1</v>
      </c>
      <c r="N1251">
        <f t="shared" si="183"/>
        <v>4</v>
      </c>
      <c r="O1251">
        <f t="shared" si="184"/>
        <v>104</v>
      </c>
      <c r="P1251">
        <f t="shared" si="177"/>
        <v>0</v>
      </c>
      <c r="R1251">
        <f t="shared" si="178"/>
        <v>0</v>
      </c>
      <c r="S1251">
        <f t="shared" si="179"/>
        <v>0</v>
      </c>
      <c r="T1251">
        <f t="shared" si="180"/>
        <v>0</v>
      </c>
    </row>
    <row r="1252" spans="10:20" x14ac:dyDescent="0.25">
      <c r="J1252">
        <v>0.16103252288481928</v>
      </c>
      <c r="K1252">
        <f t="shared" si="181"/>
        <v>0</v>
      </c>
      <c r="L1252">
        <f t="shared" si="182"/>
        <v>0</v>
      </c>
      <c r="M1252">
        <f t="shared" si="176"/>
        <v>0</v>
      </c>
      <c r="N1252">
        <f t="shared" si="183"/>
        <v>5</v>
      </c>
      <c r="O1252">
        <f t="shared" si="184"/>
        <v>104</v>
      </c>
      <c r="P1252">
        <f t="shared" si="177"/>
        <v>0</v>
      </c>
      <c r="R1252">
        <f t="shared" si="178"/>
        <v>0</v>
      </c>
      <c r="S1252">
        <f t="shared" si="179"/>
        <v>0</v>
      </c>
      <c r="T1252">
        <f t="shared" si="180"/>
        <v>0</v>
      </c>
    </row>
    <row r="1253" spans="10:20" x14ac:dyDescent="0.25">
      <c r="J1253">
        <v>0.56648131915985378</v>
      </c>
      <c r="K1253">
        <f t="shared" si="181"/>
        <v>1</v>
      </c>
      <c r="L1253">
        <f t="shared" si="182"/>
        <v>0.56648131915985378</v>
      </c>
      <c r="M1253">
        <f t="shared" si="176"/>
        <v>1</v>
      </c>
      <c r="N1253">
        <f t="shared" si="183"/>
        <v>5</v>
      </c>
      <c r="O1253">
        <f t="shared" si="184"/>
        <v>104</v>
      </c>
      <c r="P1253">
        <f t="shared" si="177"/>
        <v>0</v>
      </c>
      <c r="R1253">
        <f t="shared" si="178"/>
        <v>0</v>
      </c>
      <c r="S1253">
        <f t="shared" si="179"/>
        <v>0</v>
      </c>
      <c r="T1253">
        <f t="shared" si="180"/>
        <v>0</v>
      </c>
    </row>
    <row r="1254" spans="10:20" x14ac:dyDescent="0.25">
      <c r="J1254">
        <v>0.1750587172518826</v>
      </c>
      <c r="K1254">
        <f t="shared" si="181"/>
        <v>0</v>
      </c>
      <c r="L1254">
        <f t="shared" si="182"/>
        <v>0</v>
      </c>
      <c r="M1254">
        <f t="shared" si="176"/>
        <v>0</v>
      </c>
      <c r="N1254">
        <f t="shared" si="183"/>
        <v>6</v>
      </c>
      <c r="O1254">
        <f t="shared" si="184"/>
        <v>104</v>
      </c>
      <c r="P1254">
        <f t="shared" si="177"/>
        <v>0</v>
      </c>
      <c r="R1254">
        <f t="shared" si="178"/>
        <v>0</v>
      </c>
      <c r="S1254">
        <f t="shared" si="179"/>
        <v>0</v>
      </c>
      <c r="T1254">
        <f t="shared" si="180"/>
        <v>0</v>
      </c>
    </row>
    <row r="1255" spans="10:20" x14ac:dyDescent="0.25">
      <c r="J1255">
        <v>2.8194556083827593E-2</v>
      </c>
      <c r="K1255">
        <f t="shared" si="181"/>
        <v>1</v>
      </c>
      <c r="L1255">
        <f t="shared" si="182"/>
        <v>2.8194556083827593E-2</v>
      </c>
      <c r="M1255">
        <f t="shared" si="176"/>
        <v>1</v>
      </c>
      <c r="N1255">
        <f t="shared" si="183"/>
        <v>6</v>
      </c>
      <c r="O1255">
        <f t="shared" si="184"/>
        <v>104</v>
      </c>
      <c r="P1255">
        <f t="shared" si="177"/>
        <v>0</v>
      </c>
      <c r="R1255">
        <f t="shared" si="178"/>
        <v>0</v>
      </c>
      <c r="S1255">
        <f t="shared" si="179"/>
        <v>0</v>
      </c>
      <c r="T1255">
        <f t="shared" si="180"/>
        <v>0</v>
      </c>
    </row>
    <row r="1256" spans="10:20" x14ac:dyDescent="0.25">
      <c r="J1256">
        <v>0.63341819882080252</v>
      </c>
      <c r="K1256">
        <f t="shared" si="181"/>
        <v>0</v>
      </c>
      <c r="L1256">
        <f t="shared" si="182"/>
        <v>0</v>
      </c>
      <c r="M1256">
        <f t="shared" si="176"/>
        <v>0</v>
      </c>
      <c r="N1256">
        <f t="shared" si="183"/>
        <v>7</v>
      </c>
      <c r="O1256">
        <f t="shared" si="184"/>
        <v>104</v>
      </c>
      <c r="P1256">
        <f t="shared" si="177"/>
        <v>0</v>
      </c>
      <c r="R1256">
        <f t="shared" si="178"/>
        <v>0</v>
      </c>
      <c r="S1256">
        <f t="shared" si="179"/>
        <v>0</v>
      </c>
      <c r="T1256">
        <f t="shared" si="180"/>
        <v>0</v>
      </c>
    </row>
    <row r="1257" spans="10:20" x14ac:dyDescent="0.25">
      <c r="J1257">
        <v>8.5170977349608989E-3</v>
      </c>
      <c r="K1257">
        <f t="shared" si="181"/>
        <v>1</v>
      </c>
      <c r="L1257">
        <f t="shared" si="182"/>
        <v>8.5170977349608989E-3</v>
      </c>
      <c r="M1257">
        <f t="shared" si="176"/>
        <v>1</v>
      </c>
      <c r="N1257">
        <f t="shared" si="183"/>
        <v>1</v>
      </c>
      <c r="O1257">
        <f t="shared" si="184"/>
        <v>105</v>
      </c>
      <c r="P1257">
        <f t="shared" si="177"/>
        <v>0</v>
      </c>
      <c r="R1257">
        <f t="shared" si="178"/>
        <v>0</v>
      </c>
      <c r="S1257">
        <f t="shared" si="179"/>
        <v>0</v>
      </c>
      <c r="T1257">
        <f t="shared" si="180"/>
        <v>0</v>
      </c>
    </row>
    <row r="1258" spans="10:20" x14ac:dyDescent="0.25">
      <c r="J1258">
        <v>0.36271091251695142</v>
      </c>
      <c r="K1258">
        <f t="shared" si="181"/>
        <v>0</v>
      </c>
      <c r="L1258">
        <f t="shared" si="182"/>
        <v>0</v>
      </c>
      <c r="M1258">
        <f t="shared" si="176"/>
        <v>0</v>
      </c>
      <c r="N1258">
        <f t="shared" si="183"/>
        <v>2</v>
      </c>
      <c r="O1258">
        <f t="shared" si="184"/>
        <v>105</v>
      </c>
      <c r="P1258">
        <f t="shared" si="177"/>
        <v>0</v>
      </c>
      <c r="R1258">
        <f t="shared" si="178"/>
        <v>0</v>
      </c>
      <c r="S1258">
        <f t="shared" si="179"/>
        <v>0</v>
      </c>
      <c r="T1258">
        <f t="shared" si="180"/>
        <v>0</v>
      </c>
    </row>
    <row r="1259" spans="10:20" x14ac:dyDescent="0.25">
      <c r="J1259">
        <v>0.85533375332824346</v>
      </c>
      <c r="K1259">
        <f t="shared" si="181"/>
        <v>1</v>
      </c>
      <c r="L1259">
        <f t="shared" si="182"/>
        <v>0.85533375332824346</v>
      </c>
      <c r="M1259">
        <f t="shared" si="176"/>
        <v>1</v>
      </c>
      <c r="N1259">
        <f t="shared" si="183"/>
        <v>2</v>
      </c>
      <c r="O1259">
        <f t="shared" si="184"/>
        <v>105</v>
      </c>
      <c r="P1259">
        <f t="shared" si="177"/>
        <v>0</v>
      </c>
      <c r="R1259">
        <f t="shared" si="178"/>
        <v>0</v>
      </c>
      <c r="S1259">
        <f t="shared" si="179"/>
        <v>0</v>
      </c>
      <c r="T1259">
        <f t="shared" si="180"/>
        <v>0</v>
      </c>
    </row>
    <row r="1260" spans="10:20" x14ac:dyDescent="0.25">
      <c r="J1260">
        <v>9.1298267741648953E-2</v>
      </c>
      <c r="K1260">
        <f t="shared" si="181"/>
        <v>0</v>
      </c>
      <c r="L1260">
        <f t="shared" si="182"/>
        <v>0</v>
      </c>
      <c r="M1260">
        <f t="shared" si="176"/>
        <v>0</v>
      </c>
      <c r="N1260">
        <f t="shared" si="183"/>
        <v>3</v>
      </c>
      <c r="O1260">
        <f t="shared" si="184"/>
        <v>105</v>
      </c>
      <c r="P1260">
        <f t="shared" si="177"/>
        <v>0</v>
      </c>
      <c r="R1260">
        <f t="shared" si="178"/>
        <v>0</v>
      </c>
      <c r="S1260">
        <f t="shared" si="179"/>
        <v>0</v>
      </c>
      <c r="T1260">
        <f t="shared" si="180"/>
        <v>0</v>
      </c>
    </row>
    <row r="1261" spans="10:20" x14ac:dyDescent="0.25">
      <c r="J1261">
        <v>0.63362618578013741</v>
      </c>
      <c r="K1261">
        <f t="shared" si="181"/>
        <v>1</v>
      </c>
      <c r="L1261">
        <f t="shared" si="182"/>
        <v>0.63362618578013741</v>
      </c>
      <c r="M1261">
        <f t="shared" si="176"/>
        <v>1</v>
      </c>
      <c r="N1261">
        <f t="shared" si="183"/>
        <v>3</v>
      </c>
      <c r="O1261">
        <f t="shared" si="184"/>
        <v>105</v>
      </c>
      <c r="P1261">
        <f t="shared" si="177"/>
        <v>0</v>
      </c>
      <c r="R1261">
        <f t="shared" si="178"/>
        <v>0</v>
      </c>
      <c r="S1261">
        <f t="shared" si="179"/>
        <v>0</v>
      </c>
      <c r="T1261">
        <f t="shared" si="180"/>
        <v>0</v>
      </c>
    </row>
    <row r="1262" spans="10:20" x14ac:dyDescent="0.25">
      <c r="J1262">
        <v>0.41325983899073249</v>
      </c>
      <c r="K1262">
        <f t="shared" si="181"/>
        <v>0</v>
      </c>
      <c r="L1262">
        <f t="shared" si="182"/>
        <v>0</v>
      </c>
      <c r="M1262">
        <f t="shared" si="176"/>
        <v>0</v>
      </c>
      <c r="N1262">
        <f t="shared" si="183"/>
        <v>4</v>
      </c>
      <c r="O1262">
        <f t="shared" si="184"/>
        <v>105</v>
      </c>
      <c r="P1262">
        <f t="shared" si="177"/>
        <v>0</v>
      </c>
      <c r="R1262">
        <f t="shared" si="178"/>
        <v>0</v>
      </c>
      <c r="S1262">
        <f t="shared" si="179"/>
        <v>0</v>
      </c>
      <c r="T1262">
        <f t="shared" si="180"/>
        <v>0</v>
      </c>
    </row>
    <row r="1263" spans="10:20" x14ac:dyDescent="0.25">
      <c r="J1263">
        <v>0.74275482178187258</v>
      </c>
      <c r="K1263">
        <f t="shared" si="181"/>
        <v>1</v>
      </c>
      <c r="L1263">
        <f t="shared" si="182"/>
        <v>0.74275482178187258</v>
      </c>
      <c r="M1263">
        <f t="shared" si="176"/>
        <v>1</v>
      </c>
      <c r="N1263">
        <f t="shared" si="183"/>
        <v>4</v>
      </c>
      <c r="O1263">
        <f t="shared" si="184"/>
        <v>105</v>
      </c>
      <c r="P1263">
        <f t="shared" si="177"/>
        <v>0</v>
      </c>
      <c r="R1263">
        <f t="shared" si="178"/>
        <v>0</v>
      </c>
      <c r="S1263">
        <f t="shared" si="179"/>
        <v>0</v>
      </c>
      <c r="T1263">
        <f t="shared" si="180"/>
        <v>0</v>
      </c>
    </row>
    <row r="1264" spans="10:20" x14ac:dyDescent="0.25">
      <c r="J1264">
        <v>0.35736526809815783</v>
      </c>
      <c r="K1264">
        <f t="shared" si="181"/>
        <v>0</v>
      </c>
      <c r="L1264">
        <f t="shared" si="182"/>
        <v>0</v>
      </c>
      <c r="M1264">
        <f t="shared" si="176"/>
        <v>0</v>
      </c>
      <c r="N1264">
        <f t="shared" si="183"/>
        <v>5</v>
      </c>
      <c r="O1264">
        <f t="shared" si="184"/>
        <v>105</v>
      </c>
      <c r="P1264">
        <f t="shared" si="177"/>
        <v>0</v>
      </c>
      <c r="R1264">
        <f t="shared" si="178"/>
        <v>0</v>
      </c>
      <c r="S1264">
        <f t="shared" si="179"/>
        <v>0</v>
      </c>
      <c r="T1264">
        <f t="shared" si="180"/>
        <v>0</v>
      </c>
    </row>
    <row r="1265" spans="10:20" x14ac:dyDescent="0.25">
      <c r="J1265">
        <v>0.13926140562530753</v>
      </c>
      <c r="K1265">
        <f t="shared" si="181"/>
        <v>1</v>
      </c>
      <c r="L1265">
        <f t="shared" si="182"/>
        <v>0.13926140562530753</v>
      </c>
      <c r="M1265">
        <f t="shared" si="176"/>
        <v>1</v>
      </c>
      <c r="N1265">
        <f t="shared" si="183"/>
        <v>5</v>
      </c>
      <c r="O1265">
        <f t="shared" si="184"/>
        <v>105</v>
      </c>
      <c r="P1265">
        <f t="shared" si="177"/>
        <v>0</v>
      </c>
      <c r="R1265">
        <f t="shared" si="178"/>
        <v>0</v>
      </c>
      <c r="S1265">
        <f t="shared" si="179"/>
        <v>0</v>
      </c>
      <c r="T1265">
        <f t="shared" si="180"/>
        <v>0</v>
      </c>
    </row>
    <row r="1266" spans="10:20" x14ac:dyDescent="0.25">
      <c r="J1266">
        <v>0.61539818089977083</v>
      </c>
      <c r="K1266">
        <f t="shared" si="181"/>
        <v>0</v>
      </c>
      <c r="L1266">
        <f t="shared" si="182"/>
        <v>0</v>
      </c>
      <c r="M1266">
        <f t="shared" si="176"/>
        <v>0</v>
      </c>
      <c r="N1266">
        <f t="shared" si="183"/>
        <v>6</v>
      </c>
      <c r="O1266">
        <f t="shared" si="184"/>
        <v>105</v>
      </c>
      <c r="P1266">
        <f t="shared" si="177"/>
        <v>0</v>
      </c>
      <c r="R1266">
        <f t="shared" si="178"/>
        <v>0</v>
      </c>
      <c r="S1266">
        <f t="shared" si="179"/>
        <v>0</v>
      </c>
      <c r="T1266">
        <f t="shared" si="180"/>
        <v>0</v>
      </c>
    </row>
    <row r="1267" spans="10:20" x14ac:dyDescent="0.25">
      <c r="J1267">
        <v>5.9849264611819497E-2</v>
      </c>
      <c r="K1267">
        <f t="shared" si="181"/>
        <v>1</v>
      </c>
      <c r="L1267">
        <f t="shared" si="182"/>
        <v>5.9849264611819497E-2</v>
      </c>
      <c r="M1267">
        <f t="shared" si="176"/>
        <v>1</v>
      </c>
      <c r="N1267">
        <f t="shared" si="183"/>
        <v>6</v>
      </c>
      <c r="O1267">
        <f t="shared" si="184"/>
        <v>105</v>
      </c>
      <c r="P1267">
        <f t="shared" si="177"/>
        <v>0</v>
      </c>
      <c r="R1267">
        <f t="shared" si="178"/>
        <v>0</v>
      </c>
      <c r="S1267">
        <f t="shared" si="179"/>
        <v>0</v>
      </c>
      <c r="T1267">
        <f t="shared" si="180"/>
        <v>0</v>
      </c>
    </row>
    <row r="1268" spans="10:20" x14ac:dyDescent="0.25">
      <c r="J1268">
        <v>8.4384240359196339E-2</v>
      </c>
      <c r="K1268">
        <f t="shared" si="181"/>
        <v>0</v>
      </c>
      <c r="L1268">
        <f t="shared" si="182"/>
        <v>0</v>
      </c>
      <c r="M1268">
        <f t="shared" si="176"/>
        <v>0</v>
      </c>
      <c r="N1268">
        <f t="shared" si="183"/>
        <v>7</v>
      </c>
      <c r="O1268">
        <f t="shared" si="184"/>
        <v>105</v>
      </c>
      <c r="P1268">
        <f t="shared" si="177"/>
        <v>0</v>
      </c>
      <c r="R1268">
        <f t="shared" si="178"/>
        <v>0</v>
      </c>
      <c r="S1268">
        <f t="shared" si="179"/>
        <v>0</v>
      </c>
      <c r="T1268">
        <f t="shared" si="180"/>
        <v>0</v>
      </c>
    </row>
    <row r="1269" spans="10:20" x14ac:dyDescent="0.25">
      <c r="J1269">
        <v>0.51759127445128317</v>
      </c>
      <c r="K1269">
        <f t="shared" si="181"/>
        <v>1</v>
      </c>
      <c r="L1269">
        <f t="shared" si="182"/>
        <v>0.51759127445128317</v>
      </c>
      <c r="M1269">
        <f t="shared" si="176"/>
        <v>1</v>
      </c>
      <c r="N1269">
        <f t="shared" si="183"/>
        <v>1</v>
      </c>
      <c r="O1269">
        <f t="shared" si="184"/>
        <v>106</v>
      </c>
      <c r="P1269">
        <f t="shared" si="177"/>
        <v>0</v>
      </c>
      <c r="R1269">
        <f t="shared" si="178"/>
        <v>0</v>
      </c>
      <c r="S1269">
        <f t="shared" si="179"/>
        <v>0</v>
      </c>
      <c r="T1269">
        <f t="shared" si="180"/>
        <v>0</v>
      </c>
    </row>
    <row r="1270" spans="10:20" x14ac:dyDescent="0.25">
      <c r="J1270">
        <v>0.13746491623037593</v>
      </c>
      <c r="K1270">
        <f t="shared" si="181"/>
        <v>0</v>
      </c>
      <c r="L1270">
        <f t="shared" si="182"/>
        <v>0</v>
      </c>
      <c r="M1270">
        <f t="shared" si="176"/>
        <v>0</v>
      </c>
      <c r="N1270">
        <f t="shared" si="183"/>
        <v>2</v>
      </c>
      <c r="O1270">
        <f t="shared" si="184"/>
        <v>106</v>
      </c>
      <c r="P1270">
        <f t="shared" si="177"/>
        <v>0</v>
      </c>
      <c r="R1270">
        <f t="shared" si="178"/>
        <v>0</v>
      </c>
      <c r="S1270">
        <f t="shared" si="179"/>
        <v>0</v>
      </c>
      <c r="T1270">
        <f t="shared" si="180"/>
        <v>0</v>
      </c>
    </row>
    <row r="1271" spans="10:20" x14ac:dyDescent="0.25">
      <c r="J1271">
        <v>0.25688007016217129</v>
      </c>
      <c r="K1271">
        <f t="shared" si="181"/>
        <v>1</v>
      </c>
      <c r="L1271">
        <f t="shared" si="182"/>
        <v>0.25688007016217129</v>
      </c>
      <c r="M1271">
        <f t="shared" si="176"/>
        <v>1</v>
      </c>
      <c r="N1271">
        <f t="shared" si="183"/>
        <v>2</v>
      </c>
      <c r="O1271">
        <f t="shared" si="184"/>
        <v>106</v>
      </c>
      <c r="P1271">
        <f t="shared" si="177"/>
        <v>0</v>
      </c>
      <c r="R1271">
        <f t="shared" si="178"/>
        <v>0</v>
      </c>
      <c r="S1271">
        <f t="shared" si="179"/>
        <v>0</v>
      </c>
      <c r="T1271">
        <f t="shared" si="180"/>
        <v>0</v>
      </c>
    </row>
    <row r="1272" spans="10:20" x14ac:dyDescent="0.25">
      <c r="J1272">
        <v>0.89958846578413365</v>
      </c>
      <c r="K1272">
        <f t="shared" si="181"/>
        <v>0</v>
      </c>
      <c r="L1272">
        <f t="shared" si="182"/>
        <v>0</v>
      </c>
      <c r="M1272">
        <f t="shared" si="176"/>
        <v>0</v>
      </c>
      <c r="N1272">
        <f t="shared" si="183"/>
        <v>3</v>
      </c>
      <c r="O1272">
        <f t="shared" si="184"/>
        <v>106</v>
      </c>
      <c r="P1272">
        <f t="shared" si="177"/>
        <v>0</v>
      </c>
      <c r="R1272">
        <f t="shared" si="178"/>
        <v>0</v>
      </c>
      <c r="S1272">
        <f t="shared" si="179"/>
        <v>0</v>
      </c>
      <c r="T1272">
        <f t="shared" si="180"/>
        <v>0</v>
      </c>
    </row>
    <row r="1273" spans="10:20" x14ac:dyDescent="0.25">
      <c r="J1273">
        <v>0.89564605599532698</v>
      </c>
      <c r="K1273">
        <f t="shared" si="181"/>
        <v>1</v>
      </c>
      <c r="L1273">
        <f t="shared" si="182"/>
        <v>0.89564605599532698</v>
      </c>
      <c r="M1273">
        <f t="shared" si="176"/>
        <v>1</v>
      </c>
      <c r="N1273">
        <f t="shared" si="183"/>
        <v>3</v>
      </c>
      <c r="O1273">
        <f t="shared" si="184"/>
        <v>106</v>
      </c>
      <c r="P1273">
        <f t="shared" si="177"/>
        <v>0</v>
      </c>
      <c r="R1273">
        <f t="shared" si="178"/>
        <v>0</v>
      </c>
      <c r="S1273">
        <f t="shared" si="179"/>
        <v>0</v>
      </c>
      <c r="T1273">
        <f t="shared" si="180"/>
        <v>0</v>
      </c>
    </row>
    <row r="1274" spans="10:20" x14ac:dyDescent="0.25">
      <c r="J1274">
        <v>0.62585284941853958</v>
      </c>
      <c r="K1274">
        <f t="shared" si="181"/>
        <v>0</v>
      </c>
      <c r="L1274">
        <f t="shared" si="182"/>
        <v>0</v>
      </c>
      <c r="M1274">
        <f t="shared" si="176"/>
        <v>0</v>
      </c>
      <c r="N1274">
        <f t="shared" si="183"/>
        <v>4</v>
      </c>
      <c r="O1274">
        <f t="shared" si="184"/>
        <v>106</v>
      </c>
      <c r="P1274">
        <f t="shared" si="177"/>
        <v>0</v>
      </c>
      <c r="R1274">
        <f t="shared" si="178"/>
        <v>0</v>
      </c>
      <c r="S1274">
        <f t="shared" si="179"/>
        <v>0</v>
      </c>
      <c r="T1274">
        <f t="shared" si="180"/>
        <v>0</v>
      </c>
    </row>
    <row r="1275" spans="10:20" x14ac:dyDescent="0.25">
      <c r="J1275">
        <v>0.88210072626728186</v>
      </c>
      <c r="K1275">
        <f t="shared" si="181"/>
        <v>1</v>
      </c>
      <c r="L1275">
        <f t="shared" si="182"/>
        <v>0.88210072626728186</v>
      </c>
      <c r="M1275">
        <f t="shared" si="176"/>
        <v>1</v>
      </c>
      <c r="N1275">
        <f t="shared" si="183"/>
        <v>4</v>
      </c>
      <c r="O1275">
        <f t="shared" si="184"/>
        <v>106</v>
      </c>
      <c r="P1275">
        <f t="shared" si="177"/>
        <v>0</v>
      </c>
      <c r="R1275">
        <f t="shared" si="178"/>
        <v>0</v>
      </c>
      <c r="S1275">
        <f t="shared" si="179"/>
        <v>0</v>
      </c>
      <c r="T1275">
        <f t="shared" si="180"/>
        <v>0</v>
      </c>
    </row>
    <row r="1276" spans="10:20" x14ac:dyDescent="0.25">
      <c r="J1276">
        <v>0.87868653290072862</v>
      </c>
      <c r="K1276">
        <f t="shared" si="181"/>
        <v>0</v>
      </c>
      <c r="L1276">
        <f t="shared" si="182"/>
        <v>0</v>
      </c>
      <c r="M1276">
        <f t="shared" si="176"/>
        <v>0</v>
      </c>
      <c r="N1276">
        <f t="shared" si="183"/>
        <v>5</v>
      </c>
      <c r="O1276">
        <f t="shared" si="184"/>
        <v>106</v>
      </c>
      <c r="P1276">
        <f t="shared" si="177"/>
        <v>0</v>
      </c>
      <c r="R1276">
        <f t="shared" si="178"/>
        <v>0</v>
      </c>
      <c r="S1276">
        <f t="shared" si="179"/>
        <v>0</v>
      </c>
      <c r="T1276">
        <f t="shared" si="180"/>
        <v>0</v>
      </c>
    </row>
    <row r="1277" spans="10:20" x14ac:dyDescent="0.25">
      <c r="J1277">
        <v>0.27952793680100452</v>
      </c>
      <c r="K1277">
        <f t="shared" si="181"/>
        <v>1</v>
      </c>
      <c r="L1277">
        <f t="shared" si="182"/>
        <v>0.27952793680100452</v>
      </c>
      <c r="M1277">
        <f t="shared" si="176"/>
        <v>1</v>
      </c>
      <c r="N1277">
        <f t="shared" si="183"/>
        <v>5</v>
      </c>
      <c r="O1277">
        <f t="shared" si="184"/>
        <v>106</v>
      </c>
      <c r="P1277">
        <f t="shared" si="177"/>
        <v>0</v>
      </c>
      <c r="R1277">
        <f t="shared" si="178"/>
        <v>0</v>
      </c>
      <c r="S1277">
        <f t="shared" si="179"/>
        <v>0</v>
      </c>
      <c r="T1277">
        <f t="shared" si="180"/>
        <v>0</v>
      </c>
    </row>
    <row r="1278" spans="10:20" x14ac:dyDescent="0.25">
      <c r="J1278">
        <v>0.9763264057735016</v>
      </c>
      <c r="K1278">
        <f t="shared" si="181"/>
        <v>0</v>
      </c>
      <c r="L1278">
        <f t="shared" si="182"/>
        <v>0</v>
      </c>
      <c r="M1278">
        <f t="shared" si="176"/>
        <v>0</v>
      </c>
      <c r="N1278">
        <f t="shared" si="183"/>
        <v>6</v>
      </c>
      <c r="O1278">
        <f t="shared" si="184"/>
        <v>106</v>
      </c>
      <c r="P1278">
        <f t="shared" si="177"/>
        <v>0</v>
      </c>
      <c r="R1278">
        <f t="shared" si="178"/>
        <v>0</v>
      </c>
      <c r="S1278">
        <f t="shared" si="179"/>
        <v>0</v>
      </c>
      <c r="T1278">
        <f t="shared" si="180"/>
        <v>0</v>
      </c>
    </row>
    <row r="1279" spans="10:20" x14ac:dyDescent="0.25">
      <c r="J1279">
        <v>0.44463766819098083</v>
      </c>
      <c r="K1279">
        <f t="shared" si="181"/>
        <v>1</v>
      </c>
      <c r="L1279">
        <f t="shared" si="182"/>
        <v>0.44463766819098083</v>
      </c>
      <c r="M1279">
        <f t="shared" si="176"/>
        <v>1</v>
      </c>
      <c r="N1279">
        <f t="shared" si="183"/>
        <v>6</v>
      </c>
      <c r="O1279">
        <f t="shared" si="184"/>
        <v>106</v>
      </c>
      <c r="P1279">
        <f t="shared" si="177"/>
        <v>0</v>
      </c>
      <c r="R1279">
        <f t="shared" si="178"/>
        <v>0</v>
      </c>
      <c r="S1279">
        <f t="shared" si="179"/>
        <v>0</v>
      </c>
      <c r="T1279">
        <f t="shared" si="180"/>
        <v>0</v>
      </c>
    </row>
    <row r="1280" spans="10:20" x14ac:dyDescent="0.25">
      <c r="J1280">
        <v>0.96887257493612022</v>
      </c>
      <c r="K1280">
        <f t="shared" si="181"/>
        <v>0</v>
      </c>
      <c r="L1280">
        <f t="shared" si="182"/>
        <v>0</v>
      </c>
      <c r="M1280">
        <f t="shared" si="176"/>
        <v>0</v>
      </c>
      <c r="N1280">
        <f t="shared" si="183"/>
        <v>7</v>
      </c>
      <c r="O1280">
        <f t="shared" si="184"/>
        <v>106</v>
      </c>
      <c r="P1280">
        <f t="shared" si="177"/>
        <v>0</v>
      </c>
      <c r="R1280">
        <f t="shared" si="178"/>
        <v>0</v>
      </c>
      <c r="S1280">
        <f t="shared" si="179"/>
        <v>0</v>
      </c>
      <c r="T1280">
        <f t="shared" si="180"/>
        <v>0</v>
      </c>
    </row>
    <row r="1281" spans="10:20" x14ac:dyDescent="0.25">
      <c r="J1281">
        <v>0.69407521169385311</v>
      </c>
      <c r="K1281">
        <f t="shared" si="181"/>
        <v>1</v>
      </c>
      <c r="L1281">
        <f t="shared" si="182"/>
        <v>0.69407521169385311</v>
      </c>
      <c r="M1281">
        <f t="shared" si="176"/>
        <v>1</v>
      </c>
      <c r="N1281">
        <f t="shared" si="183"/>
        <v>1</v>
      </c>
      <c r="O1281">
        <f t="shared" si="184"/>
        <v>107</v>
      </c>
      <c r="P1281">
        <f t="shared" si="177"/>
        <v>0</v>
      </c>
      <c r="R1281">
        <f t="shared" si="178"/>
        <v>0</v>
      </c>
      <c r="S1281">
        <f t="shared" si="179"/>
        <v>0</v>
      </c>
      <c r="T1281">
        <f t="shared" si="180"/>
        <v>0</v>
      </c>
    </row>
    <row r="1282" spans="10:20" x14ac:dyDescent="0.25">
      <c r="J1282">
        <v>0.34244069366543606</v>
      </c>
      <c r="K1282">
        <f t="shared" si="181"/>
        <v>0</v>
      </c>
      <c r="L1282">
        <f t="shared" si="182"/>
        <v>0</v>
      </c>
      <c r="M1282">
        <f t="shared" si="176"/>
        <v>0</v>
      </c>
      <c r="N1282">
        <f t="shared" si="183"/>
        <v>2</v>
      </c>
      <c r="O1282">
        <f t="shared" si="184"/>
        <v>107</v>
      </c>
      <c r="P1282">
        <f t="shared" si="177"/>
        <v>0</v>
      </c>
      <c r="R1282">
        <f t="shared" si="178"/>
        <v>0</v>
      </c>
      <c r="S1282">
        <f t="shared" si="179"/>
        <v>0</v>
      </c>
      <c r="T1282">
        <f t="shared" si="180"/>
        <v>0</v>
      </c>
    </row>
    <row r="1283" spans="10:20" x14ac:dyDescent="0.25">
      <c r="J1283">
        <v>0.2986534782165331</v>
      </c>
      <c r="K1283">
        <f t="shared" si="181"/>
        <v>1</v>
      </c>
      <c r="L1283">
        <f t="shared" si="182"/>
        <v>0.2986534782165331</v>
      </c>
      <c r="M1283">
        <f t="shared" si="176"/>
        <v>1</v>
      </c>
      <c r="N1283">
        <f t="shared" si="183"/>
        <v>2</v>
      </c>
      <c r="O1283">
        <f t="shared" si="184"/>
        <v>107</v>
      </c>
      <c r="P1283">
        <f t="shared" si="177"/>
        <v>0</v>
      </c>
      <c r="R1283">
        <f t="shared" si="178"/>
        <v>0</v>
      </c>
      <c r="S1283">
        <f t="shared" si="179"/>
        <v>0</v>
      </c>
      <c r="T1283">
        <f t="shared" si="180"/>
        <v>0</v>
      </c>
    </row>
    <row r="1284" spans="10:20" x14ac:dyDescent="0.25">
      <c r="J1284">
        <v>0.58420773793037306</v>
      </c>
      <c r="K1284">
        <f t="shared" si="181"/>
        <v>0</v>
      </c>
      <c r="L1284">
        <f t="shared" si="182"/>
        <v>0</v>
      </c>
      <c r="M1284">
        <f t="shared" si="176"/>
        <v>0</v>
      </c>
      <c r="N1284">
        <f t="shared" si="183"/>
        <v>3</v>
      </c>
      <c r="O1284">
        <f t="shared" si="184"/>
        <v>107</v>
      </c>
      <c r="P1284">
        <f t="shared" si="177"/>
        <v>0</v>
      </c>
      <c r="R1284">
        <f t="shared" si="178"/>
        <v>0</v>
      </c>
      <c r="S1284">
        <f t="shared" si="179"/>
        <v>0</v>
      </c>
      <c r="T1284">
        <f t="shared" si="180"/>
        <v>0</v>
      </c>
    </row>
    <row r="1285" spans="10:20" x14ac:dyDescent="0.25">
      <c r="J1285">
        <v>0.38278076248617443</v>
      </c>
      <c r="K1285">
        <f t="shared" si="181"/>
        <v>1</v>
      </c>
      <c r="L1285">
        <f t="shared" si="182"/>
        <v>0.38278076248617443</v>
      </c>
      <c r="M1285">
        <f t="shared" si="176"/>
        <v>1</v>
      </c>
      <c r="N1285">
        <f t="shared" si="183"/>
        <v>3</v>
      </c>
      <c r="O1285">
        <f t="shared" si="184"/>
        <v>107</v>
      </c>
      <c r="P1285">
        <f t="shared" si="177"/>
        <v>0</v>
      </c>
      <c r="R1285">
        <f t="shared" si="178"/>
        <v>0</v>
      </c>
      <c r="S1285">
        <f t="shared" si="179"/>
        <v>0</v>
      </c>
      <c r="T1285">
        <f t="shared" si="180"/>
        <v>0</v>
      </c>
    </row>
    <row r="1286" spans="10:20" x14ac:dyDescent="0.25">
      <c r="J1286">
        <v>0.79425217596636188</v>
      </c>
      <c r="K1286">
        <f t="shared" si="181"/>
        <v>0</v>
      </c>
      <c r="L1286">
        <f t="shared" si="182"/>
        <v>0</v>
      </c>
      <c r="M1286">
        <f t="shared" si="176"/>
        <v>0</v>
      </c>
      <c r="N1286">
        <f t="shared" si="183"/>
        <v>4</v>
      </c>
      <c r="O1286">
        <f t="shared" si="184"/>
        <v>107</v>
      </c>
      <c r="P1286">
        <f t="shared" si="177"/>
        <v>0</v>
      </c>
      <c r="R1286">
        <f t="shared" si="178"/>
        <v>0</v>
      </c>
      <c r="S1286">
        <f t="shared" si="179"/>
        <v>0</v>
      </c>
      <c r="T1286">
        <f t="shared" si="180"/>
        <v>0</v>
      </c>
    </row>
    <row r="1287" spans="10:20" x14ac:dyDescent="0.25">
      <c r="J1287">
        <v>0.66027157789693791</v>
      </c>
      <c r="K1287">
        <f t="shared" si="181"/>
        <v>1</v>
      </c>
      <c r="L1287">
        <f t="shared" si="182"/>
        <v>0.66027157789693791</v>
      </c>
      <c r="M1287">
        <f t="shared" si="176"/>
        <v>1</v>
      </c>
      <c r="N1287">
        <f t="shared" si="183"/>
        <v>4</v>
      </c>
      <c r="O1287">
        <f t="shared" si="184"/>
        <v>107</v>
      </c>
      <c r="P1287">
        <f t="shared" si="177"/>
        <v>0</v>
      </c>
      <c r="R1287">
        <f t="shared" si="178"/>
        <v>0</v>
      </c>
      <c r="S1287">
        <f t="shared" si="179"/>
        <v>0</v>
      </c>
      <c r="T1287">
        <f t="shared" si="180"/>
        <v>0</v>
      </c>
    </row>
    <row r="1288" spans="10:20" x14ac:dyDescent="0.25">
      <c r="J1288">
        <v>0.75326512949587188</v>
      </c>
      <c r="K1288">
        <f t="shared" si="181"/>
        <v>0</v>
      </c>
      <c r="L1288">
        <f t="shared" si="182"/>
        <v>0</v>
      </c>
      <c r="M1288">
        <f t="shared" ref="M1288:M1351" si="185">IF(L1288&gt;$M$2,1,0)</f>
        <v>0</v>
      </c>
      <c r="N1288">
        <f t="shared" si="183"/>
        <v>5</v>
      </c>
      <c r="O1288">
        <f t="shared" si="184"/>
        <v>107</v>
      </c>
      <c r="P1288">
        <f t="shared" ref="P1288:P1351" si="186">IF(INDEX($B$7:$H$1029,O1288,2)&gt;0,1,0)</f>
        <v>0</v>
      </c>
      <c r="R1288">
        <f t="shared" ref="R1288:R1351" si="187">IF(  M1288&gt;0,INDEX($B$7:$H$1029,O1288,N1288),0)*P1288</f>
        <v>0</v>
      </c>
      <c r="S1288">
        <f t="shared" ref="S1288:S1351" si="188">M1288*P1288</f>
        <v>0</v>
      </c>
      <c r="T1288">
        <f t="shared" ref="T1288:T1351" si="189">IF(N1289=$N$2,1,0)*P1288</f>
        <v>0</v>
      </c>
    </row>
    <row r="1289" spans="10:20" x14ac:dyDescent="0.25">
      <c r="J1289">
        <v>0.48364310731182758</v>
      </c>
      <c r="K1289">
        <f t="shared" si="181"/>
        <v>1</v>
      </c>
      <c r="L1289">
        <f t="shared" si="182"/>
        <v>0.48364310731182758</v>
      </c>
      <c r="M1289">
        <f t="shared" si="185"/>
        <v>1</v>
      </c>
      <c r="N1289">
        <f t="shared" si="183"/>
        <v>5</v>
      </c>
      <c r="O1289">
        <f t="shared" si="184"/>
        <v>107</v>
      </c>
      <c r="P1289">
        <f t="shared" si="186"/>
        <v>0</v>
      </c>
      <c r="R1289">
        <f t="shared" si="187"/>
        <v>0</v>
      </c>
      <c r="S1289">
        <f t="shared" si="188"/>
        <v>0</v>
      </c>
      <c r="T1289">
        <f t="shared" si="189"/>
        <v>0</v>
      </c>
    </row>
    <row r="1290" spans="10:20" x14ac:dyDescent="0.25">
      <c r="J1290">
        <v>0.74568692629103861</v>
      </c>
      <c r="K1290">
        <f t="shared" si="181"/>
        <v>0</v>
      </c>
      <c r="L1290">
        <f t="shared" si="182"/>
        <v>0</v>
      </c>
      <c r="M1290">
        <f t="shared" si="185"/>
        <v>0</v>
      </c>
      <c r="N1290">
        <f t="shared" si="183"/>
        <v>6</v>
      </c>
      <c r="O1290">
        <f t="shared" si="184"/>
        <v>107</v>
      </c>
      <c r="P1290">
        <f t="shared" si="186"/>
        <v>0</v>
      </c>
      <c r="R1290">
        <f t="shared" si="187"/>
        <v>0</v>
      </c>
      <c r="S1290">
        <f t="shared" si="188"/>
        <v>0</v>
      </c>
      <c r="T1290">
        <f t="shared" si="189"/>
        <v>0</v>
      </c>
    </row>
    <row r="1291" spans="10:20" x14ac:dyDescent="0.25">
      <c r="J1291">
        <v>0.92796172504221053</v>
      </c>
      <c r="K1291">
        <f t="shared" si="181"/>
        <v>1</v>
      </c>
      <c r="L1291">
        <f t="shared" si="182"/>
        <v>0.92796172504221053</v>
      </c>
      <c r="M1291">
        <f t="shared" si="185"/>
        <v>1</v>
      </c>
      <c r="N1291">
        <f t="shared" si="183"/>
        <v>6</v>
      </c>
      <c r="O1291">
        <f t="shared" si="184"/>
        <v>107</v>
      </c>
      <c r="P1291">
        <f t="shared" si="186"/>
        <v>0</v>
      </c>
      <c r="R1291">
        <f t="shared" si="187"/>
        <v>0</v>
      </c>
      <c r="S1291">
        <f t="shared" si="188"/>
        <v>0</v>
      </c>
      <c r="T1291">
        <f t="shared" si="189"/>
        <v>0</v>
      </c>
    </row>
    <row r="1292" spans="10:20" x14ac:dyDescent="0.25">
      <c r="J1292">
        <v>3.1575096486322174E-2</v>
      </c>
      <c r="K1292">
        <f t="shared" si="181"/>
        <v>0</v>
      </c>
      <c r="L1292">
        <f t="shared" si="182"/>
        <v>0</v>
      </c>
      <c r="M1292">
        <f t="shared" si="185"/>
        <v>0</v>
      </c>
      <c r="N1292">
        <f t="shared" si="183"/>
        <v>7</v>
      </c>
      <c r="O1292">
        <f t="shared" si="184"/>
        <v>107</v>
      </c>
      <c r="P1292">
        <f t="shared" si="186"/>
        <v>0</v>
      </c>
      <c r="R1292">
        <f t="shared" si="187"/>
        <v>0</v>
      </c>
      <c r="S1292">
        <f t="shared" si="188"/>
        <v>0</v>
      </c>
      <c r="T1292">
        <f t="shared" si="189"/>
        <v>0</v>
      </c>
    </row>
    <row r="1293" spans="10:20" x14ac:dyDescent="0.25">
      <c r="J1293">
        <v>0.57685092043082886</v>
      </c>
      <c r="K1293">
        <f t="shared" si="181"/>
        <v>1</v>
      </c>
      <c r="L1293">
        <f t="shared" si="182"/>
        <v>0.57685092043082886</v>
      </c>
      <c r="M1293">
        <f t="shared" si="185"/>
        <v>1</v>
      </c>
      <c r="N1293">
        <f t="shared" si="183"/>
        <v>1</v>
      </c>
      <c r="O1293">
        <f t="shared" si="184"/>
        <v>108</v>
      </c>
      <c r="P1293">
        <f t="shared" si="186"/>
        <v>0</v>
      </c>
      <c r="R1293">
        <f t="shared" si="187"/>
        <v>0</v>
      </c>
      <c r="S1293">
        <f t="shared" si="188"/>
        <v>0</v>
      </c>
      <c r="T1293">
        <f t="shared" si="189"/>
        <v>0</v>
      </c>
    </row>
    <row r="1294" spans="10:20" x14ac:dyDescent="0.25">
      <c r="J1294">
        <v>0.12088689022376908</v>
      </c>
      <c r="K1294">
        <f t="shared" si="181"/>
        <v>0</v>
      </c>
      <c r="L1294">
        <f t="shared" si="182"/>
        <v>0</v>
      </c>
      <c r="M1294">
        <f t="shared" si="185"/>
        <v>0</v>
      </c>
      <c r="N1294">
        <f t="shared" si="183"/>
        <v>2</v>
      </c>
      <c r="O1294">
        <f t="shared" si="184"/>
        <v>108</v>
      </c>
      <c r="P1294">
        <f t="shared" si="186"/>
        <v>0</v>
      </c>
      <c r="R1294">
        <f t="shared" si="187"/>
        <v>0</v>
      </c>
      <c r="S1294">
        <f t="shared" si="188"/>
        <v>0</v>
      </c>
      <c r="T1294">
        <f t="shared" si="189"/>
        <v>0</v>
      </c>
    </row>
    <row r="1295" spans="10:20" x14ac:dyDescent="0.25">
      <c r="J1295">
        <v>0.53119062908297221</v>
      </c>
      <c r="K1295">
        <f t="shared" si="181"/>
        <v>1</v>
      </c>
      <c r="L1295">
        <f t="shared" si="182"/>
        <v>0.53119062908297221</v>
      </c>
      <c r="M1295">
        <f t="shared" si="185"/>
        <v>1</v>
      </c>
      <c r="N1295">
        <f t="shared" si="183"/>
        <v>2</v>
      </c>
      <c r="O1295">
        <f t="shared" si="184"/>
        <v>108</v>
      </c>
      <c r="P1295">
        <f t="shared" si="186"/>
        <v>0</v>
      </c>
      <c r="R1295">
        <f t="shared" si="187"/>
        <v>0</v>
      </c>
      <c r="S1295">
        <f t="shared" si="188"/>
        <v>0</v>
      </c>
      <c r="T1295">
        <f t="shared" si="189"/>
        <v>0</v>
      </c>
    </row>
    <row r="1296" spans="10:20" x14ac:dyDescent="0.25">
      <c r="J1296">
        <v>0.29272151906831756</v>
      </c>
      <c r="K1296">
        <f t="shared" si="181"/>
        <v>0</v>
      </c>
      <c r="L1296">
        <f t="shared" si="182"/>
        <v>0</v>
      </c>
      <c r="M1296">
        <f t="shared" si="185"/>
        <v>0</v>
      </c>
      <c r="N1296">
        <f t="shared" si="183"/>
        <v>3</v>
      </c>
      <c r="O1296">
        <f t="shared" si="184"/>
        <v>108</v>
      </c>
      <c r="P1296">
        <f t="shared" si="186"/>
        <v>0</v>
      </c>
      <c r="R1296">
        <f t="shared" si="187"/>
        <v>0</v>
      </c>
      <c r="S1296">
        <f t="shared" si="188"/>
        <v>0</v>
      </c>
      <c r="T1296">
        <f t="shared" si="189"/>
        <v>0</v>
      </c>
    </row>
    <row r="1297" spans="10:20" x14ac:dyDescent="0.25">
      <c r="J1297">
        <v>0.81981676613927057</v>
      </c>
      <c r="K1297">
        <f t="shared" si="181"/>
        <v>1</v>
      </c>
      <c r="L1297">
        <f t="shared" si="182"/>
        <v>0.81981676613927057</v>
      </c>
      <c r="M1297">
        <f t="shared" si="185"/>
        <v>1</v>
      </c>
      <c r="N1297">
        <f t="shared" si="183"/>
        <v>3</v>
      </c>
      <c r="O1297">
        <f t="shared" si="184"/>
        <v>108</v>
      </c>
      <c r="P1297">
        <f t="shared" si="186"/>
        <v>0</v>
      </c>
      <c r="R1297">
        <f t="shared" si="187"/>
        <v>0</v>
      </c>
      <c r="S1297">
        <f t="shared" si="188"/>
        <v>0</v>
      </c>
      <c r="T1297">
        <f t="shared" si="189"/>
        <v>0</v>
      </c>
    </row>
    <row r="1298" spans="10:20" x14ac:dyDescent="0.25">
      <c r="J1298">
        <v>0.71945180135009945</v>
      </c>
      <c r="K1298">
        <f t="shared" si="181"/>
        <v>0</v>
      </c>
      <c r="L1298">
        <f t="shared" si="182"/>
        <v>0</v>
      </c>
      <c r="M1298">
        <f t="shared" si="185"/>
        <v>0</v>
      </c>
      <c r="N1298">
        <f t="shared" si="183"/>
        <v>4</v>
      </c>
      <c r="O1298">
        <f t="shared" si="184"/>
        <v>108</v>
      </c>
      <c r="P1298">
        <f t="shared" si="186"/>
        <v>0</v>
      </c>
      <c r="R1298">
        <f t="shared" si="187"/>
        <v>0</v>
      </c>
      <c r="S1298">
        <f t="shared" si="188"/>
        <v>0</v>
      </c>
      <c r="T1298">
        <f t="shared" si="189"/>
        <v>0</v>
      </c>
    </row>
    <row r="1299" spans="10:20" x14ac:dyDescent="0.25">
      <c r="J1299">
        <v>0.64050955780456076</v>
      </c>
      <c r="K1299">
        <f t="shared" si="181"/>
        <v>1</v>
      </c>
      <c r="L1299">
        <f t="shared" si="182"/>
        <v>0.64050955780456076</v>
      </c>
      <c r="M1299">
        <f t="shared" si="185"/>
        <v>1</v>
      </c>
      <c r="N1299">
        <f t="shared" si="183"/>
        <v>4</v>
      </c>
      <c r="O1299">
        <f t="shared" si="184"/>
        <v>108</v>
      </c>
      <c r="P1299">
        <f t="shared" si="186"/>
        <v>0</v>
      </c>
      <c r="R1299">
        <f t="shared" si="187"/>
        <v>0</v>
      </c>
      <c r="S1299">
        <f t="shared" si="188"/>
        <v>0</v>
      </c>
      <c r="T1299">
        <f t="shared" si="189"/>
        <v>0</v>
      </c>
    </row>
    <row r="1300" spans="10:20" x14ac:dyDescent="0.25">
      <c r="J1300">
        <v>3.1181467670851615E-2</v>
      </c>
      <c r="K1300">
        <f t="shared" si="181"/>
        <v>0</v>
      </c>
      <c r="L1300">
        <f t="shared" si="182"/>
        <v>0</v>
      </c>
      <c r="M1300">
        <f t="shared" si="185"/>
        <v>0</v>
      </c>
      <c r="N1300">
        <f t="shared" si="183"/>
        <v>5</v>
      </c>
      <c r="O1300">
        <f t="shared" si="184"/>
        <v>108</v>
      </c>
      <c r="P1300">
        <f t="shared" si="186"/>
        <v>0</v>
      </c>
      <c r="R1300">
        <f t="shared" si="187"/>
        <v>0</v>
      </c>
      <c r="S1300">
        <f t="shared" si="188"/>
        <v>0</v>
      </c>
      <c r="T1300">
        <f t="shared" si="189"/>
        <v>0</v>
      </c>
    </row>
    <row r="1301" spans="10:20" x14ac:dyDescent="0.25">
      <c r="J1301">
        <v>0.58747488675777693</v>
      </c>
      <c r="K1301">
        <f t="shared" si="181"/>
        <v>1</v>
      </c>
      <c r="L1301">
        <f t="shared" si="182"/>
        <v>0.58747488675777693</v>
      </c>
      <c r="M1301">
        <f t="shared" si="185"/>
        <v>1</v>
      </c>
      <c r="N1301">
        <f t="shared" si="183"/>
        <v>5</v>
      </c>
      <c r="O1301">
        <f t="shared" si="184"/>
        <v>108</v>
      </c>
      <c r="P1301">
        <f t="shared" si="186"/>
        <v>0</v>
      </c>
      <c r="R1301">
        <f t="shared" si="187"/>
        <v>0</v>
      </c>
      <c r="S1301">
        <f t="shared" si="188"/>
        <v>0</v>
      </c>
      <c r="T1301">
        <f t="shared" si="189"/>
        <v>0</v>
      </c>
    </row>
    <row r="1302" spans="10:20" x14ac:dyDescent="0.25">
      <c r="J1302">
        <v>0.83170922239309752</v>
      </c>
      <c r="K1302">
        <f t="shared" si="181"/>
        <v>0</v>
      </c>
      <c r="L1302">
        <f t="shared" si="182"/>
        <v>0</v>
      </c>
      <c r="M1302">
        <f t="shared" si="185"/>
        <v>0</v>
      </c>
      <c r="N1302">
        <f t="shared" si="183"/>
        <v>6</v>
      </c>
      <c r="O1302">
        <f t="shared" si="184"/>
        <v>108</v>
      </c>
      <c r="P1302">
        <f t="shared" si="186"/>
        <v>0</v>
      </c>
      <c r="R1302">
        <f t="shared" si="187"/>
        <v>0</v>
      </c>
      <c r="S1302">
        <f t="shared" si="188"/>
        <v>0</v>
      </c>
      <c r="T1302">
        <f t="shared" si="189"/>
        <v>0</v>
      </c>
    </row>
    <row r="1303" spans="10:20" x14ac:dyDescent="0.25">
      <c r="J1303">
        <v>0.96876264221510011</v>
      </c>
      <c r="K1303">
        <f t="shared" si="181"/>
        <v>1</v>
      </c>
      <c r="L1303">
        <f t="shared" si="182"/>
        <v>0.96876264221510011</v>
      </c>
      <c r="M1303">
        <f t="shared" si="185"/>
        <v>1</v>
      </c>
      <c r="N1303">
        <f t="shared" si="183"/>
        <v>6</v>
      </c>
      <c r="O1303">
        <f t="shared" si="184"/>
        <v>108</v>
      </c>
      <c r="P1303">
        <f t="shared" si="186"/>
        <v>0</v>
      </c>
      <c r="R1303">
        <f t="shared" si="187"/>
        <v>0</v>
      </c>
      <c r="S1303">
        <f t="shared" si="188"/>
        <v>0</v>
      </c>
      <c r="T1303">
        <f t="shared" si="189"/>
        <v>0</v>
      </c>
    </row>
    <row r="1304" spans="10:20" x14ac:dyDescent="0.25">
      <c r="J1304">
        <v>0.91679265445757963</v>
      </c>
      <c r="K1304">
        <f t="shared" ref="K1304:K1367" si="190">IF(K1303=1,0,1)</f>
        <v>0</v>
      </c>
      <c r="L1304">
        <f t="shared" ref="L1304:L1367" si="191">K1304*J1304</f>
        <v>0</v>
      </c>
      <c r="M1304">
        <f t="shared" si="185"/>
        <v>0</v>
      </c>
      <c r="N1304">
        <f t="shared" ref="N1304:N1367" si="192">IF(N1303&lt;$N$2,N1303+M1303,1)</f>
        <v>7</v>
      </c>
      <c r="O1304">
        <f t="shared" ref="O1304:O1367" si="193">IF(AND(N1304=1,M1304=1),O1303+1,O1303)</f>
        <v>108</v>
      </c>
      <c r="P1304">
        <f t="shared" si="186"/>
        <v>0</v>
      </c>
      <c r="R1304">
        <f t="shared" si="187"/>
        <v>0</v>
      </c>
      <c r="S1304">
        <f t="shared" si="188"/>
        <v>0</v>
      </c>
      <c r="T1304">
        <f t="shared" si="189"/>
        <v>0</v>
      </c>
    </row>
    <row r="1305" spans="10:20" x14ac:dyDescent="0.25">
      <c r="J1305">
        <v>0.24889096799683696</v>
      </c>
      <c r="K1305">
        <f t="shared" si="190"/>
        <v>1</v>
      </c>
      <c r="L1305">
        <f t="shared" si="191"/>
        <v>0.24889096799683696</v>
      </c>
      <c r="M1305">
        <f t="shared" si="185"/>
        <v>1</v>
      </c>
      <c r="N1305">
        <f t="shared" si="192"/>
        <v>1</v>
      </c>
      <c r="O1305">
        <f t="shared" si="193"/>
        <v>109</v>
      </c>
      <c r="P1305">
        <f t="shared" si="186"/>
        <v>0</v>
      </c>
      <c r="R1305">
        <f t="shared" si="187"/>
        <v>0</v>
      </c>
      <c r="S1305">
        <f t="shared" si="188"/>
        <v>0</v>
      </c>
      <c r="T1305">
        <f t="shared" si="189"/>
        <v>0</v>
      </c>
    </row>
    <row r="1306" spans="10:20" x14ac:dyDescent="0.25">
      <c r="J1306">
        <v>4.6138891962265949E-2</v>
      </c>
      <c r="K1306">
        <f t="shared" si="190"/>
        <v>0</v>
      </c>
      <c r="L1306">
        <f t="shared" si="191"/>
        <v>0</v>
      </c>
      <c r="M1306">
        <f t="shared" si="185"/>
        <v>0</v>
      </c>
      <c r="N1306">
        <f t="shared" si="192"/>
        <v>2</v>
      </c>
      <c r="O1306">
        <f t="shared" si="193"/>
        <v>109</v>
      </c>
      <c r="P1306">
        <f t="shared" si="186"/>
        <v>0</v>
      </c>
      <c r="R1306">
        <f t="shared" si="187"/>
        <v>0</v>
      </c>
      <c r="S1306">
        <f t="shared" si="188"/>
        <v>0</v>
      </c>
      <c r="T1306">
        <f t="shared" si="189"/>
        <v>0</v>
      </c>
    </row>
    <row r="1307" spans="10:20" x14ac:dyDescent="0.25">
      <c r="J1307">
        <v>0.92802875534061324</v>
      </c>
      <c r="K1307">
        <f t="shared" si="190"/>
        <v>1</v>
      </c>
      <c r="L1307">
        <f t="shared" si="191"/>
        <v>0.92802875534061324</v>
      </c>
      <c r="M1307">
        <f t="shared" si="185"/>
        <v>1</v>
      </c>
      <c r="N1307">
        <f t="shared" si="192"/>
        <v>2</v>
      </c>
      <c r="O1307">
        <f t="shared" si="193"/>
        <v>109</v>
      </c>
      <c r="P1307">
        <f t="shared" si="186"/>
        <v>0</v>
      </c>
      <c r="R1307">
        <f t="shared" si="187"/>
        <v>0</v>
      </c>
      <c r="S1307">
        <f t="shared" si="188"/>
        <v>0</v>
      </c>
      <c r="T1307">
        <f t="shared" si="189"/>
        <v>0</v>
      </c>
    </row>
    <row r="1308" spans="10:20" x14ac:dyDescent="0.25">
      <c r="J1308">
        <v>0.49537340885313552</v>
      </c>
      <c r="K1308">
        <f t="shared" si="190"/>
        <v>0</v>
      </c>
      <c r="L1308">
        <f t="shared" si="191"/>
        <v>0</v>
      </c>
      <c r="M1308">
        <f t="shared" si="185"/>
        <v>0</v>
      </c>
      <c r="N1308">
        <f t="shared" si="192"/>
        <v>3</v>
      </c>
      <c r="O1308">
        <f t="shared" si="193"/>
        <v>109</v>
      </c>
      <c r="P1308">
        <f t="shared" si="186"/>
        <v>0</v>
      </c>
      <c r="R1308">
        <f t="shared" si="187"/>
        <v>0</v>
      </c>
      <c r="S1308">
        <f t="shared" si="188"/>
        <v>0</v>
      </c>
      <c r="T1308">
        <f t="shared" si="189"/>
        <v>0</v>
      </c>
    </row>
    <row r="1309" spans="10:20" x14ac:dyDescent="0.25">
      <c r="J1309">
        <v>0.26904660035019212</v>
      </c>
      <c r="K1309">
        <f t="shared" si="190"/>
        <v>1</v>
      </c>
      <c r="L1309">
        <f t="shared" si="191"/>
        <v>0.26904660035019212</v>
      </c>
      <c r="M1309">
        <f t="shared" si="185"/>
        <v>1</v>
      </c>
      <c r="N1309">
        <f t="shared" si="192"/>
        <v>3</v>
      </c>
      <c r="O1309">
        <f t="shared" si="193"/>
        <v>109</v>
      </c>
      <c r="P1309">
        <f t="shared" si="186"/>
        <v>0</v>
      </c>
      <c r="R1309">
        <f t="shared" si="187"/>
        <v>0</v>
      </c>
      <c r="S1309">
        <f t="shared" si="188"/>
        <v>0</v>
      </c>
      <c r="T1309">
        <f t="shared" si="189"/>
        <v>0</v>
      </c>
    </row>
    <row r="1310" spans="10:20" x14ac:dyDescent="0.25">
      <c r="J1310">
        <v>0.62629689823047074</v>
      </c>
      <c r="K1310">
        <f t="shared" si="190"/>
        <v>0</v>
      </c>
      <c r="L1310">
        <f t="shared" si="191"/>
        <v>0</v>
      </c>
      <c r="M1310">
        <f t="shared" si="185"/>
        <v>0</v>
      </c>
      <c r="N1310">
        <f t="shared" si="192"/>
        <v>4</v>
      </c>
      <c r="O1310">
        <f t="shared" si="193"/>
        <v>109</v>
      </c>
      <c r="P1310">
        <f t="shared" si="186"/>
        <v>0</v>
      </c>
      <c r="R1310">
        <f t="shared" si="187"/>
        <v>0</v>
      </c>
      <c r="S1310">
        <f t="shared" si="188"/>
        <v>0</v>
      </c>
      <c r="T1310">
        <f t="shared" si="189"/>
        <v>0</v>
      </c>
    </row>
    <row r="1311" spans="10:20" x14ac:dyDescent="0.25">
      <c r="J1311">
        <v>0.2011026674123938</v>
      </c>
      <c r="K1311">
        <f t="shared" si="190"/>
        <v>1</v>
      </c>
      <c r="L1311">
        <f t="shared" si="191"/>
        <v>0.2011026674123938</v>
      </c>
      <c r="M1311">
        <f t="shared" si="185"/>
        <v>1</v>
      </c>
      <c r="N1311">
        <f t="shared" si="192"/>
        <v>4</v>
      </c>
      <c r="O1311">
        <f t="shared" si="193"/>
        <v>109</v>
      </c>
      <c r="P1311">
        <f t="shared" si="186"/>
        <v>0</v>
      </c>
      <c r="R1311">
        <f t="shared" si="187"/>
        <v>0</v>
      </c>
      <c r="S1311">
        <f t="shared" si="188"/>
        <v>0</v>
      </c>
      <c r="T1311">
        <f t="shared" si="189"/>
        <v>0</v>
      </c>
    </row>
    <row r="1312" spans="10:20" x14ac:dyDescent="0.25">
      <c r="J1312">
        <v>0.6618335136506196</v>
      </c>
      <c r="K1312">
        <f t="shared" si="190"/>
        <v>0</v>
      </c>
      <c r="L1312">
        <f t="shared" si="191"/>
        <v>0</v>
      </c>
      <c r="M1312">
        <f t="shared" si="185"/>
        <v>0</v>
      </c>
      <c r="N1312">
        <f t="shared" si="192"/>
        <v>5</v>
      </c>
      <c r="O1312">
        <f t="shared" si="193"/>
        <v>109</v>
      </c>
      <c r="P1312">
        <f t="shared" si="186"/>
        <v>0</v>
      </c>
      <c r="R1312">
        <f t="shared" si="187"/>
        <v>0</v>
      </c>
      <c r="S1312">
        <f t="shared" si="188"/>
        <v>0</v>
      </c>
      <c r="T1312">
        <f t="shared" si="189"/>
        <v>0</v>
      </c>
    </row>
    <row r="1313" spans="10:20" x14ac:dyDescent="0.25">
      <c r="J1313">
        <v>1.6223601978258007E-3</v>
      </c>
      <c r="K1313">
        <f t="shared" si="190"/>
        <v>1</v>
      </c>
      <c r="L1313">
        <f t="shared" si="191"/>
        <v>1.6223601978258007E-3</v>
      </c>
      <c r="M1313">
        <f t="shared" si="185"/>
        <v>1</v>
      </c>
      <c r="N1313">
        <f t="shared" si="192"/>
        <v>5</v>
      </c>
      <c r="O1313">
        <f t="shared" si="193"/>
        <v>109</v>
      </c>
      <c r="P1313">
        <f t="shared" si="186"/>
        <v>0</v>
      </c>
      <c r="R1313">
        <f t="shared" si="187"/>
        <v>0</v>
      </c>
      <c r="S1313">
        <f t="shared" si="188"/>
        <v>0</v>
      </c>
      <c r="T1313">
        <f t="shared" si="189"/>
        <v>0</v>
      </c>
    </row>
    <row r="1314" spans="10:20" x14ac:dyDescent="0.25">
      <c r="J1314">
        <v>0.67057565139957342</v>
      </c>
      <c r="K1314">
        <f t="shared" si="190"/>
        <v>0</v>
      </c>
      <c r="L1314">
        <f t="shared" si="191"/>
        <v>0</v>
      </c>
      <c r="M1314">
        <f t="shared" si="185"/>
        <v>0</v>
      </c>
      <c r="N1314">
        <f t="shared" si="192"/>
        <v>6</v>
      </c>
      <c r="O1314">
        <f t="shared" si="193"/>
        <v>109</v>
      </c>
      <c r="P1314">
        <f t="shared" si="186"/>
        <v>0</v>
      </c>
      <c r="R1314">
        <f t="shared" si="187"/>
        <v>0</v>
      </c>
      <c r="S1314">
        <f t="shared" si="188"/>
        <v>0</v>
      </c>
      <c r="T1314">
        <f t="shared" si="189"/>
        <v>0</v>
      </c>
    </row>
    <row r="1315" spans="10:20" x14ac:dyDescent="0.25">
      <c r="J1315">
        <v>0.69884809683818194</v>
      </c>
      <c r="K1315">
        <f t="shared" si="190"/>
        <v>1</v>
      </c>
      <c r="L1315">
        <f t="shared" si="191"/>
        <v>0.69884809683818194</v>
      </c>
      <c r="M1315">
        <f t="shared" si="185"/>
        <v>1</v>
      </c>
      <c r="N1315">
        <f t="shared" si="192"/>
        <v>6</v>
      </c>
      <c r="O1315">
        <f t="shared" si="193"/>
        <v>109</v>
      </c>
      <c r="P1315">
        <f t="shared" si="186"/>
        <v>0</v>
      </c>
      <c r="R1315">
        <f t="shared" si="187"/>
        <v>0</v>
      </c>
      <c r="S1315">
        <f t="shared" si="188"/>
        <v>0</v>
      </c>
      <c r="T1315">
        <f t="shared" si="189"/>
        <v>0</v>
      </c>
    </row>
    <row r="1316" spans="10:20" x14ac:dyDescent="0.25">
      <c r="J1316">
        <v>0.57347869936362927</v>
      </c>
      <c r="K1316">
        <f t="shared" si="190"/>
        <v>0</v>
      </c>
      <c r="L1316">
        <f t="shared" si="191"/>
        <v>0</v>
      </c>
      <c r="M1316">
        <f t="shared" si="185"/>
        <v>0</v>
      </c>
      <c r="N1316">
        <f t="shared" si="192"/>
        <v>7</v>
      </c>
      <c r="O1316">
        <f t="shared" si="193"/>
        <v>109</v>
      </c>
      <c r="P1316">
        <f t="shared" si="186"/>
        <v>0</v>
      </c>
      <c r="R1316">
        <f t="shared" si="187"/>
        <v>0</v>
      </c>
      <c r="S1316">
        <f t="shared" si="188"/>
        <v>0</v>
      </c>
      <c r="T1316">
        <f t="shared" si="189"/>
        <v>0</v>
      </c>
    </row>
    <row r="1317" spans="10:20" x14ac:dyDescent="0.25">
      <c r="J1317">
        <v>0.61281886564519161</v>
      </c>
      <c r="K1317">
        <f t="shared" si="190"/>
        <v>1</v>
      </c>
      <c r="L1317">
        <f t="shared" si="191"/>
        <v>0.61281886564519161</v>
      </c>
      <c r="M1317">
        <f t="shared" si="185"/>
        <v>1</v>
      </c>
      <c r="N1317">
        <f t="shared" si="192"/>
        <v>1</v>
      </c>
      <c r="O1317">
        <f t="shared" si="193"/>
        <v>110</v>
      </c>
      <c r="P1317">
        <f t="shared" si="186"/>
        <v>0</v>
      </c>
      <c r="R1317">
        <f t="shared" si="187"/>
        <v>0</v>
      </c>
      <c r="S1317">
        <f t="shared" si="188"/>
        <v>0</v>
      </c>
      <c r="T1317">
        <f t="shared" si="189"/>
        <v>0</v>
      </c>
    </row>
    <row r="1318" spans="10:20" x14ac:dyDescent="0.25">
      <c r="J1318">
        <v>0.80344058150869146</v>
      </c>
      <c r="K1318">
        <f t="shared" si="190"/>
        <v>0</v>
      </c>
      <c r="L1318">
        <f t="shared" si="191"/>
        <v>0</v>
      </c>
      <c r="M1318">
        <f t="shared" si="185"/>
        <v>0</v>
      </c>
      <c r="N1318">
        <f t="shared" si="192"/>
        <v>2</v>
      </c>
      <c r="O1318">
        <f t="shared" si="193"/>
        <v>110</v>
      </c>
      <c r="P1318">
        <f t="shared" si="186"/>
        <v>0</v>
      </c>
      <c r="R1318">
        <f t="shared" si="187"/>
        <v>0</v>
      </c>
      <c r="S1318">
        <f t="shared" si="188"/>
        <v>0</v>
      </c>
      <c r="T1318">
        <f t="shared" si="189"/>
        <v>0</v>
      </c>
    </row>
    <row r="1319" spans="10:20" x14ac:dyDescent="0.25">
      <c r="J1319">
        <v>9.3789433272022826E-2</v>
      </c>
      <c r="K1319">
        <f t="shared" si="190"/>
        <v>1</v>
      </c>
      <c r="L1319">
        <f t="shared" si="191"/>
        <v>9.3789433272022826E-2</v>
      </c>
      <c r="M1319">
        <f t="shared" si="185"/>
        <v>1</v>
      </c>
      <c r="N1319">
        <f t="shared" si="192"/>
        <v>2</v>
      </c>
      <c r="O1319">
        <f t="shared" si="193"/>
        <v>110</v>
      </c>
      <c r="P1319">
        <f t="shared" si="186"/>
        <v>0</v>
      </c>
      <c r="R1319">
        <f t="shared" si="187"/>
        <v>0</v>
      </c>
      <c r="S1319">
        <f t="shared" si="188"/>
        <v>0</v>
      </c>
      <c r="T1319">
        <f t="shared" si="189"/>
        <v>0</v>
      </c>
    </row>
    <row r="1320" spans="10:20" x14ac:dyDescent="0.25">
      <c r="J1320">
        <v>0.67290326693435987</v>
      </c>
      <c r="K1320">
        <f t="shared" si="190"/>
        <v>0</v>
      </c>
      <c r="L1320">
        <f t="shared" si="191"/>
        <v>0</v>
      </c>
      <c r="M1320">
        <f t="shared" si="185"/>
        <v>0</v>
      </c>
      <c r="N1320">
        <f t="shared" si="192"/>
        <v>3</v>
      </c>
      <c r="O1320">
        <f t="shared" si="193"/>
        <v>110</v>
      </c>
      <c r="P1320">
        <f t="shared" si="186"/>
        <v>0</v>
      </c>
      <c r="R1320">
        <f t="shared" si="187"/>
        <v>0</v>
      </c>
      <c r="S1320">
        <f t="shared" si="188"/>
        <v>0</v>
      </c>
      <c r="T1320">
        <f t="shared" si="189"/>
        <v>0</v>
      </c>
    </row>
    <row r="1321" spans="10:20" x14ac:dyDescent="0.25">
      <c r="J1321">
        <v>0.266663310367805</v>
      </c>
      <c r="K1321">
        <f t="shared" si="190"/>
        <v>1</v>
      </c>
      <c r="L1321">
        <f t="shared" si="191"/>
        <v>0.266663310367805</v>
      </c>
      <c r="M1321">
        <f t="shared" si="185"/>
        <v>1</v>
      </c>
      <c r="N1321">
        <f t="shared" si="192"/>
        <v>3</v>
      </c>
      <c r="O1321">
        <f t="shared" si="193"/>
        <v>110</v>
      </c>
      <c r="P1321">
        <f t="shared" si="186"/>
        <v>0</v>
      </c>
      <c r="R1321">
        <f t="shared" si="187"/>
        <v>0</v>
      </c>
      <c r="S1321">
        <f t="shared" si="188"/>
        <v>0</v>
      </c>
      <c r="T1321">
        <f t="shared" si="189"/>
        <v>0</v>
      </c>
    </row>
    <row r="1322" spans="10:20" x14ac:dyDescent="0.25">
      <c r="J1322">
        <v>0.83809704551272812</v>
      </c>
      <c r="K1322">
        <f t="shared" si="190"/>
        <v>0</v>
      </c>
      <c r="L1322">
        <f t="shared" si="191"/>
        <v>0</v>
      </c>
      <c r="M1322">
        <f t="shared" si="185"/>
        <v>0</v>
      </c>
      <c r="N1322">
        <f t="shared" si="192"/>
        <v>4</v>
      </c>
      <c r="O1322">
        <f t="shared" si="193"/>
        <v>110</v>
      </c>
      <c r="P1322">
        <f t="shared" si="186"/>
        <v>0</v>
      </c>
      <c r="R1322">
        <f t="shared" si="187"/>
        <v>0</v>
      </c>
      <c r="S1322">
        <f t="shared" si="188"/>
        <v>0</v>
      </c>
      <c r="T1322">
        <f t="shared" si="189"/>
        <v>0</v>
      </c>
    </row>
    <row r="1323" spans="10:20" x14ac:dyDescent="0.25">
      <c r="J1323">
        <v>0.28701978234741476</v>
      </c>
      <c r="K1323">
        <f t="shared" si="190"/>
        <v>1</v>
      </c>
      <c r="L1323">
        <f t="shared" si="191"/>
        <v>0.28701978234741476</v>
      </c>
      <c r="M1323">
        <f t="shared" si="185"/>
        <v>1</v>
      </c>
      <c r="N1323">
        <f t="shared" si="192"/>
        <v>4</v>
      </c>
      <c r="O1323">
        <f t="shared" si="193"/>
        <v>110</v>
      </c>
      <c r="P1323">
        <f t="shared" si="186"/>
        <v>0</v>
      </c>
      <c r="R1323">
        <f t="shared" si="187"/>
        <v>0</v>
      </c>
      <c r="S1323">
        <f t="shared" si="188"/>
        <v>0</v>
      </c>
      <c r="T1323">
        <f t="shared" si="189"/>
        <v>0</v>
      </c>
    </row>
    <row r="1324" spans="10:20" x14ac:dyDescent="0.25">
      <c r="J1324">
        <v>5.1465021681167955E-2</v>
      </c>
      <c r="K1324">
        <f t="shared" si="190"/>
        <v>0</v>
      </c>
      <c r="L1324">
        <f t="shared" si="191"/>
        <v>0</v>
      </c>
      <c r="M1324">
        <f t="shared" si="185"/>
        <v>0</v>
      </c>
      <c r="N1324">
        <f t="shared" si="192"/>
        <v>5</v>
      </c>
      <c r="O1324">
        <f t="shared" si="193"/>
        <v>110</v>
      </c>
      <c r="P1324">
        <f t="shared" si="186"/>
        <v>0</v>
      </c>
      <c r="R1324">
        <f t="shared" si="187"/>
        <v>0</v>
      </c>
      <c r="S1324">
        <f t="shared" si="188"/>
        <v>0</v>
      </c>
      <c r="T1324">
        <f t="shared" si="189"/>
        <v>0</v>
      </c>
    </row>
    <row r="1325" spans="10:20" x14ac:dyDescent="0.25">
      <c r="J1325">
        <v>0.6081392839817894</v>
      </c>
      <c r="K1325">
        <f t="shared" si="190"/>
        <v>1</v>
      </c>
      <c r="L1325">
        <f t="shared" si="191"/>
        <v>0.6081392839817894</v>
      </c>
      <c r="M1325">
        <f t="shared" si="185"/>
        <v>1</v>
      </c>
      <c r="N1325">
        <f t="shared" si="192"/>
        <v>5</v>
      </c>
      <c r="O1325">
        <f t="shared" si="193"/>
        <v>110</v>
      </c>
      <c r="P1325">
        <f t="shared" si="186"/>
        <v>0</v>
      </c>
      <c r="R1325">
        <f t="shared" si="187"/>
        <v>0</v>
      </c>
      <c r="S1325">
        <f t="shared" si="188"/>
        <v>0</v>
      </c>
      <c r="T1325">
        <f t="shared" si="189"/>
        <v>0</v>
      </c>
    </row>
    <row r="1326" spans="10:20" x14ac:dyDescent="0.25">
      <c r="J1326">
        <v>0.94764953095502846</v>
      </c>
      <c r="K1326">
        <f t="shared" si="190"/>
        <v>0</v>
      </c>
      <c r="L1326">
        <f t="shared" si="191"/>
        <v>0</v>
      </c>
      <c r="M1326">
        <f t="shared" si="185"/>
        <v>0</v>
      </c>
      <c r="N1326">
        <f t="shared" si="192"/>
        <v>6</v>
      </c>
      <c r="O1326">
        <f t="shared" si="193"/>
        <v>110</v>
      </c>
      <c r="P1326">
        <f t="shared" si="186"/>
        <v>0</v>
      </c>
      <c r="R1326">
        <f t="shared" si="187"/>
        <v>0</v>
      </c>
      <c r="S1326">
        <f t="shared" si="188"/>
        <v>0</v>
      </c>
      <c r="T1326">
        <f t="shared" si="189"/>
        <v>0</v>
      </c>
    </row>
    <row r="1327" spans="10:20" x14ac:dyDescent="0.25">
      <c r="J1327">
        <v>0.80503204493584302</v>
      </c>
      <c r="K1327">
        <f t="shared" si="190"/>
        <v>1</v>
      </c>
      <c r="L1327">
        <f t="shared" si="191"/>
        <v>0.80503204493584302</v>
      </c>
      <c r="M1327">
        <f t="shared" si="185"/>
        <v>1</v>
      </c>
      <c r="N1327">
        <f t="shared" si="192"/>
        <v>6</v>
      </c>
      <c r="O1327">
        <f t="shared" si="193"/>
        <v>110</v>
      </c>
      <c r="P1327">
        <f t="shared" si="186"/>
        <v>0</v>
      </c>
      <c r="R1327">
        <f t="shared" si="187"/>
        <v>0</v>
      </c>
      <c r="S1327">
        <f t="shared" si="188"/>
        <v>0</v>
      </c>
      <c r="T1327">
        <f t="shared" si="189"/>
        <v>0</v>
      </c>
    </row>
    <row r="1328" spans="10:20" x14ac:dyDescent="0.25">
      <c r="J1328">
        <v>0.14191795990766598</v>
      </c>
      <c r="K1328">
        <f t="shared" si="190"/>
        <v>0</v>
      </c>
      <c r="L1328">
        <f t="shared" si="191"/>
        <v>0</v>
      </c>
      <c r="M1328">
        <f t="shared" si="185"/>
        <v>0</v>
      </c>
      <c r="N1328">
        <f t="shared" si="192"/>
        <v>7</v>
      </c>
      <c r="O1328">
        <f t="shared" si="193"/>
        <v>110</v>
      </c>
      <c r="P1328">
        <f t="shared" si="186"/>
        <v>0</v>
      </c>
      <c r="R1328">
        <f t="shared" si="187"/>
        <v>0</v>
      </c>
      <c r="S1328">
        <f t="shared" si="188"/>
        <v>0</v>
      </c>
      <c r="T1328">
        <f t="shared" si="189"/>
        <v>0</v>
      </c>
    </row>
    <row r="1329" spans="10:20" x14ac:dyDescent="0.25">
      <c r="J1329">
        <v>0.19571380913310166</v>
      </c>
      <c r="K1329">
        <f t="shared" si="190"/>
        <v>1</v>
      </c>
      <c r="L1329">
        <f t="shared" si="191"/>
        <v>0.19571380913310166</v>
      </c>
      <c r="M1329">
        <f t="shared" si="185"/>
        <v>1</v>
      </c>
      <c r="N1329">
        <f t="shared" si="192"/>
        <v>1</v>
      </c>
      <c r="O1329">
        <f t="shared" si="193"/>
        <v>111</v>
      </c>
      <c r="P1329">
        <f t="shared" si="186"/>
        <v>0</v>
      </c>
      <c r="R1329">
        <f t="shared" si="187"/>
        <v>0</v>
      </c>
      <c r="S1329">
        <f t="shared" si="188"/>
        <v>0</v>
      </c>
      <c r="T1329">
        <f t="shared" si="189"/>
        <v>0</v>
      </c>
    </row>
    <row r="1330" spans="10:20" x14ac:dyDescent="0.25">
      <c r="J1330">
        <v>0.98079486522694082</v>
      </c>
      <c r="K1330">
        <f t="shared" si="190"/>
        <v>0</v>
      </c>
      <c r="L1330">
        <f t="shared" si="191"/>
        <v>0</v>
      </c>
      <c r="M1330">
        <f t="shared" si="185"/>
        <v>0</v>
      </c>
      <c r="N1330">
        <f t="shared" si="192"/>
        <v>2</v>
      </c>
      <c r="O1330">
        <f t="shared" si="193"/>
        <v>111</v>
      </c>
      <c r="P1330">
        <f t="shared" si="186"/>
        <v>0</v>
      </c>
      <c r="R1330">
        <f t="shared" si="187"/>
        <v>0</v>
      </c>
      <c r="S1330">
        <f t="shared" si="188"/>
        <v>0</v>
      </c>
      <c r="T1330">
        <f t="shared" si="189"/>
        <v>0</v>
      </c>
    </row>
    <row r="1331" spans="10:20" x14ac:dyDescent="0.25">
      <c r="J1331">
        <v>0.8968692735735303</v>
      </c>
      <c r="K1331">
        <f t="shared" si="190"/>
        <v>1</v>
      </c>
      <c r="L1331">
        <f t="shared" si="191"/>
        <v>0.8968692735735303</v>
      </c>
      <c r="M1331">
        <f t="shared" si="185"/>
        <v>1</v>
      </c>
      <c r="N1331">
        <f t="shared" si="192"/>
        <v>2</v>
      </c>
      <c r="O1331">
        <f t="shared" si="193"/>
        <v>111</v>
      </c>
      <c r="P1331">
        <f t="shared" si="186"/>
        <v>0</v>
      </c>
      <c r="R1331">
        <f t="shared" si="187"/>
        <v>0</v>
      </c>
      <c r="S1331">
        <f t="shared" si="188"/>
        <v>0</v>
      </c>
      <c r="T1331">
        <f t="shared" si="189"/>
        <v>0</v>
      </c>
    </row>
    <row r="1332" spans="10:20" x14ac:dyDescent="0.25">
      <c r="J1332">
        <v>0.79368331717618279</v>
      </c>
      <c r="K1332">
        <f t="shared" si="190"/>
        <v>0</v>
      </c>
      <c r="L1332">
        <f t="shared" si="191"/>
        <v>0</v>
      </c>
      <c r="M1332">
        <f t="shared" si="185"/>
        <v>0</v>
      </c>
      <c r="N1332">
        <f t="shared" si="192"/>
        <v>3</v>
      </c>
      <c r="O1332">
        <f t="shared" si="193"/>
        <v>111</v>
      </c>
      <c r="P1332">
        <f t="shared" si="186"/>
        <v>0</v>
      </c>
      <c r="R1332">
        <f t="shared" si="187"/>
        <v>0</v>
      </c>
      <c r="S1332">
        <f t="shared" si="188"/>
        <v>0</v>
      </c>
      <c r="T1332">
        <f t="shared" si="189"/>
        <v>0</v>
      </c>
    </row>
    <row r="1333" spans="10:20" x14ac:dyDescent="0.25">
      <c r="J1333">
        <v>0.94577515646648203</v>
      </c>
      <c r="K1333">
        <f t="shared" si="190"/>
        <v>1</v>
      </c>
      <c r="L1333">
        <f t="shared" si="191"/>
        <v>0.94577515646648203</v>
      </c>
      <c r="M1333">
        <f t="shared" si="185"/>
        <v>1</v>
      </c>
      <c r="N1333">
        <f t="shared" si="192"/>
        <v>3</v>
      </c>
      <c r="O1333">
        <f t="shared" si="193"/>
        <v>111</v>
      </c>
      <c r="P1333">
        <f t="shared" si="186"/>
        <v>0</v>
      </c>
      <c r="R1333">
        <f t="shared" si="187"/>
        <v>0</v>
      </c>
      <c r="S1333">
        <f t="shared" si="188"/>
        <v>0</v>
      </c>
      <c r="T1333">
        <f t="shared" si="189"/>
        <v>0</v>
      </c>
    </row>
    <row r="1334" spans="10:20" x14ac:dyDescent="0.25">
      <c r="J1334">
        <v>9.753638505001172E-2</v>
      </c>
      <c r="K1334">
        <f t="shared" si="190"/>
        <v>0</v>
      </c>
      <c r="L1334">
        <f t="shared" si="191"/>
        <v>0</v>
      </c>
      <c r="M1334">
        <f t="shared" si="185"/>
        <v>0</v>
      </c>
      <c r="N1334">
        <f t="shared" si="192"/>
        <v>4</v>
      </c>
      <c r="O1334">
        <f t="shared" si="193"/>
        <v>111</v>
      </c>
      <c r="P1334">
        <f t="shared" si="186"/>
        <v>0</v>
      </c>
      <c r="R1334">
        <f t="shared" si="187"/>
        <v>0</v>
      </c>
      <c r="S1334">
        <f t="shared" si="188"/>
        <v>0</v>
      </c>
      <c r="T1334">
        <f t="shared" si="189"/>
        <v>0</v>
      </c>
    </row>
    <row r="1335" spans="10:20" x14ac:dyDescent="0.25">
      <c r="J1335">
        <v>1.3190257228308355E-2</v>
      </c>
      <c r="K1335">
        <f t="shared" si="190"/>
        <v>1</v>
      </c>
      <c r="L1335">
        <f t="shared" si="191"/>
        <v>1.3190257228308355E-2</v>
      </c>
      <c r="M1335">
        <f t="shared" si="185"/>
        <v>1</v>
      </c>
      <c r="N1335">
        <f t="shared" si="192"/>
        <v>4</v>
      </c>
      <c r="O1335">
        <f t="shared" si="193"/>
        <v>111</v>
      </c>
      <c r="P1335">
        <f t="shared" si="186"/>
        <v>0</v>
      </c>
      <c r="R1335">
        <f t="shared" si="187"/>
        <v>0</v>
      </c>
      <c r="S1335">
        <f t="shared" si="188"/>
        <v>0</v>
      </c>
      <c r="T1335">
        <f t="shared" si="189"/>
        <v>0</v>
      </c>
    </row>
    <row r="1336" spans="10:20" x14ac:dyDescent="0.25">
      <c r="J1336">
        <v>0.89683794963791852</v>
      </c>
      <c r="K1336">
        <f t="shared" si="190"/>
        <v>0</v>
      </c>
      <c r="L1336">
        <f t="shared" si="191"/>
        <v>0</v>
      </c>
      <c r="M1336">
        <f t="shared" si="185"/>
        <v>0</v>
      </c>
      <c r="N1336">
        <f t="shared" si="192"/>
        <v>5</v>
      </c>
      <c r="O1336">
        <f t="shared" si="193"/>
        <v>111</v>
      </c>
      <c r="P1336">
        <f t="shared" si="186"/>
        <v>0</v>
      </c>
      <c r="R1336">
        <f t="shared" si="187"/>
        <v>0</v>
      </c>
      <c r="S1336">
        <f t="shared" si="188"/>
        <v>0</v>
      </c>
      <c r="T1336">
        <f t="shared" si="189"/>
        <v>0</v>
      </c>
    </row>
    <row r="1337" spans="10:20" x14ac:dyDescent="0.25">
      <c r="J1337">
        <v>0.66915178805833941</v>
      </c>
      <c r="K1337">
        <f t="shared" si="190"/>
        <v>1</v>
      </c>
      <c r="L1337">
        <f t="shared" si="191"/>
        <v>0.66915178805833941</v>
      </c>
      <c r="M1337">
        <f t="shared" si="185"/>
        <v>1</v>
      </c>
      <c r="N1337">
        <f t="shared" si="192"/>
        <v>5</v>
      </c>
      <c r="O1337">
        <f t="shared" si="193"/>
        <v>111</v>
      </c>
      <c r="P1337">
        <f t="shared" si="186"/>
        <v>0</v>
      </c>
      <c r="R1337">
        <f t="shared" si="187"/>
        <v>0</v>
      </c>
      <c r="S1337">
        <f t="shared" si="188"/>
        <v>0</v>
      </c>
      <c r="T1337">
        <f t="shared" si="189"/>
        <v>0</v>
      </c>
    </row>
    <row r="1338" spans="10:20" x14ac:dyDescent="0.25">
      <c r="J1338">
        <v>0.32504617608000574</v>
      </c>
      <c r="K1338">
        <f t="shared" si="190"/>
        <v>0</v>
      </c>
      <c r="L1338">
        <f t="shared" si="191"/>
        <v>0</v>
      </c>
      <c r="M1338">
        <f t="shared" si="185"/>
        <v>0</v>
      </c>
      <c r="N1338">
        <f t="shared" si="192"/>
        <v>6</v>
      </c>
      <c r="O1338">
        <f t="shared" si="193"/>
        <v>111</v>
      </c>
      <c r="P1338">
        <f t="shared" si="186"/>
        <v>0</v>
      </c>
      <c r="R1338">
        <f t="shared" si="187"/>
        <v>0</v>
      </c>
      <c r="S1338">
        <f t="shared" si="188"/>
        <v>0</v>
      </c>
      <c r="T1338">
        <f t="shared" si="189"/>
        <v>0</v>
      </c>
    </row>
    <row r="1339" spans="10:20" x14ac:dyDescent="0.25">
      <c r="J1339">
        <v>0.58641602612831112</v>
      </c>
      <c r="K1339">
        <f t="shared" si="190"/>
        <v>1</v>
      </c>
      <c r="L1339">
        <f t="shared" si="191"/>
        <v>0.58641602612831112</v>
      </c>
      <c r="M1339">
        <f t="shared" si="185"/>
        <v>1</v>
      </c>
      <c r="N1339">
        <f t="shared" si="192"/>
        <v>6</v>
      </c>
      <c r="O1339">
        <f t="shared" si="193"/>
        <v>111</v>
      </c>
      <c r="P1339">
        <f t="shared" si="186"/>
        <v>0</v>
      </c>
      <c r="R1339">
        <f t="shared" si="187"/>
        <v>0</v>
      </c>
      <c r="S1339">
        <f t="shared" si="188"/>
        <v>0</v>
      </c>
      <c r="T1339">
        <f t="shared" si="189"/>
        <v>0</v>
      </c>
    </row>
    <row r="1340" spans="10:20" x14ac:dyDescent="0.25">
      <c r="J1340">
        <v>0.35966698373162542</v>
      </c>
      <c r="K1340">
        <f t="shared" si="190"/>
        <v>0</v>
      </c>
      <c r="L1340">
        <f t="shared" si="191"/>
        <v>0</v>
      </c>
      <c r="M1340">
        <f t="shared" si="185"/>
        <v>0</v>
      </c>
      <c r="N1340">
        <f t="shared" si="192"/>
        <v>7</v>
      </c>
      <c r="O1340">
        <f t="shared" si="193"/>
        <v>111</v>
      </c>
      <c r="P1340">
        <f t="shared" si="186"/>
        <v>0</v>
      </c>
      <c r="R1340">
        <f t="shared" si="187"/>
        <v>0</v>
      </c>
      <c r="S1340">
        <f t="shared" si="188"/>
        <v>0</v>
      </c>
      <c r="T1340">
        <f t="shared" si="189"/>
        <v>0</v>
      </c>
    </row>
    <row r="1341" spans="10:20" x14ac:dyDescent="0.25">
      <c r="J1341">
        <v>0.19219830081386446</v>
      </c>
      <c r="K1341">
        <f t="shared" si="190"/>
        <v>1</v>
      </c>
      <c r="L1341">
        <f t="shared" si="191"/>
        <v>0.19219830081386446</v>
      </c>
      <c r="M1341">
        <f t="shared" si="185"/>
        <v>1</v>
      </c>
      <c r="N1341">
        <f t="shared" si="192"/>
        <v>1</v>
      </c>
      <c r="O1341">
        <f t="shared" si="193"/>
        <v>112</v>
      </c>
      <c r="P1341">
        <f t="shared" si="186"/>
        <v>0</v>
      </c>
      <c r="R1341">
        <f t="shared" si="187"/>
        <v>0</v>
      </c>
      <c r="S1341">
        <f t="shared" si="188"/>
        <v>0</v>
      </c>
      <c r="T1341">
        <f t="shared" si="189"/>
        <v>0</v>
      </c>
    </row>
    <row r="1342" spans="10:20" x14ac:dyDescent="0.25">
      <c r="J1342">
        <v>0.60127463426043881</v>
      </c>
      <c r="K1342">
        <f t="shared" si="190"/>
        <v>0</v>
      </c>
      <c r="L1342">
        <f t="shared" si="191"/>
        <v>0</v>
      </c>
      <c r="M1342">
        <f t="shared" si="185"/>
        <v>0</v>
      </c>
      <c r="N1342">
        <f t="shared" si="192"/>
        <v>2</v>
      </c>
      <c r="O1342">
        <f t="shared" si="193"/>
        <v>112</v>
      </c>
      <c r="P1342">
        <f t="shared" si="186"/>
        <v>0</v>
      </c>
      <c r="R1342">
        <f t="shared" si="187"/>
        <v>0</v>
      </c>
      <c r="S1342">
        <f t="shared" si="188"/>
        <v>0</v>
      </c>
      <c r="T1342">
        <f t="shared" si="189"/>
        <v>0</v>
      </c>
    </row>
    <row r="1343" spans="10:20" x14ac:dyDescent="0.25">
      <c r="J1343">
        <v>0.84469393360297851</v>
      </c>
      <c r="K1343">
        <f t="shared" si="190"/>
        <v>1</v>
      </c>
      <c r="L1343">
        <f t="shared" si="191"/>
        <v>0.84469393360297851</v>
      </c>
      <c r="M1343">
        <f t="shared" si="185"/>
        <v>1</v>
      </c>
      <c r="N1343">
        <f t="shared" si="192"/>
        <v>2</v>
      </c>
      <c r="O1343">
        <f t="shared" si="193"/>
        <v>112</v>
      </c>
      <c r="P1343">
        <f t="shared" si="186"/>
        <v>0</v>
      </c>
      <c r="R1343">
        <f t="shared" si="187"/>
        <v>0</v>
      </c>
      <c r="S1343">
        <f t="shared" si="188"/>
        <v>0</v>
      </c>
      <c r="T1343">
        <f t="shared" si="189"/>
        <v>0</v>
      </c>
    </row>
    <row r="1344" spans="10:20" x14ac:dyDescent="0.25">
      <c r="J1344">
        <v>5.9973672263009981E-2</v>
      </c>
      <c r="K1344">
        <f t="shared" si="190"/>
        <v>0</v>
      </c>
      <c r="L1344">
        <f t="shared" si="191"/>
        <v>0</v>
      </c>
      <c r="M1344">
        <f t="shared" si="185"/>
        <v>0</v>
      </c>
      <c r="N1344">
        <f t="shared" si="192"/>
        <v>3</v>
      </c>
      <c r="O1344">
        <f t="shared" si="193"/>
        <v>112</v>
      </c>
      <c r="P1344">
        <f t="shared" si="186"/>
        <v>0</v>
      </c>
      <c r="R1344">
        <f t="shared" si="187"/>
        <v>0</v>
      </c>
      <c r="S1344">
        <f t="shared" si="188"/>
        <v>0</v>
      </c>
      <c r="T1344">
        <f t="shared" si="189"/>
        <v>0</v>
      </c>
    </row>
    <row r="1345" spans="10:20" x14ac:dyDescent="0.25">
      <c r="J1345">
        <v>0.68952532015551704</v>
      </c>
      <c r="K1345">
        <f t="shared" si="190"/>
        <v>1</v>
      </c>
      <c r="L1345">
        <f t="shared" si="191"/>
        <v>0.68952532015551704</v>
      </c>
      <c r="M1345">
        <f t="shared" si="185"/>
        <v>1</v>
      </c>
      <c r="N1345">
        <f t="shared" si="192"/>
        <v>3</v>
      </c>
      <c r="O1345">
        <f t="shared" si="193"/>
        <v>112</v>
      </c>
      <c r="P1345">
        <f t="shared" si="186"/>
        <v>0</v>
      </c>
      <c r="R1345">
        <f t="shared" si="187"/>
        <v>0</v>
      </c>
      <c r="S1345">
        <f t="shared" si="188"/>
        <v>0</v>
      </c>
      <c r="T1345">
        <f t="shared" si="189"/>
        <v>0</v>
      </c>
    </row>
    <row r="1346" spans="10:20" x14ac:dyDescent="0.25">
      <c r="J1346">
        <v>0.50668819552559419</v>
      </c>
      <c r="K1346">
        <f t="shared" si="190"/>
        <v>0</v>
      </c>
      <c r="L1346">
        <f t="shared" si="191"/>
        <v>0</v>
      </c>
      <c r="M1346">
        <f t="shared" si="185"/>
        <v>0</v>
      </c>
      <c r="N1346">
        <f t="shared" si="192"/>
        <v>4</v>
      </c>
      <c r="O1346">
        <f t="shared" si="193"/>
        <v>112</v>
      </c>
      <c r="P1346">
        <f t="shared" si="186"/>
        <v>0</v>
      </c>
      <c r="R1346">
        <f t="shared" si="187"/>
        <v>0</v>
      </c>
      <c r="S1346">
        <f t="shared" si="188"/>
        <v>0</v>
      </c>
      <c r="T1346">
        <f t="shared" si="189"/>
        <v>0</v>
      </c>
    </row>
    <row r="1347" spans="10:20" x14ac:dyDescent="0.25">
      <c r="J1347">
        <v>5.674260716404067E-2</v>
      </c>
      <c r="K1347">
        <f t="shared" si="190"/>
        <v>1</v>
      </c>
      <c r="L1347">
        <f t="shared" si="191"/>
        <v>5.674260716404067E-2</v>
      </c>
      <c r="M1347">
        <f t="shared" si="185"/>
        <v>1</v>
      </c>
      <c r="N1347">
        <f t="shared" si="192"/>
        <v>4</v>
      </c>
      <c r="O1347">
        <f t="shared" si="193"/>
        <v>112</v>
      </c>
      <c r="P1347">
        <f t="shared" si="186"/>
        <v>0</v>
      </c>
      <c r="R1347">
        <f t="shared" si="187"/>
        <v>0</v>
      </c>
      <c r="S1347">
        <f t="shared" si="188"/>
        <v>0</v>
      </c>
      <c r="T1347">
        <f t="shared" si="189"/>
        <v>0</v>
      </c>
    </row>
    <row r="1348" spans="10:20" x14ac:dyDescent="0.25">
      <c r="J1348">
        <v>0.93300354621387471</v>
      </c>
      <c r="K1348">
        <f t="shared" si="190"/>
        <v>0</v>
      </c>
      <c r="L1348">
        <f t="shared" si="191"/>
        <v>0</v>
      </c>
      <c r="M1348">
        <f t="shared" si="185"/>
        <v>0</v>
      </c>
      <c r="N1348">
        <f t="shared" si="192"/>
        <v>5</v>
      </c>
      <c r="O1348">
        <f t="shared" si="193"/>
        <v>112</v>
      </c>
      <c r="P1348">
        <f t="shared" si="186"/>
        <v>0</v>
      </c>
      <c r="R1348">
        <f t="shared" si="187"/>
        <v>0</v>
      </c>
      <c r="S1348">
        <f t="shared" si="188"/>
        <v>0</v>
      </c>
      <c r="T1348">
        <f t="shared" si="189"/>
        <v>0</v>
      </c>
    </row>
    <row r="1349" spans="10:20" x14ac:dyDescent="0.25">
      <c r="J1349">
        <v>0.46598885168427584</v>
      </c>
      <c r="K1349">
        <f t="shared" si="190"/>
        <v>1</v>
      </c>
      <c r="L1349">
        <f t="shared" si="191"/>
        <v>0.46598885168427584</v>
      </c>
      <c r="M1349">
        <f t="shared" si="185"/>
        <v>1</v>
      </c>
      <c r="N1349">
        <f t="shared" si="192"/>
        <v>5</v>
      </c>
      <c r="O1349">
        <f t="shared" si="193"/>
        <v>112</v>
      </c>
      <c r="P1349">
        <f t="shared" si="186"/>
        <v>0</v>
      </c>
      <c r="R1349">
        <f t="shared" si="187"/>
        <v>0</v>
      </c>
      <c r="S1349">
        <f t="shared" si="188"/>
        <v>0</v>
      </c>
      <c r="T1349">
        <f t="shared" si="189"/>
        <v>0</v>
      </c>
    </row>
    <row r="1350" spans="10:20" x14ac:dyDescent="0.25">
      <c r="J1350">
        <v>0.19681438556692799</v>
      </c>
      <c r="K1350">
        <f t="shared" si="190"/>
        <v>0</v>
      </c>
      <c r="L1350">
        <f t="shared" si="191"/>
        <v>0</v>
      </c>
      <c r="M1350">
        <f t="shared" si="185"/>
        <v>0</v>
      </c>
      <c r="N1350">
        <f t="shared" si="192"/>
        <v>6</v>
      </c>
      <c r="O1350">
        <f t="shared" si="193"/>
        <v>112</v>
      </c>
      <c r="P1350">
        <f t="shared" si="186"/>
        <v>0</v>
      </c>
      <c r="R1350">
        <f t="shared" si="187"/>
        <v>0</v>
      </c>
      <c r="S1350">
        <f t="shared" si="188"/>
        <v>0</v>
      </c>
      <c r="T1350">
        <f t="shared" si="189"/>
        <v>0</v>
      </c>
    </row>
    <row r="1351" spans="10:20" x14ac:dyDescent="0.25">
      <c r="J1351">
        <v>0.28137258566960488</v>
      </c>
      <c r="K1351">
        <f t="shared" si="190"/>
        <v>1</v>
      </c>
      <c r="L1351">
        <f t="shared" si="191"/>
        <v>0.28137258566960488</v>
      </c>
      <c r="M1351">
        <f t="shared" si="185"/>
        <v>1</v>
      </c>
      <c r="N1351">
        <f t="shared" si="192"/>
        <v>6</v>
      </c>
      <c r="O1351">
        <f t="shared" si="193"/>
        <v>112</v>
      </c>
      <c r="P1351">
        <f t="shared" si="186"/>
        <v>0</v>
      </c>
      <c r="R1351">
        <f t="shared" si="187"/>
        <v>0</v>
      </c>
      <c r="S1351">
        <f t="shared" si="188"/>
        <v>0</v>
      </c>
      <c r="T1351">
        <f t="shared" si="189"/>
        <v>0</v>
      </c>
    </row>
    <row r="1352" spans="10:20" x14ac:dyDescent="0.25">
      <c r="J1352">
        <v>0.51326431972076325</v>
      </c>
      <c r="K1352">
        <f t="shared" si="190"/>
        <v>0</v>
      </c>
      <c r="L1352">
        <f t="shared" si="191"/>
        <v>0</v>
      </c>
      <c r="M1352">
        <f t="shared" ref="M1352:M1415" si="194">IF(L1352&gt;$M$2,1,0)</f>
        <v>0</v>
      </c>
      <c r="N1352">
        <f t="shared" si="192"/>
        <v>7</v>
      </c>
      <c r="O1352">
        <f t="shared" si="193"/>
        <v>112</v>
      </c>
      <c r="P1352">
        <f t="shared" ref="P1352:P1415" si="195">IF(INDEX($B$7:$H$1029,O1352,2)&gt;0,1,0)</f>
        <v>0</v>
      </c>
      <c r="R1352">
        <f t="shared" ref="R1352:R1415" si="196">IF(  M1352&gt;0,INDEX($B$7:$H$1029,O1352,N1352),0)*P1352</f>
        <v>0</v>
      </c>
      <c r="S1352">
        <f t="shared" ref="S1352:S1415" si="197">M1352*P1352</f>
        <v>0</v>
      </c>
      <c r="T1352">
        <f t="shared" ref="T1352:T1415" si="198">IF(N1353=$N$2,1,0)*P1352</f>
        <v>0</v>
      </c>
    </row>
    <row r="1353" spans="10:20" x14ac:dyDescent="0.25">
      <c r="J1353">
        <v>0.70730462617986134</v>
      </c>
      <c r="K1353">
        <f t="shared" si="190"/>
        <v>1</v>
      </c>
      <c r="L1353">
        <f t="shared" si="191"/>
        <v>0.70730462617986134</v>
      </c>
      <c r="M1353">
        <f t="shared" si="194"/>
        <v>1</v>
      </c>
      <c r="N1353">
        <f t="shared" si="192"/>
        <v>1</v>
      </c>
      <c r="O1353">
        <f t="shared" si="193"/>
        <v>113</v>
      </c>
      <c r="P1353">
        <f t="shared" si="195"/>
        <v>0</v>
      </c>
      <c r="R1353">
        <f t="shared" si="196"/>
        <v>0</v>
      </c>
      <c r="S1353">
        <f t="shared" si="197"/>
        <v>0</v>
      </c>
      <c r="T1353">
        <f t="shared" si="198"/>
        <v>0</v>
      </c>
    </row>
    <row r="1354" spans="10:20" x14ac:dyDescent="0.25">
      <c r="J1354">
        <v>0.4962387887536438</v>
      </c>
      <c r="K1354">
        <f t="shared" si="190"/>
        <v>0</v>
      </c>
      <c r="L1354">
        <f t="shared" si="191"/>
        <v>0</v>
      </c>
      <c r="M1354">
        <f t="shared" si="194"/>
        <v>0</v>
      </c>
      <c r="N1354">
        <f t="shared" si="192"/>
        <v>2</v>
      </c>
      <c r="O1354">
        <f t="shared" si="193"/>
        <v>113</v>
      </c>
      <c r="P1354">
        <f t="shared" si="195"/>
        <v>0</v>
      </c>
      <c r="R1354">
        <f t="shared" si="196"/>
        <v>0</v>
      </c>
      <c r="S1354">
        <f t="shared" si="197"/>
        <v>0</v>
      </c>
      <c r="T1354">
        <f t="shared" si="198"/>
        <v>0</v>
      </c>
    </row>
    <row r="1355" spans="10:20" x14ac:dyDescent="0.25">
      <c r="J1355">
        <v>0.24572354339084734</v>
      </c>
      <c r="K1355">
        <f t="shared" si="190"/>
        <v>1</v>
      </c>
      <c r="L1355">
        <f t="shared" si="191"/>
        <v>0.24572354339084734</v>
      </c>
      <c r="M1355">
        <f t="shared" si="194"/>
        <v>1</v>
      </c>
      <c r="N1355">
        <f t="shared" si="192"/>
        <v>2</v>
      </c>
      <c r="O1355">
        <f t="shared" si="193"/>
        <v>113</v>
      </c>
      <c r="P1355">
        <f t="shared" si="195"/>
        <v>0</v>
      </c>
      <c r="R1355">
        <f t="shared" si="196"/>
        <v>0</v>
      </c>
      <c r="S1355">
        <f t="shared" si="197"/>
        <v>0</v>
      </c>
      <c r="T1355">
        <f t="shared" si="198"/>
        <v>0</v>
      </c>
    </row>
    <row r="1356" spans="10:20" x14ac:dyDescent="0.25">
      <c r="J1356">
        <v>0.67417474673671163</v>
      </c>
      <c r="K1356">
        <f t="shared" si="190"/>
        <v>0</v>
      </c>
      <c r="L1356">
        <f t="shared" si="191"/>
        <v>0</v>
      </c>
      <c r="M1356">
        <f t="shared" si="194"/>
        <v>0</v>
      </c>
      <c r="N1356">
        <f t="shared" si="192"/>
        <v>3</v>
      </c>
      <c r="O1356">
        <f t="shared" si="193"/>
        <v>113</v>
      </c>
      <c r="P1356">
        <f t="shared" si="195"/>
        <v>0</v>
      </c>
      <c r="R1356">
        <f t="shared" si="196"/>
        <v>0</v>
      </c>
      <c r="S1356">
        <f t="shared" si="197"/>
        <v>0</v>
      </c>
      <c r="T1356">
        <f t="shared" si="198"/>
        <v>0</v>
      </c>
    </row>
    <row r="1357" spans="10:20" x14ac:dyDescent="0.25">
      <c r="J1357">
        <v>0.49053816803072237</v>
      </c>
      <c r="K1357">
        <f t="shared" si="190"/>
        <v>1</v>
      </c>
      <c r="L1357">
        <f t="shared" si="191"/>
        <v>0.49053816803072237</v>
      </c>
      <c r="M1357">
        <f t="shared" si="194"/>
        <v>1</v>
      </c>
      <c r="N1357">
        <f t="shared" si="192"/>
        <v>3</v>
      </c>
      <c r="O1357">
        <f t="shared" si="193"/>
        <v>113</v>
      </c>
      <c r="P1357">
        <f t="shared" si="195"/>
        <v>0</v>
      </c>
      <c r="R1357">
        <f t="shared" si="196"/>
        <v>0</v>
      </c>
      <c r="S1357">
        <f t="shared" si="197"/>
        <v>0</v>
      </c>
      <c r="T1357">
        <f t="shared" si="198"/>
        <v>0</v>
      </c>
    </row>
    <row r="1358" spans="10:20" x14ac:dyDescent="0.25">
      <c r="J1358">
        <v>0.81405753853456009</v>
      </c>
      <c r="K1358">
        <f t="shared" si="190"/>
        <v>0</v>
      </c>
      <c r="L1358">
        <f t="shared" si="191"/>
        <v>0</v>
      </c>
      <c r="M1358">
        <f t="shared" si="194"/>
        <v>0</v>
      </c>
      <c r="N1358">
        <f t="shared" si="192"/>
        <v>4</v>
      </c>
      <c r="O1358">
        <f t="shared" si="193"/>
        <v>113</v>
      </c>
      <c r="P1358">
        <f t="shared" si="195"/>
        <v>0</v>
      </c>
      <c r="R1358">
        <f t="shared" si="196"/>
        <v>0</v>
      </c>
      <c r="S1358">
        <f t="shared" si="197"/>
        <v>0</v>
      </c>
      <c r="T1358">
        <f t="shared" si="198"/>
        <v>0</v>
      </c>
    </row>
    <row r="1359" spans="10:20" x14ac:dyDescent="0.25">
      <c r="J1359">
        <v>0.33380929560113171</v>
      </c>
      <c r="K1359">
        <f t="shared" si="190"/>
        <v>1</v>
      </c>
      <c r="L1359">
        <f t="shared" si="191"/>
        <v>0.33380929560113171</v>
      </c>
      <c r="M1359">
        <f t="shared" si="194"/>
        <v>1</v>
      </c>
      <c r="N1359">
        <f t="shared" si="192"/>
        <v>4</v>
      </c>
      <c r="O1359">
        <f t="shared" si="193"/>
        <v>113</v>
      </c>
      <c r="P1359">
        <f t="shared" si="195"/>
        <v>0</v>
      </c>
      <c r="R1359">
        <f t="shared" si="196"/>
        <v>0</v>
      </c>
      <c r="S1359">
        <f t="shared" si="197"/>
        <v>0</v>
      </c>
      <c r="T1359">
        <f t="shared" si="198"/>
        <v>0</v>
      </c>
    </row>
    <row r="1360" spans="10:20" x14ac:dyDescent="0.25">
      <c r="J1360">
        <v>0.37466877713864621</v>
      </c>
      <c r="K1360">
        <f t="shared" si="190"/>
        <v>0</v>
      </c>
      <c r="L1360">
        <f t="shared" si="191"/>
        <v>0</v>
      </c>
      <c r="M1360">
        <f t="shared" si="194"/>
        <v>0</v>
      </c>
      <c r="N1360">
        <f t="shared" si="192"/>
        <v>5</v>
      </c>
      <c r="O1360">
        <f t="shared" si="193"/>
        <v>113</v>
      </c>
      <c r="P1360">
        <f t="shared" si="195"/>
        <v>0</v>
      </c>
      <c r="R1360">
        <f t="shared" si="196"/>
        <v>0</v>
      </c>
      <c r="S1360">
        <f t="shared" si="197"/>
        <v>0</v>
      </c>
      <c r="T1360">
        <f t="shared" si="198"/>
        <v>0</v>
      </c>
    </row>
    <row r="1361" spans="10:20" x14ac:dyDescent="0.25">
      <c r="J1361">
        <v>0.22351726891899282</v>
      </c>
      <c r="K1361">
        <f t="shared" si="190"/>
        <v>1</v>
      </c>
      <c r="L1361">
        <f t="shared" si="191"/>
        <v>0.22351726891899282</v>
      </c>
      <c r="M1361">
        <f t="shared" si="194"/>
        <v>1</v>
      </c>
      <c r="N1361">
        <f t="shared" si="192"/>
        <v>5</v>
      </c>
      <c r="O1361">
        <f t="shared" si="193"/>
        <v>113</v>
      </c>
      <c r="P1361">
        <f t="shared" si="195"/>
        <v>0</v>
      </c>
      <c r="R1361">
        <f t="shared" si="196"/>
        <v>0</v>
      </c>
      <c r="S1361">
        <f t="shared" si="197"/>
        <v>0</v>
      </c>
      <c r="T1361">
        <f t="shared" si="198"/>
        <v>0</v>
      </c>
    </row>
    <row r="1362" spans="10:20" x14ac:dyDescent="0.25">
      <c r="J1362">
        <v>0.55306735159763198</v>
      </c>
      <c r="K1362">
        <f t="shared" si="190"/>
        <v>0</v>
      </c>
      <c r="L1362">
        <f t="shared" si="191"/>
        <v>0</v>
      </c>
      <c r="M1362">
        <f t="shared" si="194"/>
        <v>0</v>
      </c>
      <c r="N1362">
        <f t="shared" si="192"/>
        <v>6</v>
      </c>
      <c r="O1362">
        <f t="shared" si="193"/>
        <v>113</v>
      </c>
      <c r="P1362">
        <f t="shared" si="195"/>
        <v>0</v>
      </c>
      <c r="R1362">
        <f t="shared" si="196"/>
        <v>0</v>
      </c>
      <c r="S1362">
        <f t="shared" si="197"/>
        <v>0</v>
      </c>
      <c r="T1362">
        <f t="shared" si="198"/>
        <v>0</v>
      </c>
    </row>
    <row r="1363" spans="10:20" x14ac:dyDescent="0.25">
      <c r="J1363">
        <v>0.26712137680298875</v>
      </c>
      <c r="K1363">
        <f t="shared" si="190"/>
        <v>1</v>
      </c>
      <c r="L1363">
        <f t="shared" si="191"/>
        <v>0.26712137680298875</v>
      </c>
      <c r="M1363">
        <f t="shared" si="194"/>
        <v>1</v>
      </c>
      <c r="N1363">
        <f t="shared" si="192"/>
        <v>6</v>
      </c>
      <c r="O1363">
        <f t="shared" si="193"/>
        <v>113</v>
      </c>
      <c r="P1363">
        <f t="shared" si="195"/>
        <v>0</v>
      </c>
      <c r="R1363">
        <f t="shared" si="196"/>
        <v>0</v>
      </c>
      <c r="S1363">
        <f t="shared" si="197"/>
        <v>0</v>
      </c>
      <c r="T1363">
        <f t="shared" si="198"/>
        <v>0</v>
      </c>
    </row>
    <row r="1364" spans="10:20" x14ac:dyDescent="0.25">
      <c r="J1364">
        <v>0.5581407862193889</v>
      </c>
      <c r="K1364">
        <f t="shared" si="190"/>
        <v>0</v>
      </c>
      <c r="L1364">
        <f t="shared" si="191"/>
        <v>0</v>
      </c>
      <c r="M1364">
        <f t="shared" si="194"/>
        <v>0</v>
      </c>
      <c r="N1364">
        <f t="shared" si="192"/>
        <v>7</v>
      </c>
      <c r="O1364">
        <f t="shared" si="193"/>
        <v>113</v>
      </c>
      <c r="P1364">
        <f t="shared" si="195"/>
        <v>0</v>
      </c>
      <c r="R1364">
        <f t="shared" si="196"/>
        <v>0</v>
      </c>
      <c r="S1364">
        <f t="shared" si="197"/>
        <v>0</v>
      </c>
      <c r="T1364">
        <f t="shared" si="198"/>
        <v>0</v>
      </c>
    </row>
    <row r="1365" spans="10:20" x14ac:dyDescent="0.25">
      <c r="J1365">
        <v>0.87814082195902343</v>
      </c>
      <c r="K1365">
        <f t="shared" si="190"/>
        <v>1</v>
      </c>
      <c r="L1365">
        <f t="shared" si="191"/>
        <v>0.87814082195902343</v>
      </c>
      <c r="M1365">
        <f t="shared" si="194"/>
        <v>1</v>
      </c>
      <c r="N1365">
        <f t="shared" si="192"/>
        <v>1</v>
      </c>
      <c r="O1365">
        <f t="shared" si="193"/>
        <v>114</v>
      </c>
      <c r="P1365">
        <f t="shared" si="195"/>
        <v>0</v>
      </c>
      <c r="R1365">
        <f t="shared" si="196"/>
        <v>0</v>
      </c>
      <c r="S1365">
        <f t="shared" si="197"/>
        <v>0</v>
      </c>
      <c r="T1365">
        <f t="shared" si="198"/>
        <v>0</v>
      </c>
    </row>
    <row r="1366" spans="10:20" x14ac:dyDescent="0.25">
      <c r="J1366">
        <v>0.45420942045259638</v>
      </c>
      <c r="K1366">
        <f t="shared" si="190"/>
        <v>0</v>
      </c>
      <c r="L1366">
        <f t="shared" si="191"/>
        <v>0</v>
      </c>
      <c r="M1366">
        <f t="shared" si="194"/>
        <v>0</v>
      </c>
      <c r="N1366">
        <f t="shared" si="192"/>
        <v>2</v>
      </c>
      <c r="O1366">
        <f t="shared" si="193"/>
        <v>114</v>
      </c>
      <c r="P1366">
        <f t="shared" si="195"/>
        <v>0</v>
      </c>
      <c r="R1366">
        <f t="shared" si="196"/>
        <v>0</v>
      </c>
      <c r="S1366">
        <f t="shared" si="197"/>
        <v>0</v>
      </c>
      <c r="T1366">
        <f t="shared" si="198"/>
        <v>0</v>
      </c>
    </row>
    <row r="1367" spans="10:20" x14ac:dyDescent="0.25">
      <c r="J1367">
        <v>0.85843064542374592</v>
      </c>
      <c r="K1367">
        <f t="shared" si="190"/>
        <v>1</v>
      </c>
      <c r="L1367">
        <f t="shared" si="191"/>
        <v>0.85843064542374592</v>
      </c>
      <c r="M1367">
        <f t="shared" si="194"/>
        <v>1</v>
      </c>
      <c r="N1367">
        <f t="shared" si="192"/>
        <v>2</v>
      </c>
      <c r="O1367">
        <f t="shared" si="193"/>
        <v>114</v>
      </c>
      <c r="P1367">
        <f t="shared" si="195"/>
        <v>0</v>
      </c>
      <c r="R1367">
        <f t="shared" si="196"/>
        <v>0</v>
      </c>
      <c r="S1367">
        <f t="shared" si="197"/>
        <v>0</v>
      </c>
      <c r="T1367">
        <f t="shared" si="198"/>
        <v>0</v>
      </c>
    </row>
    <row r="1368" spans="10:20" x14ac:dyDescent="0.25">
      <c r="J1368">
        <v>0.66054724162097278</v>
      </c>
      <c r="K1368">
        <f t="shared" ref="K1368:K1431" si="199">IF(K1367=1,0,1)</f>
        <v>0</v>
      </c>
      <c r="L1368">
        <f t="shared" ref="L1368:L1431" si="200">K1368*J1368</f>
        <v>0</v>
      </c>
      <c r="M1368">
        <f t="shared" si="194"/>
        <v>0</v>
      </c>
      <c r="N1368">
        <f t="shared" ref="N1368:N1431" si="201">IF(N1367&lt;$N$2,N1367+M1367,1)</f>
        <v>3</v>
      </c>
      <c r="O1368">
        <f t="shared" ref="O1368:O1431" si="202">IF(AND(N1368=1,M1368=1),O1367+1,O1367)</f>
        <v>114</v>
      </c>
      <c r="P1368">
        <f t="shared" si="195"/>
        <v>0</v>
      </c>
      <c r="R1368">
        <f t="shared" si="196"/>
        <v>0</v>
      </c>
      <c r="S1368">
        <f t="shared" si="197"/>
        <v>0</v>
      </c>
      <c r="T1368">
        <f t="shared" si="198"/>
        <v>0</v>
      </c>
    </row>
    <row r="1369" spans="10:20" x14ac:dyDescent="0.25">
      <c r="J1369">
        <v>0.31323461893636639</v>
      </c>
      <c r="K1369">
        <f t="shared" si="199"/>
        <v>1</v>
      </c>
      <c r="L1369">
        <f t="shared" si="200"/>
        <v>0.31323461893636639</v>
      </c>
      <c r="M1369">
        <f t="shared" si="194"/>
        <v>1</v>
      </c>
      <c r="N1369">
        <f t="shared" si="201"/>
        <v>3</v>
      </c>
      <c r="O1369">
        <f t="shared" si="202"/>
        <v>114</v>
      </c>
      <c r="P1369">
        <f t="shared" si="195"/>
        <v>0</v>
      </c>
      <c r="R1369">
        <f t="shared" si="196"/>
        <v>0</v>
      </c>
      <c r="S1369">
        <f t="shared" si="197"/>
        <v>0</v>
      </c>
      <c r="T1369">
        <f t="shared" si="198"/>
        <v>0</v>
      </c>
    </row>
    <row r="1370" spans="10:20" x14ac:dyDescent="0.25">
      <c r="J1370">
        <v>0.64588503413762288</v>
      </c>
      <c r="K1370">
        <f t="shared" si="199"/>
        <v>0</v>
      </c>
      <c r="L1370">
        <f t="shared" si="200"/>
        <v>0</v>
      </c>
      <c r="M1370">
        <f t="shared" si="194"/>
        <v>0</v>
      </c>
      <c r="N1370">
        <f t="shared" si="201"/>
        <v>4</v>
      </c>
      <c r="O1370">
        <f t="shared" si="202"/>
        <v>114</v>
      </c>
      <c r="P1370">
        <f t="shared" si="195"/>
        <v>0</v>
      </c>
      <c r="R1370">
        <f t="shared" si="196"/>
        <v>0</v>
      </c>
      <c r="S1370">
        <f t="shared" si="197"/>
        <v>0</v>
      </c>
      <c r="T1370">
        <f t="shared" si="198"/>
        <v>0</v>
      </c>
    </row>
    <row r="1371" spans="10:20" x14ac:dyDescent="0.25">
      <c r="J1371">
        <v>2.1104415321044123E-2</v>
      </c>
      <c r="K1371">
        <f t="shared" si="199"/>
        <v>1</v>
      </c>
      <c r="L1371">
        <f t="shared" si="200"/>
        <v>2.1104415321044123E-2</v>
      </c>
      <c r="M1371">
        <f t="shared" si="194"/>
        <v>1</v>
      </c>
      <c r="N1371">
        <f t="shared" si="201"/>
        <v>4</v>
      </c>
      <c r="O1371">
        <f t="shared" si="202"/>
        <v>114</v>
      </c>
      <c r="P1371">
        <f t="shared" si="195"/>
        <v>0</v>
      </c>
      <c r="R1371">
        <f t="shared" si="196"/>
        <v>0</v>
      </c>
      <c r="S1371">
        <f t="shared" si="197"/>
        <v>0</v>
      </c>
      <c r="T1371">
        <f t="shared" si="198"/>
        <v>0</v>
      </c>
    </row>
    <row r="1372" spans="10:20" x14ac:dyDescent="0.25">
      <c r="J1372">
        <v>0.80805574203893205</v>
      </c>
      <c r="K1372">
        <f t="shared" si="199"/>
        <v>0</v>
      </c>
      <c r="L1372">
        <f t="shared" si="200"/>
        <v>0</v>
      </c>
      <c r="M1372">
        <f t="shared" si="194"/>
        <v>0</v>
      </c>
      <c r="N1372">
        <f t="shared" si="201"/>
        <v>5</v>
      </c>
      <c r="O1372">
        <f t="shared" si="202"/>
        <v>114</v>
      </c>
      <c r="P1372">
        <f t="shared" si="195"/>
        <v>0</v>
      </c>
      <c r="R1372">
        <f t="shared" si="196"/>
        <v>0</v>
      </c>
      <c r="S1372">
        <f t="shared" si="197"/>
        <v>0</v>
      </c>
      <c r="T1372">
        <f t="shared" si="198"/>
        <v>0</v>
      </c>
    </row>
    <row r="1373" spans="10:20" x14ac:dyDescent="0.25">
      <c r="J1373">
        <v>1.82924583436882E-2</v>
      </c>
      <c r="K1373">
        <f t="shared" si="199"/>
        <v>1</v>
      </c>
      <c r="L1373">
        <f t="shared" si="200"/>
        <v>1.82924583436882E-2</v>
      </c>
      <c r="M1373">
        <f t="shared" si="194"/>
        <v>1</v>
      </c>
      <c r="N1373">
        <f t="shared" si="201"/>
        <v>5</v>
      </c>
      <c r="O1373">
        <f t="shared" si="202"/>
        <v>114</v>
      </c>
      <c r="P1373">
        <f t="shared" si="195"/>
        <v>0</v>
      </c>
      <c r="R1373">
        <f t="shared" si="196"/>
        <v>0</v>
      </c>
      <c r="S1373">
        <f t="shared" si="197"/>
        <v>0</v>
      </c>
      <c r="T1373">
        <f t="shared" si="198"/>
        <v>0</v>
      </c>
    </row>
    <row r="1374" spans="10:20" x14ac:dyDescent="0.25">
      <c r="J1374">
        <v>0.62992654999024167</v>
      </c>
      <c r="K1374">
        <f t="shared" si="199"/>
        <v>0</v>
      </c>
      <c r="L1374">
        <f t="shared" si="200"/>
        <v>0</v>
      </c>
      <c r="M1374">
        <f t="shared" si="194"/>
        <v>0</v>
      </c>
      <c r="N1374">
        <f t="shared" si="201"/>
        <v>6</v>
      </c>
      <c r="O1374">
        <f t="shared" si="202"/>
        <v>114</v>
      </c>
      <c r="P1374">
        <f t="shared" si="195"/>
        <v>0</v>
      </c>
      <c r="R1374">
        <f t="shared" si="196"/>
        <v>0</v>
      </c>
      <c r="S1374">
        <f t="shared" si="197"/>
        <v>0</v>
      </c>
      <c r="T1374">
        <f t="shared" si="198"/>
        <v>0</v>
      </c>
    </row>
    <row r="1375" spans="10:20" x14ac:dyDescent="0.25">
      <c r="J1375">
        <v>0.80613990078516817</v>
      </c>
      <c r="K1375">
        <f t="shared" si="199"/>
        <v>1</v>
      </c>
      <c r="L1375">
        <f t="shared" si="200"/>
        <v>0.80613990078516817</v>
      </c>
      <c r="M1375">
        <f t="shared" si="194"/>
        <v>1</v>
      </c>
      <c r="N1375">
        <f t="shared" si="201"/>
        <v>6</v>
      </c>
      <c r="O1375">
        <f t="shared" si="202"/>
        <v>114</v>
      </c>
      <c r="P1375">
        <f t="shared" si="195"/>
        <v>0</v>
      </c>
      <c r="R1375">
        <f t="shared" si="196"/>
        <v>0</v>
      </c>
      <c r="S1375">
        <f t="shared" si="197"/>
        <v>0</v>
      </c>
      <c r="T1375">
        <f t="shared" si="198"/>
        <v>0</v>
      </c>
    </row>
    <row r="1376" spans="10:20" x14ac:dyDescent="0.25">
      <c r="J1376">
        <v>0.7958170130885216</v>
      </c>
      <c r="K1376">
        <f t="shared" si="199"/>
        <v>0</v>
      </c>
      <c r="L1376">
        <f t="shared" si="200"/>
        <v>0</v>
      </c>
      <c r="M1376">
        <f t="shared" si="194"/>
        <v>0</v>
      </c>
      <c r="N1376">
        <f t="shared" si="201"/>
        <v>7</v>
      </c>
      <c r="O1376">
        <f t="shared" si="202"/>
        <v>114</v>
      </c>
      <c r="P1376">
        <f t="shared" si="195"/>
        <v>0</v>
      </c>
      <c r="R1376">
        <f t="shared" si="196"/>
        <v>0</v>
      </c>
      <c r="S1376">
        <f t="shared" si="197"/>
        <v>0</v>
      </c>
      <c r="T1376">
        <f t="shared" si="198"/>
        <v>0</v>
      </c>
    </row>
    <row r="1377" spans="10:20" x14ac:dyDescent="0.25">
      <c r="J1377">
        <v>0.27959817855478142</v>
      </c>
      <c r="K1377">
        <f t="shared" si="199"/>
        <v>1</v>
      </c>
      <c r="L1377">
        <f t="shared" si="200"/>
        <v>0.27959817855478142</v>
      </c>
      <c r="M1377">
        <f t="shared" si="194"/>
        <v>1</v>
      </c>
      <c r="N1377">
        <f t="shared" si="201"/>
        <v>1</v>
      </c>
      <c r="O1377">
        <f t="shared" si="202"/>
        <v>115</v>
      </c>
      <c r="P1377">
        <f t="shared" si="195"/>
        <v>0</v>
      </c>
      <c r="R1377">
        <f t="shared" si="196"/>
        <v>0</v>
      </c>
      <c r="S1377">
        <f t="shared" si="197"/>
        <v>0</v>
      </c>
      <c r="T1377">
        <f t="shared" si="198"/>
        <v>0</v>
      </c>
    </row>
    <row r="1378" spans="10:20" x14ac:dyDescent="0.25">
      <c r="J1378">
        <v>0.17844349823759131</v>
      </c>
      <c r="K1378">
        <f t="shared" si="199"/>
        <v>0</v>
      </c>
      <c r="L1378">
        <f t="shared" si="200"/>
        <v>0</v>
      </c>
      <c r="M1378">
        <f t="shared" si="194"/>
        <v>0</v>
      </c>
      <c r="N1378">
        <f t="shared" si="201"/>
        <v>2</v>
      </c>
      <c r="O1378">
        <f t="shared" si="202"/>
        <v>115</v>
      </c>
      <c r="P1378">
        <f t="shared" si="195"/>
        <v>0</v>
      </c>
      <c r="R1378">
        <f t="shared" si="196"/>
        <v>0</v>
      </c>
      <c r="S1378">
        <f t="shared" si="197"/>
        <v>0</v>
      </c>
      <c r="T1378">
        <f t="shared" si="198"/>
        <v>0</v>
      </c>
    </row>
    <row r="1379" spans="10:20" x14ac:dyDescent="0.25">
      <c r="J1379">
        <v>0.19941004530781226</v>
      </c>
      <c r="K1379">
        <f t="shared" si="199"/>
        <v>1</v>
      </c>
      <c r="L1379">
        <f t="shared" si="200"/>
        <v>0.19941004530781226</v>
      </c>
      <c r="M1379">
        <f t="shared" si="194"/>
        <v>1</v>
      </c>
      <c r="N1379">
        <f t="shared" si="201"/>
        <v>2</v>
      </c>
      <c r="O1379">
        <f t="shared" si="202"/>
        <v>115</v>
      </c>
      <c r="P1379">
        <f t="shared" si="195"/>
        <v>0</v>
      </c>
      <c r="R1379">
        <f t="shared" si="196"/>
        <v>0</v>
      </c>
      <c r="S1379">
        <f t="shared" si="197"/>
        <v>0</v>
      </c>
      <c r="T1379">
        <f t="shared" si="198"/>
        <v>0</v>
      </c>
    </row>
    <row r="1380" spans="10:20" x14ac:dyDescent="0.25">
      <c r="J1380">
        <v>0.25659507871067133</v>
      </c>
      <c r="K1380">
        <f t="shared" si="199"/>
        <v>0</v>
      </c>
      <c r="L1380">
        <f t="shared" si="200"/>
        <v>0</v>
      </c>
      <c r="M1380">
        <f t="shared" si="194"/>
        <v>0</v>
      </c>
      <c r="N1380">
        <f t="shared" si="201"/>
        <v>3</v>
      </c>
      <c r="O1380">
        <f t="shared" si="202"/>
        <v>115</v>
      </c>
      <c r="P1380">
        <f t="shared" si="195"/>
        <v>0</v>
      </c>
      <c r="R1380">
        <f t="shared" si="196"/>
        <v>0</v>
      </c>
      <c r="S1380">
        <f t="shared" si="197"/>
        <v>0</v>
      </c>
      <c r="T1380">
        <f t="shared" si="198"/>
        <v>0</v>
      </c>
    </row>
    <row r="1381" spans="10:20" x14ac:dyDescent="0.25">
      <c r="J1381">
        <v>0.9178904137997006</v>
      </c>
      <c r="K1381">
        <f t="shared" si="199"/>
        <v>1</v>
      </c>
      <c r="L1381">
        <f t="shared" si="200"/>
        <v>0.9178904137997006</v>
      </c>
      <c r="M1381">
        <f t="shared" si="194"/>
        <v>1</v>
      </c>
      <c r="N1381">
        <f t="shared" si="201"/>
        <v>3</v>
      </c>
      <c r="O1381">
        <f t="shared" si="202"/>
        <v>115</v>
      </c>
      <c r="P1381">
        <f t="shared" si="195"/>
        <v>0</v>
      </c>
      <c r="R1381">
        <f t="shared" si="196"/>
        <v>0</v>
      </c>
      <c r="S1381">
        <f t="shared" si="197"/>
        <v>0</v>
      </c>
      <c r="T1381">
        <f t="shared" si="198"/>
        <v>0</v>
      </c>
    </row>
    <row r="1382" spans="10:20" x14ac:dyDescent="0.25">
      <c r="J1382">
        <v>0.31348870252858407</v>
      </c>
      <c r="K1382">
        <f t="shared" si="199"/>
        <v>0</v>
      </c>
      <c r="L1382">
        <f t="shared" si="200"/>
        <v>0</v>
      </c>
      <c r="M1382">
        <f t="shared" si="194"/>
        <v>0</v>
      </c>
      <c r="N1382">
        <f t="shared" si="201"/>
        <v>4</v>
      </c>
      <c r="O1382">
        <f t="shared" si="202"/>
        <v>115</v>
      </c>
      <c r="P1382">
        <f t="shared" si="195"/>
        <v>0</v>
      </c>
      <c r="R1382">
        <f t="shared" si="196"/>
        <v>0</v>
      </c>
      <c r="S1382">
        <f t="shared" si="197"/>
        <v>0</v>
      </c>
      <c r="T1382">
        <f t="shared" si="198"/>
        <v>0</v>
      </c>
    </row>
    <row r="1383" spans="10:20" x14ac:dyDescent="0.25">
      <c r="J1383">
        <v>0.9155616505627806</v>
      </c>
      <c r="K1383">
        <f t="shared" si="199"/>
        <v>1</v>
      </c>
      <c r="L1383">
        <f t="shared" si="200"/>
        <v>0.9155616505627806</v>
      </c>
      <c r="M1383">
        <f t="shared" si="194"/>
        <v>1</v>
      </c>
      <c r="N1383">
        <f t="shared" si="201"/>
        <v>4</v>
      </c>
      <c r="O1383">
        <f t="shared" si="202"/>
        <v>115</v>
      </c>
      <c r="P1383">
        <f t="shared" si="195"/>
        <v>0</v>
      </c>
      <c r="R1383">
        <f t="shared" si="196"/>
        <v>0</v>
      </c>
      <c r="S1383">
        <f t="shared" si="197"/>
        <v>0</v>
      </c>
      <c r="T1383">
        <f t="shared" si="198"/>
        <v>0</v>
      </c>
    </row>
    <row r="1384" spans="10:20" x14ac:dyDescent="0.25">
      <c r="J1384">
        <v>0.96745317064539227</v>
      </c>
      <c r="K1384">
        <f t="shared" si="199"/>
        <v>0</v>
      </c>
      <c r="L1384">
        <f t="shared" si="200"/>
        <v>0</v>
      </c>
      <c r="M1384">
        <f t="shared" si="194"/>
        <v>0</v>
      </c>
      <c r="N1384">
        <f t="shared" si="201"/>
        <v>5</v>
      </c>
      <c r="O1384">
        <f t="shared" si="202"/>
        <v>115</v>
      </c>
      <c r="P1384">
        <f t="shared" si="195"/>
        <v>0</v>
      </c>
      <c r="R1384">
        <f t="shared" si="196"/>
        <v>0</v>
      </c>
      <c r="S1384">
        <f t="shared" si="197"/>
        <v>0</v>
      </c>
      <c r="T1384">
        <f t="shared" si="198"/>
        <v>0</v>
      </c>
    </row>
    <row r="1385" spans="10:20" x14ac:dyDescent="0.25">
      <c r="J1385">
        <v>0.86699239432342345</v>
      </c>
      <c r="K1385">
        <f t="shared" si="199"/>
        <v>1</v>
      </c>
      <c r="L1385">
        <f t="shared" si="200"/>
        <v>0.86699239432342345</v>
      </c>
      <c r="M1385">
        <f t="shared" si="194"/>
        <v>1</v>
      </c>
      <c r="N1385">
        <f t="shared" si="201"/>
        <v>5</v>
      </c>
      <c r="O1385">
        <f t="shared" si="202"/>
        <v>115</v>
      </c>
      <c r="P1385">
        <f t="shared" si="195"/>
        <v>0</v>
      </c>
      <c r="R1385">
        <f t="shared" si="196"/>
        <v>0</v>
      </c>
      <c r="S1385">
        <f t="shared" si="197"/>
        <v>0</v>
      </c>
      <c r="T1385">
        <f t="shared" si="198"/>
        <v>0</v>
      </c>
    </row>
    <row r="1386" spans="10:20" x14ac:dyDescent="0.25">
      <c r="J1386">
        <v>0.35428844690932593</v>
      </c>
      <c r="K1386">
        <f t="shared" si="199"/>
        <v>0</v>
      </c>
      <c r="L1386">
        <f t="shared" si="200"/>
        <v>0</v>
      </c>
      <c r="M1386">
        <f t="shared" si="194"/>
        <v>0</v>
      </c>
      <c r="N1386">
        <f t="shared" si="201"/>
        <v>6</v>
      </c>
      <c r="O1386">
        <f t="shared" si="202"/>
        <v>115</v>
      </c>
      <c r="P1386">
        <f t="shared" si="195"/>
        <v>0</v>
      </c>
      <c r="R1386">
        <f t="shared" si="196"/>
        <v>0</v>
      </c>
      <c r="S1386">
        <f t="shared" si="197"/>
        <v>0</v>
      </c>
      <c r="T1386">
        <f t="shared" si="198"/>
        <v>0</v>
      </c>
    </row>
    <row r="1387" spans="10:20" x14ac:dyDescent="0.25">
      <c r="J1387">
        <v>0.1802286842334091</v>
      </c>
      <c r="K1387">
        <f t="shared" si="199"/>
        <v>1</v>
      </c>
      <c r="L1387">
        <f t="shared" si="200"/>
        <v>0.1802286842334091</v>
      </c>
      <c r="M1387">
        <f t="shared" si="194"/>
        <v>1</v>
      </c>
      <c r="N1387">
        <f t="shared" si="201"/>
        <v>6</v>
      </c>
      <c r="O1387">
        <f t="shared" si="202"/>
        <v>115</v>
      </c>
      <c r="P1387">
        <f t="shared" si="195"/>
        <v>0</v>
      </c>
      <c r="R1387">
        <f t="shared" si="196"/>
        <v>0</v>
      </c>
      <c r="S1387">
        <f t="shared" si="197"/>
        <v>0</v>
      </c>
      <c r="T1387">
        <f t="shared" si="198"/>
        <v>0</v>
      </c>
    </row>
    <row r="1388" spans="10:20" x14ac:dyDescent="0.25">
      <c r="J1388">
        <v>0.79591671489978044</v>
      </c>
      <c r="K1388">
        <f t="shared" si="199"/>
        <v>0</v>
      </c>
      <c r="L1388">
        <f t="shared" si="200"/>
        <v>0</v>
      </c>
      <c r="M1388">
        <f t="shared" si="194"/>
        <v>0</v>
      </c>
      <c r="N1388">
        <f t="shared" si="201"/>
        <v>7</v>
      </c>
      <c r="O1388">
        <f t="shared" si="202"/>
        <v>115</v>
      </c>
      <c r="P1388">
        <f t="shared" si="195"/>
        <v>0</v>
      </c>
      <c r="R1388">
        <f t="shared" si="196"/>
        <v>0</v>
      </c>
      <c r="S1388">
        <f t="shared" si="197"/>
        <v>0</v>
      </c>
      <c r="T1388">
        <f t="shared" si="198"/>
        <v>0</v>
      </c>
    </row>
    <row r="1389" spans="10:20" x14ac:dyDescent="0.25">
      <c r="J1389">
        <v>0.56452241565733452</v>
      </c>
      <c r="K1389">
        <f t="shared" si="199"/>
        <v>1</v>
      </c>
      <c r="L1389">
        <f t="shared" si="200"/>
        <v>0.56452241565733452</v>
      </c>
      <c r="M1389">
        <f t="shared" si="194"/>
        <v>1</v>
      </c>
      <c r="N1389">
        <f t="shared" si="201"/>
        <v>1</v>
      </c>
      <c r="O1389">
        <f t="shared" si="202"/>
        <v>116</v>
      </c>
      <c r="P1389">
        <f t="shared" si="195"/>
        <v>0</v>
      </c>
      <c r="R1389">
        <f t="shared" si="196"/>
        <v>0</v>
      </c>
      <c r="S1389">
        <f t="shared" si="197"/>
        <v>0</v>
      </c>
      <c r="T1389">
        <f t="shared" si="198"/>
        <v>0</v>
      </c>
    </row>
    <row r="1390" spans="10:20" x14ac:dyDescent="0.25">
      <c r="J1390">
        <v>0.29797956347310484</v>
      </c>
      <c r="K1390">
        <f t="shared" si="199"/>
        <v>0</v>
      </c>
      <c r="L1390">
        <f t="shared" si="200"/>
        <v>0</v>
      </c>
      <c r="M1390">
        <f t="shared" si="194"/>
        <v>0</v>
      </c>
      <c r="N1390">
        <f t="shared" si="201"/>
        <v>2</v>
      </c>
      <c r="O1390">
        <f t="shared" si="202"/>
        <v>116</v>
      </c>
      <c r="P1390">
        <f t="shared" si="195"/>
        <v>0</v>
      </c>
      <c r="R1390">
        <f t="shared" si="196"/>
        <v>0</v>
      </c>
      <c r="S1390">
        <f t="shared" si="197"/>
        <v>0</v>
      </c>
      <c r="T1390">
        <f t="shared" si="198"/>
        <v>0</v>
      </c>
    </row>
    <row r="1391" spans="10:20" x14ac:dyDescent="0.25">
      <c r="J1391">
        <v>0.68591470804372046</v>
      </c>
      <c r="K1391">
        <f t="shared" si="199"/>
        <v>1</v>
      </c>
      <c r="L1391">
        <f t="shared" si="200"/>
        <v>0.68591470804372046</v>
      </c>
      <c r="M1391">
        <f t="shared" si="194"/>
        <v>1</v>
      </c>
      <c r="N1391">
        <f t="shared" si="201"/>
        <v>2</v>
      </c>
      <c r="O1391">
        <f t="shared" si="202"/>
        <v>116</v>
      </c>
      <c r="P1391">
        <f t="shared" si="195"/>
        <v>0</v>
      </c>
      <c r="R1391">
        <f t="shared" si="196"/>
        <v>0</v>
      </c>
      <c r="S1391">
        <f t="shared" si="197"/>
        <v>0</v>
      </c>
      <c r="T1391">
        <f t="shared" si="198"/>
        <v>0</v>
      </c>
    </row>
    <row r="1392" spans="10:20" x14ac:dyDescent="0.25">
      <c r="J1392">
        <v>0.47053837312013103</v>
      </c>
      <c r="K1392">
        <f t="shared" si="199"/>
        <v>0</v>
      </c>
      <c r="L1392">
        <f t="shared" si="200"/>
        <v>0</v>
      </c>
      <c r="M1392">
        <f t="shared" si="194"/>
        <v>0</v>
      </c>
      <c r="N1392">
        <f t="shared" si="201"/>
        <v>3</v>
      </c>
      <c r="O1392">
        <f t="shared" si="202"/>
        <v>116</v>
      </c>
      <c r="P1392">
        <f t="shared" si="195"/>
        <v>0</v>
      </c>
      <c r="R1392">
        <f t="shared" si="196"/>
        <v>0</v>
      </c>
      <c r="S1392">
        <f t="shared" si="197"/>
        <v>0</v>
      </c>
      <c r="T1392">
        <f t="shared" si="198"/>
        <v>0</v>
      </c>
    </row>
    <row r="1393" spans="10:20" x14ac:dyDescent="0.25">
      <c r="J1393">
        <v>0.71572989181987323</v>
      </c>
      <c r="K1393">
        <f t="shared" si="199"/>
        <v>1</v>
      </c>
      <c r="L1393">
        <f t="shared" si="200"/>
        <v>0.71572989181987323</v>
      </c>
      <c r="M1393">
        <f t="shared" si="194"/>
        <v>1</v>
      </c>
      <c r="N1393">
        <f t="shared" si="201"/>
        <v>3</v>
      </c>
      <c r="O1393">
        <f t="shared" si="202"/>
        <v>116</v>
      </c>
      <c r="P1393">
        <f t="shared" si="195"/>
        <v>0</v>
      </c>
      <c r="R1393">
        <f t="shared" si="196"/>
        <v>0</v>
      </c>
      <c r="S1393">
        <f t="shared" si="197"/>
        <v>0</v>
      </c>
      <c r="T1393">
        <f t="shared" si="198"/>
        <v>0</v>
      </c>
    </row>
    <row r="1394" spans="10:20" x14ac:dyDescent="0.25">
      <c r="J1394">
        <v>0.68704133561354686</v>
      </c>
      <c r="K1394">
        <f t="shared" si="199"/>
        <v>0</v>
      </c>
      <c r="L1394">
        <f t="shared" si="200"/>
        <v>0</v>
      </c>
      <c r="M1394">
        <f t="shared" si="194"/>
        <v>0</v>
      </c>
      <c r="N1394">
        <f t="shared" si="201"/>
        <v>4</v>
      </c>
      <c r="O1394">
        <f t="shared" si="202"/>
        <v>116</v>
      </c>
      <c r="P1394">
        <f t="shared" si="195"/>
        <v>0</v>
      </c>
      <c r="R1394">
        <f t="shared" si="196"/>
        <v>0</v>
      </c>
      <c r="S1394">
        <f t="shared" si="197"/>
        <v>0</v>
      </c>
      <c r="T1394">
        <f t="shared" si="198"/>
        <v>0</v>
      </c>
    </row>
    <row r="1395" spans="10:20" x14ac:dyDescent="0.25">
      <c r="J1395">
        <v>0.9185140793163058</v>
      </c>
      <c r="K1395">
        <f t="shared" si="199"/>
        <v>1</v>
      </c>
      <c r="L1395">
        <f t="shared" si="200"/>
        <v>0.9185140793163058</v>
      </c>
      <c r="M1395">
        <f t="shared" si="194"/>
        <v>1</v>
      </c>
      <c r="N1395">
        <f t="shared" si="201"/>
        <v>4</v>
      </c>
      <c r="O1395">
        <f t="shared" si="202"/>
        <v>116</v>
      </c>
      <c r="P1395">
        <f t="shared" si="195"/>
        <v>0</v>
      </c>
      <c r="R1395">
        <f t="shared" si="196"/>
        <v>0</v>
      </c>
      <c r="S1395">
        <f t="shared" si="197"/>
        <v>0</v>
      </c>
      <c r="T1395">
        <f t="shared" si="198"/>
        <v>0</v>
      </c>
    </row>
    <row r="1396" spans="10:20" x14ac:dyDescent="0.25">
      <c r="J1396">
        <v>0.52432124291187332</v>
      </c>
      <c r="K1396">
        <f t="shared" si="199"/>
        <v>0</v>
      </c>
      <c r="L1396">
        <f t="shared" si="200"/>
        <v>0</v>
      </c>
      <c r="M1396">
        <f t="shared" si="194"/>
        <v>0</v>
      </c>
      <c r="N1396">
        <f t="shared" si="201"/>
        <v>5</v>
      </c>
      <c r="O1396">
        <f t="shared" si="202"/>
        <v>116</v>
      </c>
      <c r="P1396">
        <f t="shared" si="195"/>
        <v>0</v>
      </c>
      <c r="R1396">
        <f t="shared" si="196"/>
        <v>0</v>
      </c>
      <c r="S1396">
        <f t="shared" si="197"/>
        <v>0</v>
      </c>
      <c r="T1396">
        <f t="shared" si="198"/>
        <v>0</v>
      </c>
    </row>
    <row r="1397" spans="10:20" x14ac:dyDescent="0.25">
      <c r="J1397">
        <v>0.55743165954317553</v>
      </c>
      <c r="K1397">
        <f t="shared" si="199"/>
        <v>1</v>
      </c>
      <c r="L1397">
        <f t="shared" si="200"/>
        <v>0.55743165954317553</v>
      </c>
      <c r="M1397">
        <f t="shared" si="194"/>
        <v>1</v>
      </c>
      <c r="N1397">
        <f t="shared" si="201"/>
        <v>5</v>
      </c>
      <c r="O1397">
        <f t="shared" si="202"/>
        <v>116</v>
      </c>
      <c r="P1397">
        <f t="shared" si="195"/>
        <v>0</v>
      </c>
      <c r="R1397">
        <f t="shared" si="196"/>
        <v>0</v>
      </c>
      <c r="S1397">
        <f t="shared" si="197"/>
        <v>0</v>
      </c>
      <c r="T1397">
        <f t="shared" si="198"/>
        <v>0</v>
      </c>
    </row>
    <row r="1398" spans="10:20" x14ac:dyDescent="0.25">
      <c r="J1398">
        <v>0.40490391177607832</v>
      </c>
      <c r="K1398">
        <f t="shared" si="199"/>
        <v>0</v>
      </c>
      <c r="L1398">
        <f t="shared" si="200"/>
        <v>0</v>
      </c>
      <c r="M1398">
        <f t="shared" si="194"/>
        <v>0</v>
      </c>
      <c r="N1398">
        <f t="shared" si="201"/>
        <v>6</v>
      </c>
      <c r="O1398">
        <f t="shared" si="202"/>
        <v>116</v>
      </c>
      <c r="P1398">
        <f t="shared" si="195"/>
        <v>0</v>
      </c>
      <c r="R1398">
        <f t="shared" si="196"/>
        <v>0</v>
      </c>
      <c r="S1398">
        <f t="shared" si="197"/>
        <v>0</v>
      </c>
      <c r="T1398">
        <f t="shared" si="198"/>
        <v>0</v>
      </c>
    </row>
    <row r="1399" spans="10:20" x14ac:dyDescent="0.25">
      <c r="J1399">
        <v>0.85545634823550698</v>
      </c>
      <c r="K1399">
        <f t="shared" si="199"/>
        <v>1</v>
      </c>
      <c r="L1399">
        <f t="shared" si="200"/>
        <v>0.85545634823550698</v>
      </c>
      <c r="M1399">
        <f t="shared" si="194"/>
        <v>1</v>
      </c>
      <c r="N1399">
        <f t="shared" si="201"/>
        <v>6</v>
      </c>
      <c r="O1399">
        <f t="shared" si="202"/>
        <v>116</v>
      </c>
      <c r="P1399">
        <f t="shared" si="195"/>
        <v>0</v>
      </c>
      <c r="R1399">
        <f t="shared" si="196"/>
        <v>0</v>
      </c>
      <c r="S1399">
        <f t="shared" si="197"/>
        <v>0</v>
      </c>
      <c r="T1399">
        <f t="shared" si="198"/>
        <v>0</v>
      </c>
    </row>
    <row r="1400" spans="10:20" x14ac:dyDescent="0.25">
      <c r="J1400">
        <v>0.81829898481211394</v>
      </c>
      <c r="K1400">
        <f t="shared" si="199"/>
        <v>0</v>
      </c>
      <c r="L1400">
        <f t="shared" si="200"/>
        <v>0</v>
      </c>
      <c r="M1400">
        <f t="shared" si="194"/>
        <v>0</v>
      </c>
      <c r="N1400">
        <f t="shared" si="201"/>
        <v>7</v>
      </c>
      <c r="O1400">
        <f t="shared" si="202"/>
        <v>116</v>
      </c>
      <c r="P1400">
        <f t="shared" si="195"/>
        <v>0</v>
      </c>
      <c r="R1400">
        <f t="shared" si="196"/>
        <v>0</v>
      </c>
      <c r="S1400">
        <f t="shared" si="197"/>
        <v>0</v>
      </c>
      <c r="T1400">
        <f t="shared" si="198"/>
        <v>0</v>
      </c>
    </row>
    <row r="1401" spans="10:20" x14ac:dyDescent="0.25">
      <c r="J1401">
        <v>0.20284489567236719</v>
      </c>
      <c r="K1401">
        <f t="shared" si="199"/>
        <v>1</v>
      </c>
      <c r="L1401">
        <f t="shared" si="200"/>
        <v>0.20284489567236719</v>
      </c>
      <c r="M1401">
        <f t="shared" si="194"/>
        <v>1</v>
      </c>
      <c r="N1401">
        <f t="shared" si="201"/>
        <v>1</v>
      </c>
      <c r="O1401">
        <f t="shared" si="202"/>
        <v>117</v>
      </c>
      <c r="P1401">
        <f t="shared" si="195"/>
        <v>0</v>
      </c>
      <c r="R1401">
        <f t="shared" si="196"/>
        <v>0</v>
      </c>
      <c r="S1401">
        <f t="shared" si="197"/>
        <v>0</v>
      </c>
      <c r="T1401">
        <f t="shared" si="198"/>
        <v>0</v>
      </c>
    </row>
    <row r="1402" spans="10:20" x14ac:dyDescent="0.25">
      <c r="J1402">
        <v>0.85443372541497087</v>
      </c>
      <c r="K1402">
        <f t="shared" si="199"/>
        <v>0</v>
      </c>
      <c r="L1402">
        <f t="shared" si="200"/>
        <v>0</v>
      </c>
      <c r="M1402">
        <f t="shared" si="194"/>
        <v>0</v>
      </c>
      <c r="N1402">
        <f t="shared" si="201"/>
        <v>2</v>
      </c>
      <c r="O1402">
        <f t="shared" si="202"/>
        <v>117</v>
      </c>
      <c r="P1402">
        <f t="shared" si="195"/>
        <v>0</v>
      </c>
      <c r="R1402">
        <f t="shared" si="196"/>
        <v>0</v>
      </c>
      <c r="S1402">
        <f t="shared" si="197"/>
        <v>0</v>
      </c>
      <c r="T1402">
        <f t="shared" si="198"/>
        <v>0</v>
      </c>
    </row>
    <row r="1403" spans="10:20" x14ac:dyDescent="0.25">
      <c r="J1403">
        <v>7.9341470147078486E-2</v>
      </c>
      <c r="K1403">
        <f t="shared" si="199"/>
        <v>1</v>
      </c>
      <c r="L1403">
        <f t="shared" si="200"/>
        <v>7.9341470147078486E-2</v>
      </c>
      <c r="M1403">
        <f t="shared" si="194"/>
        <v>1</v>
      </c>
      <c r="N1403">
        <f t="shared" si="201"/>
        <v>2</v>
      </c>
      <c r="O1403">
        <f t="shared" si="202"/>
        <v>117</v>
      </c>
      <c r="P1403">
        <f t="shared" si="195"/>
        <v>0</v>
      </c>
      <c r="R1403">
        <f t="shared" si="196"/>
        <v>0</v>
      </c>
      <c r="S1403">
        <f t="shared" si="197"/>
        <v>0</v>
      </c>
      <c r="T1403">
        <f t="shared" si="198"/>
        <v>0</v>
      </c>
    </row>
    <row r="1404" spans="10:20" x14ac:dyDescent="0.25">
      <c r="J1404">
        <v>0.48368752642528179</v>
      </c>
      <c r="K1404">
        <f t="shared" si="199"/>
        <v>0</v>
      </c>
      <c r="L1404">
        <f t="shared" si="200"/>
        <v>0</v>
      </c>
      <c r="M1404">
        <f t="shared" si="194"/>
        <v>0</v>
      </c>
      <c r="N1404">
        <f t="shared" si="201"/>
        <v>3</v>
      </c>
      <c r="O1404">
        <f t="shared" si="202"/>
        <v>117</v>
      </c>
      <c r="P1404">
        <f t="shared" si="195"/>
        <v>0</v>
      </c>
      <c r="R1404">
        <f t="shared" si="196"/>
        <v>0</v>
      </c>
      <c r="S1404">
        <f t="shared" si="197"/>
        <v>0</v>
      </c>
      <c r="T1404">
        <f t="shared" si="198"/>
        <v>0</v>
      </c>
    </row>
    <row r="1405" spans="10:20" x14ac:dyDescent="0.25">
      <c r="J1405">
        <v>8.0793272702112895E-2</v>
      </c>
      <c r="K1405">
        <f t="shared" si="199"/>
        <v>1</v>
      </c>
      <c r="L1405">
        <f t="shared" si="200"/>
        <v>8.0793272702112895E-2</v>
      </c>
      <c r="M1405">
        <f t="shared" si="194"/>
        <v>1</v>
      </c>
      <c r="N1405">
        <f t="shared" si="201"/>
        <v>3</v>
      </c>
      <c r="O1405">
        <f t="shared" si="202"/>
        <v>117</v>
      </c>
      <c r="P1405">
        <f t="shared" si="195"/>
        <v>0</v>
      </c>
      <c r="R1405">
        <f t="shared" si="196"/>
        <v>0</v>
      </c>
      <c r="S1405">
        <f t="shared" si="197"/>
        <v>0</v>
      </c>
      <c r="T1405">
        <f t="shared" si="198"/>
        <v>0</v>
      </c>
    </row>
    <row r="1406" spans="10:20" x14ac:dyDescent="0.25">
      <c r="J1406">
        <v>0.46936393863915538</v>
      </c>
      <c r="K1406">
        <f t="shared" si="199"/>
        <v>0</v>
      </c>
      <c r="L1406">
        <f t="shared" si="200"/>
        <v>0</v>
      </c>
      <c r="M1406">
        <f t="shared" si="194"/>
        <v>0</v>
      </c>
      <c r="N1406">
        <f t="shared" si="201"/>
        <v>4</v>
      </c>
      <c r="O1406">
        <f t="shared" si="202"/>
        <v>117</v>
      </c>
      <c r="P1406">
        <f t="shared" si="195"/>
        <v>0</v>
      </c>
      <c r="R1406">
        <f t="shared" si="196"/>
        <v>0</v>
      </c>
      <c r="S1406">
        <f t="shared" si="197"/>
        <v>0</v>
      </c>
      <c r="T1406">
        <f t="shared" si="198"/>
        <v>0</v>
      </c>
    </row>
    <row r="1407" spans="10:20" x14ac:dyDescent="0.25">
      <c r="J1407">
        <v>0.28568797223579512</v>
      </c>
      <c r="K1407">
        <f t="shared" si="199"/>
        <v>1</v>
      </c>
      <c r="L1407">
        <f t="shared" si="200"/>
        <v>0.28568797223579512</v>
      </c>
      <c r="M1407">
        <f t="shared" si="194"/>
        <v>1</v>
      </c>
      <c r="N1407">
        <f t="shared" si="201"/>
        <v>4</v>
      </c>
      <c r="O1407">
        <f t="shared" si="202"/>
        <v>117</v>
      </c>
      <c r="P1407">
        <f t="shared" si="195"/>
        <v>0</v>
      </c>
      <c r="R1407">
        <f t="shared" si="196"/>
        <v>0</v>
      </c>
      <c r="S1407">
        <f t="shared" si="197"/>
        <v>0</v>
      </c>
      <c r="T1407">
        <f t="shared" si="198"/>
        <v>0</v>
      </c>
    </row>
    <row r="1408" spans="10:20" x14ac:dyDescent="0.25">
      <c r="J1408">
        <v>0.72394702108545728</v>
      </c>
      <c r="K1408">
        <f t="shared" si="199"/>
        <v>0</v>
      </c>
      <c r="L1408">
        <f t="shared" si="200"/>
        <v>0</v>
      </c>
      <c r="M1408">
        <f t="shared" si="194"/>
        <v>0</v>
      </c>
      <c r="N1408">
        <f t="shared" si="201"/>
        <v>5</v>
      </c>
      <c r="O1408">
        <f t="shared" si="202"/>
        <v>117</v>
      </c>
      <c r="P1408">
        <f t="shared" si="195"/>
        <v>0</v>
      </c>
      <c r="R1408">
        <f t="shared" si="196"/>
        <v>0</v>
      </c>
      <c r="S1408">
        <f t="shared" si="197"/>
        <v>0</v>
      </c>
      <c r="T1408">
        <f t="shared" si="198"/>
        <v>0</v>
      </c>
    </row>
    <row r="1409" spans="10:20" x14ac:dyDescent="0.25">
      <c r="J1409">
        <v>0.6106712531302958</v>
      </c>
      <c r="K1409">
        <f t="shared" si="199"/>
        <v>1</v>
      </c>
      <c r="L1409">
        <f t="shared" si="200"/>
        <v>0.6106712531302958</v>
      </c>
      <c r="M1409">
        <f t="shared" si="194"/>
        <v>1</v>
      </c>
      <c r="N1409">
        <f t="shared" si="201"/>
        <v>5</v>
      </c>
      <c r="O1409">
        <f t="shared" si="202"/>
        <v>117</v>
      </c>
      <c r="P1409">
        <f t="shared" si="195"/>
        <v>0</v>
      </c>
      <c r="R1409">
        <f t="shared" si="196"/>
        <v>0</v>
      </c>
      <c r="S1409">
        <f t="shared" si="197"/>
        <v>0</v>
      </c>
      <c r="T1409">
        <f t="shared" si="198"/>
        <v>0</v>
      </c>
    </row>
    <row r="1410" spans="10:20" x14ac:dyDescent="0.25">
      <c r="J1410">
        <v>0.23527579878077365</v>
      </c>
      <c r="K1410">
        <f t="shared" si="199"/>
        <v>0</v>
      </c>
      <c r="L1410">
        <f t="shared" si="200"/>
        <v>0</v>
      </c>
      <c r="M1410">
        <f t="shared" si="194"/>
        <v>0</v>
      </c>
      <c r="N1410">
        <f t="shared" si="201"/>
        <v>6</v>
      </c>
      <c r="O1410">
        <f t="shared" si="202"/>
        <v>117</v>
      </c>
      <c r="P1410">
        <f t="shared" si="195"/>
        <v>0</v>
      </c>
      <c r="R1410">
        <f t="shared" si="196"/>
        <v>0</v>
      </c>
      <c r="S1410">
        <f t="shared" si="197"/>
        <v>0</v>
      </c>
      <c r="T1410">
        <f t="shared" si="198"/>
        <v>0</v>
      </c>
    </row>
    <row r="1411" spans="10:20" x14ac:dyDescent="0.25">
      <c r="J1411">
        <v>0.44011251491310122</v>
      </c>
      <c r="K1411">
        <f t="shared" si="199"/>
        <v>1</v>
      </c>
      <c r="L1411">
        <f t="shared" si="200"/>
        <v>0.44011251491310122</v>
      </c>
      <c r="M1411">
        <f t="shared" si="194"/>
        <v>1</v>
      </c>
      <c r="N1411">
        <f t="shared" si="201"/>
        <v>6</v>
      </c>
      <c r="O1411">
        <f t="shared" si="202"/>
        <v>117</v>
      </c>
      <c r="P1411">
        <f t="shared" si="195"/>
        <v>0</v>
      </c>
      <c r="R1411">
        <f t="shared" si="196"/>
        <v>0</v>
      </c>
      <c r="S1411">
        <f t="shared" si="197"/>
        <v>0</v>
      </c>
      <c r="T1411">
        <f t="shared" si="198"/>
        <v>0</v>
      </c>
    </row>
    <row r="1412" spans="10:20" x14ac:dyDescent="0.25">
      <c r="J1412">
        <v>0.84963540505635027</v>
      </c>
      <c r="K1412">
        <f t="shared" si="199"/>
        <v>0</v>
      </c>
      <c r="L1412">
        <f t="shared" si="200"/>
        <v>0</v>
      </c>
      <c r="M1412">
        <f t="shared" si="194"/>
        <v>0</v>
      </c>
      <c r="N1412">
        <f t="shared" si="201"/>
        <v>7</v>
      </c>
      <c r="O1412">
        <f t="shared" si="202"/>
        <v>117</v>
      </c>
      <c r="P1412">
        <f t="shared" si="195"/>
        <v>0</v>
      </c>
      <c r="R1412">
        <f t="shared" si="196"/>
        <v>0</v>
      </c>
      <c r="S1412">
        <f t="shared" si="197"/>
        <v>0</v>
      </c>
      <c r="T1412">
        <f t="shared" si="198"/>
        <v>0</v>
      </c>
    </row>
    <row r="1413" spans="10:20" x14ac:dyDescent="0.25">
      <c r="J1413">
        <v>0.86344750771318124</v>
      </c>
      <c r="K1413">
        <f t="shared" si="199"/>
        <v>1</v>
      </c>
      <c r="L1413">
        <f t="shared" si="200"/>
        <v>0.86344750771318124</v>
      </c>
      <c r="M1413">
        <f t="shared" si="194"/>
        <v>1</v>
      </c>
      <c r="N1413">
        <f t="shared" si="201"/>
        <v>1</v>
      </c>
      <c r="O1413">
        <f t="shared" si="202"/>
        <v>118</v>
      </c>
      <c r="P1413">
        <f t="shared" si="195"/>
        <v>0</v>
      </c>
      <c r="R1413">
        <f t="shared" si="196"/>
        <v>0</v>
      </c>
      <c r="S1413">
        <f t="shared" si="197"/>
        <v>0</v>
      </c>
      <c r="T1413">
        <f t="shared" si="198"/>
        <v>0</v>
      </c>
    </row>
    <row r="1414" spans="10:20" x14ac:dyDescent="0.25">
      <c r="J1414">
        <v>0.38988180030906106</v>
      </c>
      <c r="K1414">
        <f t="shared" si="199"/>
        <v>0</v>
      </c>
      <c r="L1414">
        <f t="shared" si="200"/>
        <v>0</v>
      </c>
      <c r="M1414">
        <f t="shared" si="194"/>
        <v>0</v>
      </c>
      <c r="N1414">
        <f t="shared" si="201"/>
        <v>2</v>
      </c>
      <c r="O1414">
        <f t="shared" si="202"/>
        <v>118</v>
      </c>
      <c r="P1414">
        <f t="shared" si="195"/>
        <v>0</v>
      </c>
      <c r="R1414">
        <f t="shared" si="196"/>
        <v>0</v>
      </c>
      <c r="S1414">
        <f t="shared" si="197"/>
        <v>0</v>
      </c>
      <c r="T1414">
        <f t="shared" si="198"/>
        <v>0</v>
      </c>
    </row>
    <row r="1415" spans="10:20" x14ac:dyDescent="0.25">
      <c r="J1415">
        <v>0.23657756773948313</v>
      </c>
      <c r="K1415">
        <f t="shared" si="199"/>
        <v>1</v>
      </c>
      <c r="L1415">
        <f t="shared" si="200"/>
        <v>0.23657756773948313</v>
      </c>
      <c r="M1415">
        <f t="shared" si="194"/>
        <v>1</v>
      </c>
      <c r="N1415">
        <f t="shared" si="201"/>
        <v>2</v>
      </c>
      <c r="O1415">
        <f t="shared" si="202"/>
        <v>118</v>
      </c>
      <c r="P1415">
        <f t="shared" si="195"/>
        <v>0</v>
      </c>
      <c r="R1415">
        <f t="shared" si="196"/>
        <v>0</v>
      </c>
      <c r="S1415">
        <f t="shared" si="197"/>
        <v>0</v>
      </c>
      <c r="T1415">
        <f t="shared" si="198"/>
        <v>0</v>
      </c>
    </row>
    <row r="1416" spans="10:20" x14ac:dyDescent="0.25">
      <c r="J1416">
        <v>0.4875500962415632</v>
      </c>
      <c r="K1416">
        <f t="shared" si="199"/>
        <v>0</v>
      </c>
      <c r="L1416">
        <f t="shared" si="200"/>
        <v>0</v>
      </c>
      <c r="M1416">
        <f t="shared" ref="M1416:M1479" si="203">IF(L1416&gt;$M$2,1,0)</f>
        <v>0</v>
      </c>
      <c r="N1416">
        <f t="shared" si="201"/>
        <v>3</v>
      </c>
      <c r="O1416">
        <f t="shared" si="202"/>
        <v>118</v>
      </c>
      <c r="P1416">
        <f t="shared" ref="P1416:P1479" si="204">IF(INDEX($B$7:$H$1029,O1416,2)&gt;0,1,0)</f>
        <v>0</v>
      </c>
      <c r="R1416">
        <f t="shared" ref="R1416:R1479" si="205">IF(  M1416&gt;0,INDEX($B$7:$H$1029,O1416,N1416),0)*P1416</f>
        <v>0</v>
      </c>
      <c r="S1416">
        <f t="shared" ref="S1416:S1479" si="206">M1416*P1416</f>
        <v>0</v>
      </c>
      <c r="T1416">
        <f t="shared" ref="T1416:T1479" si="207">IF(N1417=$N$2,1,0)*P1416</f>
        <v>0</v>
      </c>
    </row>
    <row r="1417" spans="10:20" x14ac:dyDescent="0.25">
      <c r="J1417">
        <v>0.69543381638847268</v>
      </c>
      <c r="K1417">
        <f t="shared" si="199"/>
        <v>1</v>
      </c>
      <c r="L1417">
        <f t="shared" si="200"/>
        <v>0.69543381638847268</v>
      </c>
      <c r="M1417">
        <f t="shared" si="203"/>
        <v>1</v>
      </c>
      <c r="N1417">
        <f t="shared" si="201"/>
        <v>3</v>
      </c>
      <c r="O1417">
        <f t="shared" si="202"/>
        <v>118</v>
      </c>
      <c r="P1417">
        <f t="shared" si="204"/>
        <v>0</v>
      </c>
      <c r="R1417">
        <f t="shared" si="205"/>
        <v>0</v>
      </c>
      <c r="S1417">
        <f t="shared" si="206"/>
        <v>0</v>
      </c>
      <c r="T1417">
        <f t="shared" si="207"/>
        <v>0</v>
      </c>
    </row>
    <row r="1418" spans="10:20" x14ac:dyDescent="0.25">
      <c r="J1418">
        <v>0.47683839054085109</v>
      </c>
      <c r="K1418">
        <f t="shared" si="199"/>
        <v>0</v>
      </c>
      <c r="L1418">
        <f t="shared" si="200"/>
        <v>0</v>
      </c>
      <c r="M1418">
        <f t="shared" si="203"/>
        <v>0</v>
      </c>
      <c r="N1418">
        <f t="shared" si="201"/>
        <v>4</v>
      </c>
      <c r="O1418">
        <f t="shared" si="202"/>
        <v>118</v>
      </c>
      <c r="P1418">
        <f t="shared" si="204"/>
        <v>0</v>
      </c>
      <c r="R1418">
        <f t="shared" si="205"/>
        <v>0</v>
      </c>
      <c r="S1418">
        <f t="shared" si="206"/>
        <v>0</v>
      </c>
      <c r="T1418">
        <f t="shared" si="207"/>
        <v>0</v>
      </c>
    </row>
    <row r="1419" spans="10:20" x14ac:dyDescent="0.25">
      <c r="J1419">
        <v>0.68715672428253216</v>
      </c>
      <c r="K1419">
        <f t="shared" si="199"/>
        <v>1</v>
      </c>
      <c r="L1419">
        <f t="shared" si="200"/>
        <v>0.68715672428253216</v>
      </c>
      <c r="M1419">
        <f t="shared" si="203"/>
        <v>1</v>
      </c>
      <c r="N1419">
        <f t="shared" si="201"/>
        <v>4</v>
      </c>
      <c r="O1419">
        <f t="shared" si="202"/>
        <v>118</v>
      </c>
      <c r="P1419">
        <f t="shared" si="204"/>
        <v>0</v>
      </c>
      <c r="R1419">
        <f t="shared" si="205"/>
        <v>0</v>
      </c>
      <c r="S1419">
        <f t="shared" si="206"/>
        <v>0</v>
      </c>
      <c r="T1419">
        <f t="shared" si="207"/>
        <v>0</v>
      </c>
    </row>
    <row r="1420" spans="10:20" x14ac:dyDescent="0.25">
      <c r="J1420">
        <v>0.62167460510216588</v>
      </c>
      <c r="K1420">
        <f t="shared" si="199"/>
        <v>0</v>
      </c>
      <c r="L1420">
        <f t="shared" si="200"/>
        <v>0</v>
      </c>
      <c r="M1420">
        <f t="shared" si="203"/>
        <v>0</v>
      </c>
      <c r="N1420">
        <f t="shared" si="201"/>
        <v>5</v>
      </c>
      <c r="O1420">
        <f t="shared" si="202"/>
        <v>118</v>
      </c>
      <c r="P1420">
        <f t="shared" si="204"/>
        <v>0</v>
      </c>
      <c r="R1420">
        <f t="shared" si="205"/>
        <v>0</v>
      </c>
      <c r="S1420">
        <f t="shared" si="206"/>
        <v>0</v>
      </c>
      <c r="T1420">
        <f t="shared" si="207"/>
        <v>0</v>
      </c>
    </row>
    <row r="1421" spans="10:20" x14ac:dyDescent="0.25">
      <c r="J1421">
        <v>0.72968915056365868</v>
      </c>
      <c r="K1421">
        <f t="shared" si="199"/>
        <v>1</v>
      </c>
      <c r="L1421">
        <f t="shared" si="200"/>
        <v>0.72968915056365868</v>
      </c>
      <c r="M1421">
        <f t="shared" si="203"/>
        <v>1</v>
      </c>
      <c r="N1421">
        <f t="shared" si="201"/>
        <v>5</v>
      </c>
      <c r="O1421">
        <f t="shared" si="202"/>
        <v>118</v>
      </c>
      <c r="P1421">
        <f t="shared" si="204"/>
        <v>0</v>
      </c>
      <c r="R1421">
        <f t="shared" si="205"/>
        <v>0</v>
      </c>
      <c r="S1421">
        <f t="shared" si="206"/>
        <v>0</v>
      </c>
      <c r="T1421">
        <f t="shared" si="207"/>
        <v>0</v>
      </c>
    </row>
    <row r="1422" spans="10:20" x14ac:dyDescent="0.25">
      <c r="J1422">
        <v>0.38538220649424215</v>
      </c>
      <c r="K1422">
        <f t="shared" si="199"/>
        <v>0</v>
      </c>
      <c r="L1422">
        <f t="shared" si="200"/>
        <v>0</v>
      </c>
      <c r="M1422">
        <f t="shared" si="203"/>
        <v>0</v>
      </c>
      <c r="N1422">
        <f t="shared" si="201"/>
        <v>6</v>
      </c>
      <c r="O1422">
        <f t="shared" si="202"/>
        <v>118</v>
      </c>
      <c r="P1422">
        <f t="shared" si="204"/>
        <v>0</v>
      </c>
      <c r="R1422">
        <f t="shared" si="205"/>
        <v>0</v>
      </c>
      <c r="S1422">
        <f t="shared" si="206"/>
        <v>0</v>
      </c>
      <c r="T1422">
        <f t="shared" si="207"/>
        <v>0</v>
      </c>
    </row>
    <row r="1423" spans="10:20" x14ac:dyDescent="0.25">
      <c r="J1423">
        <v>0.90823639816650492</v>
      </c>
      <c r="K1423">
        <f t="shared" si="199"/>
        <v>1</v>
      </c>
      <c r="L1423">
        <f t="shared" si="200"/>
        <v>0.90823639816650492</v>
      </c>
      <c r="M1423">
        <f t="shared" si="203"/>
        <v>1</v>
      </c>
      <c r="N1423">
        <f t="shared" si="201"/>
        <v>6</v>
      </c>
      <c r="O1423">
        <f t="shared" si="202"/>
        <v>118</v>
      </c>
      <c r="P1423">
        <f t="shared" si="204"/>
        <v>0</v>
      </c>
      <c r="R1423">
        <f t="shared" si="205"/>
        <v>0</v>
      </c>
      <c r="S1423">
        <f t="shared" si="206"/>
        <v>0</v>
      </c>
      <c r="T1423">
        <f t="shared" si="207"/>
        <v>0</v>
      </c>
    </row>
    <row r="1424" spans="10:20" x14ac:dyDescent="0.25">
      <c r="J1424">
        <v>0.60048973729547839</v>
      </c>
      <c r="K1424">
        <f t="shared" si="199"/>
        <v>0</v>
      </c>
      <c r="L1424">
        <f t="shared" si="200"/>
        <v>0</v>
      </c>
      <c r="M1424">
        <f t="shared" si="203"/>
        <v>0</v>
      </c>
      <c r="N1424">
        <f t="shared" si="201"/>
        <v>7</v>
      </c>
      <c r="O1424">
        <f t="shared" si="202"/>
        <v>118</v>
      </c>
      <c r="P1424">
        <f t="shared" si="204"/>
        <v>0</v>
      </c>
      <c r="R1424">
        <f t="shared" si="205"/>
        <v>0</v>
      </c>
      <c r="S1424">
        <f t="shared" si="206"/>
        <v>0</v>
      </c>
      <c r="T1424">
        <f t="shared" si="207"/>
        <v>0</v>
      </c>
    </row>
    <row r="1425" spans="10:20" x14ac:dyDescent="0.25">
      <c r="J1425">
        <v>0.17461405934438123</v>
      </c>
      <c r="K1425">
        <f t="shared" si="199"/>
        <v>1</v>
      </c>
      <c r="L1425">
        <f t="shared" si="200"/>
        <v>0.17461405934438123</v>
      </c>
      <c r="M1425">
        <f t="shared" si="203"/>
        <v>1</v>
      </c>
      <c r="N1425">
        <f t="shared" si="201"/>
        <v>1</v>
      </c>
      <c r="O1425">
        <f t="shared" si="202"/>
        <v>119</v>
      </c>
      <c r="P1425">
        <f t="shared" si="204"/>
        <v>0</v>
      </c>
      <c r="R1425">
        <f t="shared" si="205"/>
        <v>0</v>
      </c>
      <c r="S1425">
        <f t="shared" si="206"/>
        <v>0</v>
      </c>
      <c r="T1425">
        <f t="shared" si="207"/>
        <v>0</v>
      </c>
    </row>
    <row r="1426" spans="10:20" x14ac:dyDescent="0.25">
      <c r="J1426">
        <v>0.67059549388251782</v>
      </c>
      <c r="K1426">
        <f t="shared" si="199"/>
        <v>0</v>
      </c>
      <c r="L1426">
        <f t="shared" si="200"/>
        <v>0</v>
      </c>
      <c r="M1426">
        <f t="shared" si="203"/>
        <v>0</v>
      </c>
      <c r="N1426">
        <f t="shared" si="201"/>
        <v>2</v>
      </c>
      <c r="O1426">
        <f t="shared" si="202"/>
        <v>119</v>
      </c>
      <c r="P1426">
        <f t="shared" si="204"/>
        <v>0</v>
      </c>
      <c r="R1426">
        <f t="shared" si="205"/>
        <v>0</v>
      </c>
      <c r="S1426">
        <f t="shared" si="206"/>
        <v>0</v>
      </c>
      <c r="T1426">
        <f t="shared" si="207"/>
        <v>0</v>
      </c>
    </row>
    <row r="1427" spans="10:20" x14ac:dyDescent="0.25">
      <c r="J1427">
        <v>5.827050237862208E-2</v>
      </c>
      <c r="K1427">
        <f t="shared" si="199"/>
        <v>1</v>
      </c>
      <c r="L1427">
        <f t="shared" si="200"/>
        <v>5.827050237862208E-2</v>
      </c>
      <c r="M1427">
        <f t="shared" si="203"/>
        <v>1</v>
      </c>
      <c r="N1427">
        <f t="shared" si="201"/>
        <v>2</v>
      </c>
      <c r="O1427">
        <f t="shared" si="202"/>
        <v>119</v>
      </c>
      <c r="P1427">
        <f t="shared" si="204"/>
        <v>0</v>
      </c>
      <c r="R1427">
        <f t="shared" si="205"/>
        <v>0</v>
      </c>
      <c r="S1427">
        <f t="shared" si="206"/>
        <v>0</v>
      </c>
      <c r="T1427">
        <f t="shared" si="207"/>
        <v>0</v>
      </c>
    </row>
    <row r="1428" spans="10:20" x14ac:dyDescent="0.25">
      <c r="J1428">
        <v>0.64939225061364114</v>
      </c>
      <c r="K1428">
        <f t="shared" si="199"/>
        <v>0</v>
      </c>
      <c r="L1428">
        <f t="shared" si="200"/>
        <v>0</v>
      </c>
      <c r="M1428">
        <f t="shared" si="203"/>
        <v>0</v>
      </c>
      <c r="N1428">
        <f t="shared" si="201"/>
        <v>3</v>
      </c>
      <c r="O1428">
        <f t="shared" si="202"/>
        <v>119</v>
      </c>
      <c r="P1428">
        <f t="shared" si="204"/>
        <v>0</v>
      </c>
      <c r="R1428">
        <f t="shared" si="205"/>
        <v>0</v>
      </c>
      <c r="S1428">
        <f t="shared" si="206"/>
        <v>0</v>
      </c>
      <c r="T1428">
        <f t="shared" si="207"/>
        <v>0</v>
      </c>
    </row>
    <row r="1429" spans="10:20" x14ac:dyDescent="0.25">
      <c r="J1429">
        <v>0.25380279949189843</v>
      </c>
      <c r="K1429">
        <f t="shared" si="199"/>
        <v>1</v>
      </c>
      <c r="L1429">
        <f t="shared" si="200"/>
        <v>0.25380279949189843</v>
      </c>
      <c r="M1429">
        <f t="shared" si="203"/>
        <v>1</v>
      </c>
      <c r="N1429">
        <f t="shared" si="201"/>
        <v>3</v>
      </c>
      <c r="O1429">
        <f t="shared" si="202"/>
        <v>119</v>
      </c>
      <c r="P1429">
        <f t="shared" si="204"/>
        <v>0</v>
      </c>
      <c r="R1429">
        <f t="shared" si="205"/>
        <v>0</v>
      </c>
      <c r="S1429">
        <f t="shared" si="206"/>
        <v>0</v>
      </c>
      <c r="T1429">
        <f t="shared" si="207"/>
        <v>0</v>
      </c>
    </row>
    <row r="1430" spans="10:20" x14ac:dyDescent="0.25">
      <c r="J1430">
        <v>0.23416784083380648</v>
      </c>
      <c r="K1430">
        <f t="shared" si="199"/>
        <v>0</v>
      </c>
      <c r="L1430">
        <f t="shared" si="200"/>
        <v>0</v>
      </c>
      <c r="M1430">
        <f t="shared" si="203"/>
        <v>0</v>
      </c>
      <c r="N1430">
        <f t="shared" si="201"/>
        <v>4</v>
      </c>
      <c r="O1430">
        <f t="shared" si="202"/>
        <v>119</v>
      </c>
      <c r="P1430">
        <f t="shared" si="204"/>
        <v>0</v>
      </c>
      <c r="R1430">
        <f t="shared" si="205"/>
        <v>0</v>
      </c>
      <c r="S1430">
        <f t="shared" si="206"/>
        <v>0</v>
      </c>
      <c r="T1430">
        <f t="shared" si="207"/>
        <v>0</v>
      </c>
    </row>
    <row r="1431" spans="10:20" x14ac:dyDescent="0.25">
      <c r="J1431">
        <v>0.6499850465601249</v>
      </c>
      <c r="K1431">
        <f t="shared" si="199"/>
        <v>1</v>
      </c>
      <c r="L1431">
        <f t="shared" si="200"/>
        <v>0.6499850465601249</v>
      </c>
      <c r="M1431">
        <f t="shared" si="203"/>
        <v>1</v>
      </c>
      <c r="N1431">
        <f t="shared" si="201"/>
        <v>4</v>
      </c>
      <c r="O1431">
        <f t="shared" si="202"/>
        <v>119</v>
      </c>
      <c r="P1431">
        <f t="shared" si="204"/>
        <v>0</v>
      </c>
      <c r="R1431">
        <f t="shared" si="205"/>
        <v>0</v>
      </c>
      <c r="S1431">
        <f t="shared" si="206"/>
        <v>0</v>
      </c>
      <c r="T1431">
        <f t="shared" si="207"/>
        <v>0</v>
      </c>
    </row>
    <row r="1432" spans="10:20" x14ac:dyDescent="0.25">
      <c r="J1432">
        <v>0.21498086275697603</v>
      </c>
      <c r="K1432">
        <f t="shared" ref="K1432:K1495" si="208">IF(K1431=1,0,1)</f>
        <v>0</v>
      </c>
      <c r="L1432">
        <f t="shared" ref="L1432:L1495" si="209">K1432*J1432</f>
        <v>0</v>
      </c>
      <c r="M1432">
        <f t="shared" si="203"/>
        <v>0</v>
      </c>
      <c r="N1432">
        <f t="shared" ref="N1432:N1495" si="210">IF(N1431&lt;$N$2,N1431+M1431,1)</f>
        <v>5</v>
      </c>
      <c r="O1432">
        <f t="shared" ref="O1432:O1495" si="211">IF(AND(N1432=1,M1432=1),O1431+1,O1431)</f>
        <v>119</v>
      </c>
      <c r="P1432">
        <f t="shared" si="204"/>
        <v>0</v>
      </c>
      <c r="R1432">
        <f t="shared" si="205"/>
        <v>0</v>
      </c>
      <c r="S1432">
        <f t="shared" si="206"/>
        <v>0</v>
      </c>
      <c r="T1432">
        <f t="shared" si="207"/>
        <v>0</v>
      </c>
    </row>
    <row r="1433" spans="10:20" x14ac:dyDescent="0.25">
      <c r="J1433">
        <v>0.82998952907440193</v>
      </c>
      <c r="K1433">
        <f t="shared" si="208"/>
        <v>1</v>
      </c>
      <c r="L1433">
        <f t="shared" si="209"/>
        <v>0.82998952907440193</v>
      </c>
      <c r="M1433">
        <f t="shared" si="203"/>
        <v>1</v>
      </c>
      <c r="N1433">
        <f t="shared" si="210"/>
        <v>5</v>
      </c>
      <c r="O1433">
        <f t="shared" si="211"/>
        <v>119</v>
      </c>
      <c r="P1433">
        <f t="shared" si="204"/>
        <v>0</v>
      </c>
      <c r="R1433">
        <f t="shared" si="205"/>
        <v>0</v>
      </c>
      <c r="S1433">
        <f t="shared" si="206"/>
        <v>0</v>
      </c>
      <c r="T1433">
        <f t="shared" si="207"/>
        <v>0</v>
      </c>
    </row>
    <row r="1434" spans="10:20" x14ac:dyDescent="0.25">
      <c r="J1434">
        <v>0.99168430969040822</v>
      </c>
      <c r="K1434">
        <f t="shared" si="208"/>
        <v>0</v>
      </c>
      <c r="L1434">
        <f t="shared" si="209"/>
        <v>0</v>
      </c>
      <c r="M1434">
        <f t="shared" si="203"/>
        <v>0</v>
      </c>
      <c r="N1434">
        <f t="shared" si="210"/>
        <v>6</v>
      </c>
      <c r="O1434">
        <f t="shared" si="211"/>
        <v>119</v>
      </c>
      <c r="P1434">
        <f t="shared" si="204"/>
        <v>0</v>
      </c>
      <c r="R1434">
        <f t="shared" si="205"/>
        <v>0</v>
      </c>
      <c r="S1434">
        <f t="shared" si="206"/>
        <v>0</v>
      </c>
      <c r="T1434">
        <f t="shared" si="207"/>
        <v>0</v>
      </c>
    </row>
    <row r="1435" spans="10:20" x14ac:dyDescent="0.25">
      <c r="J1435">
        <v>0.1818912992171432</v>
      </c>
      <c r="K1435">
        <f t="shared" si="208"/>
        <v>1</v>
      </c>
      <c r="L1435">
        <f t="shared" si="209"/>
        <v>0.1818912992171432</v>
      </c>
      <c r="M1435">
        <f t="shared" si="203"/>
        <v>1</v>
      </c>
      <c r="N1435">
        <f t="shared" si="210"/>
        <v>6</v>
      </c>
      <c r="O1435">
        <f t="shared" si="211"/>
        <v>119</v>
      </c>
      <c r="P1435">
        <f t="shared" si="204"/>
        <v>0</v>
      </c>
      <c r="R1435">
        <f t="shared" si="205"/>
        <v>0</v>
      </c>
      <c r="S1435">
        <f t="shared" si="206"/>
        <v>0</v>
      </c>
      <c r="T1435">
        <f t="shared" si="207"/>
        <v>0</v>
      </c>
    </row>
    <row r="1436" spans="10:20" x14ac:dyDescent="0.25">
      <c r="J1436">
        <v>0.56150390796460758</v>
      </c>
      <c r="K1436">
        <f t="shared" si="208"/>
        <v>0</v>
      </c>
      <c r="L1436">
        <f t="shared" si="209"/>
        <v>0</v>
      </c>
      <c r="M1436">
        <f t="shared" si="203"/>
        <v>0</v>
      </c>
      <c r="N1436">
        <f t="shared" si="210"/>
        <v>7</v>
      </c>
      <c r="O1436">
        <f t="shared" si="211"/>
        <v>119</v>
      </c>
      <c r="P1436">
        <f t="shared" si="204"/>
        <v>0</v>
      </c>
      <c r="R1436">
        <f t="shared" si="205"/>
        <v>0</v>
      </c>
      <c r="S1436">
        <f t="shared" si="206"/>
        <v>0</v>
      </c>
      <c r="T1436">
        <f t="shared" si="207"/>
        <v>0</v>
      </c>
    </row>
    <row r="1437" spans="10:20" x14ac:dyDescent="0.25">
      <c r="J1437">
        <v>0.16666747429544526</v>
      </c>
      <c r="K1437">
        <f t="shared" si="208"/>
        <v>1</v>
      </c>
      <c r="L1437">
        <f t="shared" si="209"/>
        <v>0.16666747429544526</v>
      </c>
      <c r="M1437">
        <f t="shared" si="203"/>
        <v>1</v>
      </c>
      <c r="N1437">
        <f t="shared" si="210"/>
        <v>1</v>
      </c>
      <c r="O1437">
        <f t="shared" si="211"/>
        <v>120</v>
      </c>
      <c r="P1437">
        <f t="shared" si="204"/>
        <v>0</v>
      </c>
      <c r="R1437">
        <f t="shared" si="205"/>
        <v>0</v>
      </c>
      <c r="S1437">
        <f t="shared" si="206"/>
        <v>0</v>
      </c>
      <c r="T1437">
        <f t="shared" si="207"/>
        <v>0</v>
      </c>
    </row>
    <row r="1438" spans="10:20" x14ac:dyDescent="0.25">
      <c r="J1438">
        <v>0.94485331932731209</v>
      </c>
      <c r="K1438">
        <f t="shared" si="208"/>
        <v>0</v>
      </c>
      <c r="L1438">
        <f t="shared" si="209"/>
        <v>0</v>
      </c>
      <c r="M1438">
        <f t="shared" si="203"/>
        <v>0</v>
      </c>
      <c r="N1438">
        <f t="shared" si="210"/>
        <v>2</v>
      </c>
      <c r="O1438">
        <f t="shared" si="211"/>
        <v>120</v>
      </c>
      <c r="P1438">
        <f t="shared" si="204"/>
        <v>0</v>
      </c>
      <c r="R1438">
        <f t="shared" si="205"/>
        <v>0</v>
      </c>
      <c r="S1438">
        <f t="shared" si="206"/>
        <v>0</v>
      </c>
      <c r="T1438">
        <f t="shared" si="207"/>
        <v>0</v>
      </c>
    </row>
    <row r="1439" spans="10:20" x14ac:dyDescent="0.25">
      <c r="J1439">
        <v>0.98532958862344011</v>
      </c>
      <c r="K1439">
        <f t="shared" si="208"/>
        <v>1</v>
      </c>
      <c r="L1439">
        <f t="shared" si="209"/>
        <v>0.98532958862344011</v>
      </c>
      <c r="M1439">
        <f t="shared" si="203"/>
        <v>1</v>
      </c>
      <c r="N1439">
        <f t="shared" si="210"/>
        <v>2</v>
      </c>
      <c r="O1439">
        <f t="shared" si="211"/>
        <v>120</v>
      </c>
      <c r="P1439">
        <f t="shared" si="204"/>
        <v>0</v>
      </c>
      <c r="R1439">
        <f t="shared" si="205"/>
        <v>0</v>
      </c>
      <c r="S1439">
        <f t="shared" si="206"/>
        <v>0</v>
      </c>
      <c r="T1439">
        <f t="shared" si="207"/>
        <v>0</v>
      </c>
    </row>
    <row r="1440" spans="10:20" x14ac:dyDescent="0.25">
      <c r="J1440">
        <v>0.98953552142831092</v>
      </c>
      <c r="K1440">
        <f t="shared" si="208"/>
        <v>0</v>
      </c>
      <c r="L1440">
        <f t="shared" si="209"/>
        <v>0</v>
      </c>
      <c r="M1440">
        <f t="shared" si="203"/>
        <v>0</v>
      </c>
      <c r="N1440">
        <f t="shared" si="210"/>
        <v>3</v>
      </c>
      <c r="O1440">
        <f t="shared" si="211"/>
        <v>120</v>
      </c>
      <c r="P1440">
        <f t="shared" si="204"/>
        <v>0</v>
      </c>
      <c r="R1440">
        <f t="shared" si="205"/>
        <v>0</v>
      </c>
      <c r="S1440">
        <f t="shared" si="206"/>
        <v>0</v>
      </c>
      <c r="T1440">
        <f t="shared" si="207"/>
        <v>0</v>
      </c>
    </row>
    <row r="1441" spans="10:20" x14ac:dyDescent="0.25">
      <c r="J1441">
        <v>0.80350381360794743</v>
      </c>
      <c r="K1441">
        <f t="shared" si="208"/>
        <v>1</v>
      </c>
      <c r="L1441">
        <f t="shared" si="209"/>
        <v>0.80350381360794743</v>
      </c>
      <c r="M1441">
        <f t="shared" si="203"/>
        <v>1</v>
      </c>
      <c r="N1441">
        <f t="shared" si="210"/>
        <v>3</v>
      </c>
      <c r="O1441">
        <f t="shared" si="211"/>
        <v>120</v>
      </c>
      <c r="P1441">
        <f t="shared" si="204"/>
        <v>0</v>
      </c>
      <c r="R1441">
        <f t="shared" si="205"/>
        <v>0</v>
      </c>
      <c r="S1441">
        <f t="shared" si="206"/>
        <v>0</v>
      </c>
      <c r="T1441">
        <f t="shared" si="207"/>
        <v>0</v>
      </c>
    </row>
    <row r="1442" spans="10:20" x14ac:dyDescent="0.25">
      <c r="J1442">
        <v>0.48641608486699173</v>
      </c>
      <c r="K1442">
        <f t="shared" si="208"/>
        <v>0</v>
      </c>
      <c r="L1442">
        <f t="shared" si="209"/>
        <v>0</v>
      </c>
      <c r="M1442">
        <f t="shared" si="203"/>
        <v>0</v>
      </c>
      <c r="N1442">
        <f t="shared" si="210"/>
        <v>4</v>
      </c>
      <c r="O1442">
        <f t="shared" si="211"/>
        <v>120</v>
      </c>
      <c r="P1442">
        <f t="shared" si="204"/>
        <v>0</v>
      </c>
      <c r="R1442">
        <f t="shared" si="205"/>
        <v>0</v>
      </c>
      <c r="S1442">
        <f t="shared" si="206"/>
        <v>0</v>
      </c>
      <c r="T1442">
        <f t="shared" si="207"/>
        <v>0</v>
      </c>
    </row>
    <row r="1443" spans="10:20" x14ac:dyDescent="0.25">
      <c r="J1443">
        <v>0.39876907526917416</v>
      </c>
      <c r="K1443">
        <f t="shared" si="208"/>
        <v>1</v>
      </c>
      <c r="L1443">
        <f t="shared" si="209"/>
        <v>0.39876907526917416</v>
      </c>
      <c r="M1443">
        <f t="shared" si="203"/>
        <v>1</v>
      </c>
      <c r="N1443">
        <f t="shared" si="210"/>
        <v>4</v>
      </c>
      <c r="O1443">
        <f t="shared" si="211"/>
        <v>120</v>
      </c>
      <c r="P1443">
        <f t="shared" si="204"/>
        <v>0</v>
      </c>
      <c r="R1443">
        <f t="shared" si="205"/>
        <v>0</v>
      </c>
      <c r="S1443">
        <f t="shared" si="206"/>
        <v>0</v>
      </c>
      <c r="T1443">
        <f t="shared" si="207"/>
        <v>0</v>
      </c>
    </row>
    <row r="1444" spans="10:20" x14ac:dyDescent="0.25">
      <c r="J1444">
        <v>0.11021761840717337</v>
      </c>
      <c r="K1444">
        <f t="shared" si="208"/>
        <v>0</v>
      </c>
      <c r="L1444">
        <f t="shared" si="209"/>
        <v>0</v>
      </c>
      <c r="M1444">
        <f t="shared" si="203"/>
        <v>0</v>
      </c>
      <c r="N1444">
        <f t="shared" si="210"/>
        <v>5</v>
      </c>
      <c r="O1444">
        <f t="shared" si="211"/>
        <v>120</v>
      </c>
      <c r="P1444">
        <f t="shared" si="204"/>
        <v>0</v>
      </c>
      <c r="R1444">
        <f t="shared" si="205"/>
        <v>0</v>
      </c>
      <c r="S1444">
        <f t="shared" si="206"/>
        <v>0</v>
      </c>
      <c r="T1444">
        <f t="shared" si="207"/>
        <v>0</v>
      </c>
    </row>
    <row r="1445" spans="10:20" x14ac:dyDescent="0.25">
      <c r="J1445">
        <v>0.70888479943887017</v>
      </c>
      <c r="K1445">
        <f t="shared" si="208"/>
        <v>1</v>
      </c>
      <c r="L1445">
        <f t="shared" si="209"/>
        <v>0.70888479943887017</v>
      </c>
      <c r="M1445">
        <f t="shared" si="203"/>
        <v>1</v>
      </c>
      <c r="N1445">
        <f t="shared" si="210"/>
        <v>5</v>
      </c>
      <c r="O1445">
        <f t="shared" si="211"/>
        <v>120</v>
      </c>
      <c r="P1445">
        <f t="shared" si="204"/>
        <v>0</v>
      </c>
      <c r="R1445">
        <f t="shared" si="205"/>
        <v>0</v>
      </c>
      <c r="S1445">
        <f t="shared" si="206"/>
        <v>0</v>
      </c>
      <c r="T1445">
        <f t="shared" si="207"/>
        <v>0</v>
      </c>
    </row>
    <row r="1446" spans="10:20" x14ac:dyDescent="0.25">
      <c r="J1446">
        <v>0.81382142862114804</v>
      </c>
      <c r="K1446">
        <f t="shared" si="208"/>
        <v>0</v>
      </c>
      <c r="L1446">
        <f t="shared" si="209"/>
        <v>0</v>
      </c>
      <c r="M1446">
        <f t="shared" si="203"/>
        <v>0</v>
      </c>
      <c r="N1446">
        <f t="shared" si="210"/>
        <v>6</v>
      </c>
      <c r="O1446">
        <f t="shared" si="211"/>
        <v>120</v>
      </c>
      <c r="P1446">
        <f t="shared" si="204"/>
        <v>0</v>
      </c>
      <c r="R1446">
        <f t="shared" si="205"/>
        <v>0</v>
      </c>
      <c r="S1446">
        <f t="shared" si="206"/>
        <v>0</v>
      </c>
      <c r="T1446">
        <f t="shared" si="207"/>
        <v>0</v>
      </c>
    </row>
    <row r="1447" spans="10:20" x14ac:dyDescent="0.25">
      <c r="J1447">
        <v>0.67979665805283851</v>
      </c>
      <c r="K1447">
        <f t="shared" si="208"/>
        <v>1</v>
      </c>
      <c r="L1447">
        <f t="shared" si="209"/>
        <v>0.67979665805283851</v>
      </c>
      <c r="M1447">
        <f t="shared" si="203"/>
        <v>1</v>
      </c>
      <c r="N1447">
        <f t="shared" si="210"/>
        <v>6</v>
      </c>
      <c r="O1447">
        <f t="shared" si="211"/>
        <v>120</v>
      </c>
      <c r="P1447">
        <f t="shared" si="204"/>
        <v>0</v>
      </c>
      <c r="R1447">
        <f t="shared" si="205"/>
        <v>0</v>
      </c>
      <c r="S1447">
        <f t="shared" si="206"/>
        <v>0</v>
      </c>
      <c r="T1447">
        <f t="shared" si="207"/>
        <v>0</v>
      </c>
    </row>
    <row r="1448" spans="10:20" x14ac:dyDescent="0.25">
      <c r="J1448">
        <v>0.89667146119842922</v>
      </c>
      <c r="K1448">
        <f t="shared" si="208"/>
        <v>0</v>
      </c>
      <c r="L1448">
        <f t="shared" si="209"/>
        <v>0</v>
      </c>
      <c r="M1448">
        <f t="shared" si="203"/>
        <v>0</v>
      </c>
      <c r="N1448">
        <f t="shared" si="210"/>
        <v>7</v>
      </c>
      <c r="O1448">
        <f t="shared" si="211"/>
        <v>120</v>
      </c>
      <c r="P1448">
        <f t="shared" si="204"/>
        <v>0</v>
      </c>
      <c r="R1448">
        <f t="shared" si="205"/>
        <v>0</v>
      </c>
      <c r="S1448">
        <f t="shared" si="206"/>
        <v>0</v>
      </c>
      <c r="T1448">
        <f t="shared" si="207"/>
        <v>0</v>
      </c>
    </row>
    <row r="1449" spans="10:20" x14ac:dyDescent="0.25">
      <c r="J1449">
        <v>0.80886096352530346</v>
      </c>
      <c r="K1449">
        <f t="shared" si="208"/>
        <v>1</v>
      </c>
      <c r="L1449">
        <f t="shared" si="209"/>
        <v>0.80886096352530346</v>
      </c>
      <c r="M1449">
        <f t="shared" si="203"/>
        <v>1</v>
      </c>
      <c r="N1449">
        <f t="shared" si="210"/>
        <v>1</v>
      </c>
      <c r="O1449">
        <f t="shared" si="211"/>
        <v>121</v>
      </c>
      <c r="P1449">
        <f t="shared" si="204"/>
        <v>0</v>
      </c>
      <c r="R1449">
        <f t="shared" si="205"/>
        <v>0</v>
      </c>
      <c r="S1449">
        <f t="shared" si="206"/>
        <v>0</v>
      </c>
      <c r="T1449">
        <f t="shared" si="207"/>
        <v>0</v>
      </c>
    </row>
    <row r="1450" spans="10:20" x14ac:dyDescent="0.25">
      <c r="J1450">
        <v>0.71719397543696728</v>
      </c>
      <c r="K1450">
        <f t="shared" si="208"/>
        <v>0</v>
      </c>
      <c r="L1450">
        <f t="shared" si="209"/>
        <v>0</v>
      </c>
      <c r="M1450">
        <f t="shared" si="203"/>
        <v>0</v>
      </c>
      <c r="N1450">
        <f t="shared" si="210"/>
        <v>2</v>
      </c>
      <c r="O1450">
        <f t="shared" si="211"/>
        <v>121</v>
      </c>
      <c r="P1450">
        <f t="shared" si="204"/>
        <v>0</v>
      </c>
      <c r="R1450">
        <f t="shared" si="205"/>
        <v>0</v>
      </c>
      <c r="S1450">
        <f t="shared" si="206"/>
        <v>0</v>
      </c>
      <c r="T1450">
        <f t="shared" si="207"/>
        <v>0</v>
      </c>
    </row>
    <row r="1451" spans="10:20" x14ac:dyDescent="0.25">
      <c r="J1451">
        <v>0.77337679970663442</v>
      </c>
      <c r="K1451">
        <f t="shared" si="208"/>
        <v>1</v>
      </c>
      <c r="L1451">
        <f t="shared" si="209"/>
        <v>0.77337679970663442</v>
      </c>
      <c r="M1451">
        <f t="shared" si="203"/>
        <v>1</v>
      </c>
      <c r="N1451">
        <f t="shared" si="210"/>
        <v>2</v>
      </c>
      <c r="O1451">
        <f t="shared" si="211"/>
        <v>121</v>
      </c>
      <c r="P1451">
        <f t="shared" si="204"/>
        <v>0</v>
      </c>
      <c r="R1451">
        <f t="shared" si="205"/>
        <v>0</v>
      </c>
      <c r="S1451">
        <f t="shared" si="206"/>
        <v>0</v>
      </c>
      <c r="T1451">
        <f t="shared" si="207"/>
        <v>0</v>
      </c>
    </row>
    <row r="1452" spans="10:20" x14ac:dyDescent="0.25">
      <c r="J1452">
        <v>2.6059546751265761E-2</v>
      </c>
      <c r="K1452">
        <f t="shared" si="208"/>
        <v>0</v>
      </c>
      <c r="L1452">
        <f t="shared" si="209"/>
        <v>0</v>
      </c>
      <c r="M1452">
        <f t="shared" si="203"/>
        <v>0</v>
      </c>
      <c r="N1452">
        <f t="shared" si="210"/>
        <v>3</v>
      </c>
      <c r="O1452">
        <f t="shared" si="211"/>
        <v>121</v>
      </c>
      <c r="P1452">
        <f t="shared" si="204"/>
        <v>0</v>
      </c>
      <c r="R1452">
        <f t="shared" si="205"/>
        <v>0</v>
      </c>
      <c r="S1452">
        <f t="shared" si="206"/>
        <v>0</v>
      </c>
      <c r="T1452">
        <f t="shared" si="207"/>
        <v>0</v>
      </c>
    </row>
    <row r="1453" spans="10:20" x14ac:dyDescent="0.25">
      <c r="J1453">
        <v>0.48670121719527148</v>
      </c>
      <c r="K1453">
        <f t="shared" si="208"/>
        <v>1</v>
      </c>
      <c r="L1453">
        <f t="shared" si="209"/>
        <v>0.48670121719527148</v>
      </c>
      <c r="M1453">
        <f t="shared" si="203"/>
        <v>1</v>
      </c>
      <c r="N1453">
        <f t="shared" si="210"/>
        <v>3</v>
      </c>
      <c r="O1453">
        <f t="shared" si="211"/>
        <v>121</v>
      </c>
      <c r="P1453">
        <f t="shared" si="204"/>
        <v>0</v>
      </c>
      <c r="R1453">
        <f t="shared" si="205"/>
        <v>0</v>
      </c>
      <c r="S1453">
        <f t="shared" si="206"/>
        <v>0</v>
      </c>
      <c r="T1453">
        <f t="shared" si="207"/>
        <v>0</v>
      </c>
    </row>
    <row r="1454" spans="10:20" x14ac:dyDescent="0.25">
      <c r="J1454">
        <v>0.50749059258652862</v>
      </c>
      <c r="K1454">
        <f t="shared" si="208"/>
        <v>0</v>
      </c>
      <c r="L1454">
        <f t="shared" si="209"/>
        <v>0</v>
      </c>
      <c r="M1454">
        <f t="shared" si="203"/>
        <v>0</v>
      </c>
      <c r="N1454">
        <f t="shared" si="210"/>
        <v>4</v>
      </c>
      <c r="O1454">
        <f t="shared" si="211"/>
        <v>121</v>
      </c>
      <c r="P1454">
        <f t="shared" si="204"/>
        <v>0</v>
      </c>
      <c r="R1454">
        <f t="shared" si="205"/>
        <v>0</v>
      </c>
      <c r="S1454">
        <f t="shared" si="206"/>
        <v>0</v>
      </c>
      <c r="T1454">
        <f t="shared" si="207"/>
        <v>0</v>
      </c>
    </row>
    <row r="1455" spans="10:20" x14ac:dyDescent="0.25">
      <c r="J1455">
        <v>0.74237385021290847</v>
      </c>
      <c r="K1455">
        <f t="shared" si="208"/>
        <v>1</v>
      </c>
      <c r="L1455">
        <f t="shared" si="209"/>
        <v>0.74237385021290847</v>
      </c>
      <c r="M1455">
        <f t="shared" si="203"/>
        <v>1</v>
      </c>
      <c r="N1455">
        <f t="shared" si="210"/>
        <v>4</v>
      </c>
      <c r="O1455">
        <f t="shared" si="211"/>
        <v>121</v>
      </c>
      <c r="P1455">
        <f t="shared" si="204"/>
        <v>0</v>
      </c>
      <c r="R1455">
        <f t="shared" si="205"/>
        <v>0</v>
      </c>
      <c r="S1455">
        <f t="shared" si="206"/>
        <v>0</v>
      </c>
      <c r="T1455">
        <f t="shared" si="207"/>
        <v>0</v>
      </c>
    </row>
    <row r="1456" spans="10:20" x14ac:dyDescent="0.25">
      <c r="J1456">
        <v>0.21741548781985809</v>
      </c>
      <c r="K1456">
        <f t="shared" si="208"/>
        <v>0</v>
      </c>
      <c r="L1456">
        <f t="shared" si="209"/>
        <v>0</v>
      </c>
      <c r="M1456">
        <f t="shared" si="203"/>
        <v>0</v>
      </c>
      <c r="N1456">
        <f t="shared" si="210"/>
        <v>5</v>
      </c>
      <c r="O1456">
        <f t="shared" si="211"/>
        <v>121</v>
      </c>
      <c r="P1456">
        <f t="shared" si="204"/>
        <v>0</v>
      </c>
      <c r="R1456">
        <f t="shared" si="205"/>
        <v>0</v>
      </c>
      <c r="S1456">
        <f t="shared" si="206"/>
        <v>0</v>
      </c>
      <c r="T1456">
        <f t="shared" si="207"/>
        <v>0</v>
      </c>
    </row>
    <row r="1457" spans="10:20" x14ac:dyDescent="0.25">
      <c r="J1457">
        <v>0.41107689469414899</v>
      </c>
      <c r="K1457">
        <f t="shared" si="208"/>
        <v>1</v>
      </c>
      <c r="L1457">
        <f t="shared" si="209"/>
        <v>0.41107689469414899</v>
      </c>
      <c r="M1457">
        <f t="shared" si="203"/>
        <v>1</v>
      </c>
      <c r="N1457">
        <f t="shared" si="210"/>
        <v>5</v>
      </c>
      <c r="O1457">
        <f t="shared" si="211"/>
        <v>121</v>
      </c>
      <c r="P1457">
        <f t="shared" si="204"/>
        <v>0</v>
      </c>
      <c r="R1457">
        <f t="shared" si="205"/>
        <v>0</v>
      </c>
      <c r="S1457">
        <f t="shared" si="206"/>
        <v>0</v>
      </c>
      <c r="T1457">
        <f t="shared" si="207"/>
        <v>0</v>
      </c>
    </row>
    <row r="1458" spans="10:20" x14ac:dyDescent="0.25">
      <c r="J1458">
        <v>0.28550963555375786</v>
      </c>
      <c r="K1458">
        <f t="shared" si="208"/>
        <v>0</v>
      </c>
      <c r="L1458">
        <f t="shared" si="209"/>
        <v>0</v>
      </c>
      <c r="M1458">
        <f t="shared" si="203"/>
        <v>0</v>
      </c>
      <c r="N1458">
        <f t="shared" si="210"/>
        <v>6</v>
      </c>
      <c r="O1458">
        <f t="shared" si="211"/>
        <v>121</v>
      </c>
      <c r="P1458">
        <f t="shared" si="204"/>
        <v>0</v>
      </c>
      <c r="R1458">
        <f t="shared" si="205"/>
        <v>0</v>
      </c>
      <c r="S1458">
        <f t="shared" si="206"/>
        <v>0</v>
      </c>
      <c r="T1458">
        <f t="shared" si="207"/>
        <v>0</v>
      </c>
    </row>
    <row r="1459" spans="10:20" x14ac:dyDescent="0.25">
      <c r="J1459">
        <v>0.46627372054089833</v>
      </c>
      <c r="K1459">
        <f t="shared" si="208"/>
        <v>1</v>
      </c>
      <c r="L1459">
        <f t="shared" si="209"/>
        <v>0.46627372054089833</v>
      </c>
      <c r="M1459">
        <f t="shared" si="203"/>
        <v>1</v>
      </c>
      <c r="N1459">
        <f t="shared" si="210"/>
        <v>6</v>
      </c>
      <c r="O1459">
        <f t="shared" si="211"/>
        <v>121</v>
      </c>
      <c r="P1459">
        <f t="shared" si="204"/>
        <v>0</v>
      </c>
      <c r="R1459">
        <f t="shared" si="205"/>
        <v>0</v>
      </c>
      <c r="S1459">
        <f t="shared" si="206"/>
        <v>0</v>
      </c>
      <c r="T1459">
        <f t="shared" si="207"/>
        <v>0</v>
      </c>
    </row>
    <row r="1460" spans="10:20" x14ac:dyDescent="0.25">
      <c r="J1460">
        <v>0.29044569754326088</v>
      </c>
      <c r="K1460">
        <f t="shared" si="208"/>
        <v>0</v>
      </c>
      <c r="L1460">
        <f t="shared" si="209"/>
        <v>0</v>
      </c>
      <c r="M1460">
        <f t="shared" si="203"/>
        <v>0</v>
      </c>
      <c r="N1460">
        <f t="shared" si="210"/>
        <v>7</v>
      </c>
      <c r="O1460">
        <f t="shared" si="211"/>
        <v>121</v>
      </c>
      <c r="P1460">
        <f t="shared" si="204"/>
        <v>0</v>
      </c>
      <c r="R1460">
        <f t="shared" si="205"/>
        <v>0</v>
      </c>
      <c r="S1460">
        <f t="shared" si="206"/>
        <v>0</v>
      </c>
      <c r="T1460">
        <f t="shared" si="207"/>
        <v>0</v>
      </c>
    </row>
    <row r="1461" spans="10:20" x14ac:dyDescent="0.25">
      <c r="J1461">
        <v>0.36701218293187177</v>
      </c>
      <c r="K1461">
        <f t="shared" si="208"/>
        <v>1</v>
      </c>
      <c r="L1461">
        <f t="shared" si="209"/>
        <v>0.36701218293187177</v>
      </c>
      <c r="M1461">
        <f t="shared" si="203"/>
        <v>1</v>
      </c>
      <c r="N1461">
        <f t="shared" si="210"/>
        <v>1</v>
      </c>
      <c r="O1461">
        <f t="shared" si="211"/>
        <v>122</v>
      </c>
      <c r="P1461">
        <f t="shared" si="204"/>
        <v>0</v>
      </c>
      <c r="R1461">
        <f t="shared" si="205"/>
        <v>0</v>
      </c>
      <c r="S1461">
        <f t="shared" si="206"/>
        <v>0</v>
      </c>
      <c r="T1461">
        <f t="shared" si="207"/>
        <v>0</v>
      </c>
    </row>
    <row r="1462" spans="10:20" x14ac:dyDescent="0.25">
      <c r="J1462">
        <v>0.46777995220919821</v>
      </c>
      <c r="K1462">
        <f t="shared" si="208"/>
        <v>0</v>
      </c>
      <c r="L1462">
        <f t="shared" si="209"/>
        <v>0</v>
      </c>
      <c r="M1462">
        <f t="shared" si="203"/>
        <v>0</v>
      </c>
      <c r="N1462">
        <f t="shared" si="210"/>
        <v>2</v>
      </c>
      <c r="O1462">
        <f t="shared" si="211"/>
        <v>122</v>
      </c>
      <c r="P1462">
        <f t="shared" si="204"/>
        <v>0</v>
      </c>
      <c r="R1462">
        <f t="shared" si="205"/>
        <v>0</v>
      </c>
      <c r="S1462">
        <f t="shared" si="206"/>
        <v>0</v>
      </c>
      <c r="T1462">
        <f t="shared" si="207"/>
        <v>0</v>
      </c>
    </row>
    <row r="1463" spans="10:20" x14ac:dyDescent="0.25">
      <c r="J1463">
        <v>0.12275874845148238</v>
      </c>
      <c r="K1463">
        <f t="shared" si="208"/>
        <v>1</v>
      </c>
      <c r="L1463">
        <f t="shared" si="209"/>
        <v>0.12275874845148238</v>
      </c>
      <c r="M1463">
        <f t="shared" si="203"/>
        <v>1</v>
      </c>
      <c r="N1463">
        <f t="shared" si="210"/>
        <v>2</v>
      </c>
      <c r="O1463">
        <f t="shared" si="211"/>
        <v>122</v>
      </c>
      <c r="P1463">
        <f t="shared" si="204"/>
        <v>0</v>
      </c>
      <c r="R1463">
        <f t="shared" si="205"/>
        <v>0</v>
      </c>
      <c r="S1463">
        <f t="shared" si="206"/>
        <v>0</v>
      </c>
      <c r="T1463">
        <f t="shared" si="207"/>
        <v>0</v>
      </c>
    </row>
    <row r="1464" spans="10:20" x14ac:dyDescent="0.25">
      <c r="J1464">
        <v>6.2765614494425415E-2</v>
      </c>
      <c r="K1464">
        <f t="shared" si="208"/>
        <v>0</v>
      </c>
      <c r="L1464">
        <f t="shared" si="209"/>
        <v>0</v>
      </c>
      <c r="M1464">
        <f t="shared" si="203"/>
        <v>0</v>
      </c>
      <c r="N1464">
        <f t="shared" si="210"/>
        <v>3</v>
      </c>
      <c r="O1464">
        <f t="shared" si="211"/>
        <v>122</v>
      </c>
      <c r="P1464">
        <f t="shared" si="204"/>
        <v>0</v>
      </c>
      <c r="R1464">
        <f t="shared" si="205"/>
        <v>0</v>
      </c>
      <c r="S1464">
        <f t="shared" si="206"/>
        <v>0</v>
      </c>
      <c r="T1464">
        <f t="shared" si="207"/>
        <v>0</v>
      </c>
    </row>
    <row r="1465" spans="10:20" x14ac:dyDescent="0.25">
      <c r="J1465">
        <v>0.9280748988059182</v>
      </c>
      <c r="K1465">
        <f t="shared" si="208"/>
        <v>1</v>
      </c>
      <c r="L1465">
        <f t="shared" si="209"/>
        <v>0.9280748988059182</v>
      </c>
      <c r="M1465">
        <f t="shared" si="203"/>
        <v>1</v>
      </c>
      <c r="N1465">
        <f t="shared" si="210"/>
        <v>3</v>
      </c>
      <c r="O1465">
        <f t="shared" si="211"/>
        <v>122</v>
      </c>
      <c r="P1465">
        <f t="shared" si="204"/>
        <v>0</v>
      </c>
      <c r="R1465">
        <f t="shared" si="205"/>
        <v>0</v>
      </c>
      <c r="S1465">
        <f t="shared" si="206"/>
        <v>0</v>
      </c>
      <c r="T1465">
        <f t="shared" si="207"/>
        <v>0</v>
      </c>
    </row>
    <row r="1466" spans="10:20" x14ac:dyDescent="0.25">
      <c r="J1466">
        <v>0.85547313564601046</v>
      </c>
      <c r="K1466">
        <f t="shared" si="208"/>
        <v>0</v>
      </c>
      <c r="L1466">
        <f t="shared" si="209"/>
        <v>0</v>
      </c>
      <c r="M1466">
        <f t="shared" si="203"/>
        <v>0</v>
      </c>
      <c r="N1466">
        <f t="shared" si="210"/>
        <v>4</v>
      </c>
      <c r="O1466">
        <f t="shared" si="211"/>
        <v>122</v>
      </c>
      <c r="P1466">
        <f t="shared" si="204"/>
        <v>0</v>
      </c>
      <c r="R1466">
        <f t="shared" si="205"/>
        <v>0</v>
      </c>
      <c r="S1466">
        <f t="shared" si="206"/>
        <v>0</v>
      </c>
      <c r="T1466">
        <f t="shared" si="207"/>
        <v>0</v>
      </c>
    </row>
    <row r="1467" spans="10:20" x14ac:dyDescent="0.25">
      <c r="J1467">
        <v>3.9367460266599763E-2</v>
      </c>
      <c r="K1467">
        <f t="shared" si="208"/>
        <v>1</v>
      </c>
      <c r="L1467">
        <f t="shared" si="209"/>
        <v>3.9367460266599763E-2</v>
      </c>
      <c r="M1467">
        <f t="shared" si="203"/>
        <v>1</v>
      </c>
      <c r="N1467">
        <f t="shared" si="210"/>
        <v>4</v>
      </c>
      <c r="O1467">
        <f t="shared" si="211"/>
        <v>122</v>
      </c>
      <c r="P1467">
        <f t="shared" si="204"/>
        <v>0</v>
      </c>
      <c r="R1467">
        <f t="shared" si="205"/>
        <v>0</v>
      </c>
      <c r="S1467">
        <f t="shared" si="206"/>
        <v>0</v>
      </c>
      <c r="T1467">
        <f t="shared" si="207"/>
        <v>0</v>
      </c>
    </row>
    <row r="1468" spans="10:20" x14ac:dyDescent="0.25">
      <c r="J1468">
        <v>0.94294265290173573</v>
      </c>
      <c r="K1468">
        <f t="shared" si="208"/>
        <v>0</v>
      </c>
      <c r="L1468">
        <f t="shared" si="209"/>
        <v>0</v>
      </c>
      <c r="M1468">
        <f t="shared" si="203"/>
        <v>0</v>
      </c>
      <c r="N1468">
        <f t="shared" si="210"/>
        <v>5</v>
      </c>
      <c r="O1468">
        <f t="shared" si="211"/>
        <v>122</v>
      </c>
      <c r="P1468">
        <f t="shared" si="204"/>
        <v>0</v>
      </c>
      <c r="R1468">
        <f t="shared" si="205"/>
        <v>0</v>
      </c>
      <c r="S1468">
        <f t="shared" si="206"/>
        <v>0</v>
      </c>
      <c r="T1468">
        <f t="shared" si="207"/>
        <v>0</v>
      </c>
    </row>
    <row r="1469" spans="10:20" x14ac:dyDescent="0.25">
      <c r="J1469">
        <v>0.19858371191304647</v>
      </c>
      <c r="K1469">
        <f t="shared" si="208"/>
        <v>1</v>
      </c>
      <c r="L1469">
        <f t="shared" si="209"/>
        <v>0.19858371191304647</v>
      </c>
      <c r="M1469">
        <f t="shared" si="203"/>
        <v>1</v>
      </c>
      <c r="N1469">
        <f t="shared" si="210"/>
        <v>5</v>
      </c>
      <c r="O1469">
        <f t="shared" si="211"/>
        <v>122</v>
      </c>
      <c r="P1469">
        <f t="shared" si="204"/>
        <v>0</v>
      </c>
      <c r="R1469">
        <f t="shared" si="205"/>
        <v>0</v>
      </c>
      <c r="S1469">
        <f t="shared" si="206"/>
        <v>0</v>
      </c>
      <c r="T1469">
        <f t="shared" si="207"/>
        <v>0</v>
      </c>
    </row>
    <row r="1470" spans="10:20" x14ac:dyDescent="0.25">
      <c r="J1470">
        <v>0.10144597737590022</v>
      </c>
      <c r="K1470">
        <f t="shared" si="208"/>
        <v>0</v>
      </c>
      <c r="L1470">
        <f t="shared" si="209"/>
        <v>0</v>
      </c>
      <c r="M1470">
        <f t="shared" si="203"/>
        <v>0</v>
      </c>
      <c r="N1470">
        <f t="shared" si="210"/>
        <v>6</v>
      </c>
      <c r="O1470">
        <f t="shared" si="211"/>
        <v>122</v>
      </c>
      <c r="P1470">
        <f t="shared" si="204"/>
        <v>0</v>
      </c>
      <c r="R1470">
        <f t="shared" si="205"/>
        <v>0</v>
      </c>
      <c r="S1470">
        <f t="shared" si="206"/>
        <v>0</v>
      </c>
      <c r="T1470">
        <f t="shared" si="207"/>
        <v>0</v>
      </c>
    </row>
    <row r="1471" spans="10:20" x14ac:dyDescent="0.25">
      <c r="J1471">
        <v>0.20320612524817772</v>
      </c>
      <c r="K1471">
        <f t="shared" si="208"/>
        <v>1</v>
      </c>
      <c r="L1471">
        <f t="shared" si="209"/>
        <v>0.20320612524817772</v>
      </c>
      <c r="M1471">
        <f t="shared" si="203"/>
        <v>1</v>
      </c>
      <c r="N1471">
        <f t="shared" si="210"/>
        <v>6</v>
      </c>
      <c r="O1471">
        <f t="shared" si="211"/>
        <v>122</v>
      </c>
      <c r="P1471">
        <f t="shared" si="204"/>
        <v>0</v>
      </c>
      <c r="R1471">
        <f t="shared" si="205"/>
        <v>0</v>
      </c>
      <c r="S1471">
        <f t="shared" si="206"/>
        <v>0</v>
      </c>
      <c r="T1471">
        <f t="shared" si="207"/>
        <v>0</v>
      </c>
    </row>
    <row r="1472" spans="10:20" x14ac:dyDescent="0.25">
      <c r="J1472">
        <v>0.17792885701587258</v>
      </c>
      <c r="K1472">
        <f t="shared" si="208"/>
        <v>0</v>
      </c>
      <c r="L1472">
        <f t="shared" si="209"/>
        <v>0</v>
      </c>
      <c r="M1472">
        <f t="shared" si="203"/>
        <v>0</v>
      </c>
      <c r="N1472">
        <f t="shared" si="210"/>
        <v>7</v>
      </c>
      <c r="O1472">
        <f t="shared" si="211"/>
        <v>122</v>
      </c>
      <c r="P1472">
        <f t="shared" si="204"/>
        <v>0</v>
      </c>
      <c r="R1472">
        <f t="shared" si="205"/>
        <v>0</v>
      </c>
      <c r="S1472">
        <f t="shared" si="206"/>
        <v>0</v>
      </c>
      <c r="T1472">
        <f t="shared" si="207"/>
        <v>0</v>
      </c>
    </row>
    <row r="1473" spans="10:20" x14ac:dyDescent="0.25">
      <c r="J1473">
        <v>0.38538964777723184</v>
      </c>
      <c r="K1473">
        <f t="shared" si="208"/>
        <v>1</v>
      </c>
      <c r="L1473">
        <f t="shared" si="209"/>
        <v>0.38538964777723184</v>
      </c>
      <c r="M1473">
        <f t="shared" si="203"/>
        <v>1</v>
      </c>
      <c r="N1473">
        <f t="shared" si="210"/>
        <v>1</v>
      </c>
      <c r="O1473">
        <f t="shared" si="211"/>
        <v>123</v>
      </c>
      <c r="P1473">
        <f t="shared" si="204"/>
        <v>0</v>
      </c>
      <c r="R1473">
        <f t="shared" si="205"/>
        <v>0</v>
      </c>
      <c r="S1473">
        <f t="shared" si="206"/>
        <v>0</v>
      </c>
      <c r="T1473">
        <f t="shared" si="207"/>
        <v>0</v>
      </c>
    </row>
    <row r="1474" spans="10:20" x14ac:dyDescent="0.25">
      <c r="J1474">
        <v>0.85815709656020378</v>
      </c>
      <c r="K1474">
        <f t="shared" si="208"/>
        <v>0</v>
      </c>
      <c r="L1474">
        <f t="shared" si="209"/>
        <v>0</v>
      </c>
      <c r="M1474">
        <f t="shared" si="203"/>
        <v>0</v>
      </c>
      <c r="N1474">
        <f t="shared" si="210"/>
        <v>2</v>
      </c>
      <c r="O1474">
        <f t="shared" si="211"/>
        <v>123</v>
      </c>
      <c r="P1474">
        <f t="shared" si="204"/>
        <v>0</v>
      </c>
      <c r="R1474">
        <f t="shared" si="205"/>
        <v>0</v>
      </c>
      <c r="S1474">
        <f t="shared" si="206"/>
        <v>0</v>
      </c>
      <c r="T1474">
        <f t="shared" si="207"/>
        <v>0</v>
      </c>
    </row>
    <row r="1475" spans="10:20" x14ac:dyDescent="0.25">
      <c r="J1475">
        <v>0.18815323319860056</v>
      </c>
      <c r="K1475">
        <f t="shared" si="208"/>
        <v>1</v>
      </c>
      <c r="L1475">
        <f t="shared" si="209"/>
        <v>0.18815323319860056</v>
      </c>
      <c r="M1475">
        <f t="shared" si="203"/>
        <v>1</v>
      </c>
      <c r="N1475">
        <f t="shared" si="210"/>
        <v>2</v>
      </c>
      <c r="O1475">
        <f t="shared" si="211"/>
        <v>123</v>
      </c>
      <c r="P1475">
        <f t="shared" si="204"/>
        <v>0</v>
      </c>
      <c r="R1475">
        <f t="shared" si="205"/>
        <v>0</v>
      </c>
      <c r="S1475">
        <f t="shared" si="206"/>
        <v>0</v>
      </c>
      <c r="T1475">
        <f t="shared" si="207"/>
        <v>0</v>
      </c>
    </row>
    <row r="1476" spans="10:20" x14ac:dyDescent="0.25">
      <c r="J1476">
        <v>3.5749884866954629E-3</v>
      </c>
      <c r="K1476">
        <f t="shared" si="208"/>
        <v>0</v>
      </c>
      <c r="L1476">
        <f t="shared" si="209"/>
        <v>0</v>
      </c>
      <c r="M1476">
        <f t="shared" si="203"/>
        <v>0</v>
      </c>
      <c r="N1476">
        <f t="shared" si="210"/>
        <v>3</v>
      </c>
      <c r="O1476">
        <f t="shared" si="211"/>
        <v>123</v>
      </c>
      <c r="P1476">
        <f t="shared" si="204"/>
        <v>0</v>
      </c>
      <c r="R1476">
        <f t="shared" si="205"/>
        <v>0</v>
      </c>
      <c r="S1476">
        <f t="shared" si="206"/>
        <v>0</v>
      </c>
      <c r="T1476">
        <f t="shared" si="207"/>
        <v>0</v>
      </c>
    </row>
    <row r="1477" spans="10:20" x14ac:dyDescent="0.25">
      <c r="J1477">
        <v>0.89040493609510096</v>
      </c>
      <c r="K1477">
        <f t="shared" si="208"/>
        <v>1</v>
      </c>
      <c r="L1477">
        <f t="shared" si="209"/>
        <v>0.89040493609510096</v>
      </c>
      <c r="M1477">
        <f t="shared" si="203"/>
        <v>1</v>
      </c>
      <c r="N1477">
        <f t="shared" si="210"/>
        <v>3</v>
      </c>
      <c r="O1477">
        <f t="shared" si="211"/>
        <v>123</v>
      </c>
      <c r="P1477">
        <f t="shared" si="204"/>
        <v>0</v>
      </c>
      <c r="R1477">
        <f t="shared" si="205"/>
        <v>0</v>
      </c>
      <c r="S1477">
        <f t="shared" si="206"/>
        <v>0</v>
      </c>
      <c r="T1477">
        <f t="shared" si="207"/>
        <v>0</v>
      </c>
    </row>
    <row r="1478" spans="10:20" x14ac:dyDescent="0.25">
      <c r="J1478">
        <v>0.9391873037834999</v>
      </c>
      <c r="K1478">
        <f t="shared" si="208"/>
        <v>0</v>
      </c>
      <c r="L1478">
        <f t="shared" si="209"/>
        <v>0</v>
      </c>
      <c r="M1478">
        <f t="shared" si="203"/>
        <v>0</v>
      </c>
      <c r="N1478">
        <f t="shared" si="210"/>
        <v>4</v>
      </c>
      <c r="O1478">
        <f t="shared" si="211"/>
        <v>123</v>
      </c>
      <c r="P1478">
        <f t="shared" si="204"/>
        <v>0</v>
      </c>
      <c r="R1478">
        <f t="shared" si="205"/>
        <v>0</v>
      </c>
      <c r="S1478">
        <f t="shared" si="206"/>
        <v>0</v>
      </c>
      <c r="T1478">
        <f t="shared" si="207"/>
        <v>0</v>
      </c>
    </row>
    <row r="1479" spans="10:20" x14ac:dyDescent="0.25">
      <c r="J1479">
        <v>1.2226672913841607E-2</v>
      </c>
      <c r="K1479">
        <f t="shared" si="208"/>
        <v>1</v>
      </c>
      <c r="L1479">
        <f t="shared" si="209"/>
        <v>1.2226672913841607E-2</v>
      </c>
      <c r="M1479">
        <f t="shared" si="203"/>
        <v>1</v>
      </c>
      <c r="N1479">
        <f t="shared" si="210"/>
        <v>4</v>
      </c>
      <c r="O1479">
        <f t="shared" si="211"/>
        <v>123</v>
      </c>
      <c r="P1479">
        <f t="shared" si="204"/>
        <v>0</v>
      </c>
      <c r="R1479">
        <f t="shared" si="205"/>
        <v>0</v>
      </c>
      <c r="S1479">
        <f t="shared" si="206"/>
        <v>0</v>
      </c>
      <c r="T1479">
        <f t="shared" si="207"/>
        <v>0</v>
      </c>
    </row>
    <row r="1480" spans="10:20" x14ac:dyDescent="0.25">
      <c r="J1480">
        <v>3.3825982661405907E-2</v>
      </c>
      <c r="K1480">
        <f t="shared" si="208"/>
        <v>0</v>
      </c>
      <c r="L1480">
        <f t="shared" si="209"/>
        <v>0</v>
      </c>
      <c r="M1480">
        <f t="shared" ref="M1480:M1500" si="212">IF(L1480&gt;$M$2,1,0)</f>
        <v>0</v>
      </c>
      <c r="N1480">
        <f t="shared" si="210"/>
        <v>5</v>
      </c>
      <c r="O1480">
        <f t="shared" si="211"/>
        <v>123</v>
      </c>
      <c r="P1480">
        <f t="shared" ref="P1480:P1500" si="213">IF(INDEX($B$7:$H$1029,O1480,2)&gt;0,1,0)</f>
        <v>0</v>
      </c>
      <c r="R1480">
        <f t="shared" ref="R1480:R1500" si="214">IF(  M1480&gt;0,INDEX($B$7:$H$1029,O1480,N1480),0)*P1480</f>
        <v>0</v>
      </c>
      <c r="S1480">
        <f t="shared" ref="S1480:S1500" si="215">M1480*P1480</f>
        <v>0</v>
      </c>
      <c r="T1480">
        <f t="shared" ref="T1480:T1500" si="216">IF(N1481=$N$2,1,0)*P1480</f>
        <v>0</v>
      </c>
    </row>
    <row r="1481" spans="10:20" x14ac:dyDescent="0.25">
      <c r="J1481">
        <v>0.75530269345414236</v>
      </c>
      <c r="K1481">
        <f t="shared" si="208"/>
        <v>1</v>
      </c>
      <c r="L1481">
        <f t="shared" si="209"/>
        <v>0.75530269345414236</v>
      </c>
      <c r="M1481">
        <f t="shared" si="212"/>
        <v>1</v>
      </c>
      <c r="N1481">
        <f t="shared" si="210"/>
        <v>5</v>
      </c>
      <c r="O1481">
        <f t="shared" si="211"/>
        <v>123</v>
      </c>
      <c r="P1481">
        <f t="shared" si="213"/>
        <v>0</v>
      </c>
      <c r="R1481">
        <f t="shared" si="214"/>
        <v>0</v>
      </c>
      <c r="S1481">
        <f t="shared" si="215"/>
        <v>0</v>
      </c>
      <c r="T1481">
        <f t="shared" si="216"/>
        <v>0</v>
      </c>
    </row>
    <row r="1482" spans="10:20" x14ac:dyDescent="0.25">
      <c r="J1482">
        <v>0.11251227625557525</v>
      </c>
      <c r="K1482">
        <f t="shared" si="208"/>
        <v>0</v>
      </c>
      <c r="L1482">
        <f t="shared" si="209"/>
        <v>0</v>
      </c>
      <c r="M1482">
        <f t="shared" si="212"/>
        <v>0</v>
      </c>
      <c r="N1482">
        <f t="shared" si="210"/>
        <v>6</v>
      </c>
      <c r="O1482">
        <f t="shared" si="211"/>
        <v>123</v>
      </c>
      <c r="P1482">
        <f t="shared" si="213"/>
        <v>0</v>
      </c>
      <c r="R1482">
        <f t="shared" si="214"/>
        <v>0</v>
      </c>
      <c r="S1482">
        <f t="shared" si="215"/>
        <v>0</v>
      </c>
      <c r="T1482">
        <f t="shared" si="216"/>
        <v>0</v>
      </c>
    </row>
    <row r="1483" spans="10:20" x14ac:dyDescent="0.25">
      <c r="J1483">
        <v>0.11834670588318275</v>
      </c>
      <c r="K1483">
        <f t="shared" si="208"/>
        <v>1</v>
      </c>
      <c r="L1483">
        <f t="shared" si="209"/>
        <v>0.11834670588318275</v>
      </c>
      <c r="M1483">
        <f t="shared" si="212"/>
        <v>1</v>
      </c>
      <c r="N1483">
        <f t="shared" si="210"/>
        <v>6</v>
      </c>
      <c r="O1483">
        <f t="shared" si="211"/>
        <v>123</v>
      </c>
      <c r="P1483">
        <f t="shared" si="213"/>
        <v>0</v>
      </c>
      <c r="R1483">
        <f t="shared" si="214"/>
        <v>0</v>
      </c>
      <c r="S1483">
        <f t="shared" si="215"/>
        <v>0</v>
      </c>
      <c r="T1483">
        <f t="shared" si="216"/>
        <v>0</v>
      </c>
    </row>
    <row r="1484" spans="10:20" x14ac:dyDescent="0.25">
      <c r="J1484">
        <v>0.32776973854166236</v>
      </c>
      <c r="K1484">
        <f t="shared" si="208"/>
        <v>0</v>
      </c>
      <c r="L1484">
        <f t="shared" si="209"/>
        <v>0</v>
      </c>
      <c r="M1484">
        <f t="shared" si="212"/>
        <v>0</v>
      </c>
      <c r="N1484">
        <f t="shared" si="210"/>
        <v>7</v>
      </c>
      <c r="O1484">
        <f t="shared" si="211"/>
        <v>123</v>
      </c>
      <c r="P1484">
        <f t="shared" si="213"/>
        <v>0</v>
      </c>
      <c r="R1484">
        <f t="shared" si="214"/>
        <v>0</v>
      </c>
      <c r="S1484">
        <f t="shared" si="215"/>
        <v>0</v>
      </c>
      <c r="T1484">
        <f t="shared" si="216"/>
        <v>0</v>
      </c>
    </row>
    <row r="1485" spans="10:20" x14ac:dyDescent="0.25">
      <c r="J1485">
        <v>0.82727145070295649</v>
      </c>
      <c r="K1485">
        <f t="shared" si="208"/>
        <v>1</v>
      </c>
      <c r="L1485">
        <f t="shared" si="209"/>
        <v>0.82727145070295649</v>
      </c>
      <c r="M1485">
        <f t="shared" si="212"/>
        <v>1</v>
      </c>
      <c r="N1485">
        <f t="shared" si="210"/>
        <v>1</v>
      </c>
      <c r="O1485">
        <f t="shared" si="211"/>
        <v>124</v>
      </c>
      <c r="P1485">
        <f t="shared" si="213"/>
        <v>0</v>
      </c>
      <c r="R1485">
        <f t="shared" si="214"/>
        <v>0</v>
      </c>
      <c r="S1485">
        <f t="shared" si="215"/>
        <v>0</v>
      </c>
      <c r="T1485">
        <f t="shared" si="216"/>
        <v>0</v>
      </c>
    </row>
    <row r="1486" spans="10:20" x14ac:dyDescent="0.25">
      <c r="J1486">
        <v>0.7735395916524892</v>
      </c>
      <c r="K1486">
        <f t="shared" si="208"/>
        <v>0</v>
      </c>
      <c r="L1486">
        <f t="shared" si="209"/>
        <v>0</v>
      </c>
      <c r="M1486">
        <f t="shared" si="212"/>
        <v>0</v>
      </c>
      <c r="N1486">
        <f t="shared" si="210"/>
        <v>2</v>
      </c>
      <c r="O1486">
        <f t="shared" si="211"/>
        <v>124</v>
      </c>
      <c r="P1486">
        <f t="shared" si="213"/>
        <v>0</v>
      </c>
      <c r="R1486">
        <f t="shared" si="214"/>
        <v>0</v>
      </c>
      <c r="S1486">
        <f t="shared" si="215"/>
        <v>0</v>
      </c>
      <c r="T1486">
        <f t="shared" si="216"/>
        <v>0</v>
      </c>
    </row>
    <row r="1487" spans="10:20" x14ac:dyDescent="0.25">
      <c r="J1487">
        <v>0.45695808683413763</v>
      </c>
      <c r="K1487">
        <f t="shared" si="208"/>
        <v>1</v>
      </c>
      <c r="L1487">
        <f t="shared" si="209"/>
        <v>0.45695808683413763</v>
      </c>
      <c r="M1487">
        <f t="shared" si="212"/>
        <v>1</v>
      </c>
      <c r="N1487">
        <f t="shared" si="210"/>
        <v>2</v>
      </c>
      <c r="O1487">
        <f t="shared" si="211"/>
        <v>124</v>
      </c>
      <c r="P1487">
        <f t="shared" si="213"/>
        <v>0</v>
      </c>
      <c r="R1487">
        <f t="shared" si="214"/>
        <v>0</v>
      </c>
      <c r="S1487">
        <f t="shared" si="215"/>
        <v>0</v>
      </c>
      <c r="T1487">
        <f t="shared" si="216"/>
        <v>0</v>
      </c>
    </row>
    <row r="1488" spans="10:20" x14ac:dyDescent="0.25">
      <c r="J1488">
        <v>0.19801064948182623</v>
      </c>
      <c r="K1488">
        <f t="shared" si="208"/>
        <v>0</v>
      </c>
      <c r="L1488">
        <f t="shared" si="209"/>
        <v>0</v>
      </c>
      <c r="M1488">
        <f t="shared" si="212"/>
        <v>0</v>
      </c>
      <c r="N1488">
        <f t="shared" si="210"/>
        <v>3</v>
      </c>
      <c r="O1488">
        <f t="shared" si="211"/>
        <v>124</v>
      </c>
      <c r="P1488">
        <f t="shared" si="213"/>
        <v>0</v>
      </c>
      <c r="R1488">
        <f t="shared" si="214"/>
        <v>0</v>
      </c>
      <c r="S1488">
        <f t="shared" si="215"/>
        <v>0</v>
      </c>
      <c r="T1488">
        <f t="shared" si="216"/>
        <v>0</v>
      </c>
    </row>
    <row r="1489" spans="10:20" x14ac:dyDescent="0.25">
      <c r="J1489">
        <v>0.48464327987193734</v>
      </c>
      <c r="K1489">
        <f t="shared" si="208"/>
        <v>1</v>
      </c>
      <c r="L1489">
        <f t="shared" si="209"/>
        <v>0.48464327987193734</v>
      </c>
      <c r="M1489">
        <f t="shared" si="212"/>
        <v>1</v>
      </c>
      <c r="N1489">
        <f t="shared" si="210"/>
        <v>3</v>
      </c>
      <c r="O1489">
        <f t="shared" si="211"/>
        <v>124</v>
      </c>
      <c r="P1489">
        <f t="shared" si="213"/>
        <v>0</v>
      </c>
      <c r="R1489">
        <f t="shared" si="214"/>
        <v>0</v>
      </c>
      <c r="S1489">
        <f t="shared" si="215"/>
        <v>0</v>
      </c>
      <c r="T1489">
        <f t="shared" si="216"/>
        <v>0</v>
      </c>
    </row>
    <row r="1490" spans="10:20" x14ac:dyDescent="0.25">
      <c r="J1490">
        <v>0.22369192250825098</v>
      </c>
      <c r="K1490">
        <f t="shared" si="208"/>
        <v>0</v>
      </c>
      <c r="L1490">
        <f t="shared" si="209"/>
        <v>0</v>
      </c>
      <c r="M1490">
        <f t="shared" si="212"/>
        <v>0</v>
      </c>
      <c r="N1490">
        <f t="shared" si="210"/>
        <v>4</v>
      </c>
      <c r="O1490">
        <f t="shared" si="211"/>
        <v>124</v>
      </c>
      <c r="P1490">
        <f t="shared" si="213"/>
        <v>0</v>
      </c>
      <c r="R1490">
        <f t="shared" si="214"/>
        <v>0</v>
      </c>
      <c r="S1490">
        <f t="shared" si="215"/>
        <v>0</v>
      </c>
      <c r="T1490">
        <f t="shared" si="216"/>
        <v>0</v>
      </c>
    </row>
    <row r="1491" spans="10:20" x14ac:dyDescent="0.25">
      <c r="J1491">
        <v>0.96348785624312827</v>
      </c>
      <c r="K1491">
        <f t="shared" si="208"/>
        <v>1</v>
      </c>
      <c r="L1491">
        <f t="shared" si="209"/>
        <v>0.96348785624312827</v>
      </c>
      <c r="M1491">
        <f t="shared" si="212"/>
        <v>1</v>
      </c>
      <c r="N1491">
        <f t="shared" si="210"/>
        <v>4</v>
      </c>
      <c r="O1491">
        <f t="shared" si="211"/>
        <v>124</v>
      </c>
      <c r="P1491">
        <f t="shared" si="213"/>
        <v>0</v>
      </c>
      <c r="R1491">
        <f t="shared" si="214"/>
        <v>0</v>
      </c>
      <c r="S1491">
        <f t="shared" si="215"/>
        <v>0</v>
      </c>
      <c r="T1491">
        <f t="shared" si="216"/>
        <v>0</v>
      </c>
    </row>
    <row r="1492" spans="10:20" x14ac:dyDescent="0.25">
      <c r="J1492">
        <v>0.36843681528697192</v>
      </c>
      <c r="K1492">
        <f t="shared" si="208"/>
        <v>0</v>
      </c>
      <c r="L1492">
        <f t="shared" si="209"/>
        <v>0</v>
      </c>
      <c r="M1492">
        <f t="shared" si="212"/>
        <v>0</v>
      </c>
      <c r="N1492">
        <f t="shared" si="210"/>
        <v>5</v>
      </c>
      <c r="O1492">
        <f t="shared" si="211"/>
        <v>124</v>
      </c>
      <c r="P1492">
        <f t="shared" si="213"/>
        <v>0</v>
      </c>
      <c r="R1492">
        <f t="shared" si="214"/>
        <v>0</v>
      </c>
      <c r="S1492">
        <f t="shared" si="215"/>
        <v>0</v>
      </c>
      <c r="T1492">
        <f t="shared" si="216"/>
        <v>0</v>
      </c>
    </row>
    <row r="1493" spans="10:20" x14ac:dyDescent="0.25">
      <c r="J1493">
        <v>0.96431673417842545</v>
      </c>
      <c r="K1493">
        <f t="shared" si="208"/>
        <v>1</v>
      </c>
      <c r="L1493">
        <f t="shared" si="209"/>
        <v>0.96431673417842545</v>
      </c>
      <c r="M1493">
        <f t="shared" si="212"/>
        <v>1</v>
      </c>
      <c r="N1493">
        <f t="shared" si="210"/>
        <v>5</v>
      </c>
      <c r="O1493">
        <f t="shared" si="211"/>
        <v>124</v>
      </c>
      <c r="P1493">
        <f t="shared" si="213"/>
        <v>0</v>
      </c>
      <c r="R1493">
        <f t="shared" si="214"/>
        <v>0</v>
      </c>
      <c r="S1493">
        <f t="shared" si="215"/>
        <v>0</v>
      </c>
      <c r="T1493">
        <f t="shared" si="216"/>
        <v>0</v>
      </c>
    </row>
    <row r="1494" spans="10:20" x14ac:dyDescent="0.25">
      <c r="J1494">
        <v>0.73159803114530986</v>
      </c>
      <c r="K1494">
        <f t="shared" si="208"/>
        <v>0</v>
      </c>
      <c r="L1494">
        <f t="shared" si="209"/>
        <v>0</v>
      </c>
      <c r="M1494">
        <f t="shared" si="212"/>
        <v>0</v>
      </c>
      <c r="N1494">
        <f t="shared" si="210"/>
        <v>6</v>
      </c>
      <c r="O1494">
        <f t="shared" si="211"/>
        <v>124</v>
      </c>
      <c r="P1494">
        <f t="shared" si="213"/>
        <v>0</v>
      </c>
      <c r="R1494">
        <f t="shared" si="214"/>
        <v>0</v>
      </c>
      <c r="S1494">
        <f t="shared" si="215"/>
        <v>0</v>
      </c>
      <c r="T1494">
        <f t="shared" si="216"/>
        <v>0</v>
      </c>
    </row>
    <row r="1495" spans="10:20" x14ac:dyDescent="0.25">
      <c r="J1495">
        <v>0.86874470734192477</v>
      </c>
      <c r="K1495">
        <f t="shared" si="208"/>
        <v>1</v>
      </c>
      <c r="L1495">
        <f t="shared" si="209"/>
        <v>0.86874470734192477</v>
      </c>
      <c r="M1495">
        <f t="shared" si="212"/>
        <v>1</v>
      </c>
      <c r="N1495">
        <f t="shared" si="210"/>
        <v>6</v>
      </c>
      <c r="O1495">
        <f t="shared" si="211"/>
        <v>124</v>
      </c>
      <c r="P1495">
        <f t="shared" si="213"/>
        <v>0</v>
      </c>
      <c r="R1495">
        <f t="shared" si="214"/>
        <v>0</v>
      </c>
      <c r="S1495">
        <f t="shared" si="215"/>
        <v>0</v>
      </c>
      <c r="T1495">
        <f t="shared" si="216"/>
        <v>0</v>
      </c>
    </row>
    <row r="1496" spans="10:20" x14ac:dyDescent="0.25">
      <c r="J1496">
        <v>0.10510261048662151</v>
      </c>
      <c r="K1496">
        <f t="shared" ref="K1496:K1500" si="217">IF(K1495=1,0,1)</f>
        <v>0</v>
      </c>
      <c r="L1496">
        <f t="shared" ref="L1496:L1500" si="218">K1496*J1496</f>
        <v>0</v>
      </c>
      <c r="M1496">
        <f t="shared" si="212"/>
        <v>0</v>
      </c>
      <c r="N1496">
        <f t="shared" ref="N1496:N1500" si="219">IF(N1495&lt;$N$2,N1495+M1495,1)</f>
        <v>7</v>
      </c>
      <c r="O1496">
        <f t="shared" ref="O1496:O1500" si="220">IF(AND(N1496=1,M1496=1),O1495+1,O1495)</f>
        <v>124</v>
      </c>
      <c r="P1496">
        <f t="shared" si="213"/>
        <v>0</v>
      </c>
      <c r="R1496">
        <f t="shared" si="214"/>
        <v>0</v>
      </c>
      <c r="S1496">
        <f t="shared" si="215"/>
        <v>0</v>
      </c>
      <c r="T1496">
        <f t="shared" si="216"/>
        <v>0</v>
      </c>
    </row>
    <row r="1497" spans="10:20" x14ac:dyDescent="0.25">
      <c r="J1497">
        <v>0.69449837403739123</v>
      </c>
      <c r="K1497">
        <f t="shared" si="217"/>
        <v>1</v>
      </c>
      <c r="L1497">
        <f t="shared" si="218"/>
        <v>0.69449837403739123</v>
      </c>
      <c r="M1497">
        <f t="shared" si="212"/>
        <v>1</v>
      </c>
      <c r="N1497">
        <f t="shared" si="219"/>
        <v>1</v>
      </c>
      <c r="O1497">
        <f t="shared" si="220"/>
        <v>125</v>
      </c>
      <c r="P1497">
        <f t="shared" si="213"/>
        <v>0</v>
      </c>
      <c r="R1497">
        <f t="shared" si="214"/>
        <v>0</v>
      </c>
      <c r="S1497">
        <f t="shared" si="215"/>
        <v>0</v>
      </c>
      <c r="T1497">
        <f t="shared" si="216"/>
        <v>0</v>
      </c>
    </row>
    <row r="1498" spans="10:20" x14ac:dyDescent="0.25">
      <c r="J1498">
        <v>0.68832885349151562</v>
      </c>
      <c r="K1498">
        <f t="shared" si="217"/>
        <v>0</v>
      </c>
      <c r="L1498">
        <f t="shared" si="218"/>
        <v>0</v>
      </c>
      <c r="M1498">
        <f t="shared" si="212"/>
        <v>0</v>
      </c>
      <c r="N1498">
        <f t="shared" si="219"/>
        <v>2</v>
      </c>
      <c r="O1498">
        <f t="shared" si="220"/>
        <v>125</v>
      </c>
      <c r="P1498">
        <f t="shared" si="213"/>
        <v>0</v>
      </c>
      <c r="R1498">
        <f t="shared" si="214"/>
        <v>0</v>
      </c>
      <c r="S1498">
        <f t="shared" si="215"/>
        <v>0</v>
      </c>
      <c r="T1498">
        <f t="shared" si="216"/>
        <v>0</v>
      </c>
    </row>
    <row r="1499" spans="10:20" x14ac:dyDescent="0.25">
      <c r="J1499">
        <v>0.60820596295940432</v>
      </c>
      <c r="K1499">
        <f t="shared" si="217"/>
        <v>1</v>
      </c>
      <c r="L1499">
        <f t="shared" si="218"/>
        <v>0.60820596295940432</v>
      </c>
      <c r="M1499">
        <f t="shared" si="212"/>
        <v>1</v>
      </c>
      <c r="N1499">
        <f t="shared" si="219"/>
        <v>2</v>
      </c>
      <c r="O1499">
        <f t="shared" si="220"/>
        <v>125</v>
      </c>
      <c r="P1499">
        <f t="shared" si="213"/>
        <v>0</v>
      </c>
      <c r="R1499">
        <f t="shared" si="214"/>
        <v>0</v>
      </c>
      <c r="S1499">
        <f t="shared" si="215"/>
        <v>0</v>
      </c>
      <c r="T1499">
        <f t="shared" si="216"/>
        <v>0</v>
      </c>
    </row>
    <row r="1500" spans="10:20" x14ac:dyDescent="0.25">
      <c r="J1500">
        <v>0.43270154779107728</v>
      </c>
      <c r="K1500">
        <f t="shared" si="217"/>
        <v>0</v>
      </c>
      <c r="L1500">
        <f t="shared" si="218"/>
        <v>0</v>
      </c>
      <c r="M1500">
        <f t="shared" si="212"/>
        <v>0</v>
      </c>
      <c r="N1500">
        <f t="shared" si="219"/>
        <v>3</v>
      </c>
      <c r="O1500">
        <f t="shared" si="220"/>
        <v>125</v>
      </c>
      <c r="P1500">
        <f t="shared" si="213"/>
        <v>0</v>
      </c>
      <c r="R1500">
        <f t="shared" si="214"/>
        <v>0</v>
      </c>
      <c r="S1500">
        <f t="shared" si="215"/>
        <v>0</v>
      </c>
      <c r="T1500">
        <f t="shared" si="216"/>
        <v>0</v>
      </c>
    </row>
  </sheetData>
  <conditionalFormatting sqref="K7:N7 L8:M1500 D7:H30">
    <cfRule type="cellIs" dxfId="145" priority="11" operator="greaterThan">
      <formula>0</formula>
    </cfRule>
  </conditionalFormatting>
  <conditionalFormatting sqref="K7:N7 L8:M1500 D7:H30">
    <cfRule type="cellIs" dxfId="144" priority="10" operator="greaterThan">
      <formula>0</formula>
    </cfRule>
  </conditionalFormatting>
  <conditionalFormatting sqref="K7:N7 L8:M1500 D7:H30">
    <cfRule type="cellIs" dxfId="143" priority="9" operator="greaterThan">
      <formula>0</formula>
    </cfRule>
  </conditionalFormatting>
  <conditionalFormatting sqref="S1:S1048576">
    <cfRule type="cellIs" dxfId="142" priority="8" operator="greaterThan">
      <formula>0</formula>
    </cfRule>
  </conditionalFormatting>
  <conditionalFormatting sqref="T7:T1500">
    <cfRule type="cellIs" dxfId="141" priority="7" operator="greaterThan">
      <formula>0</formula>
    </cfRule>
  </conditionalFormatting>
  <conditionalFormatting sqref="D31:H50">
    <cfRule type="cellIs" dxfId="140" priority="6" operator="greaterThan">
      <formula>0</formula>
    </cfRule>
  </conditionalFormatting>
  <conditionalFormatting sqref="D31:H50">
    <cfRule type="cellIs" dxfId="139" priority="5" operator="greaterThan">
      <formula>0</formula>
    </cfRule>
  </conditionalFormatting>
  <conditionalFormatting sqref="D31:H50">
    <cfRule type="cellIs" dxfId="138" priority="4" operator="greaterThan">
      <formula>0</formula>
    </cfRule>
  </conditionalFormatting>
  <conditionalFormatting sqref="D51:H110">
    <cfRule type="cellIs" dxfId="137" priority="3" operator="greaterThan">
      <formula>0</formula>
    </cfRule>
  </conditionalFormatting>
  <conditionalFormatting sqref="D51:H110">
    <cfRule type="cellIs" dxfId="136" priority="2" operator="greaterThan">
      <formula>0</formula>
    </cfRule>
  </conditionalFormatting>
  <conditionalFormatting sqref="D51:H110">
    <cfRule type="cellIs" dxfId="135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S36"/>
  <sheetViews>
    <sheetView topLeftCell="B6" workbookViewId="0">
      <selection activeCell="L6" sqref="L6"/>
    </sheetView>
  </sheetViews>
  <sheetFormatPr defaultRowHeight="15" x14ac:dyDescent="0.25"/>
  <cols>
    <col min="1" max="1" width="10" customWidth="1"/>
    <col min="2" max="2" width="16.140625" customWidth="1"/>
    <col min="3" max="3" width="22" customWidth="1"/>
    <col min="4" max="4" width="20.7109375" customWidth="1"/>
    <col min="5" max="5" width="19.85546875" customWidth="1"/>
    <col min="6" max="10" width="12.140625" customWidth="1"/>
    <col min="12" max="12" width="13" customWidth="1"/>
  </cols>
  <sheetData>
    <row r="1" spans="3:19" x14ac:dyDescent="0.25">
      <c r="D1" t="s">
        <v>84</v>
      </c>
      <c r="E1" t="s">
        <v>85</v>
      </c>
    </row>
    <row r="2" spans="3:19" x14ac:dyDescent="0.25">
      <c r="D2" t="s">
        <v>86</v>
      </c>
      <c r="E2">
        <v>-1</v>
      </c>
    </row>
    <row r="3" spans="3:19" x14ac:dyDescent="0.25">
      <c r="F3">
        <v>1</v>
      </c>
      <c r="G3">
        <v>2</v>
      </c>
      <c r="H3">
        <v>3</v>
      </c>
      <c r="I3">
        <v>4</v>
      </c>
      <c r="J3">
        <v>5</v>
      </c>
      <c r="K3">
        <v>6</v>
      </c>
      <c r="L3">
        <v>7</v>
      </c>
      <c r="M3">
        <v>8</v>
      </c>
      <c r="N3">
        <v>9</v>
      </c>
      <c r="O3">
        <v>10</v>
      </c>
      <c r="P3">
        <v>11</v>
      </c>
      <c r="Q3">
        <v>12</v>
      </c>
      <c r="R3">
        <v>13</v>
      </c>
      <c r="S3">
        <v>14</v>
      </c>
    </row>
    <row r="5" spans="3:19" ht="105.75" x14ac:dyDescent="0.25">
      <c r="F5" s="30" t="s">
        <v>56</v>
      </c>
      <c r="G5" s="30" t="s">
        <v>57</v>
      </c>
      <c r="H5" s="30" t="s">
        <v>58</v>
      </c>
      <c r="I5" s="30" t="s">
        <v>59</v>
      </c>
      <c r="J5" s="30" t="s">
        <v>68</v>
      </c>
      <c r="K5" s="30" t="s">
        <v>69</v>
      </c>
      <c r="L5" s="30" t="s">
        <v>61</v>
      </c>
      <c r="M5" s="30" t="s">
        <v>62</v>
      </c>
      <c r="N5" s="30" t="s">
        <v>63</v>
      </c>
      <c r="O5" s="30" t="s">
        <v>64</v>
      </c>
      <c r="P5" s="30" t="s">
        <v>65</v>
      </c>
      <c r="Q5" s="30" t="s">
        <v>66</v>
      </c>
      <c r="R5" s="30" t="s">
        <v>60</v>
      </c>
      <c r="S5" s="30" t="s">
        <v>67</v>
      </c>
    </row>
    <row r="6" spans="3:19" x14ac:dyDescent="0.25">
      <c r="C6">
        <v>1</v>
      </c>
      <c r="D6">
        <f>MATCH(C6,Book1!AD4:AD1003,0)</f>
        <v>340</v>
      </c>
      <c r="E6">
        <f>D6+$E$2+C6</f>
        <v>340</v>
      </c>
      <c r="F6" t="str">
        <f>INDEX(Book1!$M$4:$Z$1003,$E6,F$3)</f>
        <v>FFFFFFF</v>
      </c>
      <c r="G6">
        <f>INDEX(Book1!$M$4:$Z$1003,$E6,G$3)</f>
        <v>1</v>
      </c>
      <c r="H6">
        <f>INDEX(Book1!$M$4:$Z$1003,$E6,H$3)</f>
        <v>11</v>
      </c>
      <c r="I6">
        <f>INDEX(Book1!$M$4:$Z$1003,$E6,I$3)</f>
        <v>313</v>
      </c>
      <c r="J6">
        <f>INDEX(Book1!$M$4:$Z$1003,$E6,J$3)</f>
        <v>25</v>
      </c>
      <c r="K6">
        <f>INDEX(Book1!$M$4:$Z$1003,$E6,K$3)</f>
        <v>5</v>
      </c>
      <c r="L6">
        <f>INDEX(Book1!$M$4:$Z$1003,$E6,L$3)</f>
        <v>10</v>
      </c>
      <c r="M6">
        <f>INDEX(Book1!$M$4:$Z$1003,$E6,M$3)</f>
        <v>110</v>
      </c>
      <c r="N6">
        <f>INDEX(Book1!$M$4:$Z$1003,$E6,N$3)</f>
        <v>1010</v>
      </c>
      <c r="O6">
        <f>INDEX(Book1!$M$4:$Z$1003,$E6,O$3)</f>
        <v>10010</v>
      </c>
      <c r="P6">
        <f>INDEX(Book1!$M$4:$Z$1003,$E6,P$3)</f>
        <v>1120</v>
      </c>
      <c r="Q6">
        <f>INDEX(Book1!$M$4:$Z$1003,$E6,Q$3)</f>
        <v>322</v>
      </c>
      <c r="R6">
        <f>INDEX(Book1!$M$4:$Z$1003,$E6,R$3)</f>
        <v>0</v>
      </c>
      <c r="S6" t="str">
        <f>INDEX(Book1!$M$4:$Z$1003,$E6,S$3)</f>
        <v>FFFFFFE</v>
      </c>
    </row>
    <row r="7" spans="3:19" x14ac:dyDescent="0.25">
      <c r="C7">
        <v>2</v>
      </c>
      <c r="D7">
        <f>MATCH(C7,Book1!AD5:AD1004,0)</f>
        <v>353</v>
      </c>
      <c r="E7">
        <f t="shared" ref="E7:E36" si="0">D7+$E$2+C7</f>
        <v>354</v>
      </c>
      <c r="F7" t="str">
        <f>INDEX(Book1!$M$4:$Z$1003,$E7,F$3)</f>
        <v>FFFFFFF</v>
      </c>
      <c r="G7">
        <f>INDEX(Book1!$M$4:$Z$1003,$E7,G$3)</f>
        <v>2</v>
      </c>
      <c r="H7">
        <f>INDEX(Book1!$M$4:$Z$1003,$E7,H$3)</f>
        <v>23</v>
      </c>
      <c r="I7">
        <f>INDEX(Book1!$M$4:$Z$1003,$E7,I$3)</f>
        <v>314</v>
      </c>
      <c r="J7">
        <f>INDEX(Book1!$M$4:$Z$1003,$E7,J$3)</f>
        <v>25</v>
      </c>
      <c r="K7">
        <f>INDEX(Book1!$M$4:$Z$1003,$E7,K$3)</f>
        <v>5</v>
      </c>
      <c r="L7">
        <f>INDEX(Book1!$M$4:$Z$1003,$E7,L$3)</f>
        <v>11</v>
      </c>
      <c r="M7">
        <f>INDEX(Book1!$M$4:$Z$1003,$E7,M$3)</f>
        <v>111</v>
      </c>
      <c r="N7">
        <f>INDEX(Book1!$M$4:$Z$1003,$E7,N$3)</f>
        <v>1011</v>
      </c>
      <c r="O7">
        <f>INDEX(Book1!$M$4:$Z$1003,$E7,O$3)</f>
        <v>10011</v>
      </c>
      <c r="P7">
        <f>INDEX(Book1!$M$4:$Z$1003,$E7,P$3)</f>
        <v>1120</v>
      </c>
      <c r="Q7">
        <f>INDEX(Book1!$M$4:$Z$1003,$E7,Q$3)</f>
        <v>323</v>
      </c>
      <c r="R7">
        <f>INDEX(Book1!$M$4:$Z$1003,$E7,R$3)</f>
        <v>0</v>
      </c>
      <c r="S7" t="str">
        <f>INDEX(Book1!$M$4:$Z$1003,$E7,S$3)</f>
        <v>FFFFFFE</v>
      </c>
    </row>
    <row r="8" spans="3:19" x14ac:dyDescent="0.25">
      <c r="C8">
        <v>3</v>
      </c>
      <c r="D8">
        <f>MATCH(C8,Book1!AD6:AD1005,0)</f>
        <v>366</v>
      </c>
      <c r="E8">
        <f t="shared" si="0"/>
        <v>368</v>
      </c>
      <c r="F8" t="str">
        <f>INDEX(Book1!$M$4:$Z$1003,$E8,F$3)</f>
        <v>FFFFFFF</v>
      </c>
      <c r="G8">
        <f>INDEX(Book1!$M$4:$Z$1003,$E8,G$3)</f>
        <v>3</v>
      </c>
      <c r="H8">
        <f>INDEX(Book1!$M$4:$Z$1003,$E8,H$3)</f>
        <v>35</v>
      </c>
      <c r="I8">
        <f>INDEX(Book1!$M$4:$Z$1003,$E8,I$3)</f>
        <v>315</v>
      </c>
      <c r="J8">
        <f>INDEX(Book1!$M$4:$Z$1003,$E8,J$3)</f>
        <v>25</v>
      </c>
      <c r="K8">
        <f>INDEX(Book1!$M$4:$Z$1003,$E8,K$3)</f>
        <v>5</v>
      </c>
      <c r="L8">
        <f>INDEX(Book1!$M$4:$Z$1003,$E8,L$3)</f>
        <v>12</v>
      </c>
      <c r="M8">
        <f>INDEX(Book1!$M$4:$Z$1003,$E8,M$3)</f>
        <v>112</v>
      </c>
      <c r="N8">
        <f>INDEX(Book1!$M$4:$Z$1003,$E8,N$3)</f>
        <v>1012</v>
      </c>
      <c r="O8">
        <f>INDEX(Book1!$M$4:$Z$1003,$E8,O$3)</f>
        <v>10012</v>
      </c>
      <c r="P8">
        <f>INDEX(Book1!$M$4:$Z$1003,$E8,P$3)</f>
        <v>1122</v>
      </c>
      <c r="Q8">
        <f>INDEX(Book1!$M$4:$Z$1003,$E8,Q$3)</f>
        <v>324</v>
      </c>
      <c r="R8">
        <f>INDEX(Book1!$M$4:$Z$1003,$E8,R$3)</f>
        <v>0</v>
      </c>
      <c r="S8" t="str">
        <f>INDEX(Book1!$M$4:$Z$1003,$E8,S$3)</f>
        <v>FFFFFFE</v>
      </c>
    </row>
    <row r="9" spans="3:19" x14ac:dyDescent="0.25">
      <c r="C9">
        <v>4</v>
      </c>
      <c r="D9">
        <f>MATCH(C9,Book1!AD7:AD1006,0)</f>
        <v>379</v>
      </c>
      <c r="E9">
        <f t="shared" si="0"/>
        <v>382</v>
      </c>
      <c r="F9" t="str">
        <f>INDEX(Book1!$M$4:$Z$1003,$E9,F$3)</f>
        <v>FFFFFFF</v>
      </c>
      <c r="G9">
        <f>INDEX(Book1!$M$4:$Z$1003,$E9,G$3)</f>
        <v>4</v>
      </c>
      <c r="H9">
        <f>INDEX(Book1!$M$4:$Z$1003,$E9,H$3)</f>
        <v>47</v>
      </c>
      <c r="I9">
        <f>INDEX(Book1!$M$4:$Z$1003,$E9,I$3)</f>
        <v>316</v>
      </c>
      <c r="J9">
        <f>INDEX(Book1!$M$4:$Z$1003,$E9,J$3)</f>
        <v>25</v>
      </c>
      <c r="K9">
        <f>INDEX(Book1!$M$4:$Z$1003,$E9,K$3)</f>
        <v>5</v>
      </c>
      <c r="L9">
        <f>INDEX(Book1!$M$4:$Z$1003,$E9,L$3)</f>
        <v>13</v>
      </c>
      <c r="M9">
        <f>INDEX(Book1!$M$4:$Z$1003,$E9,M$3)</f>
        <v>113</v>
      </c>
      <c r="N9">
        <f>INDEX(Book1!$M$4:$Z$1003,$E9,N$3)</f>
        <v>1013</v>
      </c>
      <c r="O9">
        <f>INDEX(Book1!$M$4:$Z$1003,$E9,O$3)</f>
        <v>10013</v>
      </c>
      <c r="P9">
        <f>INDEX(Book1!$M$4:$Z$1003,$E9,P$3)</f>
        <v>1124</v>
      </c>
      <c r="Q9">
        <f>INDEX(Book1!$M$4:$Z$1003,$E9,Q$3)</f>
        <v>325</v>
      </c>
      <c r="R9">
        <f>INDEX(Book1!$M$4:$Z$1003,$E9,R$3)</f>
        <v>0</v>
      </c>
      <c r="S9" t="str">
        <f>INDEX(Book1!$M$4:$Z$1003,$E9,S$3)</f>
        <v>FFFFFFE</v>
      </c>
    </row>
    <row r="10" spans="3:19" x14ac:dyDescent="0.25">
      <c r="C10">
        <v>5</v>
      </c>
      <c r="D10">
        <f>MATCH(C10,Book1!AD8:AD1007,0)</f>
        <v>392</v>
      </c>
      <c r="E10">
        <f t="shared" si="0"/>
        <v>396</v>
      </c>
      <c r="F10" t="str">
        <f>INDEX(Book1!$M$4:$Z$1003,$E10,F$3)</f>
        <v>FFFFFFF</v>
      </c>
      <c r="G10">
        <f>INDEX(Book1!$M$4:$Z$1003,$E10,G$3)</f>
        <v>5</v>
      </c>
      <c r="H10">
        <f>INDEX(Book1!$M$4:$Z$1003,$E10,H$3)</f>
        <v>59</v>
      </c>
      <c r="I10">
        <f>INDEX(Book1!$M$4:$Z$1003,$E10,I$3)</f>
        <v>317</v>
      </c>
      <c r="J10">
        <f>INDEX(Book1!$M$4:$Z$1003,$E10,J$3)</f>
        <v>25</v>
      </c>
      <c r="K10">
        <f>INDEX(Book1!$M$4:$Z$1003,$E10,K$3)</f>
        <v>5</v>
      </c>
      <c r="L10">
        <f>INDEX(Book1!$M$4:$Z$1003,$E10,L$3)</f>
        <v>14</v>
      </c>
      <c r="M10">
        <f>INDEX(Book1!$M$4:$Z$1003,$E10,M$3)</f>
        <v>114</v>
      </c>
      <c r="N10">
        <f>INDEX(Book1!$M$4:$Z$1003,$E10,N$3)</f>
        <v>1014</v>
      </c>
      <c r="O10">
        <f>INDEX(Book1!$M$4:$Z$1003,$E10,O$3)</f>
        <v>10014</v>
      </c>
      <c r="P10">
        <f>INDEX(Book1!$M$4:$Z$1003,$E10,P$3)</f>
        <v>1126</v>
      </c>
      <c r="Q10">
        <f>INDEX(Book1!$M$4:$Z$1003,$E10,Q$3)</f>
        <v>326</v>
      </c>
      <c r="R10">
        <f>INDEX(Book1!$M$4:$Z$1003,$E10,R$3)</f>
        <v>0</v>
      </c>
      <c r="S10" t="str">
        <f>INDEX(Book1!$M$4:$Z$1003,$E10,S$3)</f>
        <v>FFFFFFE</v>
      </c>
    </row>
    <row r="11" spans="3:19" x14ac:dyDescent="0.25">
      <c r="C11">
        <v>6</v>
      </c>
      <c r="D11">
        <f>MATCH(C11,Book1!AD9:AD1008,0)</f>
        <v>405</v>
      </c>
      <c r="E11">
        <f t="shared" si="0"/>
        <v>410</v>
      </c>
      <c r="F11" t="str">
        <f>INDEX(Book1!$M$4:$Z$1003,$E11,F$3)</f>
        <v>FFFFFFF</v>
      </c>
      <c r="G11">
        <f>INDEX(Book1!$M$4:$Z$1003,$E11,G$3)</f>
        <v>6</v>
      </c>
      <c r="H11">
        <f>INDEX(Book1!$M$4:$Z$1003,$E11,H$3)</f>
        <v>71</v>
      </c>
      <c r="I11">
        <f>INDEX(Book1!$M$4:$Z$1003,$E11,I$3)</f>
        <v>318</v>
      </c>
      <c r="J11">
        <f>INDEX(Book1!$M$4:$Z$1003,$E11,J$3)</f>
        <v>25</v>
      </c>
      <c r="K11">
        <f>INDEX(Book1!$M$4:$Z$1003,$E11,K$3)</f>
        <v>5</v>
      </c>
      <c r="L11">
        <f>INDEX(Book1!$M$4:$Z$1003,$E11,L$3)</f>
        <v>15</v>
      </c>
      <c r="M11">
        <f>INDEX(Book1!$M$4:$Z$1003,$E11,M$3)</f>
        <v>115</v>
      </c>
      <c r="N11">
        <f>INDEX(Book1!$M$4:$Z$1003,$E11,N$3)</f>
        <v>1015</v>
      </c>
      <c r="O11">
        <f>INDEX(Book1!$M$4:$Z$1003,$E11,O$3)</f>
        <v>10015</v>
      </c>
      <c r="P11">
        <f>INDEX(Book1!$M$4:$Z$1003,$E11,P$3)</f>
        <v>1128</v>
      </c>
      <c r="Q11">
        <f>INDEX(Book1!$M$4:$Z$1003,$E11,Q$3)</f>
        <v>327</v>
      </c>
      <c r="R11">
        <f>INDEX(Book1!$M$4:$Z$1003,$E11,R$3)</f>
        <v>0</v>
      </c>
      <c r="S11" t="str">
        <f>INDEX(Book1!$M$4:$Z$1003,$E11,S$3)</f>
        <v>FFFFFFE</v>
      </c>
    </row>
    <row r="12" spans="3:19" x14ac:dyDescent="0.25">
      <c r="C12">
        <v>7</v>
      </c>
      <c r="D12">
        <f>MATCH(C12,Book1!AD10:AD1009,0)</f>
        <v>418</v>
      </c>
      <c r="E12">
        <f t="shared" si="0"/>
        <v>424</v>
      </c>
      <c r="F12" t="str">
        <f>INDEX(Book1!$M$4:$Z$1003,$E12,F$3)</f>
        <v>FFFFFFF</v>
      </c>
      <c r="G12">
        <f>INDEX(Book1!$M$4:$Z$1003,$E12,G$3)</f>
        <v>7</v>
      </c>
      <c r="H12">
        <f>INDEX(Book1!$M$4:$Z$1003,$E12,H$3)</f>
        <v>83</v>
      </c>
      <c r="I12">
        <f>INDEX(Book1!$M$4:$Z$1003,$E12,I$3)</f>
        <v>319</v>
      </c>
      <c r="J12">
        <f>INDEX(Book1!$M$4:$Z$1003,$E12,J$3)</f>
        <v>25</v>
      </c>
      <c r="K12">
        <f>INDEX(Book1!$M$4:$Z$1003,$E12,K$3)</f>
        <v>5</v>
      </c>
      <c r="L12">
        <f>INDEX(Book1!$M$4:$Z$1003,$E12,L$3)</f>
        <v>16</v>
      </c>
      <c r="M12">
        <f>INDEX(Book1!$M$4:$Z$1003,$E12,M$3)</f>
        <v>116</v>
      </c>
      <c r="N12">
        <f>INDEX(Book1!$M$4:$Z$1003,$E12,N$3)</f>
        <v>1016</v>
      </c>
      <c r="O12">
        <f>INDEX(Book1!$M$4:$Z$1003,$E12,O$3)</f>
        <v>10016</v>
      </c>
      <c r="P12">
        <f>INDEX(Book1!$M$4:$Z$1003,$E12,P$3)</f>
        <v>1130</v>
      </c>
      <c r="Q12">
        <f>INDEX(Book1!$M$4:$Z$1003,$E12,Q$3)</f>
        <v>328</v>
      </c>
      <c r="R12">
        <f>INDEX(Book1!$M$4:$Z$1003,$E12,R$3)</f>
        <v>0</v>
      </c>
      <c r="S12" t="str">
        <f>INDEX(Book1!$M$4:$Z$1003,$E12,S$3)</f>
        <v>FFFFFFE</v>
      </c>
    </row>
    <row r="13" spans="3:19" x14ac:dyDescent="0.25">
      <c r="C13">
        <v>8</v>
      </c>
      <c r="D13">
        <f>MATCH(C13,Book1!AD11:AD1010,0)</f>
        <v>431</v>
      </c>
      <c r="E13">
        <f t="shared" si="0"/>
        <v>438</v>
      </c>
      <c r="F13" t="str">
        <f>INDEX(Book1!$M$4:$Z$1003,$E13,F$3)</f>
        <v>FFFFFFF</v>
      </c>
      <c r="G13">
        <f>INDEX(Book1!$M$4:$Z$1003,$E13,G$3)</f>
        <v>8</v>
      </c>
      <c r="H13">
        <f>INDEX(Book1!$M$4:$Z$1003,$E13,H$3)</f>
        <v>95</v>
      </c>
      <c r="I13">
        <f>INDEX(Book1!$M$4:$Z$1003,$E13,I$3)</f>
        <v>320</v>
      </c>
      <c r="J13">
        <f>INDEX(Book1!$M$4:$Z$1003,$E13,J$3)</f>
        <v>25</v>
      </c>
      <c r="K13">
        <f>INDEX(Book1!$M$4:$Z$1003,$E13,K$3)</f>
        <v>5</v>
      </c>
      <c r="L13">
        <f>INDEX(Book1!$M$4:$Z$1003,$E13,L$3)</f>
        <v>17</v>
      </c>
      <c r="M13">
        <f>INDEX(Book1!$M$4:$Z$1003,$E13,M$3)</f>
        <v>117</v>
      </c>
      <c r="N13">
        <f>INDEX(Book1!$M$4:$Z$1003,$E13,N$3)</f>
        <v>1017</v>
      </c>
      <c r="O13">
        <f>INDEX(Book1!$M$4:$Z$1003,$E13,O$3)</f>
        <v>10017</v>
      </c>
      <c r="P13">
        <f>INDEX(Book1!$M$4:$Z$1003,$E13,P$3)</f>
        <v>1132</v>
      </c>
      <c r="Q13">
        <f>INDEX(Book1!$M$4:$Z$1003,$E13,Q$3)</f>
        <v>329</v>
      </c>
      <c r="R13">
        <f>INDEX(Book1!$M$4:$Z$1003,$E13,R$3)</f>
        <v>0</v>
      </c>
      <c r="S13" t="str">
        <f>INDEX(Book1!$M$4:$Z$1003,$E13,S$3)</f>
        <v>FFFFFFE</v>
      </c>
    </row>
    <row r="14" spans="3:19" x14ac:dyDescent="0.25">
      <c r="C14">
        <v>9</v>
      </c>
      <c r="D14">
        <f>MATCH(C14,Book1!AD12:AD1011,0)</f>
        <v>444</v>
      </c>
      <c r="E14">
        <f t="shared" si="0"/>
        <v>452</v>
      </c>
      <c r="F14" t="str">
        <f>INDEX(Book1!$M$4:$Z$1003,$E14,F$3)</f>
        <v>FFFFFFF</v>
      </c>
      <c r="G14">
        <f>INDEX(Book1!$M$4:$Z$1003,$E14,G$3)</f>
        <v>9</v>
      </c>
      <c r="H14">
        <f>INDEX(Book1!$M$4:$Z$1003,$E14,H$3)</f>
        <v>107</v>
      </c>
      <c r="I14">
        <f>INDEX(Book1!$M$4:$Z$1003,$E14,I$3)</f>
        <v>321</v>
      </c>
      <c r="J14">
        <f>INDEX(Book1!$M$4:$Z$1003,$E14,J$3)</f>
        <v>25</v>
      </c>
      <c r="K14">
        <f>INDEX(Book1!$M$4:$Z$1003,$E14,K$3)</f>
        <v>5</v>
      </c>
      <c r="L14">
        <f>INDEX(Book1!$M$4:$Z$1003,$E14,L$3)</f>
        <v>18</v>
      </c>
      <c r="M14">
        <f>INDEX(Book1!$M$4:$Z$1003,$E14,M$3)</f>
        <v>118</v>
      </c>
      <c r="N14">
        <f>INDEX(Book1!$M$4:$Z$1003,$E14,N$3)</f>
        <v>1018</v>
      </c>
      <c r="O14">
        <f>INDEX(Book1!$M$4:$Z$1003,$E14,O$3)</f>
        <v>10018</v>
      </c>
      <c r="P14">
        <f>INDEX(Book1!$M$4:$Z$1003,$E14,P$3)</f>
        <v>1134</v>
      </c>
      <c r="Q14">
        <f>INDEX(Book1!$M$4:$Z$1003,$E14,Q$3)</f>
        <v>330</v>
      </c>
      <c r="R14">
        <f>INDEX(Book1!$M$4:$Z$1003,$E14,R$3)</f>
        <v>0</v>
      </c>
      <c r="S14" t="str">
        <f>INDEX(Book1!$M$4:$Z$1003,$E14,S$3)</f>
        <v>FFFFFFE</v>
      </c>
    </row>
    <row r="15" spans="3:19" x14ac:dyDescent="0.25">
      <c r="C15">
        <v>10</v>
      </c>
      <c r="D15">
        <f>MATCH(C15,Book1!AD13:AD1012,0)</f>
        <v>457</v>
      </c>
      <c r="E15">
        <f t="shared" si="0"/>
        <v>466</v>
      </c>
      <c r="F15" t="str">
        <f>INDEX(Book1!$M$4:$Z$1003,$E15,F$3)</f>
        <v>FFFFFFF</v>
      </c>
      <c r="G15">
        <f>INDEX(Book1!$M$4:$Z$1003,$E15,G$3)</f>
        <v>10</v>
      </c>
      <c r="H15">
        <f>INDEX(Book1!$M$4:$Z$1003,$E15,H$3)</f>
        <v>119</v>
      </c>
      <c r="I15">
        <f>INDEX(Book1!$M$4:$Z$1003,$E15,I$3)</f>
        <v>322</v>
      </c>
      <c r="J15">
        <f>INDEX(Book1!$M$4:$Z$1003,$E15,J$3)</f>
        <v>25</v>
      </c>
      <c r="K15">
        <f>INDEX(Book1!$M$4:$Z$1003,$E15,K$3)</f>
        <v>5</v>
      </c>
      <c r="L15">
        <f>INDEX(Book1!$M$4:$Z$1003,$E15,L$3)</f>
        <v>19</v>
      </c>
      <c r="M15">
        <f>INDEX(Book1!$M$4:$Z$1003,$E15,M$3)</f>
        <v>119</v>
      </c>
      <c r="N15">
        <f>INDEX(Book1!$M$4:$Z$1003,$E15,N$3)</f>
        <v>1019</v>
      </c>
      <c r="O15">
        <f>INDEX(Book1!$M$4:$Z$1003,$E15,O$3)</f>
        <v>10019</v>
      </c>
      <c r="P15">
        <f>INDEX(Book1!$M$4:$Z$1003,$E15,P$3)</f>
        <v>1136</v>
      </c>
      <c r="Q15">
        <f>INDEX(Book1!$M$4:$Z$1003,$E15,Q$3)</f>
        <v>331</v>
      </c>
      <c r="R15">
        <f>INDEX(Book1!$M$4:$Z$1003,$E15,R$3)</f>
        <v>0</v>
      </c>
      <c r="S15" t="str">
        <f>INDEX(Book1!$M$4:$Z$1003,$E15,S$3)</f>
        <v>FFFFFFE</v>
      </c>
    </row>
    <row r="16" spans="3:19" x14ac:dyDescent="0.25">
      <c r="C16">
        <v>11</v>
      </c>
      <c r="D16">
        <f>MATCH(C16,Book1!AD14:AD1013,0)</f>
        <v>470</v>
      </c>
      <c r="E16">
        <f t="shared" si="0"/>
        <v>480</v>
      </c>
      <c r="F16" t="str">
        <f>INDEX(Book1!$M$4:$Z$1003,$E16,F$3)</f>
        <v>FFFFFFF</v>
      </c>
      <c r="G16">
        <f>INDEX(Book1!$M$4:$Z$1003,$E16,G$3)</f>
        <v>11</v>
      </c>
      <c r="H16">
        <f>INDEX(Book1!$M$4:$Z$1003,$E16,H$3)</f>
        <v>131</v>
      </c>
      <c r="I16">
        <f>INDEX(Book1!$M$4:$Z$1003,$E16,I$3)</f>
        <v>323</v>
      </c>
      <c r="J16">
        <f>INDEX(Book1!$M$4:$Z$1003,$E16,J$3)</f>
        <v>25</v>
      </c>
      <c r="K16">
        <f>INDEX(Book1!$M$4:$Z$1003,$E16,K$3)</f>
        <v>5</v>
      </c>
      <c r="L16">
        <f>INDEX(Book1!$M$4:$Z$1003,$E16,L$3)</f>
        <v>20</v>
      </c>
      <c r="M16">
        <f>INDEX(Book1!$M$4:$Z$1003,$E16,M$3)</f>
        <v>120</v>
      </c>
      <c r="N16">
        <f>INDEX(Book1!$M$4:$Z$1003,$E16,N$3)</f>
        <v>1020</v>
      </c>
      <c r="O16">
        <f>INDEX(Book1!$M$4:$Z$1003,$E16,O$3)</f>
        <v>10020</v>
      </c>
      <c r="P16">
        <f>INDEX(Book1!$M$4:$Z$1003,$E16,P$3)</f>
        <v>1138</v>
      </c>
      <c r="Q16">
        <f>INDEX(Book1!$M$4:$Z$1003,$E16,Q$3)</f>
        <v>332</v>
      </c>
      <c r="R16">
        <f>INDEX(Book1!$M$4:$Z$1003,$E16,R$3)</f>
        <v>0</v>
      </c>
      <c r="S16" t="str">
        <f>INDEX(Book1!$M$4:$Z$1003,$E16,S$3)</f>
        <v>FFFFFFE</v>
      </c>
    </row>
    <row r="17" spans="3:19" x14ac:dyDescent="0.25">
      <c r="C17">
        <v>12</v>
      </c>
      <c r="D17">
        <f>MATCH(C17,Book1!AD15:AD1014,0)</f>
        <v>483</v>
      </c>
      <c r="E17">
        <f t="shared" si="0"/>
        <v>494</v>
      </c>
      <c r="F17" t="str">
        <f>INDEX(Book1!$M$4:$Z$1003,$E17,F$3)</f>
        <v>FFFFFFF</v>
      </c>
      <c r="G17">
        <f>INDEX(Book1!$M$4:$Z$1003,$E17,G$3)</f>
        <v>12</v>
      </c>
      <c r="H17">
        <f>INDEX(Book1!$M$4:$Z$1003,$E17,H$3)</f>
        <v>143</v>
      </c>
      <c r="I17">
        <f>INDEX(Book1!$M$4:$Z$1003,$E17,I$3)</f>
        <v>324</v>
      </c>
      <c r="J17">
        <f>INDEX(Book1!$M$4:$Z$1003,$E17,J$3)</f>
        <v>25</v>
      </c>
      <c r="K17">
        <f>INDEX(Book1!$M$4:$Z$1003,$E17,K$3)</f>
        <v>5</v>
      </c>
      <c r="L17">
        <f>INDEX(Book1!$M$4:$Z$1003,$E17,L$3)</f>
        <v>21</v>
      </c>
      <c r="M17">
        <f>INDEX(Book1!$M$4:$Z$1003,$E17,M$3)</f>
        <v>121</v>
      </c>
      <c r="N17">
        <f>INDEX(Book1!$M$4:$Z$1003,$E17,N$3)</f>
        <v>1021</v>
      </c>
      <c r="O17">
        <f>INDEX(Book1!$M$4:$Z$1003,$E17,O$3)</f>
        <v>10021</v>
      </c>
      <c r="P17">
        <f>INDEX(Book1!$M$4:$Z$1003,$E17,P$3)</f>
        <v>1140</v>
      </c>
      <c r="Q17">
        <f>INDEX(Book1!$M$4:$Z$1003,$E17,Q$3)</f>
        <v>333</v>
      </c>
      <c r="R17">
        <f>INDEX(Book1!$M$4:$Z$1003,$E17,R$3)</f>
        <v>0</v>
      </c>
      <c r="S17" t="str">
        <f>INDEX(Book1!$M$4:$Z$1003,$E17,S$3)</f>
        <v>FFFFFFE</v>
      </c>
    </row>
    <row r="18" spans="3:19" x14ac:dyDescent="0.25">
      <c r="C18">
        <v>13</v>
      </c>
      <c r="D18">
        <f>MATCH(C18,Book1!AD16:AD1015,0)</f>
        <v>496</v>
      </c>
      <c r="E18">
        <f t="shared" si="0"/>
        <v>508</v>
      </c>
      <c r="F18" t="str">
        <f>INDEX(Book1!$M$4:$Z$1003,$E18,F$3)</f>
        <v>FFFFFFF</v>
      </c>
      <c r="G18">
        <f>INDEX(Book1!$M$4:$Z$1003,$E18,G$3)</f>
        <v>13</v>
      </c>
      <c r="H18">
        <f>INDEX(Book1!$M$4:$Z$1003,$E18,H$3)</f>
        <v>155</v>
      </c>
      <c r="I18">
        <f>INDEX(Book1!$M$4:$Z$1003,$E18,I$3)</f>
        <v>325</v>
      </c>
      <c r="J18">
        <f>INDEX(Book1!$M$4:$Z$1003,$E18,J$3)</f>
        <v>25</v>
      </c>
      <c r="K18">
        <f>INDEX(Book1!$M$4:$Z$1003,$E18,K$3)</f>
        <v>5</v>
      </c>
      <c r="L18">
        <f>INDEX(Book1!$M$4:$Z$1003,$E18,L$3)</f>
        <v>22</v>
      </c>
      <c r="M18">
        <f>INDEX(Book1!$M$4:$Z$1003,$E18,M$3)</f>
        <v>122</v>
      </c>
      <c r="N18">
        <f>INDEX(Book1!$M$4:$Z$1003,$E18,N$3)</f>
        <v>1022</v>
      </c>
      <c r="O18">
        <f>INDEX(Book1!$M$4:$Z$1003,$E18,O$3)</f>
        <v>10022</v>
      </c>
      <c r="P18">
        <f>INDEX(Book1!$M$4:$Z$1003,$E18,P$3)</f>
        <v>1142</v>
      </c>
      <c r="Q18">
        <f>INDEX(Book1!$M$4:$Z$1003,$E18,Q$3)</f>
        <v>334</v>
      </c>
      <c r="R18">
        <f>INDEX(Book1!$M$4:$Z$1003,$E18,R$3)</f>
        <v>0</v>
      </c>
      <c r="S18" t="str">
        <f>INDEX(Book1!$M$4:$Z$1003,$E18,S$3)</f>
        <v>FFFFFFE</v>
      </c>
    </row>
    <row r="19" spans="3:19" x14ac:dyDescent="0.25">
      <c r="C19">
        <v>14</v>
      </c>
      <c r="D19">
        <f>MATCH(C19,Book1!AD17:AD1016,0)</f>
        <v>509</v>
      </c>
      <c r="E19">
        <f t="shared" si="0"/>
        <v>522</v>
      </c>
      <c r="F19" t="str">
        <f>INDEX(Book1!$M$4:$Z$1003,$E19,F$3)</f>
        <v>FFFFFFF</v>
      </c>
      <c r="G19">
        <f>INDEX(Book1!$M$4:$Z$1003,$E19,G$3)</f>
        <v>14</v>
      </c>
      <c r="H19">
        <f>INDEX(Book1!$M$4:$Z$1003,$E19,H$3)</f>
        <v>167</v>
      </c>
      <c r="I19">
        <f>INDEX(Book1!$M$4:$Z$1003,$E19,I$3)</f>
        <v>326</v>
      </c>
      <c r="J19">
        <f>INDEX(Book1!$M$4:$Z$1003,$E19,J$3)</f>
        <v>25</v>
      </c>
      <c r="K19">
        <f>INDEX(Book1!$M$4:$Z$1003,$E19,K$3)</f>
        <v>5</v>
      </c>
      <c r="L19">
        <f>INDEX(Book1!$M$4:$Z$1003,$E19,L$3)</f>
        <v>23</v>
      </c>
      <c r="M19">
        <f>INDEX(Book1!$M$4:$Z$1003,$E19,M$3)</f>
        <v>123</v>
      </c>
      <c r="N19">
        <f>INDEX(Book1!$M$4:$Z$1003,$E19,N$3)</f>
        <v>1023</v>
      </c>
      <c r="O19">
        <f>INDEX(Book1!$M$4:$Z$1003,$E19,O$3)</f>
        <v>10023</v>
      </c>
      <c r="P19">
        <f>INDEX(Book1!$M$4:$Z$1003,$E19,P$3)</f>
        <v>1144</v>
      </c>
      <c r="Q19">
        <f>INDEX(Book1!$M$4:$Z$1003,$E19,Q$3)</f>
        <v>335</v>
      </c>
      <c r="R19">
        <f>INDEX(Book1!$M$4:$Z$1003,$E19,R$3)</f>
        <v>0</v>
      </c>
      <c r="S19" t="str">
        <f>INDEX(Book1!$M$4:$Z$1003,$E19,S$3)</f>
        <v>FFFFFFE</v>
      </c>
    </row>
    <row r="20" spans="3:19" x14ac:dyDescent="0.25">
      <c r="C20">
        <v>15</v>
      </c>
      <c r="D20">
        <f>MATCH(C20,Book1!AD18:AD1017,0)</f>
        <v>522</v>
      </c>
      <c r="E20">
        <f t="shared" si="0"/>
        <v>536</v>
      </c>
      <c r="F20" t="str">
        <f>INDEX(Book1!$M$4:$Z$1003,$E20,F$3)</f>
        <v>FFFFFFF</v>
      </c>
      <c r="G20">
        <f>INDEX(Book1!$M$4:$Z$1003,$E20,G$3)</f>
        <v>15</v>
      </c>
      <c r="H20">
        <f>INDEX(Book1!$M$4:$Z$1003,$E20,H$3)</f>
        <v>179</v>
      </c>
      <c r="I20">
        <f>INDEX(Book1!$M$4:$Z$1003,$E20,I$3)</f>
        <v>327</v>
      </c>
      <c r="J20">
        <f>INDEX(Book1!$M$4:$Z$1003,$E20,J$3)</f>
        <v>25</v>
      </c>
      <c r="K20">
        <f>INDEX(Book1!$M$4:$Z$1003,$E20,K$3)</f>
        <v>5</v>
      </c>
      <c r="L20">
        <f>INDEX(Book1!$M$4:$Z$1003,$E20,L$3)</f>
        <v>24</v>
      </c>
      <c r="M20">
        <f>INDEX(Book1!$M$4:$Z$1003,$E20,M$3)</f>
        <v>124</v>
      </c>
      <c r="N20">
        <f>INDEX(Book1!$M$4:$Z$1003,$E20,N$3)</f>
        <v>1024</v>
      </c>
      <c r="O20">
        <f>INDEX(Book1!$M$4:$Z$1003,$E20,O$3)</f>
        <v>10024</v>
      </c>
      <c r="P20">
        <f>INDEX(Book1!$M$4:$Z$1003,$E20,P$3)</f>
        <v>1146</v>
      </c>
      <c r="Q20">
        <f>INDEX(Book1!$M$4:$Z$1003,$E20,Q$3)</f>
        <v>336</v>
      </c>
      <c r="R20">
        <f>INDEX(Book1!$M$4:$Z$1003,$E20,R$3)</f>
        <v>0</v>
      </c>
      <c r="S20" t="str">
        <f>INDEX(Book1!$M$4:$Z$1003,$E20,S$3)</f>
        <v>FFFFFFE</v>
      </c>
    </row>
    <row r="21" spans="3:19" x14ac:dyDescent="0.25">
      <c r="C21">
        <v>16</v>
      </c>
      <c r="D21">
        <f>MATCH(C21,Book1!AD19:AD1018,0)</f>
        <v>535</v>
      </c>
      <c r="E21">
        <f t="shared" si="0"/>
        <v>550</v>
      </c>
      <c r="F21" t="str">
        <f>INDEX(Book1!$M$4:$Z$1003,$E21,F$3)</f>
        <v>FFFFFFF</v>
      </c>
      <c r="G21">
        <f>INDEX(Book1!$M$4:$Z$1003,$E21,G$3)</f>
        <v>16</v>
      </c>
      <c r="H21">
        <f>INDEX(Book1!$M$4:$Z$1003,$E21,H$3)</f>
        <v>191</v>
      </c>
      <c r="I21">
        <f>INDEX(Book1!$M$4:$Z$1003,$E21,I$3)</f>
        <v>328</v>
      </c>
      <c r="J21">
        <f>INDEX(Book1!$M$4:$Z$1003,$E21,J$3)</f>
        <v>25</v>
      </c>
      <c r="K21">
        <f>INDEX(Book1!$M$4:$Z$1003,$E21,K$3)</f>
        <v>5</v>
      </c>
      <c r="L21">
        <f>INDEX(Book1!$M$4:$Z$1003,$E21,L$3)</f>
        <v>25</v>
      </c>
      <c r="M21">
        <f>INDEX(Book1!$M$4:$Z$1003,$E21,M$3)</f>
        <v>125</v>
      </c>
      <c r="N21">
        <f>INDEX(Book1!$M$4:$Z$1003,$E21,N$3)</f>
        <v>1025</v>
      </c>
      <c r="O21">
        <f>INDEX(Book1!$M$4:$Z$1003,$E21,O$3)</f>
        <v>10025</v>
      </c>
      <c r="P21">
        <f>INDEX(Book1!$M$4:$Z$1003,$E21,P$3)</f>
        <v>1148</v>
      </c>
      <c r="Q21">
        <f>INDEX(Book1!$M$4:$Z$1003,$E21,Q$3)</f>
        <v>337</v>
      </c>
      <c r="R21">
        <f>INDEX(Book1!$M$4:$Z$1003,$E21,R$3)</f>
        <v>0</v>
      </c>
      <c r="S21" t="str">
        <f>INDEX(Book1!$M$4:$Z$1003,$E21,S$3)</f>
        <v>FFFFFFE</v>
      </c>
    </row>
    <row r="22" spans="3:19" x14ac:dyDescent="0.25">
      <c r="C22">
        <v>17</v>
      </c>
      <c r="D22">
        <f>MATCH(C22,Book1!AD20:AD1019,0)</f>
        <v>548</v>
      </c>
      <c r="E22">
        <f t="shared" si="0"/>
        <v>564</v>
      </c>
      <c r="F22" t="str">
        <f>INDEX(Book1!$M$4:$Z$1003,$E22,F$3)</f>
        <v>FFFFFFF</v>
      </c>
      <c r="G22">
        <f>INDEX(Book1!$M$4:$Z$1003,$E22,G$3)</f>
        <v>17</v>
      </c>
      <c r="H22">
        <f>INDEX(Book1!$M$4:$Z$1003,$E22,H$3)</f>
        <v>203</v>
      </c>
      <c r="I22">
        <f>INDEX(Book1!$M$4:$Z$1003,$E22,I$3)</f>
        <v>329</v>
      </c>
      <c r="J22">
        <f>INDEX(Book1!$M$4:$Z$1003,$E22,J$3)</f>
        <v>25</v>
      </c>
      <c r="K22">
        <f>INDEX(Book1!$M$4:$Z$1003,$E22,K$3)</f>
        <v>5</v>
      </c>
      <c r="L22">
        <f>INDEX(Book1!$M$4:$Z$1003,$E22,L$3)</f>
        <v>26</v>
      </c>
      <c r="M22">
        <f>INDEX(Book1!$M$4:$Z$1003,$E22,M$3)</f>
        <v>126</v>
      </c>
      <c r="N22">
        <f>INDEX(Book1!$M$4:$Z$1003,$E22,N$3)</f>
        <v>1026</v>
      </c>
      <c r="O22">
        <f>INDEX(Book1!$M$4:$Z$1003,$E22,O$3)</f>
        <v>10026</v>
      </c>
      <c r="P22">
        <f>INDEX(Book1!$M$4:$Z$1003,$E22,P$3)</f>
        <v>1150</v>
      </c>
      <c r="Q22">
        <f>INDEX(Book1!$M$4:$Z$1003,$E22,Q$3)</f>
        <v>338</v>
      </c>
      <c r="R22">
        <f>INDEX(Book1!$M$4:$Z$1003,$E22,R$3)</f>
        <v>0</v>
      </c>
      <c r="S22" t="str">
        <f>INDEX(Book1!$M$4:$Z$1003,$E22,S$3)</f>
        <v>FFFFFFE</v>
      </c>
    </row>
    <row r="23" spans="3:19" x14ac:dyDescent="0.25">
      <c r="C23">
        <v>18</v>
      </c>
      <c r="D23">
        <f>MATCH(C23,Book1!AD21:AD1020,0)</f>
        <v>561</v>
      </c>
      <c r="E23">
        <f t="shared" si="0"/>
        <v>578</v>
      </c>
      <c r="F23" t="str">
        <f>INDEX(Book1!$M$4:$Z$1003,$E23,F$3)</f>
        <v>FFFFFFF</v>
      </c>
      <c r="G23">
        <f>INDEX(Book1!$M$4:$Z$1003,$E23,G$3)</f>
        <v>18</v>
      </c>
      <c r="H23">
        <f>INDEX(Book1!$M$4:$Z$1003,$E23,H$3)</f>
        <v>215</v>
      </c>
      <c r="I23">
        <f>INDEX(Book1!$M$4:$Z$1003,$E23,I$3)</f>
        <v>330</v>
      </c>
      <c r="J23">
        <f>INDEX(Book1!$M$4:$Z$1003,$E23,J$3)</f>
        <v>25</v>
      </c>
      <c r="K23">
        <f>INDEX(Book1!$M$4:$Z$1003,$E23,K$3)</f>
        <v>5</v>
      </c>
      <c r="L23">
        <f>INDEX(Book1!$M$4:$Z$1003,$E23,L$3)</f>
        <v>27</v>
      </c>
      <c r="M23">
        <f>INDEX(Book1!$M$4:$Z$1003,$E23,M$3)</f>
        <v>127</v>
      </c>
      <c r="N23">
        <f>INDEX(Book1!$M$4:$Z$1003,$E23,N$3)</f>
        <v>1027</v>
      </c>
      <c r="O23">
        <f>INDEX(Book1!$M$4:$Z$1003,$E23,O$3)</f>
        <v>10027</v>
      </c>
      <c r="P23">
        <f>INDEX(Book1!$M$4:$Z$1003,$E23,P$3)</f>
        <v>1152</v>
      </c>
      <c r="Q23">
        <f>INDEX(Book1!$M$4:$Z$1003,$E23,Q$3)</f>
        <v>339</v>
      </c>
      <c r="R23">
        <f>INDEX(Book1!$M$4:$Z$1003,$E23,R$3)</f>
        <v>0</v>
      </c>
      <c r="S23" t="str">
        <f>INDEX(Book1!$M$4:$Z$1003,$E23,S$3)</f>
        <v>FFFFFFE</v>
      </c>
    </row>
    <row r="24" spans="3:19" x14ac:dyDescent="0.25">
      <c r="C24">
        <v>19</v>
      </c>
      <c r="D24">
        <f>MATCH(C24,Book1!AD22:AD1021,0)</f>
        <v>574</v>
      </c>
      <c r="E24">
        <f t="shared" si="0"/>
        <v>592</v>
      </c>
      <c r="F24" t="str">
        <f>INDEX(Book1!$M$4:$Z$1003,$E24,F$3)</f>
        <v>FFFFFFF</v>
      </c>
      <c r="G24">
        <f>INDEX(Book1!$M$4:$Z$1003,$E24,G$3)</f>
        <v>19</v>
      </c>
      <c r="H24">
        <f>INDEX(Book1!$M$4:$Z$1003,$E24,H$3)</f>
        <v>227</v>
      </c>
      <c r="I24">
        <f>INDEX(Book1!$M$4:$Z$1003,$E24,I$3)</f>
        <v>331</v>
      </c>
      <c r="J24">
        <f>INDEX(Book1!$M$4:$Z$1003,$E24,J$3)</f>
        <v>25</v>
      </c>
      <c r="K24">
        <f>INDEX(Book1!$M$4:$Z$1003,$E24,K$3)</f>
        <v>5</v>
      </c>
      <c r="L24">
        <f>INDEX(Book1!$M$4:$Z$1003,$E24,L$3)</f>
        <v>28</v>
      </c>
      <c r="M24">
        <f>INDEX(Book1!$M$4:$Z$1003,$E24,M$3)</f>
        <v>128</v>
      </c>
      <c r="N24">
        <f>INDEX(Book1!$M$4:$Z$1003,$E24,N$3)</f>
        <v>1028</v>
      </c>
      <c r="O24">
        <f>INDEX(Book1!$M$4:$Z$1003,$E24,O$3)</f>
        <v>10028</v>
      </c>
      <c r="P24">
        <f>INDEX(Book1!$M$4:$Z$1003,$E24,P$3)</f>
        <v>1154</v>
      </c>
      <c r="Q24">
        <f>INDEX(Book1!$M$4:$Z$1003,$E24,Q$3)</f>
        <v>340</v>
      </c>
      <c r="R24">
        <f>INDEX(Book1!$M$4:$Z$1003,$E24,R$3)</f>
        <v>0</v>
      </c>
      <c r="S24" t="str">
        <f>INDEX(Book1!$M$4:$Z$1003,$E24,S$3)</f>
        <v>FFFFFFE</v>
      </c>
    </row>
    <row r="25" spans="3:19" x14ac:dyDescent="0.25">
      <c r="C25">
        <v>20</v>
      </c>
      <c r="D25">
        <f>MATCH(C25,Book1!AD23:AD1022,0)</f>
        <v>587</v>
      </c>
      <c r="E25">
        <f t="shared" si="0"/>
        <v>606</v>
      </c>
      <c r="F25" t="str">
        <f>INDEX(Book1!$M$4:$Z$1003,$E25,F$3)</f>
        <v>FFFFFFF</v>
      </c>
      <c r="G25">
        <f>INDEX(Book1!$M$4:$Z$1003,$E25,G$3)</f>
        <v>20</v>
      </c>
      <c r="H25">
        <f>INDEX(Book1!$M$4:$Z$1003,$E25,H$3)</f>
        <v>239</v>
      </c>
      <c r="I25">
        <f>INDEX(Book1!$M$4:$Z$1003,$E25,I$3)</f>
        <v>332</v>
      </c>
      <c r="J25">
        <f>INDEX(Book1!$M$4:$Z$1003,$E25,J$3)</f>
        <v>25</v>
      </c>
      <c r="K25">
        <f>INDEX(Book1!$M$4:$Z$1003,$E25,K$3)</f>
        <v>5</v>
      </c>
      <c r="L25">
        <f>INDEX(Book1!$M$4:$Z$1003,$E25,L$3)</f>
        <v>29</v>
      </c>
      <c r="M25">
        <f>INDEX(Book1!$M$4:$Z$1003,$E25,M$3)</f>
        <v>129</v>
      </c>
      <c r="N25">
        <f>INDEX(Book1!$M$4:$Z$1003,$E25,N$3)</f>
        <v>1029</v>
      </c>
      <c r="O25">
        <f>INDEX(Book1!$M$4:$Z$1003,$E25,O$3)</f>
        <v>10029</v>
      </c>
      <c r="P25">
        <f>INDEX(Book1!$M$4:$Z$1003,$E25,P$3)</f>
        <v>1156</v>
      </c>
      <c r="Q25">
        <f>INDEX(Book1!$M$4:$Z$1003,$E25,Q$3)</f>
        <v>341</v>
      </c>
      <c r="R25">
        <f>INDEX(Book1!$M$4:$Z$1003,$E25,R$3)</f>
        <v>0</v>
      </c>
      <c r="S25" t="str">
        <f>INDEX(Book1!$M$4:$Z$1003,$E25,S$3)</f>
        <v>FFFFFFE</v>
      </c>
    </row>
    <row r="26" spans="3:19" x14ac:dyDescent="0.25">
      <c r="C26">
        <v>21</v>
      </c>
      <c r="D26">
        <f>MATCH(C26,Book1!AD24:AD1023,0)</f>
        <v>600</v>
      </c>
      <c r="E26">
        <f t="shared" si="0"/>
        <v>620</v>
      </c>
      <c r="F26" t="str">
        <f>INDEX(Book1!$M$4:$Z$1003,$E26,F$3)</f>
        <v>FFFFFFF</v>
      </c>
      <c r="G26">
        <f>INDEX(Book1!$M$4:$Z$1003,$E26,G$3)</f>
        <v>21</v>
      </c>
      <c r="H26">
        <f>INDEX(Book1!$M$4:$Z$1003,$E26,H$3)</f>
        <v>251</v>
      </c>
      <c r="I26">
        <f>INDEX(Book1!$M$4:$Z$1003,$E26,I$3)</f>
        <v>333</v>
      </c>
      <c r="J26">
        <f>INDEX(Book1!$M$4:$Z$1003,$E26,J$3)</f>
        <v>25</v>
      </c>
      <c r="K26">
        <f>INDEX(Book1!$M$4:$Z$1003,$E26,K$3)</f>
        <v>5</v>
      </c>
      <c r="L26">
        <f>INDEX(Book1!$M$4:$Z$1003,$E26,L$3)</f>
        <v>30</v>
      </c>
      <c r="M26">
        <f>INDEX(Book1!$M$4:$Z$1003,$E26,M$3)</f>
        <v>130</v>
      </c>
      <c r="N26">
        <f>INDEX(Book1!$M$4:$Z$1003,$E26,N$3)</f>
        <v>1030</v>
      </c>
      <c r="O26">
        <f>INDEX(Book1!$M$4:$Z$1003,$E26,O$3)</f>
        <v>10030</v>
      </c>
      <c r="P26">
        <f>INDEX(Book1!$M$4:$Z$1003,$E26,P$3)</f>
        <v>1158</v>
      </c>
      <c r="Q26">
        <f>INDEX(Book1!$M$4:$Z$1003,$E26,Q$3)</f>
        <v>342</v>
      </c>
      <c r="R26">
        <f>INDEX(Book1!$M$4:$Z$1003,$E26,R$3)</f>
        <v>0</v>
      </c>
      <c r="S26" t="str">
        <f>INDEX(Book1!$M$4:$Z$1003,$E26,S$3)</f>
        <v>FFFFFFE</v>
      </c>
    </row>
    <row r="27" spans="3:19" x14ac:dyDescent="0.25">
      <c r="C27">
        <v>22</v>
      </c>
      <c r="D27">
        <f>MATCH(C27,Book1!AD25:AD1024,0)</f>
        <v>613</v>
      </c>
      <c r="E27">
        <f t="shared" si="0"/>
        <v>634</v>
      </c>
      <c r="F27" t="str">
        <f>INDEX(Book1!$M$4:$Z$1003,$E27,F$3)</f>
        <v>FFFFFFF</v>
      </c>
      <c r="G27">
        <f>INDEX(Book1!$M$4:$Z$1003,$E27,G$3)</f>
        <v>22</v>
      </c>
      <c r="H27">
        <f>INDEX(Book1!$M$4:$Z$1003,$E27,H$3)</f>
        <v>263</v>
      </c>
      <c r="I27">
        <f>INDEX(Book1!$M$4:$Z$1003,$E27,I$3)</f>
        <v>334</v>
      </c>
      <c r="J27">
        <f>INDEX(Book1!$M$4:$Z$1003,$E27,J$3)</f>
        <v>25</v>
      </c>
      <c r="K27">
        <f>INDEX(Book1!$M$4:$Z$1003,$E27,K$3)</f>
        <v>5</v>
      </c>
      <c r="L27">
        <f>INDEX(Book1!$M$4:$Z$1003,$E27,L$3)</f>
        <v>31</v>
      </c>
      <c r="M27">
        <f>INDEX(Book1!$M$4:$Z$1003,$E27,M$3)</f>
        <v>131</v>
      </c>
      <c r="N27">
        <f>INDEX(Book1!$M$4:$Z$1003,$E27,N$3)</f>
        <v>1031</v>
      </c>
      <c r="O27">
        <f>INDEX(Book1!$M$4:$Z$1003,$E27,O$3)</f>
        <v>10031</v>
      </c>
      <c r="P27">
        <f>INDEX(Book1!$M$4:$Z$1003,$E27,P$3)</f>
        <v>1160</v>
      </c>
      <c r="Q27">
        <f>INDEX(Book1!$M$4:$Z$1003,$E27,Q$3)</f>
        <v>343</v>
      </c>
      <c r="R27">
        <f>INDEX(Book1!$M$4:$Z$1003,$E27,R$3)</f>
        <v>0</v>
      </c>
      <c r="S27" t="str">
        <f>INDEX(Book1!$M$4:$Z$1003,$E27,S$3)</f>
        <v>FFFFFFE</v>
      </c>
    </row>
    <row r="28" spans="3:19" x14ac:dyDescent="0.25">
      <c r="C28">
        <v>23</v>
      </c>
      <c r="D28">
        <f>MATCH(C28,Book1!AD26:AD1025,0)</f>
        <v>626</v>
      </c>
      <c r="E28">
        <f t="shared" si="0"/>
        <v>648</v>
      </c>
      <c r="F28" t="str">
        <f>INDEX(Book1!$M$4:$Z$1003,$E28,F$3)</f>
        <v>FFFFFFF</v>
      </c>
      <c r="G28">
        <f>INDEX(Book1!$M$4:$Z$1003,$E28,G$3)</f>
        <v>23</v>
      </c>
      <c r="H28">
        <f>INDEX(Book1!$M$4:$Z$1003,$E28,H$3)</f>
        <v>275</v>
      </c>
      <c r="I28">
        <f>INDEX(Book1!$M$4:$Z$1003,$E28,I$3)</f>
        <v>335</v>
      </c>
      <c r="J28">
        <f>INDEX(Book1!$M$4:$Z$1003,$E28,J$3)</f>
        <v>25</v>
      </c>
      <c r="K28">
        <f>INDEX(Book1!$M$4:$Z$1003,$E28,K$3)</f>
        <v>5</v>
      </c>
      <c r="L28">
        <f>INDEX(Book1!$M$4:$Z$1003,$E28,L$3)</f>
        <v>32</v>
      </c>
      <c r="M28">
        <f>INDEX(Book1!$M$4:$Z$1003,$E28,M$3)</f>
        <v>132</v>
      </c>
      <c r="N28">
        <f>INDEX(Book1!$M$4:$Z$1003,$E28,N$3)</f>
        <v>1032</v>
      </c>
      <c r="O28">
        <f>INDEX(Book1!$M$4:$Z$1003,$E28,O$3)</f>
        <v>10032</v>
      </c>
      <c r="P28">
        <f>INDEX(Book1!$M$4:$Z$1003,$E28,P$3)</f>
        <v>1162</v>
      </c>
      <c r="Q28">
        <f>INDEX(Book1!$M$4:$Z$1003,$E28,Q$3)</f>
        <v>344</v>
      </c>
      <c r="R28">
        <f>INDEX(Book1!$M$4:$Z$1003,$E28,R$3)</f>
        <v>0</v>
      </c>
      <c r="S28" t="str">
        <f>INDEX(Book1!$M$4:$Z$1003,$E28,S$3)</f>
        <v>FFFFFFE</v>
      </c>
    </row>
    <row r="29" spans="3:19" x14ac:dyDescent="0.25">
      <c r="C29">
        <v>24</v>
      </c>
      <c r="D29">
        <f>MATCH(C29,Book1!AD27:AD1026,0)</f>
        <v>639</v>
      </c>
      <c r="E29">
        <f t="shared" si="0"/>
        <v>662</v>
      </c>
      <c r="F29" t="str">
        <f>INDEX(Book1!$M$4:$Z$1003,$E29,F$3)</f>
        <v>FFFFFFF</v>
      </c>
      <c r="G29">
        <f>INDEX(Book1!$M$4:$Z$1003,$E29,G$3)</f>
        <v>24</v>
      </c>
      <c r="H29">
        <f>INDEX(Book1!$M$4:$Z$1003,$E29,H$3)</f>
        <v>287</v>
      </c>
      <c r="I29">
        <f>INDEX(Book1!$M$4:$Z$1003,$E29,I$3)</f>
        <v>336</v>
      </c>
      <c r="J29">
        <f>INDEX(Book1!$M$4:$Z$1003,$E29,J$3)</f>
        <v>25</v>
      </c>
      <c r="K29">
        <f>INDEX(Book1!$M$4:$Z$1003,$E29,K$3)</f>
        <v>5</v>
      </c>
      <c r="L29">
        <f>INDEX(Book1!$M$4:$Z$1003,$E29,L$3)</f>
        <v>33</v>
      </c>
      <c r="M29">
        <f>INDEX(Book1!$M$4:$Z$1003,$E29,M$3)</f>
        <v>133</v>
      </c>
      <c r="N29">
        <f>INDEX(Book1!$M$4:$Z$1003,$E29,N$3)</f>
        <v>1033</v>
      </c>
      <c r="O29">
        <f>INDEX(Book1!$M$4:$Z$1003,$E29,O$3)</f>
        <v>10033</v>
      </c>
      <c r="P29">
        <f>INDEX(Book1!$M$4:$Z$1003,$E29,P$3)</f>
        <v>1164</v>
      </c>
      <c r="Q29">
        <f>INDEX(Book1!$M$4:$Z$1003,$E29,Q$3)</f>
        <v>345</v>
      </c>
      <c r="R29">
        <f>INDEX(Book1!$M$4:$Z$1003,$E29,R$3)</f>
        <v>0</v>
      </c>
      <c r="S29" t="str">
        <f>INDEX(Book1!$M$4:$Z$1003,$E29,S$3)</f>
        <v>FFFFFFE</v>
      </c>
    </row>
    <row r="30" spans="3:19" x14ac:dyDescent="0.25">
      <c r="C30">
        <v>25</v>
      </c>
      <c r="D30">
        <f>MATCH(C30,Book1!AD28:AD1027,0)</f>
        <v>652</v>
      </c>
      <c r="E30">
        <f t="shared" si="0"/>
        <v>676</v>
      </c>
      <c r="F30" t="str">
        <f>INDEX(Book1!$M$4:$Z$1003,$E30,F$3)</f>
        <v>FFFFFFF</v>
      </c>
      <c r="G30">
        <f>INDEX(Book1!$M$4:$Z$1003,$E30,G$3)</f>
        <v>25</v>
      </c>
      <c r="H30">
        <f>INDEX(Book1!$M$4:$Z$1003,$E30,H$3)</f>
        <v>299</v>
      </c>
      <c r="I30">
        <f>INDEX(Book1!$M$4:$Z$1003,$E30,I$3)</f>
        <v>337</v>
      </c>
      <c r="J30">
        <f>INDEX(Book1!$M$4:$Z$1003,$E30,J$3)</f>
        <v>25</v>
      </c>
      <c r="K30">
        <f>INDEX(Book1!$M$4:$Z$1003,$E30,K$3)</f>
        <v>5</v>
      </c>
      <c r="L30">
        <f>INDEX(Book1!$M$4:$Z$1003,$E30,L$3)</f>
        <v>34</v>
      </c>
      <c r="M30">
        <f>INDEX(Book1!$M$4:$Z$1003,$E30,M$3)</f>
        <v>134</v>
      </c>
      <c r="N30">
        <f>INDEX(Book1!$M$4:$Z$1003,$E30,N$3)</f>
        <v>1034</v>
      </c>
      <c r="O30">
        <f>INDEX(Book1!$M$4:$Z$1003,$E30,O$3)</f>
        <v>10034</v>
      </c>
      <c r="P30">
        <f>INDEX(Book1!$M$4:$Z$1003,$E30,P$3)</f>
        <v>1166</v>
      </c>
      <c r="Q30">
        <f>INDEX(Book1!$M$4:$Z$1003,$E30,Q$3)</f>
        <v>346</v>
      </c>
      <c r="R30">
        <f>INDEX(Book1!$M$4:$Z$1003,$E30,R$3)</f>
        <v>0</v>
      </c>
      <c r="S30" t="str">
        <f>INDEX(Book1!$M$4:$Z$1003,$E30,S$3)</f>
        <v>FFFFFFE</v>
      </c>
    </row>
    <row r="31" spans="3:19" x14ac:dyDescent="0.25">
      <c r="C31">
        <v>26</v>
      </c>
      <c r="D31">
        <f>MATCH(C31,Book1!AD29:AD1028,0)</f>
        <v>665</v>
      </c>
      <c r="E31">
        <f t="shared" si="0"/>
        <v>690</v>
      </c>
      <c r="F31" t="str">
        <f>INDEX(Book1!$M$4:$Z$1003,$E31,F$3)</f>
        <v>FFFFFFF</v>
      </c>
      <c r="G31">
        <f>INDEX(Book1!$M$4:$Z$1003,$E31,G$3)</f>
        <v>26</v>
      </c>
      <c r="H31">
        <f>INDEX(Book1!$M$4:$Z$1003,$E31,H$3)</f>
        <v>311</v>
      </c>
      <c r="I31">
        <f>INDEX(Book1!$M$4:$Z$1003,$E31,I$3)</f>
        <v>338</v>
      </c>
      <c r="J31">
        <f>INDEX(Book1!$M$4:$Z$1003,$E31,J$3)</f>
        <v>25</v>
      </c>
      <c r="K31">
        <f>INDEX(Book1!$M$4:$Z$1003,$E31,K$3)</f>
        <v>5</v>
      </c>
      <c r="L31">
        <f>INDEX(Book1!$M$4:$Z$1003,$E31,L$3)</f>
        <v>35</v>
      </c>
      <c r="M31">
        <f>INDEX(Book1!$M$4:$Z$1003,$E31,M$3)</f>
        <v>135</v>
      </c>
      <c r="N31">
        <f>INDEX(Book1!$M$4:$Z$1003,$E31,N$3)</f>
        <v>1035</v>
      </c>
      <c r="O31">
        <f>INDEX(Book1!$M$4:$Z$1003,$E31,O$3)</f>
        <v>10035</v>
      </c>
      <c r="P31">
        <f>INDEX(Book1!$M$4:$Z$1003,$E31,P$3)</f>
        <v>1168</v>
      </c>
      <c r="Q31">
        <f>INDEX(Book1!$M$4:$Z$1003,$E31,Q$3)</f>
        <v>347</v>
      </c>
      <c r="R31">
        <f>INDEX(Book1!$M$4:$Z$1003,$E31,R$3)</f>
        <v>0</v>
      </c>
      <c r="S31" t="str">
        <f>INDEX(Book1!$M$4:$Z$1003,$E31,S$3)</f>
        <v>FFFFFFE</v>
      </c>
    </row>
    <row r="32" spans="3:19" x14ac:dyDescent="0.25">
      <c r="C32">
        <v>27</v>
      </c>
      <c r="D32">
        <f>MATCH(C32,Book1!AD30:AD1029,0)</f>
        <v>678</v>
      </c>
      <c r="E32">
        <f t="shared" si="0"/>
        <v>704</v>
      </c>
      <c r="F32" t="str">
        <f>INDEX(Book1!$M$4:$Z$1003,$E32,F$3)</f>
        <v>FFFFFFF</v>
      </c>
      <c r="G32">
        <f>INDEX(Book1!$M$4:$Z$1003,$E32,G$3)</f>
        <v>27</v>
      </c>
      <c r="H32">
        <f>INDEX(Book1!$M$4:$Z$1003,$E32,H$3)</f>
        <v>11</v>
      </c>
      <c r="I32">
        <f>INDEX(Book1!$M$4:$Z$1003,$E32,I$3)</f>
        <v>97</v>
      </c>
      <c r="J32">
        <f>INDEX(Book1!$M$4:$Z$1003,$E32,J$3)</f>
        <v>6</v>
      </c>
      <c r="K32">
        <f>INDEX(Book1!$M$4:$Z$1003,$E32,K$3)</f>
        <v>8</v>
      </c>
      <c r="L32">
        <f>INDEX(Book1!$M$4:$Z$1003,$E32,L$3)</f>
        <v>39</v>
      </c>
      <c r="M32">
        <f>INDEX(Book1!$M$4:$Z$1003,$E32,M$3)</f>
        <v>139</v>
      </c>
      <c r="N32">
        <f>INDEX(Book1!$M$4:$Z$1003,$E32,N$3)</f>
        <v>1039</v>
      </c>
      <c r="O32">
        <f>INDEX(Book1!$M$4:$Z$1003,$E32,O$3)</f>
        <v>10039</v>
      </c>
      <c r="P32">
        <f>INDEX(Book1!$M$4:$Z$1003,$E32,P$3)</f>
        <v>1178</v>
      </c>
      <c r="Q32">
        <f>INDEX(Book1!$M$4:$Z$1003,$E32,Q$3)</f>
        <v>454</v>
      </c>
      <c r="R32">
        <f>INDEX(Book1!$M$4:$Z$1003,$E32,R$3)</f>
        <v>0</v>
      </c>
      <c r="S32" t="str">
        <f>INDEX(Book1!$M$4:$Z$1003,$E32,S$3)</f>
        <v>FFFFFFE</v>
      </c>
    </row>
    <row r="33" spans="3:19" x14ac:dyDescent="0.25">
      <c r="C33">
        <v>28</v>
      </c>
      <c r="D33">
        <f>MATCH(C33,Book1!AD31:AD1030,0)</f>
        <v>691</v>
      </c>
      <c r="E33">
        <f t="shared" si="0"/>
        <v>718</v>
      </c>
      <c r="F33" t="str">
        <f>INDEX(Book1!$M$4:$Z$1003,$E33,F$3)</f>
        <v>FFFFFFF</v>
      </c>
      <c r="G33">
        <f>INDEX(Book1!$M$4:$Z$1003,$E33,G$3)</f>
        <v>28</v>
      </c>
      <c r="H33">
        <f>INDEX(Book1!$M$4:$Z$1003,$E33,H$3)</f>
        <v>23</v>
      </c>
      <c r="I33">
        <f>INDEX(Book1!$M$4:$Z$1003,$E33,I$3)</f>
        <v>98</v>
      </c>
      <c r="J33">
        <f>INDEX(Book1!$M$4:$Z$1003,$E33,J$3)</f>
        <v>6</v>
      </c>
      <c r="K33">
        <f>INDEX(Book1!$M$4:$Z$1003,$E33,K$3)</f>
        <v>8</v>
      </c>
      <c r="L33">
        <f>INDEX(Book1!$M$4:$Z$1003,$E33,L$3)</f>
        <v>40</v>
      </c>
      <c r="M33">
        <f>INDEX(Book1!$M$4:$Z$1003,$E33,M$3)</f>
        <v>140</v>
      </c>
      <c r="N33">
        <f>INDEX(Book1!$M$4:$Z$1003,$E33,N$3)</f>
        <v>1040</v>
      </c>
      <c r="O33">
        <f>INDEX(Book1!$M$4:$Z$1003,$E33,O$3)</f>
        <v>10040</v>
      </c>
      <c r="P33">
        <f>INDEX(Book1!$M$4:$Z$1003,$E33,P$3)</f>
        <v>1178</v>
      </c>
      <c r="Q33">
        <f>INDEX(Book1!$M$4:$Z$1003,$E33,Q$3)</f>
        <v>455</v>
      </c>
      <c r="R33">
        <f>INDEX(Book1!$M$4:$Z$1003,$E33,R$3)</f>
        <v>0</v>
      </c>
      <c r="S33" t="str">
        <f>INDEX(Book1!$M$4:$Z$1003,$E33,S$3)</f>
        <v>FFFFFFE</v>
      </c>
    </row>
    <row r="34" spans="3:19" x14ac:dyDescent="0.25">
      <c r="C34">
        <v>29</v>
      </c>
      <c r="D34">
        <f>MATCH(C34,Book1!AD32:AD1031,0)</f>
        <v>704</v>
      </c>
      <c r="E34">
        <f t="shared" si="0"/>
        <v>732</v>
      </c>
      <c r="F34" t="str">
        <f>INDEX(Book1!$M$4:$Z$1003,$E34,F$3)</f>
        <v>FFFFFFF</v>
      </c>
      <c r="G34">
        <f>INDEX(Book1!$M$4:$Z$1003,$E34,G$3)</f>
        <v>29</v>
      </c>
      <c r="H34">
        <f>INDEX(Book1!$M$4:$Z$1003,$E34,H$3)</f>
        <v>35</v>
      </c>
      <c r="I34">
        <f>INDEX(Book1!$M$4:$Z$1003,$E34,I$3)</f>
        <v>99</v>
      </c>
      <c r="J34">
        <f>INDEX(Book1!$M$4:$Z$1003,$E34,J$3)</f>
        <v>6</v>
      </c>
      <c r="K34">
        <f>INDEX(Book1!$M$4:$Z$1003,$E34,K$3)</f>
        <v>8</v>
      </c>
      <c r="L34">
        <f>INDEX(Book1!$M$4:$Z$1003,$E34,L$3)</f>
        <v>41</v>
      </c>
      <c r="M34">
        <f>INDEX(Book1!$M$4:$Z$1003,$E34,M$3)</f>
        <v>141</v>
      </c>
      <c r="N34">
        <f>INDEX(Book1!$M$4:$Z$1003,$E34,N$3)</f>
        <v>1041</v>
      </c>
      <c r="O34">
        <f>INDEX(Book1!$M$4:$Z$1003,$E34,O$3)</f>
        <v>10041</v>
      </c>
      <c r="P34">
        <f>INDEX(Book1!$M$4:$Z$1003,$E34,P$3)</f>
        <v>1180</v>
      </c>
      <c r="Q34">
        <f>INDEX(Book1!$M$4:$Z$1003,$E34,Q$3)</f>
        <v>456</v>
      </c>
      <c r="R34">
        <f>INDEX(Book1!$M$4:$Z$1003,$E34,R$3)</f>
        <v>0</v>
      </c>
      <c r="S34" t="str">
        <f>INDEX(Book1!$M$4:$Z$1003,$E34,S$3)</f>
        <v>FFFFFFE</v>
      </c>
    </row>
    <row r="35" spans="3:19" x14ac:dyDescent="0.25">
      <c r="C35">
        <v>30</v>
      </c>
      <c r="D35">
        <f>MATCH(C35,Book1!AD33:AD1032,0)</f>
        <v>717</v>
      </c>
      <c r="E35">
        <f t="shared" si="0"/>
        <v>746</v>
      </c>
      <c r="F35" t="str">
        <f>INDEX(Book1!$M$4:$Z$1003,$E35,F$3)</f>
        <v>FFFFFFF</v>
      </c>
      <c r="G35">
        <f>INDEX(Book1!$M$4:$Z$1003,$E35,G$3)</f>
        <v>30</v>
      </c>
      <c r="H35">
        <f>INDEX(Book1!$M$4:$Z$1003,$E35,H$3)</f>
        <v>47</v>
      </c>
      <c r="I35">
        <f>INDEX(Book1!$M$4:$Z$1003,$E35,I$3)</f>
        <v>100</v>
      </c>
      <c r="J35">
        <f>INDEX(Book1!$M$4:$Z$1003,$E35,J$3)</f>
        <v>6</v>
      </c>
      <c r="K35">
        <f>INDEX(Book1!$M$4:$Z$1003,$E35,K$3)</f>
        <v>8</v>
      </c>
      <c r="L35">
        <f>INDEX(Book1!$M$4:$Z$1003,$E35,L$3)</f>
        <v>42</v>
      </c>
      <c r="M35">
        <f>INDEX(Book1!$M$4:$Z$1003,$E35,M$3)</f>
        <v>142</v>
      </c>
      <c r="N35">
        <f>INDEX(Book1!$M$4:$Z$1003,$E35,N$3)</f>
        <v>1042</v>
      </c>
      <c r="O35">
        <f>INDEX(Book1!$M$4:$Z$1003,$E35,O$3)</f>
        <v>10042</v>
      </c>
      <c r="P35">
        <f>INDEX(Book1!$M$4:$Z$1003,$E35,P$3)</f>
        <v>1182</v>
      </c>
      <c r="Q35">
        <f>INDEX(Book1!$M$4:$Z$1003,$E35,Q$3)</f>
        <v>457</v>
      </c>
      <c r="R35">
        <f>INDEX(Book1!$M$4:$Z$1003,$E35,R$3)</f>
        <v>0</v>
      </c>
      <c r="S35" t="str">
        <f>INDEX(Book1!$M$4:$Z$1003,$E35,S$3)</f>
        <v>FFFFFFE</v>
      </c>
    </row>
    <row r="36" spans="3:19" x14ac:dyDescent="0.25">
      <c r="C36">
        <v>31</v>
      </c>
      <c r="D36">
        <f>MATCH(C36,Book1!AD34:AD1033,0)</f>
        <v>730</v>
      </c>
      <c r="E36">
        <f t="shared" si="0"/>
        <v>760</v>
      </c>
      <c r="F36" t="str">
        <f>INDEX(Book1!$M$4:$Z$1003,$E36,F$3)</f>
        <v>FFFFFFF</v>
      </c>
      <c r="G36">
        <f>INDEX(Book1!$M$4:$Z$1003,$E36,G$3)</f>
        <v>31</v>
      </c>
      <c r="H36">
        <f>INDEX(Book1!$M$4:$Z$1003,$E36,H$3)</f>
        <v>59</v>
      </c>
      <c r="I36">
        <f>INDEX(Book1!$M$4:$Z$1003,$E36,I$3)</f>
        <v>101</v>
      </c>
      <c r="J36">
        <f>INDEX(Book1!$M$4:$Z$1003,$E36,J$3)</f>
        <v>6</v>
      </c>
      <c r="K36">
        <f>INDEX(Book1!$M$4:$Z$1003,$E36,K$3)</f>
        <v>8</v>
      </c>
      <c r="L36">
        <f>INDEX(Book1!$M$4:$Z$1003,$E36,L$3)</f>
        <v>43</v>
      </c>
      <c r="M36">
        <f>INDEX(Book1!$M$4:$Z$1003,$E36,M$3)</f>
        <v>143</v>
      </c>
      <c r="N36">
        <f>INDEX(Book1!$M$4:$Z$1003,$E36,N$3)</f>
        <v>1043</v>
      </c>
      <c r="O36">
        <f>INDEX(Book1!$M$4:$Z$1003,$E36,O$3)</f>
        <v>10043</v>
      </c>
      <c r="P36">
        <f>INDEX(Book1!$M$4:$Z$1003,$E36,P$3)</f>
        <v>1184</v>
      </c>
      <c r="Q36">
        <f>INDEX(Book1!$M$4:$Z$1003,$E36,Q$3)</f>
        <v>458</v>
      </c>
      <c r="R36">
        <f>INDEX(Book1!$M$4:$Z$1003,$E36,R$3)</f>
        <v>0</v>
      </c>
      <c r="S36" t="str">
        <f>INDEX(Book1!$M$4:$Z$1003,$E36,S$3)</f>
        <v>FFFFFFE</v>
      </c>
    </row>
  </sheetData>
  <conditionalFormatting sqref="F5:O5">
    <cfRule type="cellIs" dxfId="134" priority="4" operator="greaterThan">
      <formula>0</formula>
    </cfRule>
  </conditionalFormatting>
  <conditionalFormatting sqref="F5:G5">
    <cfRule type="cellIs" dxfId="133" priority="3" operator="greaterThan">
      <formula>0</formula>
    </cfRule>
  </conditionalFormatting>
  <conditionalFormatting sqref="F5:O5">
    <cfRule type="cellIs" dxfId="132" priority="2" operator="greaterThan">
      <formula>0</formula>
    </cfRule>
  </conditionalFormatting>
  <conditionalFormatting sqref="P5:S5">
    <cfRule type="cellIs" dxfId="131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A1003"/>
  <sheetViews>
    <sheetView tabSelected="1" zoomScale="70" zoomScaleNormal="70" workbookViewId="0">
      <pane ySplit="3" topLeftCell="A4" activePane="bottomLeft" state="frozen"/>
      <selection pane="bottomLeft" activeCell="F295" sqref="F295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1" hidden="1" customWidth="1"/>
    <col min="5" max="7" width="10.7109375" customWidth="1"/>
    <col min="8" max="11" width="10.7109375" style="31" customWidth="1"/>
    <col min="12" max="12" width="10.7109375" customWidth="1"/>
    <col min="13" max="13" width="19.85546875" customWidth="1"/>
    <col min="14" max="52" width="10.7109375" customWidth="1"/>
    <col min="53" max="53" width="25.7109375" customWidth="1"/>
    <col min="54" max="54" width="17.140625" customWidth="1"/>
  </cols>
  <sheetData>
    <row r="1" spans="1:703" ht="15" customHeight="1" x14ac:dyDescent="0.25">
      <c r="C1" s="5" t="s">
        <v>10</v>
      </c>
      <c r="E1" s="3"/>
      <c r="F1" s="3"/>
      <c r="G1" s="3"/>
      <c r="K1" s="31">
        <v>1</v>
      </c>
      <c r="L1" s="3"/>
      <c r="M1" s="3"/>
      <c r="N1" s="3"/>
      <c r="O1" s="3"/>
      <c r="P1" s="3"/>
      <c r="Q1" s="3"/>
      <c r="R1" s="3"/>
      <c r="S1" s="3"/>
      <c r="T1" s="3"/>
      <c r="U1" s="3"/>
      <c r="V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</row>
    <row r="2" spans="1:703" ht="15" customHeight="1" x14ac:dyDescent="0.25">
      <c r="C2" s="3"/>
      <c r="D2" s="31" t="s">
        <v>43</v>
      </c>
      <c r="E2" t="s">
        <v>45</v>
      </c>
      <c r="F2" t="s">
        <v>45</v>
      </c>
      <c r="G2" t="s">
        <v>45</v>
      </c>
      <c r="H2" s="31" t="s">
        <v>43</v>
      </c>
      <c r="I2" s="31" t="s">
        <v>43</v>
      </c>
      <c r="J2" s="31" t="s">
        <v>43</v>
      </c>
      <c r="K2" s="31" t="s">
        <v>43</v>
      </c>
      <c r="L2" t="s">
        <v>45</v>
      </c>
    </row>
    <row r="3" spans="1:703" s="29" customFormat="1" ht="220.5" customHeight="1" x14ac:dyDescent="0.25">
      <c r="A3" s="27"/>
      <c r="B3" s="27"/>
      <c r="C3" s="28"/>
      <c r="D3" s="32" t="str">
        <f>Simulation_output!A1</f>
        <v xml:space="preserve">                       Time </v>
      </c>
      <c r="E3" s="30" t="s">
        <v>44</v>
      </c>
      <c r="F3" s="30" t="s">
        <v>46</v>
      </c>
      <c r="G3" s="30" t="s">
        <v>47</v>
      </c>
      <c r="H3" s="32" t="str">
        <f>Simulation_output!E1</f>
        <v xml:space="preserve"> rxdataready</v>
      </c>
      <c r="I3" s="32" t="str">
        <f>Simulation_output!F1</f>
        <v xml:space="preserve"> txdataout</v>
      </c>
      <c r="J3" s="32" t="str">
        <f>Simulation_output!G1</f>
        <v xml:space="preserve"> txdatavalid</v>
      </c>
      <c r="K3" s="32" t="str">
        <f>Simulation_output!H1</f>
        <v xml:space="preserve"> txdatalast</v>
      </c>
      <c r="L3" s="30" t="s">
        <v>48</v>
      </c>
      <c r="M3" s="30" t="s">
        <v>56</v>
      </c>
      <c r="N3" s="30" t="s">
        <v>57</v>
      </c>
      <c r="O3" s="30" t="s">
        <v>58</v>
      </c>
      <c r="P3" s="30" t="s">
        <v>59</v>
      </c>
      <c r="Q3" s="30" t="s">
        <v>68</v>
      </c>
      <c r="R3" s="30" t="s">
        <v>69</v>
      </c>
      <c r="S3" s="30" t="s">
        <v>61</v>
      </c>
      <c r="T3" s="30" t="s">
        <v>62</v>
      </c>
      <c r="U3" s="30" t="s">
        <v>63</v>
      </c>
      <c r="V3" s="30" t="s">
        <v>64</v>
      </c>
      <c r="W3" s="30" t="s">
        <v>65</v>
      </c>
      <c r="X3" s="30" t="s">
        <v>66</v>
      </c>
      <c r="Y3" s="30" t="s">
        <v>60</v>
      </c>
      <c r="Z3" s="30" t="s">
        <v>67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x14ac:dyDescent="0.25">
      <c r="C4" s="3"/>
      <c r="D4" s="31">
        <f>Simulation_output!A2</f>
        <v>5000</v>
      </c>
      <c r="E4">
        <v>0</v>
      </c>
      <c r="F4">
        <f>Sheet2!S7</f>
        <v>0</v>
      </c>
      <c r="G4">
        <v>0</v>
      </c>
      <c r="H4" s="31">
        <f>Simulation_output!E2</f>
        <v>0</v>
      </c>
      <c r="I4" s="31">
        <f>Simulation_output!F2</f>
        <v>0</v>
      </c>
      <c r="J4" s="31">
        <f>Simulation_output!G2</f>
        <v>0</v>
      </c>
      <c r="K4" s="31">
        <f>Simulation_output!H2</f>
        <v>0</v>
      </c>
      <c r="L4">
        <v>1</v>
      </c>
      <c r="AB4">
        <v>0</v>
      </c>
      <c r="AC4">
        <v>0</v>
      </c>
      <c r="AD4">
        <v>0</v>
      </c>
    </row>
    <row r="5" spans="1:703" x14ac:dyDescent="0.25">
      <c r="C5" s="3"/>
      <c r="D5" s="31">
        <f>Simulation_output!A3</f>
        <v>15000</v>
      </c>
      <c r="E5">
        <v>0</v>
      </c>
      <c r="F5">
        <v>0</v>
      </c>
      <c r="G5">
        <v>0</v>
      </c>
      <c r="H5" s="31">
        <f>Simulation_output!E3</f>
        <v>1</v>
      </c>
      <c r="I5" s="31">
        <f>Simulation_output!F3</f>
        <v>268435454</v>
      </c>
      <c r="J5" s="31">
        <f>Simulation_output!G3</f>
        <v>1</v>
      </c>
      <c r="K5" s="31">
        <f>Simulation_output!H3</f>
        <v>1</v>
      </c>
      <c r="L5">
        <v>1</v>
      </c>
      <c r="M5">
        <v>0</v>
      </c>
      <c r="AB5">
        <v>1</v>
      </c>
      <c r="AC5">
        <f>IF(M5="FFFFFFF",AC4+1,AC4)</f>
        <v>0</v>
      </c>
      <c r="AD5">
        <f>IF(M5="FFFFFFF",AC5,0)</f>
        <v>0</v>
      </c>
    </row>
    <row r="6" spans="1:703" x14ac:dyDescent="0.25">
      <c r="C6" s="3"/>
      <c r="D6" s="31">
        <f>Simulation_output!A4</f>
        <v>25000</v>
      </c>
      <c r="E6">
        <v>0</v>
      </c>
      <c r="F6">
        <v>0</v>
      </c>
      <c r="G6">
        <v>0</v>
      </c>
      <c r="H6" s="31">
        <f>Simulation_output!E4</f>
        <v>1</v>
      </c>
      <c r="I6" s="31">
        <f>Simulation_output!F4</f>
        <v>0</v>
      </c>
      <c r="J6" s="31">
        <f>Simulation_output!G4</f>
        <v>0</v>
      </c>
      <c r="K6" s="31">
        <f>Simulation_output!H4</f>
        <v>0</v>
      </c>
      <c r="L6">
        <v>1</v>
      </c>
      <c r="M6">
        <f>IF(K6&gt;0,DEC2HEX(#REF!),0)</f>
        <v>0</v>
      </c>
      <c r="N6">
        <f t="shared" ref="N6" si="0">IF(K6&gt;0,I3,0)</f>
        <v>0</v>
      </c>
      <c r="O6">
        <f t="shared" ref="O6:O11" si="1">IF(K6&gt;0,I4,0)</f>
        <v>0</v>
      </c>
      <c r="P6">
        <f t="shared" ref="P6:P13" si="2">IF(K6&gt;0,I5,0)</f>
        <v>0</v>
      </c>
      <c r="Q6">
        <f t="shared" ref="Q6:Q9" si="3">IF(K6&gt;0,I6,0)</f>
        <v>0</v>
      </c>
      <c r="AB6">
        <v>2</v>
      </c>
      <c r="AC6">
        <f>IF(M6="FFFFFFF",AC5+1,AC5)</f>
        <v>0</v>
      </c>
      <c r="AD6">
        <f t="shared" ref="AD6:AD69" si="4">IF(M6="FFFFFFF",AC6,0)</f>
        <v>0</v>
      </c>
    </row>
    <row r="7" spans="1:703" x14ac:dyDescent="0.25">
      <c r="A7" s="6" t="s">
        <v>4</v>
      </c>
      <c r="C7" s="3"/>
      <c r="D7" s="31">
        <f>Simulation_output!A5</f>
        <v>35000</v>
      </c>
      <c r="E7">
        <v>0</v>
      </c>
      <c r="F7">
        <v>0</v>
      </c>
      <c r="G7">
        <v>0</v>
      </c>
      <c r="H7" s="31">
        <f>Simulation_output!E5</f>
        <v>1</v>
      </c>
      <c r="I7" s="31">
        <f>Simulation_output!F5</f>
        <v>0</v>
      </c>
      <c r="J7" s="31">
        <f>Simulation_output!G5</f>
        <v>0</v>
      </c>
      <c r="K7" s="31">
        <f>Simulation_output!H5</f>
        <v>0</v>
      </c>
      <c r="L7">
        <v>1</v>
      </c>
      <c r="M7">
        <f>IF(K7&gt;0,DEC2HEX(#REF!),0)</f>
        <v>0</v>
      </c>
      <c r="N7">
        <f>IF(K7&gt;0,#REF!,0)</f>
        <v>0</v>
      </c>
      <c r="O7">
        <f t="shared" si="1"/>
        <v>0</v>
      </c>
      <c r="P7">
        <f t="shared" si="2"/>
        <v>0</v>
      </c>
      <c r="Q7">
        <f t="shared" si="3"/>
        <v>0</v>
      </c>
      <c r="AB7">
        <v>3</v>
      </c>
      <c r="AC7">
        <f t="shared" ref="AC7:AC70" si="5">IF(M7="FFFFFFF",AC6+1,AC6)</f>
        <v>0</v>
      </c>
      <c r="AD7">
        <f t="shared" si="4"/>
        <v>0</v>
      </c>
    </row>
    <row r="8" spans="1:703" x14ac:dyDescent="0.25">
      <c r="A8" s="19">
        <v>2</v>
      </c>
      <c r="C8" s="3"/>
      <c r="D8" s="31">
        <f>Simulation_output!A6</f>
        <v>45000</v>
      </c>
      <c r="E8">
        <v>0</v>
      </c>
      <c r="F8">
        <v>0</v>
      </c>
      <c r="G8">
        <v>0</v>
      </c>
      <c r="H8" s="31">
        <f>Simulation_output!E6</f>
        <v>1</v>
      </c>
      <c r="I8" s="31">
        <f>Simulation_output!F6</f>
        <v>0</v>
      </c>
      <c r="J8" s="31">
        <f>Simulation_output!G6</f>
        <v>0</v>
      </c>
      <c r="K8" s="31">
        <f>Simulation_output!H6</f>
        <v>0</v>
      </c>
      <c r="L8">
        <v>1</v>
      </c>
      <c r="M8">
        <f>IF(K8&gt;0,DEC2HEX(#REF!),0)</f>
        <v>0</v>
      </c>
      <c r="N8">
        <f t="shared" ref="N8:N12" si="6">IF(K8&gt;0,I4,0)</f>
        <v>0</v>
      </c>
      <c r="O8">
        <f t="shared" si="1"/>
        <v>0</v>
      </c>
      <c r="P8">
        <f t="shared" si="2"/>
        <v>0</v>
      </c>
      <c r="Q8">
        <f t="shared" si="3"/>
        <v>0</v>
      </c>
      <c r="AB8">
        <v>4</v>
      </c>
      <c r="AC8">
        <f t="shared" si="5"/>
        <v>0</v>
      </c>
      <c r="AD8">
        <f t="shared" si="4"/>
        <v>0</v>
      </c>
    </row>
    <row r="9" spans="1:703" x14ac:dyDescent="0.25">
      <c r="A9" s="10" t="s">
        <v>24</v>
      </c>
      <c r="C9" s="3"/>
      <c r="D9" s="31">
        <f>Simulation_output!A7</f>
        <v>55000</v>
      </c>
      <c r="E9">
        <v>0</v>
      </c>
      <c r="F9">
        <v>0</v>
      </c>
      <c r="G9">
        <v>0</v>
      </c>
      <c r="H9" s="31">
        <f>Simulation_output!E7</f>
        <v>1</v>
      </c>
      <c r="I9" s="31">
        <f>Simulation_output!F7</f>
        <v>0</v>
      </c>
      <c r="J9" s="31">
        <f>Simulation_output!G7</f>
        <v>0</v>
      </c>
      <c r="K9" s="31">
        <f>Simulation_output!H7</f>
        <v>0</v>
      </c>
      <c r="L9">
        <v>1</v>
      </c>
      <c r="M9">
        <f>IF(K9&gt;0,DEC2HEX(#REF!),0)</f>
        <v>0</v>
      </c>
      <c r="N9">
        <f t="shared" si="6"/>
        <v>0</v>
      </c>
      <c r="O9">
        <f t="shared" si="1"/>
        <v>0</v>
      </c>
      <c r="P9">
        <f t="shared" si="2"/>
        <v>0</v>
      </c>
      <c r="Q9">
        <f t="shared" si="3"/>
        <v>0</v>
      </c>
      <c r="AB9">
        <v>5</v>
      </c>
      <c r="AC9">
        <f t="shared" si="5"/>
        <v>0</v>
      </c>
      <c r="AD9">
        <f t="shared" si="4"/>
        <v>0</v>
      </c>
    </row>
    <row r="10" spans="1:703" x14ac:dyDescent="0.25">
      <c r="A10" s="2" t="str">
        <f>EntityName</f>
        <v>simplearithmetic_ether_test_tb_csv</v>
      </c>
      <c r="C10" s="3"/>
      <c r="D10" s="31">
        <f>Simulation_output!A8</f>
        <v>65000</v>
      </c>
      <c r="E10">
        <f>Sheet2!R7</f>
        <v>0</v>
      </c>
      <c r="F10">
        <f>Sheet2!S7</f>
        <v>0</v>
      </c>
      <c r="G10">
        <f>Sheet2!T7</f>
        <v>0</v>
      </c>
      <c r="H10" s="31">
        <f>Simulation_output!E8</f>
        <v>1</v>
      </c>
      <c r="I10" s="31">
        <f>Simulation_output!F8</f>
        <v>0</v>
      </c>
      <c r="J10" s="31">
        <f>Simulation_output!G8</f>
        <v>0</v>
      </c>
      <c r="K10" s="31">
        <f>Simulation_output!H8</f>
        <v>0</v>
      </c>
      <c r="L10">
        <v>1</v>
      </c>
      <c r="M10">
        <f>IF(K10&gt;0,DEC2HEX(#REF!),0)</f>
        <v>0</v>
      </c>
      <c r="N10">
        <f t="shared" si="6"/>
        <v>0</v>
      </c>
      <c r="O10">
        <f t="shared" si="1"/>
        <v>0</v>
      </c>
      <c r="P10">
        <f>IF(K10&gt;0,#REF!,0)</f>
        <v>0</v>
      </c>
      <c r="Q10">
        <f>IF(K10&gt;0,I1,0)</f>
        <v>0</v>
      </c>
      <c r="AB10">
        <v>6</v>
      </c>
      <c r="AC10">
        <f t="shared" si="5"/>
        <v>0</v>
      </c>
      <c r="AD10">
        <f t="shared" si="4"/>
        <v>0</v>
      </c>
    </row>
    <row r="11" spans="1:703" x14ac:dyDescent="0.25">
      <c r="A11" s="7" t="s">
        <v>5</v>
      </c>
      <c r="C11" s="3"/>
      <c r="D11" s="31">
        <f>Simulation_output!A9</f>
        <v>75000</v>
      </c>
      <c r="E11">
        <f>Sheet2!R8</f>
        <v>0</v>
      </c>
      <c r="F11">
        <f>Sheet2!S8</f>
        <v>0</v>
      </c>
      <c r="G11">
        <f>Sheet2!T8</f>
        <v>0</v>
      </c>
      <c r="H11" s="31">
        <f>Simulation_output!E9</f>
        <v>1</v>
      </c>
      <c r="I11" s="31">
        <f>Simulation_output!F9</f>
        <v>0</v>
      </c>
      <c r="J11" s="31">
        <f>Simulation_output!G9</f>
        <v>0</v>
      </c>
      <c r="K11" s="31">
        <f>Simulation_output!H9</f>
        <v>0</v>
      </c>
      <c r="L11">
        <v>1</v>
      </c>
      <c r="M11">
        <f>IF(K11&gt;0,DEC2HEX(#REF!),0)</f>
        <v>0</v>
      </c>
      <c r="N11">
        <f t="shared" si="6"/>
        <v>0</v>
      </c>
      <c r="O11">
        <f t="shared" si="1"/>
        <v>0</v>
      </c>
      <c r="P11">
        <f t="shared" si="2"/>
        <v>0</v>
      </c>
      <c r="Q11">
        <f t="shared" ref="Q11:Q74" si="7">IF(K11&gt;0,I2,0)</f>
        <v>0</v>
      </c>
      <c r="AB11">
        <v>7</v>
      </c>
      <c r="AC11">
        <f t="shared" si="5"/>
        <v>0</v>
      </c>
      <c r="AD11">
        <f t="shared" si="4"/>
        <v>0</v>
      </c>
    </row>
    <row r="12" spans="1:703" x14ac:dyDescent="0.25">
      <c r="A12" s="20"/>
      <c r="C12" s="3"/>
      <c r="D12" s="31">
        <f>Simulation_output!A10</f>
        <v>85000</v>
      </c>
      <c r="E12">
        <f>Sheet2!R9</f>
        <v>0</v>
      </c>
      <c r="F12">
        <f>Sheet2!S9</f>
        <v>1</v>
      </c>
      <c r="G12">
        <f>Sheet2!T9</f>
        <v>0</v>
      </c>
      <c r="H12" s="31">
        <f>Simulation_output!E10</f>
        <v>1</v>
      </c>
      <c r="I12" s="31">
        <f>Simulation_output!F10</f>
        <v>0</v>
      </c>
      <c r="J12" s="31">
        <f>Simulation_output!G10</f>
        <v>0</v>
      </c>
      <c r="K12" s="31">
        <f>Simulation_output!H10</f>
        <v>0</v>
      </c>
      <c r="L12">
        <v>1</v>
      </c>
      <c r="M12">
        <f>IF(K12&gt;0,DEC2HEX(#REF!),0)</f>
        <v>0</v>
      </c>
      <c r="N12">
        <f t="shared" si="6"/>
        <v>0</v>
      </c>
      <c r="O12">
        <f>IF(K12&gt;0,I1,0)</f>
        <v>0</v>
      </c>
      <c r="P12">
        <f t="shared" si="2"/>
        <v>0</v>
      </c>
      <c r="Q12">
        <f t="shared" si="7"/>
        <v>0</v>
      </c>
      <c r="AB12">
        <v>8</v>
      </c>
      <c r="AC12">
        <f t="shared" si="5"/>
        <v>0</v>
      </c>
      <c r="AD12">
        <f t="shared" si="4"/>
        <v>0</v>
      </c>
    </row>
    <row r="13" spans="1:703" x14ac:dyDescent="0.25">
      <c r="A13" s="7" t="s">
        <v>7</v>
      </c>
      <c r="C13" s="3"/>
      <c r="D13" s="31">
        <f>Simulation_output!A11</f>
        <v>95000</v>
      </c>
      <c r="E13">
        <f>Sheet2!R10</f>
        <v>0</v>
      </c>
      <c r="F13">
        <f>Sheet2!S10</f>
        <v>0</v>
      </c>
      <c r="G13">
        <f>Sheet2!T10</f>
        <v>0</v>
      </c>
      <c r="H13" s="31">
        <f>Simulation_output!E11</f>
        <v>0</v>
      </c>
      <c r="I13" s="31">
        <f>Simulation_output!F11</f>
        <v>0</v>
      </c>
      <c r="J13" s="31">
        <f>Simulation_output!G11</f>
        <v>0</v>
      </c>
      <c r="K13" s="31">
        <f>Simulation_output!H11</f>
        <v>0</v>
      </c>
      <c r="L13">
        <v>1</v>
      </c>
      <c r="M13">
        <f>IF(K13&gt;0,DEC2HEX(#REF!),0)</f>
        <v>0</v>
      </c>
      <c r="N13">
        <f>IF(K13&gt;0,I1,0)</f>
        <v>0</v>
      </c>
      <c r="O13">
        <f t="shared" ref="O13:O76" si="8">IF(K13&gt;0,I2,0)</f>
        <v>0</v>
      </c>
      <c r="P13">
        <f t="shared" si="2"/>
        <v>0</v>
      </c>
      <c r="Q13">
        <f t="shared" si="7"/>
        <v>0</v>
      </c>
      <c r="R13">
        <f>IF(K13&gt;0,I5,0)</f>
        <v>0</v>
      </c>
      <c r="S13">
        <f>IF(K13&gt;0,I6,0)</f>
        <v>0</v>
      </c>
      <c r="T13">
        <f>IF(K13&gt;0,I7,0)</f>
        <v>0</v>
      </c>
      <c r="U13">
        <f>IF(K13&gt;0,I8,0)</f>
        <v>0</v>
      </c>
      <c r="V13">
        <f>IF(K13&gt;0,I9,0)</f>
        <v>0</v>
      </c>
      <c r="W13">
        <f>IF(K13&gt;0,I10,0)</f>
        <v>0</v>
      </c>
      <c r="X13">
        <f>IF(K13&gt;0,I11,0)</f>
        <v>0</v>
      </c>
      <c r="Y13">
        <f>IF(K13&gt;0,I12,0)</f>
        <v>0</v>
      </c>
      <c r="Z13">
        <f>IF(K13&gt;0,DEC2HEX(I13),0)</f>
        <v>0</v>
      </c>
      <c r="AB13">
        <v>9</v>
      </c>
      <c r="AC13">
        <f t="shared" si="5"/>
        <v>0</v>
      </c>
      <c r="AD13">
        <f t="shared" si="4"/>
        <v>0</v>
      </c>
    </row>
    <row r="14" spans="1:703" x14ac:dyDescent="0.25">
      <c r="A14" s="20" t="s">
        <v>34</v>
      </c>
      <c r="C14" s="3"/>
      <c r="D14" s="31">
        <f>Simulation_output!A12</f>
        <v>105000</v>
      </c>
      <c r="E14">
        <f>Sheet2!R11</f>
        <v>5</v>
      </c>
      <c r="F14">
        <f>Sheet2!S11</f>
        <v>1</v>
      </c>
      <c r="G14">
        <f>Sheet2!T11</f>
        <v>0</v>
      </c>
      <c r="H14" s="31">
        <f>Simulation_output!E12</f>
        <v>1</v>
      </c>
      <c r="I14" s="31">
        <f>Simulation_output!F12</f>
        <v>0</v>
      </c>
      <c r="J14" s="31">
        <f>Simulation_output!G12</f>
        <v>0</v>
      </c>
      <c r="K14" s="31">
        <f>Simulation_output!H12</f>
        <v>0</v>
      </c>
      <c r="L14">
        <v>1</v>
      </c>
      <c r="M14">
        <f>IF(K14&gt;0,DEC2HEX(I1),0)</f>
        <v>0</v>
      </c>
      <c r="N14">
        <f t="shared" ref="N14:N77" si="9">IF(K14&gt;0,I2,0)</f>
        <v>0</v>
      </c>
      <c r="O14">
        <f t="shared" si="8"/>
        <v>0</v>
      </c>
      <c r="P14">
        <f>IF(K14&gt;0,I4,0)</f>
        <v>0</v>
      </c>
      <c r="Q14">
        <f t="shared" si="7"/>
        <v>0</v>
      </c>
      <c r="R14">
        <f t="shared" ref="R14:R69" si="10">IF(K14&gt;0,I6,0)</f>
        <v>0</v>
      </c>
      <c r="S14">
        <f t="shared" ref="S14:S69" si="11">IF(K14&gt;0,I7,0)</f>
        <v>0</v>
      </c>
      <c r="T14">
        <f t="shared" ref="T14:T69" si="12">IF(K14&gt;0,I8,0)</f>
        <v>0</v>
      </c>
      <c r="U14">
        <f t="shared" ref="U14:U69" si="13">IF(K14&gt;0,I9,0)</f>
        <v>0</v>
      </c>
      <c r="V14">
        <f t="shared" ref="V14:V69" si="14">IF(K14&gt;0,I10,0)</f>
        <v>0</v>
      </c>
      <c r="W14">
        <f t="shared" ref="W14:W69" si="15">IF(K14&gt;0,I11,0)</f>
        <v>0</v>
      </c>
      <c r="X14">
        <f t="shared" ref="X14:X69" si="16">IF(K14&gt;0,I12,0)</f>
        <v>0</v>
      </c>
      <c r="Y14">
        <f t="shared" ref="Y14:Y69" si="17">IF(K14&gt;0,I13,0)</f>
        <v>0</v>
      </c>
      <c r="Z14">
        <f t="shared" ref="Z14:Z69" si="18">IF(K14&gt;0,DEC2HEX(I14),0)</f>
        <v>0</v>
      </c>
      <c r="AB14">
        <v>10</v>
      </c>
      <c r="AC14">
        <f t="shared" si="5"/>
        <v>0</v>
      </c>
      <c r="AD14">
        <f t="shared" si="4"/>
        <v>0</v>
      </c>
    </row>
    <row r="15" spans="1:703" x14ac:dyDescent="0.25">
      <c r="A15" s="7" t="s">
        <v>9</v>
      </c>
      <c r="C15" s="3"/>
      <c r="D15" s="31">
        <f>Simulation_output!A13</f>
        <v>115000</v>
      </c>
      <c r="E15">
        <f>Sheet2!R12</f>
        <v>0</v>
      </c>
      <c r="F15">
        <f>Sheet2!S12</f>
        <v>0</v>
      </c>
      <c r="G15">
        <f>Sheet2!T12</f>
        <v>0</v>
      </c>
      <c r="H15" s="31">
        <f>Simulation_output!E13</f>
        <v>1</v>
      </c>
      <c r="I15" s="31">
        <f>Simulation_output!F13</f>
        <v>0</v>
      </c>
      <c r="J15" s="31">
        <f>Simulation_output!G13</f>
        <v>0</v>
      </c>
      <c r="K15" s="31">
        <f>Simulation_output!H13</f>
        <v>0</v>
      </c>
      <c r="L15">
        <v>1</v>
      </c>
      <c r="M15">
        <f t="shared" ref="M15:M78" si="19">IF(K15&gt;0,DEC2HEX(I2),0)</f>
        <v>0</v>
      </c>
      <c r="N15">
        <f t="shared" si="9"/>
        <v>0</v>
      </c>
      <c r="O15">
        <f t="shared" si="8"/>
        <v>0</v>
      </c>
      <c r="P15">
        <f t="shared" ref="P15:P78" si="20">IF(K15&gt;0,I5,0)</f>
        <v>0</v>
      </c>
      <c r="Q15">
        <f t="shared" si="7"/>
        <v>0</v>
      </c>
      <c r="R15">
        <f t="shared" si="10"/>
        <v>0</v>
      </c>
      <c r="S15">
        <f t="shared" si="11"/>
        <v>0</v>
      </c>
      <c r="T15">
        <f t="shared" si="12"/>
        <v>0</v>
      </c>
      <c r="U15">
        <f t="shared" si="13"/>
        <v>0</v>
      </c>
      <c r="V15">
        <f t="shared" si="14"/>
        <v>0</v>
      </c>
      <c r="W15">
        <f t="shared" si="15"/>
        <v>0</v>
      </c>
      <c r="X15">
        <f t="shared" si="16"/>
        <v>0</v>
      </c>
      <c r="Y15">
        <f t="shared" si="17"/>
        <v>0</v>
      </c>
      <c r="Z15">
        <f t="shared" si="18"/>
        <v>0</v>
      </c>
      <c r="AB15">
        <v>11</v>
      </c>
      <c r="AC15">
        <f t="shared" si="5"/>
        <v>0</v>
      </c>
      <c r="AD15">
        <f t="shared" si="4"/>
        <v>0</v>
      </c>
    </row>
    <row r="16" spans="1:703" x14ac:dyDescent="0.25">
      <c r="A16" s="20" t="s">
        <v>35</v>
      </c>
      <c r="C16" s="3"/>
      <c r="D16" s="31">
        <f>Simulation_output!A14</f>
        <v>125000</v>
      </c>
      <c r="E16">
        <f>Sheet2!R13</f>
        <v>10</v>
      </c>
      <c r="F16">
        <f>Sheet2!S13</f>
        <v>1</v>
      </c>
      <c r="G16">
        <f>Sheet2!T13</f>
        <v>0</v>
      </c>
      <c r="H16" s="31">
        <f>Simulation_output!E14</f>
        <v>1</v>
      </c>
      <c r="I16" s="31">
        <f>Simulation_output!F14</f>
        <v>0</v>
      </c>
      <c r="J16" s="31">
        <f>Simulation_output!G14</f>
        <v>0</v>
      </c>
      <c r="K16" s="31">
        <f>Simulation_output!H14</f>
        <v>0</v>
      </c>
      <c r="L16">
        <v>1</v>
      </c>
      <c r="M16">
        <f t="shared" si="19"/>
        <v>0</v>
      </c>
      <c r="N16">
        <f t="shared" si="9"/>
        <v>0</v>
      </c>
      <c r="O16">
        <f t="shared" si="8"/>
        <v>0</v>
      </c>
      <c r="P16">
        <f t="shared" si="20"/>
        <v>0</v>
      </c>
      <c r="Q16">
        <f t="shared" si="7"/>
        <v>0</v>
      </c>
      <c r="R16">
        <f t="shared" si="10"/>
        <v>0</v>
      </c>
      <c r="S16">
        <f t="shared" si="11"/>
        <v>0</v>
      </c>
      <c r="T16">
        <f t="shared" si="12"/>
        <v>0</v>
      </c>
      <c r="U16">
        <f t="shared" si="13"/>
        <v>0</v>
      </c>
      <c r="V16">
        <f t="shared" si="14"/>
        <v>0</v>
      </c>
      <c r="W16">
        <f t="shared" si="15"/>
        <v>0</v>
      </c>
      <c r="X16">
        <f t="shared" si="16"/>
        <v>0</v>
      </c>
      <c r="Y16">
        <f t="shared" si="17"/>
        <v>0</v>
      </c>
      <c r="Z16">
        <f t="shared" si="18"/>
        <v>0</v>
      </c>
      <c r="AB16">
        <v>12</v>
      </c>
      <c r="AC16">
        <f t="shared" si="5"/>
        <v>0</v>
      </c>
      <c r="AD16">
        <f t="shared" si="4"/>
        <v>0</v>
      </c>
    </row>
    <row r="17" spans="1:30" x14ac:dyDescent="0.25">
      <c r="A17" t="s">
        <v>75</v>
      </c>
      <c r="C17" s="3"/>
      <c r="D17" s="31">
        <f>Simulation_output!A15</f>
        <v>135000</v>
      </c>
      <c r="E17">
        <f>Sheet2!R14</f>
        <v>0</v>
      </c>
      <c r="F17">
        <f>Sheet2!S14</f>
        <v>0</v>
      </c>
      <c r="G17">
        <f>Sheet2!T14</f>
        <v>0</v>
      </c>
      <c r="H17" s="31">
        <f>Simulation_output!E15</f>
        <v>1</v>
      </c>
      <c r="I17" s="31">
        <f>Simulation_output!F15</f>
        <v>0</v>
      </c>
      <c r="J17" s="31">
        <f>Simulation_output!G15</f>
        <v>0</v>
      </c>
      <c r="K17" s="31">
        <f>Simulation_output!H15</f>
        <v>0</v>
      </c>
      <c r="L17">
        <v>1</v>
      </c>
      <c r="M17">
        <f t="shared" si="19"/>
        <v>0</v>
      </c>
      <c r="N17">
        <f t="shared" si="9"/>
        <v>0</v>
      </c>
      <c r="O17">
        <f t="shared" si="8"/>
        <v>0</v>
      </c>
      <c r="P17">
        <f t="shared" si="20"/>
        <v>0</v>
      </c>
      <c r="Q17">
        <f t="shared" si="7"/>
        <v>0</v>
      </c>
      <c r="R17">
        <f t="shared" si="10"/>
        <v>0</v>
      </c>
      <c r="S17">
        <f t="shared" si="11"/>
        <v>0</v>
      </c>
      <c r="T17">
        <f t="shared" si="12"/>
        <v>0</v>
      </c>
      <c r="U17">
        <f t="shared" si="13"/>
        <v>0</v>
      </c>
      <c r="V17">
        <f t="shared" si="14"/>
        <v>0</v>
      </c>
      <c r="W17">
        <f t="shared" si="15"/>
        <v>0</v>
      </c>
      <c r="X17">
        <f t="shared" si="16"/>
        <v>0</v>
      </c>
      <c r="Y17">
        <f t="shared" si="17"/>
        <v>0</v>
      </c>
      <c r="Z17">
        <f t="shared" si="18"/>
        <v>0</v>
      </c>
      <c r="AB17">
        <v>13</v>
      </c>
      <c r="AC17">
        <f t="shared" si="5"/>
        <v>0</v>
      </c>
      <c r="AD17">
        <f t="shared" si="4"/>
        <v>0</v>
      </c>
    </row>
    <row r="18" spans="1:30" x14ac:dyDescent="0.25">
      <c r="C18" s="3"/>
      <c r="D18" s="31">
        <f>Simulation_output!A16</f>
        <v>145000</v>
      </c>
      <c r="E18">
        <f>Sheet2!R15</f>
        <v>110</v>
      </c>
      <c r="F18">
        <f>Sheet2!S15</f>
        <v>1</v>
      </c>
      <c r="G18">
        <f>Sheet2!T15</f>
        <v>0</v>
      </c>
      <c r="H18" s="31">
        <f>Simulation_output!E16</f>
        <v>1</v>
      </c>
      <c r="I18" s="31">
        <f>Simulation_output!F16</f>
        <v>0</v>
      </c>
      <c r="J18" s="31">
        <f>Simulation_output!G16</f>
        <v>0</v>
      </c>
      <c r="K18" s="31">
        <f>Simulation_output!H16</f>
        <v>0</v>
      </c>
      <c r="L18">
        <v>1</v>
      </c>
      <c r="M18">
        <f t="shared" si="19"/>
        <v>0</v>
      </c>
      <c r="N18">
        <f t="shared" si="9"/>
        <v>0</v>
      </c>
      <c r="O18">
        <f t="shared" si="8"/>
        <v>0</v>
      </c>
      <c r="P18">
        <f t="shared" si="20"/>
        <v>0</v>
      </c>
      <c r="Q18">
        <f t="shared" si="7"/>
        <v>0</v>
      </c>
      <c r="R18">
        <f t="shared" si="10"/>
        <v>0</v>
      </c>
      <c r="S18">
        <f t="shared" si="11"/>
        <v>0</v>
      </c>
      <c r="T18">
        <f t="shared" si="12"/>
        <v>0</v>
      </c>
      <c r="U18">
        <f t="shared" si="13"/>
        <v>0</v>
      </c>
      <c r="V18">
        <f t="shared" si="14"/>
        <v>0</v>
      </c>
      <c r="W18">
        <f t="shared" si="15"/>
        <v>0</v>
      </c>
      <c r="X18">
        <f t="shared" si="16"/>
        <v>0</v>
      </c>
      <c r="Y18">
        <f t="shared" si="17"/>
        <v>0</v>
      </c>
      <c r="Z18">
        <f t="shared" si="18"/>
        <v>0</v>
      </c>
      <c r="AB18">
        <v>14</v>
      </c>
      <c r="AC18">
        <f t="shared" si="5"/>
        <v>0</v>
      </c>
      <c r="AD18">
        <f t="shared" si="4"/>
        <v>0</v>
      </c>
    </row>
    <row r="19" spans="1:30" x14ac:dyDescent="0.25">
      <c r="C19" s="3"/>
      <c r="D19" s="31">
        <f>Simulation_output!A17</f>
        <v>155000</v>
      </c>
      <c r="E19">
        <f>Sheet2!R16</f>
        <v>0</v>
      </c>
      <c r="F19">
        <f>Sheet2!S16</f>
        <v>0</v>
      </c>
      <c r="G19">
        <f>Sheet2!T16</f>
        <v>0</v>
      </c>
      <c r="H19" s="31">
        <f>Simulation_output!E17</f>
        <v>1</v>
      </c>
      <c r="I19" s="31">
        <f>Simulation_output!F17</f>
        <v>0</v>
      </c>
      <c r="J19" s="31">
        <f>Simulation_output!G17</f>
        <v>0</v>
      </c>
      <c r="K19" s="31">
        <f>Simulation_output!H17</f>
        <v>0</v>
      </c>
      <c r="L19">
        <v>1</v>
      </c>
      <c r="M19">
        <f t="shared" si="19"/>
        <v>0</v>
      </c>
      <c r="N19">
        <f t="shared" si="9"/>
        <v>0</v>
      </c>
      <c r="O19">
        <f t="shared" si="8"/>
        <v>0</v>
      </c>
      <c r="P19">
        <f t="shared" si="20"/>
        <v>0</v>
      </c>
      <c r="Q19">
        <f t="shared" si="7"/>
        <v>0</v>
      </c>
      <c r="R19">
        <f t="shared" si="10"/>
        <v>0</v>
      </c>
      <c r="S19">
        <f t="shared" si="11"/>
        <v>0</v>
      </c>
      <c r="T19">
        <f t="shared" si="12"/>
        <v>0</v>
      </c>
      <c r="U19">
        <f t="shared" si="13"/>
        <v>0</v>
      </c>
      <c r="V19">
        <f t="shared" si="14"/>
        <v>0</v>
      </c>
      <c r="W19">
        <f t="shared" si="15"/>
        <v>0</v>
      </c>
      <c r="X19">
        <f t="shared" si="16"/>
        <v>0</v>
      </c>
      <c r="Y19">
        <f t="shared" si="17"/>
        <v>0</v>
      </c>
      <c r="Z19">
        <f t="shared" si="18"/>
        <v>0</v>
      </c>
      <c r="AB19">
        <v>15</v>
      </c>
      <c r="AC19">
        <f t="shared" si="5"/>
        <v>0</v>
      </c>
      <c r="AD19">
        <f t="shared" si="4"/>
        <v>0</v>
      </c>
    </row>
    <row r="20" spans="1:30" x14ac:dyDescent="0.25">
      <c r="C20" s="3"/>
      <c r="D20" s="31">
        <f>Simulation_output!A18</f>
        <v>165000</v>
      </c>
      <c r="E20">
        <f>Sheet2!R17</f>
        <v>1010</v>
      </c>
      <c r="F20">
        <f>Sheet2!S17</f>
        <v>1</v>
      </c>
      <c r="G20">
        <f>Sheet2!T17</f>
        <v>0</v>
      </c>
      <c r="H20" s="31">
        <f>Simulation_output!E18</f>
        <v>1</v>
      </c>
      <c r="I20" s="31">
        <f>Simulation_output!F18</f>
        <v>0</v>
      </c>
      <c r="J20" s="31">
        <f>Simulation_output!G18</f>
        <v>0</v>
      </c>
      <c r="K20" s="31">
        <f>Simulation_output!H18</f>
        <v>0</v>
      </c>
      <c r="L20">
        <v>1</v>
      </c>
      <c r="M20">
        <f t="shared" si="19"/>
        <v>0</v>
      </c>
      <c r="N20">
        <f t="shared" si="9"/>
        <v>0</v>
      </c>
      <c r="O20">
        <f t="shared" si="8"/>
        <v>0</v>
      </c>
      <c r="P20">
        <f t="shared" si="20"/>
        <v>0</v>
      </c>
      <c r="Q20">
        <f t="shared" si="7"/>
        <v>0</v>
      </c>
      <c r="R20">
        <f t="shared" si="10"/>
        <v>0</v>
      </c>
      <c r="S20">
        <f t="shared" si="11"/>
        <v>0</v>
      </c>
      <c r="T20">
        <f t="shared" si="12"/>
        <v>0</v>
      </c>
      <c r="U20">
        <f t="shared" si="13"/>
        <v>0</v>
      </c>
      <c r="V20">
        <f t="shared" si="14"/>
        <v>0</v>
      </c>
      <c r="W20">
        <f t="shared" si="15"/>
        <v>0</v>
      </c>
      <c r="X20">
        <f t="shared" si="16"/>
        <v>0</v>
      </c>
      <c r="Y20">
        <f t="shared" si="17"/>
        <v>0</v>
      </c>
      <c r="Z20">
        <f t="shared" si="18"/>
        <v>0</v>
      </c>
      <c r="AB20">
        <v>16</v>
      </c>
      <c r="AC20">
        <f t="shared" si="5"/>
        <v>0</v>
      </c>
      <c r="AD20">
        <f t="shared" si="4"/>
        <v>0</v>
      </c>
    </row>
    <row r="21" spans="1:30" x14ac:dyDescent="0.25">
      <c r="C21" s="3"/>
      <c r="D21" s="31">
        <f>Simulation_output!A19</f>
        <v>175000</v>
      </c>
      <c r="E21">
        <f>Sheet2!R18</f>
        <v>0</v>
      </c>
      <c r="F21">
        <f>Sheet2!S18</f>
        <v>0</v>
      </c>
      <c r="G21">
        <f>Sheet2!T18</f>
        <v>0</v>
      </c>
      <c r="H21" s="31">
        <f>Simulation_output!E19</f>
        <v>1</v>
      </c>
      <c r="I21" s="31">
        <f>Simulation_output!F19</f>
        <v>0</v>
      </c>
      <c r="J21" s="31">
        <f>Simulation_output!G19</f>
        <v>0</v>
      </c>
      <c r="K21" s="31">
        <f>Simulation_output!H19</f>
        <v>0</v>
      </c>
      <c r="L21">
        <v>1</v>
      </c>
      <c r="M21">
        <f t="shared" si="19"/>
        <v>0</v>
      </c>
      <c r="N21">
        <f t="shared" si="9"/>
        <v>0</v>
      </c>
      <c r="O21">
        <f t="shared" si="8"/>
        <v>0</v>
      </c>
      <c r="P21">
        <f t="shared" si="20"/>
        <v>0</v>
      </c>
      <c r="Q21">
        <f t="shared" si="7"/>
        <v>0</v>
      </c>
      <c r="R21">
        <f t="shared" si="10"/>
        <v>0</v>
      </c>
      <c r="S21">
        <f t="shared" si="11"/>
        <v>0</v>
      </c>
      <c r="T21">
        <f t="shared" si="12"/>
        <v>0</v>
      </c>
      <c r="U21">
        <f t="shared" si="13"/>
        <v>0</v>
      </c>
      <c r="V21">
        <f t="shared" si="14"/>
        <v>0</v>
      </c>
      <c r="W21">
        <f t="shared" si="15"/>
        <v>0</v>
      </c>
      <c r="X21">
        <f t="shared" si="16"/>
        <v>0</v>
      </c>
      <c r="Y21">
        <f t="shared" si="17"/>
        <v>0</v>
      </c>
      <c r="Z21">
        <f t="shared" si="18"/>
        <v>0</v>
      </c>
      <c r="AB21">
        <v>17</v>
      </c>
      <c r="AC21">
        <f t="shared" si="5"/>
        <v>0</v>
      </c>
      <c r="AD21">
        <f t="shared" si="4"/>
        <v>0</v>
      </c>
    </row>
    <row r="22" spans="1:30" x14ac:dyDescent="0.25">
      <c r="C22" s="3">
        <v>1</v>
      </c>
      <c r="D22" s="31">
        <f>Simulation_output!A20</f>
        <v>185000</v>
      </c>
      <c r="E22">
        <f>Sheet2!R19</f>
        <v>10010</v>
      </c>
      <c r="F22">
        <f>Sheet2!S19</f>
        <v>1</v>
      </c>
      <c r="G22">
        <f>Sheet2!T19</f>
        <v>1</v>
      </c>
      <c r="H22" s="31">
        <f>Simulation_output!E20</f>
        <v>1</v>
      </c>
      <c r="I22" s="31">
        <f>Simulation_output!F20</f>
        <v>0</v>
      </c>
      <c r="J22" s="31">
        <f>Simulation_output!G20</f>
        <v>0</v>
      </c>
      <c r="K22" s="31">
        <f>Simulation_output!H20</f>
        <v>0</v>
      </c>
      <c r="L22">
        <v>1</v>
      </c>
      <c r="M22">
        <f t="shared" si="19"/>
        <v>0</v>
      </c>
      <c r="N22">
        <f t="shared" si="9"/>
        <v>0</v>
      </c>
      <c r="O22">
        <f t="shared" si="8"/>
        <v>0</v>
      </c>
      <c r="P22">
        <f t="shared" si="20"/>
        <v>0</v>
      </c>
      <c r="Q22">
        <f t="shared" si="7"/>
        <v>0</v>
      </c>
      <c r="R22">
        <f t="shared" si="10"/>
        <v>0</v>
      </c>
      <c r="S22">
        <f t="shared" si="11"/>
        <v>0</v>
      </c>
      <c r="T22">
        <f t="shared" si="12"/>
        <v>0</v>
      </c>
      <c r="U22">
        <f t="shared" si="13"/>
        <v>0</v>
      </c>
      <c r="V22">
        <f t="shared" si="14"/>
        <v>0</v>
      </c>
      <c r="W22">
        <f t="shared" si="15"/>
        <v>0</v>
      </c>
      <c r="X22">
        <f t="shared" si="16"/>
        <v>0</v>
      </c>
      <c r="Y22">
        <f t="shared" si="17"/>
        <v>0</v>
      </c>
      <c r="Z22">
        <f t="shared" si="18"/>
        <v>0</v>
      </c>
      <c r="AB22">
        <v>18</v>
      </c>
      <c r="AC22">
        <f t="shared" si="5"/>
        <v>0</v>
      </c>
      <c r="AD22">
        <f t="shared" si="4"/>
        <v>0</v>
      </c>
    </row>
    <row r="23" spans="1:30" x14ac:dyDescent="0.25">
      <c r="C23" s="3">
        <v>1</v>
      </c>
      <c r="D23" s="31">
        <f>Simulation_output!A21</f>
        <v>195000</v>
      </c>
      <c r="E23">
        <f>Sheet2!R20</f>
        <v>0</v>
      </c>
      <c r="F23">
        <f>Sheet2!S20</f>
        <v>0</v>
      </c>
      <c r="G23">
        <f>Sheet2!T20</f>
        <v>0</v>
      </c>
      <c r="H23" s="31">
        <f>Simulation_output!E21</f>
        <v>1</v>
      </c>
      <c r="I23" s="31">
        <f>Simulation_output!F21</f>
        <v>0</v>
      </c>
      <c r="J23" s="31">
        <f>Simulation_output!G21</f>
        <v>0</v>
      </c>
      <c r="K23" s="31">
        <f>Simulation_output!H21</f>
        <v>0</v>
      </c>
      <c r="L23">
        <v>1</v>
      </c>
      <c r="M23">
        <f t="shared" si="19"/>
        <v>0</v>
      </c>
      <c r="N23">
        <f t="shared" si="9"/>
        <v>0</v>
      </c>
      <c r="O23">
        <f t="shared" si="8"/>
        <v>0</v>
      </c>
      <c r="P23">
        <f t="shared" si="20"/>
        <v>0</v>
      </c>
      <c r="Q23">
        <f t="shared" si="7"/>
        <v>0</v>
      </c>
      <c r="R23">
        <f t="shared" si="10"/>
        <v>0</v>
      </c>
      <c r="S23">
        <f t="shared" si="11"/>
        <v>0</v>
      </c>
      <c r="T23">
        <f t="shared" si="12"/>
        <v>0</v>
      </c>
      <c r="U23">
        <f t="shared" si="13"/>
        <v>0</v>
      </c>
      <c r="V23">
        <f t="shared" si="14"/>
        <v>0</v>
      </c>
      <c r="W23">
        <f t="shared" si="15"/>
        <v>0</v>
      </c>
      <c r="X23">
        <f t="shared" si="16"/>
        <v>0</v>
      </c>
      <c r="Y23">
        <f t="shared" si="17"/>
        <v>0</v>
      </c>
      <c r="Z23">
        <f t="shared" si="18"/>
        <v>0</v>
      </c>
      <c r="AB23">
        <v>19</v>
      </c>
      <c r="AC23">
        <f t="shared" si="5"/>
        <v>0</v>
      </c>
      <c r="AD23">
        <f t="shared" si="4"/>
        <v>0</v>
      </c>
    </row>
    <row r="24" spans="1:30" x14ac:dyDescent="0.25">
      <c r="C24" s="3">
        <v>1</v>
      </c>
      <c r="D24" s="31">
        <f>Simulation_output!A22</f>
        <v>205000</v>
      </c>
      <c r="E24">
        <f>Sheet2!R21</f>
        <v>0</v>
      </c>
      <c r="F24">
        <f>Sheet2!S21</f>
        <v>1</v>
      </c>
      <c r="G24">
        <f>Sheet2!T21</f>
        <v>0</v>
      </c>
      <c r="H24" s="31">
        <f>Simulation_output!E22</f>
        <v>1</v>
      </c>
      <c r="I24" s="31">
        <f>Simulation_output!F22</f>
        <v>0</v>
      </c>
      <c r="J24" s="31">
        <f>Simulation_output!G22</f>
        <v>0</v>
      </c>
      <c r="K24" s="31">
        <f>Simulation_output!H22</f>
        <v>0</v>
      </c>
      <c r="L24">
        <v>1</v>
      </c>
      <c r="M24">
        <f t="shared" si="19"/>
        <v>0</v>
      </c>
      <c r="N24">
        <f t="shared" si="9"/>
        <v>0</v>
      </c>
      <c r="O24">
        <f t="shared" si="8"/>
        <v>0</v>
      </c>
      <c r="P24">
        <f t="shared" si="20"/>
        <v>0</v>
      </c>
      <c r="Q24">
        <f t="shared" si="7"/>
        <v>0</v>
      </c>
      <c r="R24">
        <f t="shared" si="10"/>
        <v>0</v>
      </c>
      <c r="S24">
        <f t="shared" si="11"/>
        <v>0</v>
      </c>
      <c r="T24">
        <f t="shared" si="12"/>
        <v>0</v>
      </c>
      <c r="U24">
        <f t="shared" si="13"/>
        <v>0</v>
      </c>
      <c r="V24">
        <f t="shared" si="14"/>
        <v>0</v>
      </c>
      <c r="W24">
        <f t="shared" si="15"/>
        <v>0</v>
      </c>
      <c r="X24">
        <f t="shared" si="16"/>
        <v>0</v>
      </c>
      <c r="Y24">
        <f t="shared" si="17"/>
        <v>0</v>
      </c>
      <c r="Z24">
        <f t="shared" si="18"/>
        <v>0</v>
      </c>
      <c r="AB24">
        <v>20</v>
      </c>
      <c r="AC24">
        <f t="shared" si="5"/>
        <v>0</v>
      </c>
      <c r="AD24">
        <f t="shared" si="4"/>
        <v>0</v>
      </c>
    </row>
    <row r="25" spans="1:30" x14ac:dyDescent="0.25">
      <c r="C25" s="3">
        <v>1</v>
      </c>
      <c r="D25" s="31">
        <f>Simulation_output!A23</f>
        <v>215000</v>
      </c>
      <c r="E25">
        <f>Sheet2!R22</f>
        <v>0</v>
      </c>
      <c r="F25">
        <f>Sheet2!S22</f>
        <v>0</v>
      </c>
      <c r="G25">
        <f>Sheet2!T22</f>
        <v>0</v>
      </c>
      <c r="H25" s="31">
        <f>Simulation_output!E23</f>
        <v>1</v>
      </c>
      <c r="I25" s="31">
        <f>Simulation_output!F23</f>
        <v>0</v>
      </c>
      <c r="J25" s="31">
        <f>Simulation_output!G23</f>
        <v>0</v>
      </c>
      <c r="K25" s="31">
        <f>Simulation_output!H23</f>
        <v>0</v>
      </c>
      <c r="L25">
        <v>1</v>
      </c>
      <c r="M25">
        <f t="shared" si="19"/>
        <v>0</v>
      </c>
      <c r="N25">
        <f t="shared" si="9"/>
        <v>0</v>
      </c>
      <c r="O25">
        <f t="shared" si="8"/>
        <v>0</v>
      </c>
      <c r="P25">
        <f t="shared" si="20"/>
        <v>0</v>
      </c>
      <c r="Q25">
        <f t="shared" si="7"/>
        <v>0</v>
      </c>
      <c r="R25">
        <f t="shared" si="10"/>
        <v>0</v>
      </c>
      <c r="S25">
        <f t="shared" si="11"/>
        <v>0</v>
      </c>
      <c r="T25">
        <f t="shared" si="12"/>
        <v>0</v>
      </c>
      <c r="U25">
        <f t="shared" si="13"/>
        <v>0</v>
      </c>
      <c r="V25">
        <f t="shared" si="14"/>
        <v>0</v>
      </c>
      <c r="W25">
        <f t="shared" si="15"/>
        <v>0</v>
      </c>
      <c r="X25">
        <f t="shared" si="16"/>
        <v>0</v>
      </c>
      <c r="Y25">
        <f t="shared" si="17"/>
        <v>0</v>
      </c>
      <c r="Z25">
        <f t="shared" si="18"/>
        <v>0</v>
      </c>
      <c r="AB25">
        <v>21</v>
      </c>
      <c r="AC25">
        <f t="shared" si="5"/>
        <v>0</v>
      </c>
      <c r="AD25">
        <f t="shared" si="4"/>
        <v>0</v>
      </c>
    </row>
    <row r="26" spans="1:30" x14ac:dyDescent="0.25">
      <c r="C26" s="3">
        <v>1</v>
      </c>
      <c r="D26" s="31">
        <f>Simulation_output!A24</f>
        <v>225000</v>
      </c>
      <c r="E26">
        <f>Sheet2!R23</f>
        <v>5</v>
      </c>
      <c r="F26">
        <f>Sheet2!S23</f>
        <v>1</v>
      </c>
      <c r="G26">
        <f>Sheet2!T23</f>
        <v>0</v>
      </c>
      <c r="H26" s="31">
        <f>Simulation_output!E24</f>
        <v>1</v>
      </c>
      <c r="I26" s="31">
        <f>Simulation_output!F24</f>
        <v>0</v>
      </c>
      <c r="J26" s="31">
        <f>Simulation_output!G24</f>
        <v>0</v>
      </c>
      <c r="K26" s="31">
        <f>Simulation_output!H24</f>
        <v>0</v>
      </c>
      <c r="L26">
        <v>1</v>
      </c>
      <c r="M26">
        <f t="shared" si="19"/>
        <v>0</v>
      </c>
      <c r="N26">
        <f t="shared" si="9"/>
        <v>0</v>
      </c>
      <c r="O26">
        <f t="shared" si="8"/>
        <v>0</v>
      </c>
      <c r="P26">
        <f t="shared" si="20"/>
        <v>0</v>
      </c>
      <c r="Q26">
        <f t="shared" si="7"/>
        <v>0</v>
      </c>
      <c r="R26">
        <f t="shared" si="10"/>
        <v>0</v>
      </c>
      <c r="S26">
        <f t="shared" si="11"/>
        <v>0</v>
      </c>
      <c r="T26">
        <f t="shared" si="12"/>
        <v>0</v>
      </c>
      <c r="U26">
        <f t="shared" si="13"/>
        <v>0</v>
      </c>
      <c r="V26">
        <f t="shared" si="14"/>
        <v>0</v>
      </c>
      <c r="W26">
        <f t="shared" si="15"/>
        <v>0</v>
      </c>
      <c r="X26">
        <f t="shared" si="16"/>
        <v>0</v>
      </c>
      <c r="Y26">
        <f t="shared" si="17"/>
        <v>0</v>
      </c>
      <c r="Z26">
        <f t="shared" si="18"/>
        <v>0</v>
      </c>
      <c r="AB26">
        <v>22</v>
      </c>
      <c r="AC26">
        <f t="shared" si="5"/>
        <v>0</v>
      </c>
      <c r="AD26">
        <f t="shared" si="4"/>
        <v>0</v>
      </c>
    </row>
    <row r="27" spans="1:30" x14ac:dyDescent="0.25">
      <c r="C27" s="3">
        <v>1</v>
      </c>
      <c r="D27" s="31">
        <f>Simulation_output!A25</f>
        <v>235000</v>
      </c>
      <c r="E27">
        <f>Sheet2!R24</f>
        <v>0</v>
      </c>
      <c r="F27">
        <f>Sheet2!S24</f>
        <v>0</v>
      </c>
      <c r="G27">
        <f>Sheet2!T24</f>
        <v>0</v>
      </c>
      <c r="H27" s="31">
        <f>Simulation_output!E25</f>
        <v>1</v>
      </c>
      <c r="I27" s="31">
        <f>Simulation_output!F25</f>
        <v>0</v>
      </c>
      <c r="J27" s="31">
        <f>Simulation_output!G25</f>
        <v>0</v>
      </c>
      <c r="K27" s="31">
        <f>Simulation_output!H25</f>
        <v>0</v>
      </c>
      <c r="L27">
        <v>1</v>
      </c>
      <c r="M27">
        <f t="shared" si="19"/>
        <v>0</v>
      </c>
      <c r="N27">
        <f t="shared" si="9"/>
        <v>0</v>
      </c>
      <c r="O27">
        <f t="shared" si="8"/>
        <v>0</v>
      </c>
      <c r="P27">
        <f t="shared" si="20"/>
        <v>0</v>
      </c>
      <c r="Q27">
        <f t="shared" si="7"/>
        <v>0</v>
      </c>
      <c r="R27">
        <f t="shared" si="10"/>
        <v>0</v>
      </c>
      <c r="S27">
        <f t="shared" si="11"/>
        <v>0</v>
      </c>
      <c r="T27">
        <f t="shared" si="12"/>
        <v>0</v>
      </c>
      <c r="U27">
        <f t="shared" si="13"/>
        <v>0</v>
      </c>
      <c r="V27">
        <f t="shared" si="14"/>
        <v>0</v>
      </c>
      <c r="W27">
        <f t="shared" si="15"/>
        <v>0</v>
      </c>
      <c r="X27">
        <f t="shared" si="16"/>
        <v>0</v>
      </c>
      <c r="Y27">
        <f t="shared" si="17"/>
        <v>0</v>
      </c>
      <c r="Z27">
        <f t="shared" si="18"/>
        <v>0</v>
      </c>
      <c r="AB27">
        <v>23</v>
      </c>
      <c r="AC27">
        <f t="shared" si="5"/>
        <v>0</v>
      </c>
      <c r="AD27">
        <f t="shared" si="4"/>
        <v>0</v>
      </c>
    </row>
    <row r="28" spans="1:30" x14ac:dyDescent="0.25">
      <c r="C28" s="3">
        <v>1</v>
      </c>
      <c r="D28" s="31">
        <f>Simulation_output!A26</f>
        <v>245000</v>
      </c>
      <c r="E28">
        <f>Sheet2!R25</f>
        <v>11</v>
      </c>
      <c r="F28">
        <f>Sheet2!S25</f>
        <v>1</v>
      </c>
      <c r="G28">
        <f>Sheet2!T25</f>
        <v>0</v>
      </c>
      <c r="H28" s="31">
        <f>Simulation_output!E26</f>
        <v>1</v>
      </c>
      <c r="I28" s="31">
        <f>Simulation_output!F26</f>
        <v>0</v>
      </c>
      <c r="J28" s="31">
        <f>Simulation_output!G26</f>
        <v>0</v>
      </c>
      <c r="K28" s="31">
        <f>Simulation_output!H26</f>
        <v>0</v>
      </c>
      <c r="L28">
        <v>1</v>
      </c>
      <c r="M28">
        <f t="shared" si="19"/>
        <v>0</v>
      </c>
      <c r="N28">
        <f t="shared" si="9"/>
        <v>0</v>
      </c>
      <c r="O28">
        <f t="shared" si="8"/>
        <v>0</v>
      </c>
      <c r="P28">
        <f t="shared" si="20"/>
        <v>0</v>
      </c>
      <c r="Q28">
        <f t="shared" si="7"/>
        <v>0</v>
      </c>
      <c r="R28">
        <f t="shared" si="10"/>
        <v>0</v>
      </c>
      <c r="S28">
        <f t="shared" si="11"/>
        <v>0</v>
      </c>
      <c r="T28">
        <f t="shared" si="12"/>
        <v>0</v>
      </c>
      <c r="U28">
        <f t="shared" si="13"/>
        <v>0</v>
      </c>
      <c r="V28">
        <f t="shared" si="14"/>
        <v>0</v>
      </c>
      <c r="W28">
        <f t="shared" si="15"/>
        <v>0</v>
      </c>
      <c r="X28">
        <f t="shared" si="16"/>
        <v>0</v>
      </c>
      <c r="Y28">
        <f t="shared" si="17"/>
        <v>0</v>
      </c>
      <c r="Z28">
        <f t="shared" si="18"/>
        <v>0</v>
      </c>
      <c r="AB28">
        <v>24</v>
      </c>
      <c r="AC28">
        <f t="shared" si="5"/>
        <v>0</v>
      </c>
      <c r="AD28">
        <f t="shared" si="4"/>
        <v>0</v>
      </c>
    </row>
    <row r="29" spans="1:30" x14ac:dyDescent="0.25">
      <c r="C29" s="3">
        <v>1</v>
      </c>
      <c r="D29" s="31">
        <f>Simulation_output!A27</f>
        <v>255000</v>
      </c>
      <c r="E29">
        <f>Sheet2!R26</f>
        <v>0</v>
      </c>
      <c r="F29">
        <f>Sheet2!S26</f>
        <v>0</v>
      </c>
      <c r="G29">
        <f>Sheet2!T26</f>
        <v>0</v>
      </c>
      <c r="H29" s="31">
        <f>Simulation_output!E27</f>
        <v>1</v>
      </c>
      <c r="I29" s="31">
        <f>Simulation_output!F27</f>
        <v>0</v>
      </c>
      <c r="J29" s="31">
        <f>Simulation_output!G27</f>
        <v>0</v>
      </c>
      <c r="K29" s="31">
        <f>Simulation_output!H27</f>
        <v>0</v>
      </c>
      <c r="L29">
        <v>1</v>
      </c>
      <c r="M29">
        <f t="shared" si="19"/>
        <v>0</v>
      </c>
      <c r="N29">
        <f t="shared" si="9"/>
        <v>0</v>
      </c>
      <c r="O29">
        <f t="shared" si="8"/>
        <v>0</v>
      </c>
      <c r="P29">
        <f t="shared" si="20"/>
        <v>0</v>
      </c>
      <c r="Q29">
        <f t="shared" si="7"/>
        <v>0</v>
      </c>
      <c r="R29">
        <f t="shared" si="10"/>
        <v>0</v>
      </c>
      <c r="S29">
        <f t="shared" si="11"/>
        <v>0</v>
      </c>
      <c r="T29">
        <f t="shared" si="12"/>
        <v>0</v>
      </c>
      <c r="U29">
        <f t="shared" si="13"/>
        <v>0</v>
      </c>
      <c r="V29">
        <f t="shared" si="14"/>
        <v>0</v>
      </c>
      <c r="W29">
        <f t="shared" si="15"/>
        <v>0</v>
      </c>
      <c r="X29">
        <f t="shared" si="16"/>
        <v>0</v>
      </c>
      <c r="Y29">
        <f t="shared" si="17"/>
        <v>0</v>
      </c>
      <c r="Z29">
        <f t="shared" si="18"/>
        <v>0</v>
      </c>
      <c r="AB29">
        <v>25</v>
      </c>
      <c r="AC29">
        <f t="shared" si="5"/>
        <v>0</v>
      </c>
      <c r="AD29">
        <f t="shared" si="4"/>
        <v>0</v>
      </c>
    </row>
    <row r="30" spans="1:30" x14ac:dyDescent="0.25">
      <c r="C30" s="3">
        <v>1</v>
      </c>
      <c r="D30" s="31">
        <f>Simulation_output!A28</f>
        <v>265000</v>
      </c>
      <c r="E30">
        <f>Sheet2!R27</f>
        <v>111</v>
      </c>
      <c r="F30">
        <f>Sheet2!S27</f>
        <v>1</v>
      </c>
      <c r="G30">
        <f>Sheet2!T27</f>
        <v>0</v>
      </c>
      <c r="H30" s="31">
        <f>Simulation_output!E28</f>
        <v>1</v>
      </c>
      <c r="I30" s="31">
        <f>Simulation_output!F28</f>
        <v>0</v>
      </c>
      <c r="J30" s="31">
        <f>Simulation_output!G28</f>
        <v>0</v>
      </c>
      <c r="K30" s="31">
        <f>Simulation_output!H28</f>
        <v>0</v>
      </c>
      <c r="L30">
        <v>1</v>
      </c>
      <c r="M30">
        <f t="shared" si="19"/>
        <v>0</v>
      </c>
      <c r="N30">
        <f t="shared" si="9"/>
        <v>0</v>
      </c>
      <c r="O30">
        <f t="shared" si="8"/>
        <v>0</v>
      </c>
      <c r="P30">
        <f t="shared" si="20"/>
        <v>0</v>
      </c>
      <c r="Q30">
        <f t="shared" si="7"/>
        <v>0</v>
      </c>
      <c r="R30">
        <f t="shared" si="10"/>
        <v>0</v>
      </c>
      <c r="S30">
        <f t="shared" si="11"/>
        <v>0</v>
      </c>
      <c r="T30">
        <f t="shared" si="12"/>
        <v>0</v>
      </c>
      <c r="U30">
        <f t="shared" si="13"/>
        <v>0</v>
      </c>
      <c r="V30">
        <f t="shared" si="14"/>
        <v>0</v>
      </c>
      <c r="W30">
        <f t="shared" si="15"/>
        <v>0</v>
      </c>
      <c r="X30">
        <f t="shared" si="16"/>
        <v>0</v>
      </c>
      <c r="Y30">
        <f t="shared" si="17"/>
        <v>0</v>
      </c>
      <c r="Z30">
        <f t="shared" si="18"/>
        <v>0</v>
      </c>
      <c r="AB30">
        <v>26</v>
      </c>
      <c r="AC30">
        <f t="shared" si="5"/>
        <v>0</v>
      </c>
      <c r="AD30">
        <f t="shared" si="4"/>
        <v>0</v>
      </c>
    </row>
    <row r="31" spans="1:30" x14ac:dyDescent="0.25">
      <c r="C31" s="3">
        <v>1</v>
      </c>
      <c r="D31" s="31">
        <f>Simulation_output!A29</f>
        <v>275000</v>
      </c>
      <c r="E31">
        <f>Sheet2!R28</f>
        <v>0</v>
      </c>
      <c r="F31">
        <f>Sheet2!S28</f>
        <v>0</v>
      </c>
      <c r="G31">
        <f>Sheet2!T28</f>
        <v>0</v>
      </c>
      <c r="H31" s="31">
        <f>Simulation_output!E29</f>
        <v>1</v>
      </c>
      <c r="I31" s="31">
        <f>Simulation_output!F29</f>
        <v>0</v>
      </c>
      <c r="J31" s="31">
        <f>Simulation_output!G29</f>
        <v>0</v>
      </c>
      <c r="K31" s="31">
        <f>Simulation_output!H29</f>
        <v>0</v>
      </c>
      <c r="L31">
        <v>1</v>
      </c>
      <c r="M31">
        <f t="shared" si="19"/>
        <v>0</v>
      </c>
      <c r="N31">
        <f t="shared" si="9"/>
        <v>0</v>
      </c>
      <c r="O31">
        <f t="shared" si="8"/>
        <v>0</v>
      </c>
      <c r="P31">
        <f t="shared" si="20"/>
        <v>0</v>
      </c>
      <c r="Q31">
        <f t="shared" si="7"/>
        <v>0</v>
      </c>
      <c r="R31">
        <f t="shared" si="10"/>
        <v>0</v>
      </c>
      <c r="S31">
        <f t="shared" si="11"/>
        <v>0</v>
      </c>
      <c r="T31">
        <f t="shared" si="12"/>
        <v>0</v>
      </c>
      <c r="U31">
        <f t="shared" si="13"/>
        <v>0</v>
      </c>
      <c r="V31">
        <f t="shared" si="14"/>
        <v>0</v>
      </c>
      <c r="W31">
        <f t="shared" si="15"/>
        <v>0</v>
      </c>
      <c r="X31">
        <f t="shared" si="16"/>
        <v>0</v>
      </c>
      <c r="Y31">
        <f t="shared" si="17"/>
        <v>0</v>
      </c>
      <c r="Z31">
        <f t="shared" si="18"/>
        <v>0</v>
      </c>
      <c r="AB31">
        <v>27</v>
      </c>
      <c r="AC31">
        <f t="shared" si="5"/>
        <v>0</v>
      </c>
      <c r="AD31">
        <f t="shared" si="4"/>
        <v>0</v>
      </c>
    </row>
    <row r="32" spans="1:30" x14ac:dyDescent="0.25">
      <c r="C32" s="3">
        <v>1</v>
      </c>
      <c r="D32" s="31">
        <f>Simulation_output!A30</f>
        <v>285000</v>
      </c>
      <c r="E32">
        <f>Sheet2!R29</f>
        <v>1011</v>
      </c>
      <c r="F32">
        <f>Sheet2!S29</f>
        <v>1</v>
      </c>
      <c r="G32">
        <f>Sheet2!T29</f>
        <v>0</v>
      </c>
      <c r="H32" s="31">
        <f>Simulation_output!E30</f>
        <v>1</v>
      </c>
      <c r="I32" s="31">
        <f>Simulation_output!F30</f>
        <v>0</v>
      </c>
      <c r="J32" s="31">
        <f>Simulation_output!G30</f>
        <v>0</v>
      </c>
      <c r="K32" s="31">
        <f>Simulation_output!H30</f>
        <v>0</v>
      </c>
      <c r="L32">
        <v>1</v>
      </c>
      <c r="M32">
        <f t="shared" si="19"/>
        <v>0</v>
      </c>
      <c r="N32">
        <f t="shared" si="9"/>
        <v>0</v>
      </c>
      <c r="O32">
        <f t="shared" si="8"/>
        <v>0</v>
      </c>
      <c r="P32">
        <f t="shared" si="20"/>
        <v>0</v>
      </c>
      <c r="Q32">
        <f t="shared" si="7"/>
        <v>0</v>
      </c>
      <c r="R32">
        <f t="shared" si="10"/>
        <v>0</v>
      </c>
      <c r="S32">
        <f t="shared" si="11"/>
        <v>0</v>
      </c>
      <c r="T32">
        <f t="shared" si="12"/>
        <v>0</v>
      </c>
      <c r="U32">
        <f t="shared" si="13"/>
        <v>0</v>
      </c>
      <c r="V32">
        <f t="shared" si="14"/>
        <v>0</v>
      </c>
      <c r="W32">
        <f t="shared" si="15"/>
        <v>0</v>
      </c>
      <c r="X32">
        <f t="shared" si="16"/>
        <v>0</v>
      </c>
      <c r="Y32">
        <f t="shared" si="17"/>
        <v>0</v>
      </c>
      <c r="Z32">
        <f t="shared" si="18"/>
        <v>0</v>
      </c>
      <c r="AB32">
        <v>28</v>
      </c>
      <c r="AC32">
        <f t="shared" si="5"/>
        <v>0</v>
      </c>
      <c r="AD32">
        <f t="shared" si="4"/>
        <v>0</v>
      </c>
    </row>
    <row r="33" spans="3:30" x14ac:dyDescent="0.25">
      <c r="C33" s="3">
        <v>1</v>
      </c>
      <c r="D33" s="31">
        <f>Simulation_output!A31</f>
        <v>295000</v>
      </c>
      <c r="E33">
        <f>Sheet2!R30</f>
        <v>0</v>
      </c>
      <c r="F33">
        <f>Sheet2!S30</f>
        <v>0</v>
      </c>
      <c r="G33">
        <f>Sheet2!T30</f>
        <v>0</v>
      </c>
      <c r="H33" s="31">
        <f>Simulation_output!E31</f>
        <v>1</v>
      </c>
      <c r="I33" s="31">
        <f>Simulation_output!F31</f>
        <v>0</v>
      </c>
      <c r="J33" s="31">
        <f>Simulation_output!G31</f>
        <v>0</v>
      </c>
      <c r="K33" s="31">
        <f>Simulation_output!H31</f>
        <v>0</v>
      </c>
      <c r="L33">
        <v>1</v>
      </c>
      <c r="M33">
        <f t="shared" si="19"/>
        <v>0</v>
      </c>
      <c r="N33">
        <f t="shared" si="9"/>
        <v>0</v>
      </c>
      <c r="O33">
        <f t="shared" si="8"/>
        <v>0</v>
      </c>
      <c r="P33">
        <f t="shared" si="20"/>
        <v>0</v>
      </c>
      <c r="Q33">
        <f t="shared" si="7"/>
        <v>0</v>
      </c>
      <c r="R33">
        <f t="shared" si="10"/>
        <v>0</v>
      </c>
      <c r="S33">
        <f t="shared" si="11"/>
        <v>0</v>
      </c>
      <c r="T33">
        <f t="shared" si="12"/>
        <v>0</v>
      </c>
      <c r="U33">
        <f t="shared" si="13"/>
        <v>0</v>
      </c>
      <c r="V33">
        <f t="shared" si="14"/>
        <v>0</v>
      </c>
      <c r="W33">
        <f t="shared" si="15"/>
        <v>0</v>
      </c>
      <c r="X33">
        <f t="shared" si="16"/>
        <v>0</v>
      </c>
      <c r="Y33">
        <f t="shared" si="17"/>
        <v>0</v>
      </c>
      <c r="Z33">
        <f t="shared" si="18"/>
        <v>0</v>
      </c>
      <c r="AB33">
        <v>29</v>
      </c>
      <c r="AC33">
        <f t="shared" si="5"/>
        <v>0</v>
      </c>
      <c r="AD33">
        <f t="shared" si="4"/>
        <v>0</v>
      </c>
    </row>
    <row r="34" spans="3:30" x14ac:dyDescent="0.25">
      <c r="C34" s="3">
        <v>1</v>
      </c>
      <c r="D34" s="31">
        <f>Simulation_output!A32</f>
        <v>305000</v>
      </c>
      <c r="E34">
        <f>Sheet2!R31</f>
        <v>10011</v>
      </c>
      <c r="F34">
        <f>Sheet2!S31</f>
        <v>1</v>
      </c>
      <c r="G34">
        <f>Sheet2!T31</f>
        <v>1</v>
      </c>
      <c r="H34" s="31">
        <f>Simulation_output!E32</f>
        <v>1</v>
      </c>
      <c r="I34" s="31">
        <f>Simulation_output!F32</f>
        <v>0</v>
      </c>
      <c r="J34" s="31">
        <f>Simulation_output!G32</f>
        <v>0</v>
      </c>
      <c r="K34" s="31">
        <f>Simulation_output!H32</f>
        <v>0</v>
      </c>
      <c r="L34">
        <v>1</v>
      </c>
      <c r="M34">
        <f t="shared" si="19"/>
        <v>0</v>
      </c>
      <c r="N34">
        <f t="shared" si="9"/>
        <v>0</v>
      </c>
      <c r="O34">
        <f t="shared" si="8"/>
        <v>0</v>
      </c>
      <c r="P34">
        <f t="shared" si="20"/>
        <v>0</v>
      </c>
      <c r="Q34">
        <f t="shared" si="7"/>
        <v>0</v>
      </c>
      <c r="R34">
        <f t="shared" si="10"/>
        <v>0</v>
      </c>
      <c r="S34">
        <f t="shared" si="11"/>
        <v>0</v>
      </c>
      <c r="T34">
        <f t="shared" si="12"/>
        <v>0</v>
      </c>
      <c r="U34">
        <f t="shared" si="13"/>
        <v>0</v>
      </c>
      <c r="V34">
        <f t="shared" si="14"/>
        <v>0</v>
      </c>
      <c r="W34">
        <f t="shared" si="15"/>
        <v>0</v>
      </c>
      <c r="X34">
        <f t="shared" si="16"/>
        <v>0</v>
      </c>
      <c r="Y34">
        <f t="shared" si="17"/>
        <v>0</v>
      </c>
      <c r="Z34">
        <f t="shared" si="18"/>
        <v>0</v>
      </c>
      <c r="AB34">
        <v>30</v>
      </c>
      <c r="AC34">
        <f t="shared" si="5"/>
        <v>0</v>
      </c>
      <c r="AD34">
        <f t="shared" si="4"/>
        <v>0</v>
      </c>
    </row>
    <row r="35" spans="3:30" x14ac:dyDescent="0.25">
      <c r="C35" s="3">
        <v>1</v>
      </c>
      <c r="D35" s="31">
        <f>Simulation_output!A33</f>
        <v>315000</v>
      </c>
      <c r="E35">
        <f>Sheet2!R32</f>
        <v>0</v>
      </c>
      <c r="F35">
        <f>Sheet2!S32</f>
        <v>0</v>
      </c>
      <c r="G35">
        <f>Sheet2!T32</f>
        <v>0</v>
      </c>
      <c r="H35" s="31">
        <f>Simulation_output!E33</f>
        <v>1</v>
      </c>
      <c r="I35" s="31">
        <f>Simulation_output!F33</f>
        <v>0</v>
      </c>
      <c r="J35" s="31">
        <f>Simulation_output!G33</f>
        <v>0</v>
      </c>
      <c r="K35" s="31">
        <f>Simulation_output!H33</f>
        <v>0</v>
      </c>
      <c r="L35">
        <v>1</v>
      </c>
      <c r="M35">
        <f t="shared" si="19"/>
        <v>0</v>
      </c>
      <c r="N35">
        <f t="shared" si="9"/>
        <v>0</v>
      </c>
      <c r="O35">
        <f t="shared" si="8"/>
        <v>0</v>
      </c>
      <c r="P35">
        <f t="shared" si="20"/>
        <v>0</v>
      </c>
      <c r="Q35">
        <f t="shared" si="7"/>
        <v>0</v>
      </c>
      <c r="R35">
        <f t="shared" si="10"/>
        <v>0</v>
      </c>
      <c r="S35">
        <f t="shared" si="11"/>
        <v>0</v>
      </c>
      <c r="T35">
        <f t="shared" si="12"/>
        <v>0</v>
      </c>
      <c r="U35">
        <f t="shared" si="13"/>
        <v>0</v>
      </c>
      <c r="V35">
        <f t="shared" si="14"/>
        <v>0</v>
      </c>
      <c r="W35">
        <f t="shared" si="15"/>
        <v>0</v>
      </c>
      <c r="X35">
        <f t="shared" si="16"/>
        <v>0</v>
      </c>
      <c r="Y35">
        <f t="shared" si="17"/>
        <v>0</v>
      </c>
      <c r="Z35">
        <f t="shared" si="18"/>
        <v>0</v>
      </c>
      <c r="AB35">
        <v>31</v>
      </c>
      <c r="AC35">
        <f t="shared" si="5"/>
        <v>0</v>
      </c>
      <c r="AD35">
        <f t="shared" si="4"/>
        <v>0</v>
      </c>
    </row>
    <row r="36" spans="3:30" x14ac:dyDescent="0.25">
      <c r="C36" s="3">
        <v>1</v>
      </c>
      <c r="D36" s="31">
        <f>Simulation_output!A34</f>
        <v>325000</v>
      </c>
      <c r="E36">
        <f>Sheet2!R33</f>
        <v>0</v>
      </c>
      <c r="F36">
        <f>Sheet2!S33</f>
        <v>1</v>
      </c>
      <c r="G36">
        <f>Sheet2!T33</f>
        <v>0</v>
      </c>
      <c r="H36" s="31">
        <f>Simulation_output!E34</f>
        <v>1</v>
      </c>
      <c r="I36" s="31">
        <f>Simulation_output!F34</f>
        <v>0</v>
      </c>
      <c r="J36" s="31">
        <f>Simulation_output!G34</f>
        <v>0</v>
      </c>
      <c r="K36" s="31">
        <f>Simulation_output!H34</f>
        <v>0</v>
      </c>
      <c r="L36">
        <v>1</v>
      </c>
      <c r="M36">
        <f t="shared" si="19"/>
        <v>0</v>
      </c>
      <c r="N36">
        <f t="shared" si="9"/>
        <v>0</v>
      </c>
      <c r="O36">
        <f t="shared" si="8"/>
        <v>0</v>
      </c>
      <c r="P36">
        <f t="shared" si="20"/>
        <v>0</v>
      </c>
      <c r="Q36">
        <f t="shared" si="7"/>
        <v>0</v>
      </c>
      <c r="R36">
        <f t="shared" si="10"/>
        <v>0</v>
      </c>
      <c r="S36">
        <f t="shared" si="11"/>
        <v>0</v>
      </c>
      <c r="T36">
        <f t="shared" si="12"/>
        <v>0</v>
      </c>
      <c r="U36">
        <f t="shared" si="13"/>
        <v>0</v>
      </c>
      <c r="V36">
        <f t="shared" si="14"/>
        <v>0</v>
      </c>
      <c r="W36">
        <f t="shared" si="15"/>
        <v>0</v>
      </c>
      <c r="X36">
        <f t="shared" si="16"/>
        <v>0</v>
      </c>
      <c r="Y36">
        <f t="shared" si="17"/>
        <v>0</v>
      </c>
      <c r="Z36">
        <f t="shared" si="18"/>
        <v>0</v>
      </c>
      <c r="AB36">
        <v>32</v>
      </c>
      <c r="AC36">
        <f t="shared" si="5"/>
        <v>0</v>
      </c>
      <c r="AD36">
        <f t="shared" si="4"/>
        <v>0</v>
      </c>
    </row>
    <row r="37" spans="3:30" x14ac:dyDescent="0.25">
      <c r="C37" s="3">
        <v>1</v>
      </c>
      <c r="D37" s="31">
        <f>Simulation_output!A35</f>
        <v>335000</v>
      </c>
      <c r="E37">
        <f>Sheet2!R34</f>
        <v>0</v>
      </c>
      <c r="F37">
        <f>Sheet2!S34</f>
        <v>0</v>
      </c>
      <c r="G37">
        <f>Sheet2!T34</f>
        <v>0</v>
      </c>
      <c r="H37" s="31">
        <f>Simulation_output!E35</f>
        <v>1</v>
      </c>
      <c r="I37" s="31">
        <f>Simulation_output!F35</f>
        <v>0</v>
      </c>
      <c r="J37" s="31">
        <f>Simulation_output!G35</f>
        <v>0</v>
      </c>
      <c r="K37" s="31">
        <f>Simulation_output!H35</f>
        <v>0</v>
      </c>
      <c r="L37">
        <v>1</v>
      </c>
      <c r="M37">
        <f t="shared" si="19"/>
        <v>0</v>
      </c>
      <c r="N37">
        <f t="shared" si="9"/>
        <v>0</v>
      </c>
      <c r="O37">
        <f t="shared" si="8"/>
        <v>0</v>
      </c>
      <c r="P37">
        <f t="shared" si="20"/>
        <v>0</v>
      </c>
      <c r="Q37">
        <f t="shared" si="7"/>
        <v>0</v>
      </c>
      <c r="R37">
        <f t="shared" si="10"/>
        <v>0</v>
      </c>
      <c r="S37">
        <f t="shared" si="11"/>
        <v>0</v>
      </c>
      <c r="T37">
        <f t="shared" si="12"/>
        <v>0</v>
      </c>
      <c r="U37">
        <f t="shared" si="13"/>
        <v>0</v>
      </c>
      <c r="V37">
        <f t="shared" si="14"/>
        <v>0</v>
      </c>
      <c r="W37">
        <f t="shared" si="15"/>
        <v>0</v>
      </c>
      <c r="X37">
        <f t="shared" si="16"/>
        <v>0</v>
      </c>
      <c r="Y37">
        <f t="shared" si="17"/>
        <v>0</v>
      </c>
      <c r="Z37">
        <f t="shared" si="18"/>
        <v>0</v>
      </c>
      <c r="AB37">
        <v>33</v>
      </c>
      <c r="AC37">
        <f t="shared" si="5"/>
        <v>0</v>
      </c>
      <c r="AD37">
        <f t="shared" si="4"/>
        <v>0</v>
      </c>
    </row>
    <row r="38" spans="3:30" x14ac:dyDescent="0.25">
      <c r="C38" s="3">
        <v>1</v>
      </c>
      <c r="D38" s="31">
        <f>Simulation_output!A36</f>
        <v>345000</v>
      </c>
      <c r="E38">
        <f>Sheet2!R35</f>
        <v>5</v>
      </c>
      <c r="F38">
        <f>Sheet2!S35</f>
        <v>1</v>
      </c>
      <c r="G38">
        <f>Sheet2!T35</f>
        <v>0</v>
      </c>
      <c r="H38" s="31">
        <f>Simulation_output!E36</f>
        <v>1</v>
      </c>
      <c r="I38" s="31">
        <f>Simulation_output!F36</f>
        <v>0</v>
      </c>
      <c r="J38" s="31">
        <f>Simulation_output!G36</f>
        <v>0</v>
      </c>
      <c r="K38" s="31">
        <f>Simulation_output!H36</f>
        <v>0</v>
      </c>
      <c r="L38">
        <v>1</v>
      </c>
      <c r="M38">
        <f t="shared" si="19"/>
        <v>0</v>
      </c>
      <c r="N38">
        <f t="shared" si="9"/>
        <v>0</v>
      </c>
      <c r="O38">
        <f t="shared" si="8"/>
        <v>0</v>
      </c>
      <c r="P38">
        <f t="shared" si="20"/>
        <v>0</v>
      </c>
      <c r="Q38">
        <f t="shared" si="7"/>
        <v>0</v>
      </c>
      <c r="R38">
        <f t="shared" si="10"/>
        <v>0</v>
      </c>
      <c r="S38">
        <f t="shared" si="11"/>
        <v>0</v>
      </c>
      <c r="T38">
        <f t="shared" si="12"/>
        <v>0</v>
      </c>
      <c r="U38">
        <f t="shared" si="13"/>
        <v>0</v>
      </c>
      <c r="V38">
        <f t="shared" si="14"/>
        <v>0</v>
      </c>
      <c r="W38">
        <f t="shared" si="15"/>
        <v>0</v>
      </c>
      <c r="X38">
        <f t="shared" si="16"/>
        <v>0</v>
      </c>
      <c r="Y38">
        <f t="shared" si="17"/>
        <v>0</v>
      </c>
      <c r="Z38">
        <f t="shared" si="18"/>
        <v>0</v>
      </c>
      <c r="AB38">
        <v>34</v>
      </c>
      <c r="AC38">
        <f t="shared" si="5"/>
        <v>0</v>
      </c>
      <c r="AD38">
        <f t="shared" si="4"/>
        <v>0</v>
      </c>
    </row>
    <row r="39" spans="3:30" x14ac:dyDescent="0.25">
      <c r="C39" s="3">
        <v>0</v>
      </c>
      <c r="D39" s="31">
        <f>Simulation_output!A37</f>
        <v>355000</v>
      </c>
      <c r="E39">
        <f>Sheet2!R36</f>
        <v>0</v>
      </c>
      <c r="F39">
        <f>Sheet2!S36</f>
        <v>0</v>
      </c>
      <c r="G39">
        <f>Sheet2!T36</f>
        <v>0</v>
      </c>
      <c r="H39" s="31">
        <f>Simulation_output!E37</f>
        <v>1</v>
      </c>
      <c r="I39" s="31">
        <f>Simulation_output!F37</f>
        <v>0</v>
      </c>
      <c r="J39" s="31">
        <f>Simulation_output!G37</f>
        <v>0</v>
      </c>
      <c r="K39" s="31">
        <f>Simulation_output!H37</f>
        <v>0</v>
      </c>
      <c r="L39">
        <v>1</v>
      </c>
      <c r="M39">
        <f t="shared" si="19"/>
        <v>0</v>
      </c>
      <c r="N39">
        <f t="shared" si="9"/>
        <v>0</v>
      </c>
      <c r="O39">
        <f t="shared" si="8"/>
        <v>0</v>
      </c>
      <c r="P39">
        <f t="shared" si="20"/>
        <v>0</v>
      </c>
      <c r="Q39">
        <f t="shared" si="7"/>
        <v>0</v>
      </c>
      <c r="R39">
        <f t="shared" si="10"/>
        <v>0</v>
      </c>
      <c r="S39">
        <f t="shared" si="11"/>
        <v>0</v>
      </c>
      <c r="T39">
        <f t="shared" si="12"/>
        <v>0</v>
      </c>
      <c r="U39">
        <f t="shared" si="13"/>
        <v>0</v>
      </c>
      <c r="V39">
        <f t="shared" si="14"/>
        <v>0</v>
      </c>
      <c r="W39">
        <f t="shared" si="15"/>
        <v>0</v>
      </c>
      <c r="X39">
        <f t="shared" si="16"/>
        <v>0</v>
      </c>
      <c r="Y39">
        <f t="shared" si="17"/>
        <v>0</v>
      </c>
      <c r="Z39">
        <f t="shared" si="18"/>
        <v>0</v>
      </c>
      <c r="AB39">
        <v>35</v>
      </c>
      <c r="AC39">
        <f t="shared" si="5"/>
        <v>0</v>
      </c>
      <c r="AD39">
        <f t="shared" si="4"/>
        <v>0</v>
      </c>
    </row>
    <row r="40" spans="3:30" x14ac:dyDescent="0.25">
      <c r="C40" s="3">
        <v>0</v>
      </c>
      <c r="D40" s="31">
        <f>Simulation_output!A38</f>
        <v>365000</v>
      </c>
      <c r="E40">
        <f>Sheet2!R37</f>
        <v>12</v>
      </c>
      <c r="F40">
        <f>Sheet2!S37</f>
        <v>1</v>
      </c>
      <c r="G40">
        <f>Sheet2!T37</f>
        <v>0</v>
      </c>
      <c r="H40" s="31">
        <f>Simulation_output!E38</f>
        <v>1</v>
      </c>
      <c r="I40" s="31">
        <f>Simulation_output!F38</f>
        <v>0</v>
      </c>
      <c r="J40" s="31">
        <f>Simulation_output!G38</f>
        <v>0</v>
      </c>
      <c r="K40" s="31">
        <f>Simulation_output!H38</f>
        <v>0</v>
      </c>
      <c r="L40">
        <v>1</v>
      </c>
      <c r="M40">
        <f t="shared" si="19"/>
        <v>0</v>
      </c>
      <c r="N40">
        <f t="shared" si="9"/>
        <v>0</v>
      </c>
      <c r="O40">
        <f t="shared" si="8"/>
        <v>0</v>
      </c>
      <c r="P40">
        <f t="shared" si="20"/>
        <v>0</v>
      </c>
      <c r="Q40">
        <f t="shared" si="7"/>
        <v>0</v>
      </c>
      <c r="R40">
        <f t="shared" si="10"/>
        <v>0</v>
      </c>
      <c r="S40">
        <f t="shared" si="11"/>
        <v>0</v>
      </c>
      <c r="T40">
        <f t="shared" si="12"/>
        <v>0</v>
      </c>
      <c r="U40">
        <f t="shared" si="13"/>
        <v>0</v>
      </c>
      <c r="V40">
        <f t="shared" si="14"/>
        <v>0</v>
      </c>
      <c r="W40">
        <f t="shared" si="15"/>
        <v>0</v>
      </c>
      <c r="X40">
        <f t="shared" si="16"/>
        <v>0</v>
      </c>
      <c r="Y40">
        <f t="shared" si="17"/>
        <v>0</v>
      </c>
      <c r="Z40">
        <f t="shared" si="18"/>
        <v>0</v>
      </c>
      <c r="AB40">
        <v>36</v>
      </c>
      <c r="AC40">
        <f t="shared" si="5"/>
        <v>0</v>
      </c>
      <c r="AD40">
        <f t="shared" si="4"/>
        <v>0</v>
      </c>
    </row>
    <row r="41" spans="3:30" x14ac:dyDescent="0.25">
      <c r="C41" s="3">
        <v>0</v>
      </c>
      <c r="D41" s="31">
        <f>Simulation_output!A39</f>
        <v>375000</v>
      </c>
      <c r="E41">
        <f>Sheet2!R38</f>
        <v>0</v>
      </c>
      <c r="F41">
        <f>Sheet2!S38</f>
        <v>0</v>
      </c>
      <c r="G41">
        <f>Sheet2!T38</f>
        <v>0</v>
      </c>
      <c r="H41" s="31">
        <f>Simulation_output!E39</f>
        <v>1</v>
      </c>
      <c r="I41" s="31">
        <f>Simulation_output!F39</f>
        <v>0</v>
      </c>
      <c r="J41" s="31">
        <f>Simulation_output!G39</f>
        <v>0</v>
      </c>
      <c r="K41" s="31">
        <f>Simulation_output!H39</f>
        <v>0</v>
      </c>
      <c r="L41">
        <v>1</v>
      </c>
      <c r="M41">
        <f t="shared" si="19"/>
        <v>0</v>
      </c>
      <c r="N41">
        <f t="shared" si="9"/>
        <v>0</v>
      </c>
      <c r="O41">
        <f t="shared" si="8"/>
        <v>0</v>
      </c>
      <c r="P41">
        <f t="shared" si="20"/>
        <v>0</v>
      </c>
      <c r="Q41">
        <f t="shared" si="7"/>
        <v>0</v>
      </c>
      <c r="R41">
        <f t="shared" si="10"/>
        <v>0</v>
      </c>
      <c r="S41">
        <f t="shared" si="11"/>
        <v>0</v>
      </c>
      <c r="T41">
        <f t="shared" si="12"/>
        <v>0</v>
      </c>
      <c r="U41">
        <f t="shared" si="13"/>
        <v>0</v>
      </c>
      <c r="V41">
        <f t="shared" si="14"/>
        <v>0</v>
      </c>
      <c r="W41">
        <f t="shared" si="15"/>
        <v>0</v>
      </c>
      <c r="X41">
        <f t="shared" si="16"/>
        <v>0</v>
      </c>
      <c r="Y41">
        <f t="shared" si="17"/>
        <v>0</v>
      </c>
      <c r="Z41">
        <f t="shared" si="18"/>
        <v>0</v>
      </c>
      <c r="AB41">
        <v>37</v>
      </c>
      <c r="AC41">
        <f t="shared" si="5"/>
        <v>0</v>
      </c>
      <c r="AD41">
        <f t="shared" si="4"/>
        <v>0</v>
      </c>
    </row>
    <row r="42" spans="3:30" x14ac:dyDescent="0.25">
      <c r="C42" s="3"/>
      <c r="D42" s="31">
        <f>Simulation_output!A40</f>
        <v>385000</v>
      </c>
      <c r="E42">
        <f>Sheet2!R39</f>
        <v>112</v>
      </c>
      <c r="F42">
        <f>Sheet2!S39</f>
        <v>1</v>
      </c>
      <c r="G42">
        <f>Sheet2!T39</f>
        <v>0</v>
      </c>
      <c r="H42" s="31">
        <f>Simulation_output!E40</f>
        <v>1</v>
      </c>
      <c r="I42" s="31">
        <f>Simulation_output!F40</f>
        <v>0</v>
      </c>
      <c r="J42" s="31">
        <f>Simulation_output!G40</f>
        <v>0</v>
      </c>
      <c r="K42" s="31">
        <f>Simulation_output!H40</f>
        <v>0</v>
      </c>
      <c r="L42">
        <v>1</v>
      </c>
      <c r="M42">
        <f t="shared" si="19"/>
        <v>0</v>
      </c>
      <c r="N42">
        <f t="shared" si="9"/>
        <v>0</v>
      </c>
      <c r="O42">
        <f t="shared" si="8"/>
        <v>0</v>
      </c>
      <c r="P42">
        <f t="shared" si="20"/>
        <v>0</v>
      </c>
      <c r="Q42">
        <f t="shared" si="7"/>
        <v>0</v>
      </c>
      <c r="R42">
        <f t="shared" si="10"/>
        <v>0</v>
      </c>
      <c r="S42">
        <f t="shared" si="11"/>
        <v>0</v>
      </c>
      <c r="T42">
        <f t="shared" si="12"/>
        <v>0</v>
      </c>
      <c r="U42">
        <f t="shared" si="13"/>
        <v>0</v>
      </c>
      <c r="V42">
        <f t="shared" si="14"/>
        <v>0</v>
      </c>
      <c r="W42">
        <f t="shared" si="15"/>
        <v>0</v>
      </c>
      <c r="X42">
        <f t="shared" si="16"/>
        <v>0</v>
      </c>
      <c r="Y42">
        <f t="shared" si="17"/>
        <v>0</v>
      </c>
      <c r="Z42">
        <f t="shared" si="18"/>
        <v>0</v>
      </c>
      <c r="AB42">
        <v>38</v>
      </c>
      <c r="AC42">
        <f t="shared" si="5"/>
        <v>0</v>
      </c>
      <c r="AD42">
        <f t="shared" si="4"/>
        <v>0</v>
      </c>
    </row>
    <row r="43" spans="3:30" x14ac:dyDescent="0.25">
      <c r="C43" s="3"/>
      <c r="D43" s="31">
        <f>Simulation_output!A41</f>
        <v>395000</v>
      </c>
      <c r="E43">
        <f>Sheet2!R40</f>
        <v>0</v>
      </c>
      <c r="F43">
        <f>Sheet2!S40</f>
        <v>0</v>
      </c>
      <c r="G43">
        <f>Sheet2!T40</f>
        <v>0</v>
      </c>
      <c r="H43" s="31">
        <f>Simulation_output!E41</f>
        <v>1</v>
      </c>
      <c r="I43" s="31">
        <f>Simulation_output!F41</f>
        <v>0</v>
      </c>
      <c r="J43" s="31">
        <f>Simulation_output!G41</f>
        <v>0</v>
      </c>
      <c r="K43" s="31">
        <f>Simulation_output!H41</f>
        <v>0</v>
      </c>
      <c r="L43">
        <v>1</v>
      </c>
      <c r="M43">
        <f t="shared" si="19"/>
        <v>0</v>
      </c>
      <c r="N43">
        <f t="shared" si="9"/>
        <v>0</v>
      </c>
      <c r="O43">
        <f t="shared" si="8"/>
        <v>0</v>
      </c>
      <c r="P43">
        <f t="shared" si="20"/>
        <v>0</v>
      </c>
      <c r="Q43">
        <f t="shared" si="7"/>
        <v>0</v>
      </c>
      <c r="R43">
        <f t="shared" si="10"/>
        <v>0</v>
      </c>
      <c r="S43">
        <f t="shared" si="11"/>
        <v>0</v>
      </c>
      <c r="T43">
        <f t="shared" si="12"/>
        <v>0</v>
      </c>
      <c r="U43">
        <f t="shared" si="13"/>
        <v>0</v>
      </c>
      <c r="V43">
        <f t="shared" si="14"/>
        <v>0</v>
      </c>
      <c r="W43">
        <f t="shared" si="15"/>
        <v>0</v>
      </c>
      <c r="X43">
        <f t="shared" si="16"/>
        <v>0</v>
      </c>
      <c r="Y43">
        <f t="shared" si="17"/>
        <v>0</v>
      </c>
      <c r="Z43">
        <f t="shared" si="18"/>
        <v>0</v>
      </c>
      <c r="AB43">
        <v>39</v>
      </c>
      <c r="AC43">
        <f t="shared" si="5"/>
        <v>0</v>
      </c>
      <c r="AD43">
        <f t="shared" si="4"/>
        <v>0</v>
      </c>
    </row>
    <row r="44" spans="3:30" x14ac:dyDescent="0.25">
      <c r="C44" s="3"/>
      <c r="D44" s="31">
        <f>Simulation_output!A42</f>
        <v>405000</v>
      </c>
      <c r="E44">
        <f>Sheet2!R41</f>
        <v>1012</v>
      </c>
      <c r="F44">
        <f>Sheet2!S41</f>
        <v>1</v>
      </c>
      <c r="G44">
        <f>Sheet2!T41</f>
        <v>0</v>
      </c>
      <c r="H44" s="31">
        <f>Simulation_output!E42</f>
        <v>1</v>
      </c>
      <c r="I44" s="31">
        <f>Simulation_output!F42</f>
        <v>0</v>
      </c>
      <c r="J44" s="31">
        <f>Simulation_output!G42</f>
        <v>0</v>
      </c>
      <c r="K44" s="31">
        <f>Simulation_output!H42</f>
        <v>0</v>
      </c>
      <c r="L44">
        <v>1</v>
      </c>
      <c r="M44">
        <f t="shared" si="19"/>
        <v>0</v>
      </c>
      <c r="N44">
        <f t="shared" si="9"/>
        <v>0</v>
      </c>
      <c r="O44">
        <f t="shared" si="8"/>
        <v>0</v>
      </c>
      <c r="P44">
        <f t="shared" si="20"/>
        <v>0</v>
      </c>
      <c r="Q44">
        <f t="shared" si="7"/>
        <v>0</v>
      </c>
      <c r="R44">
        <f t="shared" si="10"/>
        <v>0</v>
      </c>
      <c r="S44">
        <f t="shared" si="11"/>
        <v>0</v>
      </c>
      <c r="T44">
        <f t="shared" si="12"/>
        <v>0</v>
      </c>
      <c r="U44">
        <f t="shared" si="13"/>
        <v>0</v>
      </c>
      <c r="V44">
        <f t="shared" si="14"/>
        <v>0</v>
      </c>
      <c r="W44">
        <f t="shared" si="15"/>
        <v>0</v>
      </c>
      <c r="X44">
        <f t="shared" si="16"/>
        <v>0</v>
      </c>
      <c r="Y44">
        <f t="shared" si="17"/>
        <v>0</v>
      </c>
      <c r="Z44">
        <f t="shared" si="18"/>
        <v>0</v>
      </c>
      <c r="AB44">
        <v>40</v>
      </c>
      <c r="AC44">
        <f t="shared" si="5"/>
        <v>0</v>
      </c>
      <c r="AD44">
        <f t="shared" si="4"/>
        <v>0</v>
      </c>
    </row>
    <row r="45" spans="3:30" x14ac:dyDescent="0.25">
      <c r="C45" s="3"/>
      <c r="D45" s="31">
        <f>Simulation_output!A43</f>
        <v>415000</v>
      </c>
      <c r="E45">
        <f>Sheet2!R42</f>
        <v>0</v>
      </c>
      <c r="F45">
        <f>Sheet2!S42</f>
        <v>0</v>
      </c>
      <c r="G45">
        <f>Sheet2!T42</f>
        <v>0</v>
      </c>
      <c r="H45" s="31">
        <f>Simulation_output!E43</f>
        <v>1</v>
      </c>
      <c r="I45" s="31">
        <f>Simulation_output!F43</f>
        <v>0</v>
      </c>
      <c r="J45" s="31">
        <f>Simulation_output!G43</f>
        <v>0</v>
      </c>
      <c r="K45" s="31">
        <f>Simulation_output!H43</f>
        <v>0</v>
      </c>
      <c r="L45">
        <v>1</v>
      </c>
      <c r="M45">
        <f t="shared" si="19"/>
        <v>0</v>
      </c>
      <c r="N45">
        <f t="shared" si="9"/>
        <v>0</v>
      </c>
      <c r="O45">
        <f t="shared" si="8"/>
        <v>0</v>
      </c>
      <c r="P45">
        <f t="shared" si="20"/>
        <v>0</v>
      </c>
      <c r="Q45">
        <f t="shared" si="7"/>
        <v>0</v>
      </c>
      <c r="R45">
        <f t="shared" si="10"/>
        <v>0</v>
      </c>
      <c r="S45">
        <f t="shared" si="11"/>
        <v>0</v>
      </c>
      <c r="T45">
        <f t="shared" si="12"/>
        <v>0</v>
      </c>
      <c r="U45">
        <f t="shared" si="13"/>
        <v>0</v>
      </c>
      <c r="V45">
        <f t="shared" si="14"/>
        <v>0</v>
      </c>
      <c r="W45">
        <f t="shared" si="15"/>
        <v>0</v>
      </c>
      <c r="X45">
        <f t="shared" si="16"/>
        <v>0</v>
      </c>
      <c r="Y45">
        <f t="shared" si="17"/>
        <v>0</v>
      </c>
      <c r="Z45">
        <f t="shared" si="18"/>
        <v>0</v>
      </c>
      <c r="AB45">
        <v>41</v>
      </c>
      <c r="AC45">
        <f t="shared" si="5"/>
        <v>0</v>
      </c>
      <c r="AD45">
        <f t="shared" si="4"/>
        <v>0</v>
      </c>
    </row>
    <row r="46" spans="3:30" x14ac:dyDescent="0.25">
      <c r="C46" s="3"/>
      <c r="D46" s="31">
        <f>Simulation_output!A44</f>
        <v>425000</v>
      </c>
      <c r="E46">
        <f>Sheet2!R43</f>
        <v>10012</v>
      </c>
      <c r="F46">
        <f>Sheet2!S43</f>
        <v>1</v>
      </c>
      <c r="G46">
        <f>Sheet2!T43</f>
        <v>1</v>
      </c>
      <c r="H46" s="31">
        <f>Simulation_output!E44</f>
        <v>1</v>
      </c>
      <c r="I46" s="31">
        <f>Simulation_output!F44</f>
        <v>0</v>
      </c>
      <c r="J46" s="31">
        <f>Simulation_output!G44</f>
        <v>0</v>
      </c>
      <c r="K46" s="31">
        <f>Simulation_output!H44</f>
        <v>0</v>
      </c>
      <c r="L46">
        <v>1</v>
      </c>
      <c r="M46">
        <f t="shared" si="19"/>
        <v>0</v>
      </c>
      <c r="N46">
        <f t="shared" si="9"/>
        <v>0</v>
      </c>
      <c r="O46">
        <f t="shared" si="8"/>
        <v>0</v>
      </c>
      <c r="P46">
        <f t="shared" si="20"/>
        <v>0</v>
      </c>
      <c r="Q46">
        <f t="shared" si="7"/>
        <v>0</v>
      </c>
      <c r="R46">
        <f t="shared" si="10"/>
        <v>0</v>
      </c>
      <c r="S46">
        <f t="shared" si="11"/>
        <v>0</v>
      </c>
      <c r="T46">
        <f t="shared" si="12"/>
        <v>0</v>
      </c>
      <c r="U46">
        <f t="shared" si="13"/>
        <v>0</v>
      </c>
      <c r="V46">
        <f t="shared" si="14"/>
        <v>0</v>
      </c>
      <c r="W46">
        <f t="shared" si="15"/>
        <v>0</v>
      </c>
      <c r="X46">
        <f t="shared" si="16"/>
        <v>0</v>
      </c>
      <c r="Y46">
        <f t="shared" si="17"/>
        <v>0</v>
      </c>
      <c r="Z46">
        <f t="shared" si="18"/>
        <v>0</v>
      </c>
      <c r="AB46">
        <v>42</v>
      </c>
      <c r="AC46">
        <f t="shared" si="5"/>
        <v>0</v>
      </c>
      <c r="AD46">
        <f t="shared" si="4"/>
        <v>0</v>
      </c>
    </row>
    <row r="47" spans="3:30" x14ac:dyDescent="0.25">
      <c r="C47" s="3"/>
      <c r="D47" s="31">
        <f>Simulation_output!A45</f>
        <v>435000</v>
      </c>
      <c r="E47">
        <f>Sheet2!R44</f>
        <v>0</v>
      </c>
      <c r="F47">
        <f>Sheet2!S44</f>
        <v>0</v>
      </c>
      <c r="G47">
        <f>Sheet2!T44</f>
        <v>0</v>
      </c>
      <c r="H47" s="31">
        <f>Simulation_output!E45</f>
        <v>1</v>
      </c>
      <c r="I47" s="31">
        <f>Simulation_output!F45</f>
        <v>0</v>
      </c>
      <c r="J47" s="31">
        <f>Simulation_output!G45</f>
        <v>0</v>
      </c>
      <c r="K47" s="31">
        <f>Simulation_output!H45</f>
        <v>0</v>
      </c>
      <c r="L47">
        <v>1</v>
      </c>
      <c r="M47">
        <f t="shared" si="19"/>
        <v>0</v>
      </c>
      <c r="N47">
        <f t="shared" si="9"/>
        <v>0</v>
      </c>
      <c r="O47">
        <f t="shared" si="8"/>
        <v>0</v>
      </c>
      <c r="P47">
        <f t="shared" si="20"/>
        <v>0</v>
      </c>
      <c r="Q47">
        <f t="shared" si="7"/>
        <v>0</v>
      </c>
      <c r="R47">
        <f t="shared" si="10"/>
        <v>0</v>
      </c>
      <c r="S47">
        <f t="shared" si="11"/>
        <v>0</v>
      </c>
      <c r="T47">
        <f t="shared" si="12"/>
        <v>0</v>
      </c>
      <c r="U47">
        <f t="shared" si="13"/>
        <v>0</v>
      </c>
      <c r="V47">
        <f t="shared" si="14"/>
        <v>0</v>
      </c>
      <c r="W47">
        <f t="shared" si="15"/>
        <v>0</v>
      </c>
      <c r="X47">
        <f t="shared" si="16"/>
        <v>0</v>
      </c>
      <c r="Y47">
        <f t="shared" si="17"/>
        <v>0</v>
      </c>
      <c r="Z47">
        <f t="shared" si="18"/>
        <v>0</v>
      </c>
      <c r="AB47">
        <v>43</v>
      </c>
      <c r="AC47">
        <f t="shared" si="5"/>
        <v>0</v>
      </c>
      <c r="AD47">
        <f t="shared" si="4"/>
        <v>0</v>
      </c>
    </row>
    <row r="48" spans="3:30" x14ac:dyDescent="0.25">
      <c r="C48" s="3"/>
      <c r="D48" s="31">
        <f>Simulation_output!A46</f>
        <v>445000</v>
      </c>
      <c r="E48">
        <f>Sheet2!R45</f>
        <v>0</v>
      </c>
      <c r="F48">
        <f>Sheet2!S45</f>
        <v>1</v>
      </c>
      <c r="G48">
        <f>Sheet2!T45</f>
        <v>0</v>
      </c>
      <c r="H48" s="31">
        <f>Simulation_output!E46</f>
        <v>1</v>
      </c>
      <c r="I48" s="31">
        <f>Simulation_output!F46</f>
        <v>0</v>
      </c>
      <c r="J48" s="31">
        <f>Simulation_output!G46</f>
        <v>0</v>
      </c>
      <c r="K48" s="31">
        <f>Simulation_output!H46</f>
        <v>0</v>
      </c>
      <c r="L48">
        <v>1</v>
      </c>
      <c r="M48">
        <f t="shared" si="19"/>
        <v>0</v>
      </c>
      <c r="N48">
        <f t="shared" si="9"/>
        <v>0</v>
      </c>
      <c r="O48">
        <f t="shared" si="8"/>
        <v>0</v>
      </c>
      <c r="P48">
        <f t="shared" si="20"/>
        <v>0</v>
      </c>
      <c r="Q48">
        <f t="shared" si="7"/>
        <v>0</v>
      </c>
      <c r="R48">
        <f t="shared" si="10"/>
        <v>0</v>
      </c>
      <c r="S48">
        <f t="shared" si="11"/>
        <v>0</v>
      </c>
      <c r="T48">
        <f t="shared" si="12"/>
        <v>0</v>
      </c>
      <c r="U48">
        <f t="shared" si="13"/>
        <v>0</v>
      </c>
      <c r="V48">
        <f t="shared" si="14"/>
        <v>0</v>
      </c>
      <c r="W48">
        <f t="shared" si="15"/>
        <v>0</v>
      </c>
      <c r="X48">
        <f t="shared" si="16"/>
        <v>0</v>
      </c>
      <c r="Y48">
        <f t="shared" si="17"/>
        <v>0</v>
      </c>
      <c r="Z48">
        <f t="shared" si="18"/>
        <v>0</v>
      </c>
      <c r="AB48">
        <v>44</v>
      </c>
      <c r="AC48">
        <f t="shared" si="5"/>
        <v>0</v>
      </c>
      <c r="AD48">
        <f t="shared" si="4"/>
        <v>0</v>
      </c>
    </row>
    <row r="49" spans="3:30" x14ac:dyDescent="0.25">
      <c r="C49" s="3"/>
      <c r="D49" s="31">
        <f>Simulation_output!A47</f>
        <v>455000</v>
      </c>
      <c r="E49">
        <f>Sheet2!R46</f>
        <v>0</v>
      </c>
      <c r="F49">
        <f>Sheet2!S46</f>
        <v>0</v>
      </c>
      <c r="G49">
        <f>Sheet2!T46</f>
        <v>0</v>
      </c>
      <c r="H49" s="31">
        <f>Simulation_output!E47</f>
        <v>1</v>
      </c>
      <c r="I49" s="31">
        <f>Simulation_output!F47</f>
        <v>0</v>
      </c>
      <c r="J49" s="31">
        <f>Simulation_output!G47</f>
        <v>0</v>
      </c>
      <c r="K49" s="31">
        <f>Simulation_output!H47</f>
        <v>0</v>
      </c>
      <c r="L49">
        <v>1</v>
      </c>
      <c r="M49">
        <f t="shared" si="19"/>
        <v>0</v>
      </c>
      <c r="N49">
        <f t="shared" si="9"/>
        <v>0</v>
      </c>
      <c r="O49">
        <f t="shared" si="8"/>
        <v>0</v>
      </c>
      <c r="P49">
        <f t="shared" si="20"/>
        <v>0</v>
      </c>
      <c r="Q49">
        <f t="shared" si="7"/>
        <v>0</v>
      </c>
      <c r="R49">
        <f t="shared" si="10"/>
        <v>0</v>
      </c>
      <c r="S49">
        <f t="shared" si="11"/>
        <v>0</v>
      </c>
      <c r="T49">
        <f t="shared" si="12"/>
        <v>0</v>
      </c>
      <c r="U49">
        <f t="shared" si="13"/>
        <v>0</v>
      </c>
      <c r="V49">
        <f t="shared" si="14"/>
        <v>0</v>
      </c>
      <c r="W49">
        <f t="shared" si="15"/>
        <v>0</v>
      </c>
      <c r="X49">
        <f t="shared" si="16"/>
        <v>0</v>
      </c>
      <c r="Y49">
        <f t="shared" si="17"/>
        <v>0</v>
      </c>
      <c r="Z49">
        <f t="shared" si="18"/>
        <v>0</v>
      </c>
      <c r="AB49">
        <v>45</v>
      </c>
      <c r="AC49">
        <f t="shared" si="5"/>
        <v>0</v>
      </c>
      <c r="AD49">
        <f t="shared" si="4"/>
        <v>0</v>
      </c>
    </row>
    <row r="50" spans="3:30" x14ac:dyDescent="0.25">
      <c r="C50" s="3"/>
      <c r="D50" s="31">
        <f>Simulation_output!A48</f>
        <v>465000</v>
      </c>
      <c r="E50">
        <f>Sheet2!R47</f>
        <v>5</v>
      </c>
      <c r="F50">
        <f>Sheet2!S47</f>
        <v>1</v>
      </c>
      <c r="G50">
        <f>Sheet2!T47</f>
        <v>0</v>
      </c>
      <c r="H50" s="31">
        <f>Simulation_output!E48</f>
        <v>1</v>
      </c>
      <c r="I50" s="31">
        <f>Simulation_output!F48</f>
        <v>0</v>
      </c>
      <c r="J50" s="31">
        <f>Simulation_output!G48</f>
        <v>0</v>
      </c>
      <c r="K50" s="31">
        <f>Simulation_output!H48</f>
        <v>0</v>
      </c>
      <c r="L50">
        <v>1</v>
      </c>
      <c r="M50">
        <f t="shared" si="19"/>
        <v>0</v>
      </c>
      <c r="N50">
        <f t="shared" si="9"/>
        <v>0</v>
      </c>
      <c r="O50">
        <f t="shared" si="8"/>
        <v>0</v>
      </c>
      <c r="P50">
        <f t="shared" si="20"/>
        <v>0</v>
      </c>
      <c r="Q50">
        <f t="shared" si="7"/>
        <v>0</v>
      </c>
      <c r="R50">
        <f t="shared" si="10"/>
        <v>0</v>
      </c>
      <c r="S50">
        <f t="shared" si="11"/>
        <v>0</v>
      </c>
      <c r="T50">
        <f t="shared" si="12"/>
        <v>0</v>
      </c>
      <c r="U50">
        <f t="shared" si="13"/>
        <v>0</v>
      </c>
      <c r="V50">
        <f t="shared" si="14"/>
        <v>0</v>
      </c>
      <c r="W50">
        <f t="shared" si="15"/>
        <v>0</v>
      </c>
      <c r="X50">
        <f t="shared" si="16"/>
        <v>0</v>
      </c>
      <c r="Y50">
        <f t="shared" si="17"/>
        <v>0</v>
      </c>
      <c r="Z50">
        <f t="shared" si="18"/>
        <v>0</v>
      </c>
      <c r="AB50">
        <v>46</v>
      </c>
      <c r="AC50">
        <f t="shared" si="5"/>
        <v>0</v>
      </c>
      <c r="AD50">
        <f t="shared" si="4"/>
        <v>0</v>
      </c>
    </row>
    <row r="51" spans="3:30" x14ac:dyDescent="0.25">
      <c r="C51" s="3"/>
      <c r="D51" s="31">
        <f>Simulation_output!A49</f>
        <v>475000</v>
      </c>
      <c r="E51">
        <f>Sheet2!R48</f>
        <v>0</v>
      </c>
      <c r="F51">
        <f>Sheet2!S48</f>
        <v>0</v>
      </c>
      <c r="G51">
        <f>Sheet2!T48</f>
        <v>0</v>
      </c>
      <c r="H51" s="31">
        <f>Simulation_output!E49</f>
        <v>1</v>
      </c>
      <c r="I51" s="31">
        <f>Simulation_output!F49</f>
        <v>0</v>
      </c>
      <c r="J51" s="31">
        <f>Simulation_output!G49</f>
        <v>0</v>
      </c>
      <c r="K51" s="31">
        <f>Simulation_output!H49</f>
        <v>0</v>
      </c>
      <c r="L51">
        <v>1</v>
      </c>
      <c r="M51">
        <f t="shared" si="19"/>
        <v>0</v>
      </c>
      <c r="N51">
        <f t="shared" si="9"/>
        <v>0</v>
      </c>
      <c r="O51">
        <f t="shared" si="8"/>
        <v>0</v>
      </c>
      <c r="P51">
        <f t="shared" si="20"/>
        <v>0</v>
      </c>
      <c r="Q51">
        <f t="shared" si="7"/>
        <v>0</v>
      </c>
      <c r="R51">
        <f t="shared" si="10"/>
        <v>0</v>
      </c>
      <c r="S51">
        <f t="shared" si="11"/>
        <v>0</v>
      </c>
      <c r="T51">
        <f t="shared" si="12"/>
        <v>0</v>
      </c>
      <c r="U51">
        <f t="shared" si="13"/>
        <v>0</v>
      </c>
      <c r="V51">
        <f t="shared" si="14"/>
        <v>0</v>
      </c>
      <c r="W51">
        <f t="shared" si="15"/>
        <v>0</v>
      </c>
      <c r="X51">
        <f t="shared" si="16"/>
        <v>0</v>
      </c>
      <c r="Y51">
        <f t="shared" si="17"/>
        <v>0</v>
      </c>
      <c r="Z51">
        <f t="shared" si="18"/>
        <v>0</v>
      </c>
      <c r="AB51">
        <v>47</v>
      </c>
      <c r="AC51">
        <f t="shared" si="5"/>
        <v>0</v>
      </c>
      <c r="AD51">
        <f t="shared" si="4"/>
        <v>0</v>
      </c>
    </row>
    <row r="52" spans="3:30" x14ac:dyDescent="0.25">
      <c r="C52" s="3"/>
      <c r="D52" s="31">
        <f>Simulation_output!A50</f>
        <v>485000</v>
      </c>
      <c r="E52">
        <f>Sheet2!R49</f>
        <v>13</v>
      </c>
      <c r="F52">
        <f>Sheet2!S49</f>
        <v>1</v>
      </c>
      <c r="G52">
        <f>Sheet2!T49</f>
        <v>0</v>
      </c>
      <c r="H52" s="31">
        <f>Simulation_output!E50</f>
        <v>1</v>
      </c>
      <c r="I52" s="31">
        <f>Simulation_output!F50</f>
        <v>0</v>
      </c>
      <c r="J52" s="31">
        <f>Simulation_output!G50</f>
        <v>0</v>
      </c>
      <c r="K52" s="31">
        <f>Simulation_output!H50</f>
        <v>0</v>
      </c>
      <c r="L52">
        <v>1</v>
      </c>
      <c r="M52">
        <f t="shared" si="19"/>
        <v>0</v>
      </c>
      <c r="N52">
        <f t="shared" si="9"/>
        <v>0</v>
      </c>
      <c r="O52">
        <f t="shared" si="8"/>
        <v>0</v>
      </c>
      <c r="P52">
        <f t="shared" si="20"/>
        <v>0</v>
      </c>
      <c r="Q52">
        <f t="shared" si="7"/>
        <v>0</v>
      </c>
      <c r="R52">
        <f t="shared" si="10"/>
        <v>0</v>
      </c>
      <c r="S52">
        <f t="shared" si="11"/>
        <v>0</v>
      </c>
      <c r="T52">
        <f t="shared" si="12"/>
        <v>0</v>
      </c>
      <c r="U52">
        <f t="shared" si="13"/>
        <v>0</v>
      </c>
      <c r="V52">
        <f t="shared" si="14"/>
        <v>0</v>
      </c>
      <c r="W52">
        <f t="shared" si="15"/>
        <v>0</v>
      </c>
      <c r="X52">
        <f t="shared" si="16"/>
        <v>0</v>
      </c>
      <c r="Y52">
        <f t="shared" si="17"/>
        <v>0</v>
      </c>
      <c r="Z52">
        <f t="shared" si="18"/>
        <v>0</v>
      </c>
      <c r="AB52">
        <v>48</v>
      </c>
      <c r="AC52">
        <f t="shared" si="5"/>
        <v>0</v>
      </c>
      <c r="AD52">
        <f t="shared" si="4"/>
        <v>0</v>
      </c>
    </row>
    <row r="53" spans="3:30" x14ac:dyDescent="0.25">
      <c r="C53" s="3"/>
      <c r="D53" s="31">
        <f>Simulation_output!A51</f>
        <v>495000</v>
      </c>
      <c r="E53">
        <f>Sheet2!R50</f>
        <v>0</v>
      </c>
      <c r="F53">
        <f>Sheet2!S50</f>
        <v>0</v>
      </c>
      <c r="G53">
        <f>Sheet2!T50</f>
        <v>0</v>
      </c>
      <c r="H53" s="31">
        <f>Simulation_output!E51</f>
        <v>1</v>
      </c>
      <c r="I53" s="31">
        <f>Simulation_output!F51</f>
        <v>0</v>
      </c>
      <c r="J53" s="31">
        <f>Simulation_output!G51</f>
        <v>0</v>
      </c>
      <c r="K53" s="31">
        <f>Simulation_output!H51</f>
        <v>0</v>
      </c>
      <c r="L53">
        <v>1</v>
      </c>
      <c r="M53">
        <f t="shared" si="19"/>
        <v>0</v>
      </c>
      <c r="N53">
        <f t="shared" si="9"/>
        <v>0</v>
      </c>
      <c r="O53">
        <f t="shared" si="8"/>
        <v>0</v>
      </c>
      <c r="P53">
        <f t="shared" si="20"/>
        <v>0</v>
      </c>
      <c r="Q53">
        <f t="shared" si="7"/>
        <v>0</v>
      </c>
      <c r="R53">
        <f t="shared" si="10"/>
        <v>0</v>
      </c>
      <c r="S53">
        <f t="shared" si="11"/>
        <v>0</v>
      </c>
      <c r="T53">
        <f t="shared" si="12"/>
        <v>0</v>
      </c>
      <c r="U53">
        <f t="shared" si="13"/>
        <v>0</v>
      </c>
      <c r="V53">
        <f t="shared" si="14"/>
        <v>0</v>
      </c>
      <c r="W53">
        <f t="shared" si="15"/>
        <v>0</v>
      </c>
      <c r="X53">
        <f t="shared" si="16"/>
        <v>0</v>
      </c>
      <c r="Y53">
        <f t="shared" si="17"/>
        <v>0</v>
      </c>
      <c r="Z53">
        <f t="shared" si="18"/>
        <v>0</v>
      </c>
      <c r="AB53">
        <v>49</v>
      </c>
      <c r="AC53">
        <f t="shared" si="5"/>
        <v>0</v>
      </c>
      <c r="AD53">
        <f t="shared" si="4"/>
        <v>0</v>
      </c>
    </row>
    <row r="54" spans="3:30" x14ac:dyDescent="0.25">
      <c r="C54" s="3"/>
      <c r="D54" s="31">
        <f>Simulation_output!A52</f>
        <v>505000</v>
      </c>
      <c r="E54">
        <f>Sheet2!R51</f>
        <v>113</v>
      </c>
      <c r="F54">
        <f>Sheet2!S51</f>
        <v>1</v>
      </c>
      <c r="G54">
        <f>Sheet2!T51</f>
        <v>0</v>
      </c>
      <c r="H54" s="31">
        <f>Simulation_output!E52</f>
        <v>1</v>
      </c>
      <c r="I54" s="31">
        <f>Simulation_output!F52</f>
        <v>0</v>
      </c>
      <c r="J54" s="31">
        <f>Simulation_output!G52</f>
        <v>0</v>
      </c>
      <c r="K54" s="31">
        <f>Simulation_output!H52</f>
        <v>0</v>
      </c>
      <c r="L54">
        <v>1</v>
      </c>
      <c r="M54">
        <f t="shared" si="19"/>
        <v>0</v>
      </c>
      <c r="N54">
        <f t="shared" si="9"/>
        <v>0</v>
      </c>
      <c r="O54">
        <f t="shared" si="8"/>
        <v>0</v>
      </c>
      <c r="P54">
        <f t="shared" si="20"/>
        <v>0</v>
      </c>
      <c r="Q54">
        <f t="shared" si="7"/>
        <v>0</v>
      </c>
      <c r="R54">
        <f t="shared" si="10"/>
        <v>0</v>
      </c>
      <c r="S54">
        <f t="shared" si="11"/>
        <v>0</v>
      </c>
      <c r="T54">
        <f t="shared" si="12"/>
        <v>0</v>
      </c>
      <c r="U54">
        <f t="shared" si="13"/>
        <v>0</v>
      </c>
      <c r="V54">
        <f t="shared" si="14"/>
        <v>0</v>
      </c>
      <c r="W54">
        <f t="shared" si="15"/>
        <v>0</v>
      </c>
      <c r="X54">
        <f t="shared" si="16"/>
        <v>0</v>
      </c>
      <c r="Y54">
        <f t="shared" si="17"/>
        <v>0</v>
      </c>
      <c r="Z54">
        <f t="shared" si="18"/>
        <v>0</v>
      </c>
      <c r="AB54">
        <v>50</v>
      </c>
      <c r="AC54">
        <f t="shared" si="5"/>
        <v>0</v>
      </c>
      <c r="AD54">
        <f t="shared" si="4"/>
        <v>0</v>
      </c>
    </row>
    <row r="55" spans="3:30" x14ac:dyDescent="0.25">
      <c r="C55" s="3"/>
      <c r="D55" s="31">
        <f>Simulation_output!A53</f>
        <v>515000</v>
      </c>
      <c r="E55">
        <f>Sheet2!R52</f>
        <v>0</v>
      </c>
      <c r="F55">
        <f>Sheet2!S52</f>
        <v>0</v>
      </c>
      <c r="G55">
        <f>Sheet2!T52</f>
        <v>0</v>
      </c>
      <c r="H55" s="31">
        <f>Simulation_output!E53</f>
        <v>1</v>
      </c>
      <c r="I55" s="31">
        <f>Simulation_output!F53</f>
        <v>0</v>
      </c>
      <c r="J55" s="31">
        <f>Simulation_output!G53</f>
        <v>0</v>
      </c>
      <c r="K55" s="31">
        <f>Simulation_output!H53</f>
        <v>0</v>
      </c>
      <c r="L55">
        <v>1</v>
      </c>
      <c r="M55">
        <f t="shared" si="19"/>
        <v>0</v>
      </c>
      <c r="N55">
        <f t="shared" si="9"/>
        <v>0</v>
      </c>
      <c r="O55">
        <f t="shared" si="8"/>
        <v>0</v>
      </c>
      <c r="P55">
        <f t="shared" si="20"/>
        <v>0</v>
      </c>
      <c r="Q55">
        <f t="shared" si="7"/>
        <v>0</v>
      </c>
      <c r="R55">
        <f t="shared" si="10"/>
        <v>0</v>
      </c>
      <c r="S55">
        <f t="shared" si="11"/>
        <v>0</v>
      </c>
      <c r="T55">
        <f t="shared" si="12"/>
        <v>0</v>
      </c>
      <c r="U55">
        <f t="shared" si="13"/>
        <v>0</v>
      </c>
      <c r="V55">
        <f t="shared" si="14"/>
        <v>0</v>
      </c>
      <c r="W55">
        <f t="shared" si="15"/>
        <v>0</v>
      </c>
      <c r="X55">
        <f t="shared" si="16"/>
        <v>0</v>
      </c>
      <c r="Y55">
        <f t="shared" si="17"/>
        <v>0</v>
      </c>
      <c r="Z55">
        <f t="shared" si="18"/>
        <v>0</v>
      </c>
      <c r="AB55">
        <v>51</v>
      </c>
      <c r="AC55">
        <f t="shared" si="5"/>
        <v>0</v>
      </c>
      <c r="AD55">
        <f t="shared" si="4"/>
        <v>0</v>
      </c>
    </row>
    <row r="56" spans="3:30" x14ac:dyDescent="0.25">
      <c r="C56" s="3"/>
      <c r="D56" s="31">
        <f>Simulation_output!A54</f>
        <v>525000</v>
      </c>
      <c r="E56">
        <f>Sheet2!R53</f>
        <v>1013</v>
      </c>
      <c r="F56">
        <f>Sheet2!S53</f>
        <v>1</v>
      </c>
      <c r="G56">
        <f>Sheet2!T53</f>
        <v>0</v>
      </c>
      <c r="H56" s="31">
        <f>Simulation_output!E54</f>
        <v>1</v>
      </c>
      <c r="I56" s="31">
        <f>Simulation_output!F54</f>
        <v>0</v>
      </c>
      <c r="J56" s="31">
        <f>Simulation_output!G54</f>
        <v>0</v>
      </c>
      <c r="K56" s="31">
        <f>Simulation_output!H54</f>
        <v>0</v>
      </c>
      <c r="L56">
        <v>1</v>
      </c>
      <c r="M56">
        <f t="shared" si="19"/>
        <v>0</v>
      </c>
      <c r="N56">
        <f t="shared" si="9"/>
        <v>0</v>
      </c>
      <c r="O56">
        <f t="shared" si="8"/>
        <v>0</v>
      </c>
      <c r="P56">
        <f t="shared" si="20"/>
        <v>0</v>
      </c>
      <c r="Q56">
        <f t="shared" si="7"/>
        <v>0</v>
      </c>
      <c r="R56">
        <f t="shared" si="10"/>
        <v>0</v>
      </c>
      <c r="S56">
        <f t="shared" si="11"/>
        <v>0</v>
      </c>
      <c r="T56">
        <f t="shared" si="12"/>
        <v>0</v>
      </c>
      <c r="U56">
        <f t="shared" si="13"/>
        <v>0</v>
      </c>
      <c r="V56">
        <f t="shared" si="14"/>
        <v>0</v>
      </c>
      <c r="W56">
        <f t="shared" si="15"/>
        <v>0</v>
      </c>
      <c r="X56">
        <f t="shared" si="16"/>
        <v>0</v>
      </c>
      <c r="Y56">
        <f t="shared" si="17"/>
        <v>0</v>
      </c>
      <c r="Z56">
        <f t="shared" si="18"/>
        <v>0</v>
      </c>
      <c r="AB56">
        <v>52</v>
      </c>
      <c r="AC56">
        <f t="shared" si="5"/>
        <v>0</v>
      </c>
      <c r="AD56">
        <f t="shared" si="4"/>
        <v>0</v>
      </c>
    </row>
    <row r="57" spans="3:30" x14ac:dyDescent="0.25">
      <c r="C57" s="3"/>
      <c r="D57" s="31">
        <f>Simulation_output!A55</f>
        <v>535000</v>
      </c>
      <c r="E57">
        <f>Sheet2!R54</f>
        <v>0</v>
      </c>
      <c r="F57">
        <f>Sheet2!S54</f>
        <v>0</v>
      </c>
      <c r="G57">
        <f>Sheet2!T54</f>
        <v>0</v>
      </c>
      <c r="H57" s="31">
        <f>Simulation_output!E55</f>
        <v>1</v>
      </c>
      <c r="I57" s="31">
        <f>Simulation_output!F55</f>
        <v>0</v>
      </c>
      <c r="J57" s="31">
        <f>Simulation_output!G55</f>
        <v>0</v>
      </c>
      <c r="K57" s="31">
        <f>Simulation_output!H55</f>
        <v>0</v>
      </c>
      <c r="L57">
        <v>1</v>
      </c>
      <c r="M57">
        <f t="shared" si="19"/>
        <v>0</v>
      </c>
      <c r="N57">
        <f t="shared" si="9"/>
        <v>0</v>
      </c>
      <c r="O57">
        <f t="shared" si="8"/>
        <v>0</v>
      </c>
      <c r="P57">
        <f t="shared" si="20"/>
        <v>0</v>
      </c>
      <c r="Q57">
        <f t="shared" si="7"/>
        <v>0</v>
      </c>
      <c r="R57">
        <f t="shared" si="10"/>
        <v>0</v>
      </c>
      <c r="S57">
        <f t="shared" si="11"/>
        <v>0</v>
      </c>
      <c r="T57">
        <f t="shared" si="12"/>
        <v>0</v>
      </c>
      <c r="U57">
        <f t="shared" si="13"/>
        <v>0</v>
      </c>
      <c r="V57">
        <f t="shared" si="14"/>
        <v>0</v>
      </c>
      <c r="W57">
        <f t="shared" si="15"/>
        <v>0</v>
      </c>
      <c r="X57">
        <f t="shared" si="16"/>
        <v>0</v>
      </c>
      <c r="Y57">
        <f t="shared" si="17"/>
        <v>0</v>
      </c>
      <c r="Z57">
        <f t="shared" si="18"/>
        <v>0</v>
      </c>
      <c r="AB57">
        <v>53</v>
      </c>
      <c r="AC57">
        <f t="shared" si="5"/>
        <v>0</v>
      </c>
      <c r="AD57">
        <f t="shared" si="4"/>
        <v>0</v>
      </c>
    </row>
    <row r="58" spans="3:30" x14ac:dyDescent="0.25">
      <c r="C58" s="3"/>
      <c r="D58" s="31">
        <f>Simulation_output!A56</f>
        <v>545000</v>
      </c>
      <c r="E58">
        <f>Sheet2!R55</f>
        <v>10013</v>
      </c>
      <c r="F58">
        <f>Sheet2!S55</f>
        <v>1</v>
      </c>
      <c r="G58">
        <f>Sheet2!T55</f>
        <v>1</v>
      </c>
      <c r="H58" s="31">
        <f>Simulation_output!E56</f>
        <v>1</v>
      </c>
      <c r="I58" s="31">
        <f>Simulation_output!F56</f>
        <v>0</v>
      </c>
      <c r="J58" s="31">
        <f>Simulation_output!G56</f>
        <v>0</v>
      </c>
      <c r="K58" s="31">
        <f>Simulation_output!H56</f>
        <v>0</v>
      </c>
      <c r="L58">
        <v>1</v>
      </c>
      <c r="M58">
        <f t="shared" si="19"/>
        <v>0</v>
      </c>
      <c r="N58">
        <f t="shared" si="9"/>
        <v>0</v>
      </c>
      <c r="O58">
        <f t="shared" si="8"/>
        <v>0</v>
      </c>
      <c r="P58">
        <f t="shared" si="20"/>
        <v>0</v>
      </c>
      <c r="Q58">
        <f t="shared" si="7"/>
        <v>0</v>
      </c>
      <c r="R58">
        <f t="shared" si="10"/>
        <v>0</v>
      </c>
      <c r="S58">
        <f t="shared" si="11"/>
        <v>0</v>
      </c>
      <c r="T58">
        <f t="shared" si="12"/>
        <v>0</v>
      </c>
      <c r="U58">
        <f t="shared" si="13"/>
        <v>0</v>
      </c>
      <c r="V58">
        <f t="shared" si="14"/>
        <v>0</v>
      </c>
      <c r="W58">
        <f t="shared" si="15"/>
        <v>0</v>
      </c>
      <c r="X58">
        <f t="shared" si="16"/>
        <v>0</v>
      </c>
      <c r="Y58">
        <f t="shared" si="17"/>
        <v>0</v>
      </c>
      <c r="Z58">
        <f t="shared" si="18"/>
        <v>0</v>
      </c>
      <c r="AB58">
        <v>54</v>
      </c>
      <c r="AC58">
        <f t="shared" si="5"/>
        <v>0</v>
      </c>
      <c r="AD58">
        <f t="shared" si="4"/>
        <v>0</v>
      </c>
    </row>
    <row r="59" spans="3:30" x14ac:dyDescent="0.25">
      <c r="C59" s="3"/>
      <c r="D59" s="31">
        <f>Simulation_output!A57</f>
        <v>555000</v>
      </c>
      <c r="E59">
        <f>Sheet2!R56</f>
        <v>0</v>
      </c>
      <c r="F59">
        <f>Sheet2!S56</f>
        <v>0</v>
      </c>
      <c r="G59">
        <f>Sheet2!T56</f>
        <v>0</v>
      </c>
      <c r="H59" s="31">
        <f>Simulation_output!E57</f>
        <v>1</v>
      </c>
      <c r="I59" s="31">
        <f>Simulation_output!F57</f>
        <v>0</v>
      </c>
      <c r="J59" s="31">
        <f>Simulation_output!G57</f>
        <v>0</v>
      </c>
      <c r="K59" s="31">
        <f>Simulation_output!H57</f>
        <v>0</v>
      </c>
      <c r="L59">
        <v>1</v>
      </c>
      <c r="M59">
        <f t="shared" si="19"/>
        <v>0</v>
      </c>
      <c r="N59">
        <f t="shared" si="9"/>
        <v>0</v>
      </c>
      <c r="O59">
        <f t="shared" si="8"/>
        <v>0</v>
      </c>
      <c r="P59">
        <f t="shared" si="20"/>
        <v>0</v>
      </c>
      <c r="Q59">
        <f t="shared" si="7"/>
        <v>0</v>
      </c>
      <c r="R59">
        <f t="shared" si="10"/>
        <v>0</v>
      </c>
      <c r="S59">
        <f t="shared" si="11"/>
        <v>0</v>
      </c>
      <c r="T59">
        <f t="shared" si="12"/>
        <v>0</v>
      </c>
      <c r="U59">
        <f t="shared" si="13"/>
        <v>0</v>
      </c>
      <c r="V59">
        <f t="shared" si="14"/>
        <v>0</v>
      </c>
      <c r="W59">
        <f t="shared" si="15"/>
        <v>0</v>
      </c>
      <c r="X59">
        <f t="shared" si="16"/>
        <v>0</v>
      </c>
      <c r="Y59">
        <f t="shared" si="17"/>
        <v>0</v>
      </c>
      <c r="Z59">
        <f t="shared" si="18"/>
        <v>0</v>
      </c>
      <c r="AB59">
        <v>55</v>
      </c>
      <c r="AC59">
        <f t="shared" si="5"/>
        <v>0</v>
      </c>
      <c r="AD59">
        <f t="shared" si="4"/>
        <v>0</v>
      </c>
    </row>
    <row r="60" spans="3:30" x14ac:dyDescent="0.25">
      <c r="C60" s="3"/>
      <c r="D60" s="31">
        <f>Simulation_output!A58</f>
        <v>565000</v>
      </c>
      <c r="E60">
        <f>Sheet2!R57</f>
        <v>0</v>
      </c>
      <c r="F60">
        <f>Sheet2!S57</f>
        <v>1</v>
      </c>
      <c r="G60">
        <f>Sheet2!T57</f>
        <v>0</v>
      </c>
      <c r="H60" s="31">
        <f>Simulation_output!E58</f>
        <v>1</v>
      </c>
      <c r="I60" s="31">
        <f>Simulation_output!F58</f>
        <v>0</v>
      </c>
      <c r="J60" s="31">
        <f>Simulation_output!G58</f>
        <v>0</v>
      </c>
      <c r="K60" s="31">
        <f>Simulation_output!H58</f>
        <v>0</v>
      </c>
      <c r="L60">
        <v>1</v>
      </c>
      <c r="M60">
        <f t="shared" si="19"/>
        <v>0</v>
      </c>
      <c r="N60">
        <f t="shared" si="9"/>
        <v>0</v>
      </c>
      <c r="O60">
        <f t="shared" si="8"/>
        <v>0</v>
      </c>
      <c r="P60">
        <f t="shared" si="20"/>
        <v>0</v>
      </c>
      <c r="Q60">
        <f t="shared" si="7"/>
        <v>0</v>
      </c>
      <c r="R60">
        <f t="shared" si="10"/>
        <v>0</v>
      </c>
      <c r="S60">
        <f t="shared" si="11"/>
        <v>0</v>
      </c>
      <c r="T60">
        <f t="shared" si="12"/>
        <v>0</v>
      </c>
      <c r="U60">
        <f t="shared" si="13"/>
        <v>0</v>
      </c>
      <c r="V60">
        <f t="shared" si="14"/>
        <v>0</v>
      </c>
      <c r="W60">
        <f t="shared" si="15"/>
        <v>0</v>
      </c>
      <c r="X60">
        <f t="shared" si="16"/>
        <v>0</v>
      </c>
      <c r="Y60">
        <f t="shared" si="17"/>
        <v>0</v>
      </c>
      <c r="Z60">
        <f t="shared" si="18"/>
        <v>0</v>
      </c>
      <c r="AB60">
        <v>56</v>
      </c>
      <c r="AC60">
        <f t="shared" si="5"/>
        <v>0</v>
      </c>
      <c r="AD60">
        <f t="shared" si="4"/>
        <v>0</v>
      </c>
    </row>
    <row r="61" spans="3:30" x14ac:dyDescent="0.25">
      <c r="C61" s="3"/>
      <c r="D61" s="31">
        <f>Simulation_output!A59</f>
        <v>575000</v>
      </c>
      <c r="E61">
        <f>Sheet2!R58</f>
        <v>0</v>
      </c>
      <c r="F61">
        <f>Sheet2!S58</f>
        <v>0</v>
      </c>
      <c r="G61">
        <f>Sheet2!T58</f>
        <v>0</v>
      </c>
      <c r="H61" s="31">
        <f>Simulation_output!E59</f>
        <v>1</v>
      </c>
      <c r="I61" s="31">
        <f>Simulation_output!F59</f>
        <v>0</v>
      </c>
      <c r="J61" s="31">
        <f>Simulation_output!G59</f>
        <v>0</v>
      </c>
      <c r="K61" s="31">
        <f>Simulation_output!H59</f>
        <v>0</v>
      </c>
      <c r="L61">
        <v>1</v>
      </c>
      <c r="M61">
        <f t="shared" si="19"/>
        <v>0</v>
      </c>
      <c r="N61">
        <f t="shared" si="9"/>
        <v>0</v>
      </c>
      <c r="O61">
        <f t="shared" si="8"/>
        <v>0</v>
      </c>
      <c r="P61">
        <f t="shared" si="20"/>
        <v>0</v>
      </c>
      <c r="Q61">
        <f t="shared" si="7"/>
        <v>0</v>
      </c>
      <c r="R61">
        <f t="shared" si="10"/>
        <v>0</v>
      </c>
      <c r="S61">
        <f t="shared" si="11"/>
        <v>0</v>
      </c>
      <c r="T61">
        <f t="shared" si="12"/>
        <v>0</v>
      </c>
      <c r="U61">
        <f t="shared" si="13"/>
        <v>0</v>
      </c>
      <c r="V61">
        <f t="shared" si="14"/>
        <v>0</v>
      </c>
      <c r="W61">
        <f t="shared" si="15"/>
        <v>0</v>
      </c>
      <c r="X61">
        <f t="shared" si="16"/>
        <v>0</v>
      </c>
      <c r="Y61">
        <f t="shared" si="17"/>
        <v>0</v>
      </c>
      <c r="Z61">
        <f t="shared" si="18"/>
        <v>0</v>
      </c>
      <c r="AB61">
        <v>57</v>
      </c>
      <c r="AC61">
        <f t="shared" si="5"/>
        <v>0</v>
      </c>
      <c r="AD61">
        <f t="shared" si="4"/>
        <v>0</v>
      </c>
    </row>
    <row r="62" spans="3:30" x14ac:dyDescent="0.25">
      <c r="C62" s="3"/>
      <c r="D62" s="31">
        <f>Simulation_output!A60</f>
        <v>585000</v>
      </c>
      <c r="E62">
        <f>Sheet2!R59</f>
        <v>5</v>
      </c>
      <c r="F62">
        <f>Sheet2!S59</f>
        <v>1</v>
      </c>
      <c r="G62">
        <f>Sheet2!T59</f>
        <v>0</v>
      </c>
      <c r="H62" s="31">
        <f>Simulation_output!E60</f>
        <v>1</v>
      </c>
      <c r="I62" s="31">
        <f>Simulation_output!F60</f>
        <v>0</v>
      </c>
      <c r="J62" s="31">
        <f>Simulation_output!G60</f>
        <v>0</v>
      </c>
      <c r="K62" s="31">
        <f>Simulation_output!H60</f>
        <v>0</v>
      </c>
      <c r="L62">
        <v>1</v>
      </c>
      <c r="M62">
        <f t="shared" si="19"/>
        <v>0</v>
      </c>
      <c r="N62">
        <f t="shared" si="9"/>
        <v>0</v>
      </c>
      <c r="O62">
        <f t="shared" si="8"/>
        <v>0</v>
      </c>
      <c r="P62">
        <f t="shared" si="20"/>
        <v>0</v>
      </c>
      <c r="Q62">
        <f t="shared" si="7"/>
        <v>0</v>
      </c>
      <c r="R62">
        <f t="shared" si="10"/>
        <v>0</v>
      </c>
      <c r="S62">
        <f t="shared" si="11"/>
        <v>0</v>
      </c>
      <c r="T62">
        <f t="shared" si="12"/>
        <v>0</v>
      </c>
      <c r="U62">
        <f t="shared" si="13"/>
        <v>0</v>
      </c>
      <c r="V62">
        <f t="shared" si="14"/>
        <v>0</v>
      </c>
      <c r="W62">
        <f t="shared" si="15"/>
        <v>0</v>
      </c>
      <c r="X62">
        <f t="shared" si="16"/>
        <v>0</v>
      </c>
      <c r="Y62">
        <f t="shared" si="17"/>
        <v>0</v>
      </c>
      <c r="Z62">
        <f t="shared" si="18"/>
        <v>0</v>
      </c>
      <c r="AB62">
        <v>58</v>
      </c>
      <c r="AC62">
        <f t="shared" si="5"/>
        <v>0</v>
      </c>
      <c r="AD62">
        <f t="shared" si="4"/>
        <v>0</v>
      </c>
    </row>
    <row r="63" spans="3:30" x14ac:dyDescent="0.25">
      <c r="C63" s="3"/>
      <c r="D63" s="31">
        <f>Simulation_output!A61</f>
        <v>595000</v>
      </c>
      <c r="E63">
        <f>Sheet2!R60</f>
        <v>0</v>
      </c>
      <c r="F63">
        <f>Sheet2!S60</f>
        <v>0</v>
      </c>
      <c r="G63">
        <f>Sheet2!T60</f>
        <v>0</v>
      </c>
      <c r="H63" s="31">
        <f>Simulation_output!E61</f>
        <v>1</v>
      </c>
      <c r="I63" s="31">
        <f>Simulation_output!F61</f>
        <v>0</v>
      </c>
      <c r="J63" s="31">
        <f>Simulation_output!G61</f>
        <v>0</v>
      </c>
      <c r="K63" s="31">
        <f>Simulation_output!H61</f>
        <v>0</v>
      </c>
      <c r="L63">
        <v>1</v>
      </c>
      <c r="M63">
        <f t="shared" si="19"/>
        <v>0</v>
      </c>
      <c r="N63">
        <f t="shared" si="9"/>
        <v>0</v>
      </c>
      <c r="O63">
        <f t="shared" si="8"/>
        <v>0</v>
      </c>
      <c r="P63">
        <f t="shared" si="20"/>
        <v>0</v>
      </c>
      <c r="Q63">
        <f t="shared" si="7"/>
        <v>0</v>
      </c>
      <c r="R63">
        <f t="shared" si="10"/>
        <v>0</v>
      </c>
      <c r="S63">
        <f t="shared" si="11"/>
        <v>0</v>
      </c>
      <c r="T63">
        <f t="shared" si="12"/>
        <v>0</v>
      </c>
      <c r="U63">
        <f t="shared" si="13"/>
        <v>0</v>
      </c>
      <c r="V63">
        <f t="shared" si="14"/>
        <v>0</v>
      </c>
      <c r="W63">
        <f t="shared" si="15"/>
        <v>0</v>
      </c>
      <c r="X63">
        <f t="shared" si="16"/>
        <v>0</v>
      </c>
      <c r="Y63">
        <f t="shared" si="17"/>
        <v>0</v>
      </c>
      <c r="Z63">
        <f t="shared" si="18"/>
        <v>0</v>
      </c>
      <c r="AB63">
        <v>59</v>
      </c>
      <c r="AC63">
        <f t="shared" si="5"/>
        <v>0</v>
      </c>
      <c r="AD63">
        <f t="shared" si="4"/>
        <v>0</v>
      </c>
    </row>
    <row r="64" spans="3:30" x14ac:dyDescent="0.25">
      <c r="C64" s="3"/>
      <c r="D64" s="31">
        <f>Simulation_output!A62</f>
        <v>605000</v>
      </c>
      <c r="E64">
        <f>Sheet2!R61</f>
        <v>14</v>
      </c>
      <c r="F64">
        <f>Sheet2!S61</f>
        <v>1</v>
      </c>
      <c r="G64">
        <f>Sheet2!T61</f>
        <v>0</v>
      </c>
      <c r="H64" s="31">
        <f>Simulation_output!E62</f>
        <v>1</v>
      </c>
      <c r="I64" s="31">
        <f>Simulation_output!F62</f>
        <v>0</v>
      </c>
      <c r="J64" s="31">
        <f>Simulation_output!G62</f>
        <v>0</v>
      </c>
      <c r="K64" s="31">
        <f>Simulation_output!H62</f>
        <v>0</v>
      </c>
      <c r="L64">
        <v>1</v>
      </c>
      <c r="M64">
        <f t="shared" si="19"/>
        <v>0</v>
      </c>
      <c r="N64">
        <f t="shared" si="9"/>
        <v>0</v>
      </c>
      <c r="O64">
        <f t="shared" si="8"/>
        <v>0</v>
      </c>
      <c r="P64">
        <f t="shared" si="20"/>
        <v>0</v>
      </c>
      <c r="Q64">
        <f t="shared" si="7"/>
        <v>0</v>
      </c>
      <c r="R64">
        <f t="shared" si="10"/>
        <v>0</v>
      </c>
      <c r="S64">
        <f t="shared" si="11"/>
        <v>0</v>
      </c>
      <c r="T64">
        <f t="shared" si="12"/>
        <v>0</v>
      </c>
      <c r="U64">
        <f t="shared" si="13"/>
        <v>0</v>
      </c>
      <c r="V64">
        <f t="shared" si="14"/>
        <v>0</v>
      </c>
      <c r="W64">
        <f t="shared" si="15"/>
        <v>0</v>
      </c>
      <c r="X64">
        <f t="shared" si="16"/>
        <v>0</v>
      </c>
      <c r="Y64">
        <f t="shared" si="17"/>
        <v>0</v>
      </c>
      <c r="Z64">
        <f t="shared" si="18"/>
        <v>0</v>
      </c>
      <c r="AB64">
        <v>60</v>
      </c>
      <c r="AC64">
        <f t="shared" si="5"/>
        <v>0</v>
      </c>
      <c r="AD64">
        <f t="shared" si="4"/>
        <v>0</v>
      </c>
    </row>
    <row r="65" spans="3:30" x14ac:dyDescent="0.25">
      <c r="C65" s="3"/>
      <c r="D65" s="31">
        <f>Simulation_output!A63</f>
        <v>615000</v>
      </c>
      <c r="E65">
        <f>Sheet2!R62</f>
        <v>0</v>
      </c>
      <c r="F65">
        <f>Sheet2!S62</f>
        <v>0</v>
      </c>
      <c r="G65">
        <f>Sheet2!T62</f>
        <v>0</v>
      </c>
      <c r="H65" s="31">
        <f>Simulation_output!E63</f>
        <v>1</v>
      </c>
      <c r="I65" s="31">
        <f>Simulation_output!F63</f>
        <v>0</v>
      </c>
      <c r="J65" s="31">
        <f>Simulation_output!G63</f>
        <v>0</v>
      </c>
      <c r="K65" s="31">
        <f>Simulation_output!H63</f>
        <v>0</v>
      </c>
      <c r="L65">
        <v>1</v>
      </c>
      <c r="M65">
        <f t="shared" si="19"/>
        <v>0</v>
      </c>
      <c r="N65">
        <f t="shared" si="9"/>
        <v>0</v>
      </c>
      <c r="O65">
        <f t="shared" si="8"/>
        <v>0</v>
      </c>
      <c r="P65">
        <f t="shared" si="20"/>
        <v>0</v>
      </c>
      <c r="Q65">
        <f t="shared" si="7"/>
        <v>0</v>
      </c>
      <c r="R65">
        <f t="shared" si="10"/>
        <v>0</v>
      </c>
      <c r="S65">
        <f t="shared" si="11"/>
        <v>0</v>
      </c>
      <c r="T65">
        <f t="shared" si="12"/>
        <v>0</v>
      </c>
      <c r="U65">
        <f t="shared" si="13"/>
        <v>0</v>
      </c>
      <c r="V65">
        <f t="shared" si="14"/>
        <v>0</v>
      </c>
      <c r="W65">
        <f t="shared" si="15"/>
        <v>0</v>
      </c>
      <c r="X65">
        <f t="shared" si="16"/>
        <v>0</v>
      </c>
      <c r="Y65">
        <f t="shared" si="17"/>
        <v>0</v>
      </c>
      <c r="Z65">
        <f t="shared" si="18"/>
        <v>0</v>
      </c>
      <c r="AB65">
        <v>61</v>
      </c>
      <c r="AC65">
        <f t="shared" si="5"/>
        <v>0</v>
      </c>
      <c r="AD65">
        <f t="shared" si="4"/>
        <v>0</v>
      </c>
    </row>
    <row r="66" spans="3:30" x14ac:dyDescent="0.25">
      <c r="C66" s="3"/>
      <c r="D66" s="31">
        <f>Simulation_output!A64</f>
        <v>625000</v>
      </c>
      <c r="E66">
        <f>Sheet2!R63</f>
        <v>114</v>
      </c>
      <c r="F66">
        <f>Sheet2!S63</f>
        <v>1</v>
      </c>
      <c r="G66">
        <f>Sheet2!T63</f>
        <v>0</v>
      </c>
      <c r="H66" s="31">
        <f>Simulation_output!E64</f>
        <v>1</v>
      </c>
      <c r="I66" s="31">
        <f>Simulation_output!F64</f>
        <v>0</v>
      </c>
      <c r="J66" s="31">
        <f>Simulation_output!G64</f>
        <v>0</v>
      </c>
      <c r="K66" s="31">
        <f>Simulation_output!H64</f>
        <v>0</v>
      </c>
      <c r="L66">
        <v>1</v>
      </c>
      <c r="M66">
        <f t="shared" si="19"/>
        <v>0</v>
      </c>
      <c r="N66">
        <f t="shared" si="9"/>
        <v>0</v>
      </c>
      <c r="O66">
        <f t="shared" si="8"/>
        <v>0</v>
      </c>
      <c r="P66">
        <f t="shared" si="20"/>
        <v>0</v>
      </c>
      <c r="Q66">
        <f t="shared" si="7"/>
        <v>0</v>
      </c>
      <c r="R66">
        <f t="shared" si="10"/>
        <v>0</v>
      </c>
      <c r="S66">
        <f t="shared" si="11"/>
        <v>0</v>
      </c>
      <c r="T66">
        <f t="shared" si="12"/>
        <v>0</v>
      </c>
      <c r="U66">
        <f t="shared" si="13"/>
        <v>0</v>
      </c>
      <c r="V66">
        <f t="shared" si="14"/>
        <v>0</v>
      </c>
      <c r="W66">
        <f t="shared" si="15"/>
        <v>0</v>
      </c>
      <c r="X66">
        <f t="shared" si="16"/>
        <v>0</v>
      </c>
      <c r="Y66">
        <f t="shared" si="17"/>
        <v>0</v>
      </c>
      <c r="Z66">
        <f t="shared" si="18"/>
        <v>0</v>
      </c>
      <c r="AB66">
        <v>62</v>
      </c>
      <c r="AC66">
        <f t="shared" si="5"/>
        <v>0</v>
      </c>
      <c r="AD66">
        <f t="shared" si="4"/>
        <v>0</v>
      </c>
    </row>
    <row r="67" spans="3:30" x14ac:dyDescent="0.25">
      <c r="C67" s="3"/>
      <c r="D67" s="31">
        <f>Simulation_output!A65</f>
        <v>635000</v>
      </c>
      <c r="E67">
        <f>Sheet2!R64</f>
        <v>0</v>
      </c>
      <c r="F67">
        <f>Sheet2!S64</f>
        <v>0</v>
      </c>
      <c r="G67">
        <f>Sheet2!T64</f>
        <v>0</v>
      </c>
      <c r="H67" s="31">
        <f>Simulation_output!E65</f>
        <v>1</v>
      </c>
      <c r="I67" s="31">
        <f>Simulation_output!F65</f>
        <v>0</v>
      </c>
      <c r="J67" s="31">
        <f>Simulation_output!G65</f>
        <v>0</v>
      </c>
      <c r="K67" s="31">
        <f>Simulation_output!H65</f>
        <v>0</v>
      </c>
      <c r="L67">
        <v>1</v>
      </c>
      <c r="M67">
        <f t="shared" si="19"/>
        <v>0</v>
      </c>
      <c r="N67">
        <f t="shared" si="9"/>
        <v>0</v>
      </c>
      <c r="O67">
        <f t="shared" si="8"/>
        <v>0</v>
      </c>
      <c r="P67">
        <f t="shared" si="20"/>
        <v>0</v>
      </c>
      <c r="Q67">
        <f t="shared" si="7"/>
        <v>0</v>
      </c>
      <c r="R67">
        <f t="shared" si="10"/>
        <v>0</v>
      </c>
      <c r="S67">
        <f t="shared" si="11"/>
        <v>0</v>
      </c>
      <c r="T67">
        <f t="shared" si="12"/>
        <v>0</v>
      </c>
      <c r="U67">
        <f t="shared" si="13"/>
        <v>0</v>
      </c>
      <c r="V67">
        <f t="shared" si="14"/>
        <v>0</v>
      </c>
      <c r="W67">
        <f t="shared" si="15"/>
        <v>0</v>
      </c>
      <c r="X67">
        <f t="shared" si="16"/>
        <v>0</v>
      </c>
      <c r="Y67">
        <f t="shared" si="17"/>
        <v>0</v>
      </c>
      <c r="Z67">
        <f t="shared" si="18"/>
        <v>0</v>
      </c>
      <c r="AB67">
        <v>63</v>
      </c>
      <c r="AC67">
        <f t="shared" si="5"/>
        <v>0</v>
      </c>
      <c r="AD67">
        <f t="shared" si="4"/>
        <v>0</v>
      </c>
    </row>
    <row r="68" spans="3:30" x14ac:dyDescent="0.25">
      <c r="C68" s="3"/>
      <c r="D68" s="31">
        <f>Simulation_output!A66</f>
        <v>645000</v>
      </c>
      <c r="E68">
        <f>Sheet2!R65</f>
        <v>1014</v>
      </c>
      <c r="F68">
        <f>Sheet2!S65</f>
        <v>1</v>
      </c>
      <c r="G68">
        <f>Sheet2!T65</f>
        <v>0</v>
      </c>
      <c r="H68" s="31">
        <f>Simulation_output!E66</f>
        <v>1</v>
      </c>
      <c r="I68" s="31">
        <f>Simulation_output!F66</f>
        <v>0</v>
      </c>
      <c r="J68" s="31">
        <f>Simulation_output!G66</f>
        <v>0</v>
      </c>
      <c r="K68" s="31">
        <f>Simulation_output!H66</f>
        <v>0</v>
      </c>
      <c r="L68">
        <v>1</v>
      </c>
      <c r="M68">
        <f t="shared" si="19"/>
        <v>0</v>
      </c>
      <c r="N68">
        <f t="shared" si="9"/>
        <v>0</v>
      </c>
      <c r="O68">
        <f t="shared" si="8"/>
        <v>0</v>
      </c>
      <c r="P68">
        <f t="shared" si="20"/>
        <v>0</v>
      </c>
      <c r="Q68">
        <f t="shared" si="7"/>
        <v>0</v>
      </c>
      <c r="R68">
        <f t="shared" si="10"/>
        <v>0</v>
      </c>
      <c r="S68">
        <f t="shared" si="11"/>
        <v>0</v>
      </c>
      <c r="T68">
        <f t="shared" si="12"/>
        <v>0</v>
      </c>
      <c r="U68">
        <f t="shared" si="13"/>
        <v>0</v>
      </c>
      <c r="V68">
        <f t="shared" si="14"/>
        <v>0</v>
      </c>
      <c r="W68">
        <f t="shared" si="15"/>
        <v>0</v>
      </c>
      <c r="X68">
        <f t="shared" si="16"/>
        <v>0</v>
      </c>
      <c r="Y68">
        <f t="shared" si="17"/>
        <v>0</v>
      </c>
      <c r="Z68">
        <f t="shared" si="18"/>
        <v>0</v>
      </c>
      <c r="AB68">
        <v>64</v>
      </c>
      <c r="AC68">
        <f t="shared" si="5"/>
        <v>0</v>
      </c>
      <c r="AD68">
        <f t="shared" si="4"/>
        <v>0</v>
      </c>
    </row>
    <row r="69" spans="3:30" x14ac:dyDescent="0.25">
      <c r="C69" s="3"/>
      <c r="D69" s="31">
        <f>Simulation_output!A67</f>
        <v>655000</v>
      </c>
      <c r="E69">
        <f>Sheet2!R66</f>
        <v>0</v>
      </c>
      <c r="F69">
        <f>Sheet2!S66</f>
        <v>0</v>
      </c>
      <c r="G69">
        <f>Sheet2!T66</f>
        <v>0</v>
      </c>
      <c r="H69" s="31">
        <f>Simulation_output!E67</f>
        <v>1</v>
      </c>
      <c r="I69" s="31">
        <f>Simulation_output!F67</f>
        <v>0</v>
      </c>
      <c r="J69" s="31">
        <f>Simulation_output!G67</f>
        <v>0</v>
      </c>
      <c r="K69" s="31">
        <f>Simulation_output!H67</f>
        <v>0</v>
      </c>
      <c r="L69">
        <v>1</v>
      </c>
      <c r="M69">
        <f t="shared" si="19"/>
        <v>0</v>
      </c>
      <c r="N69">
        <f t="shared" si="9"/>
        <v>0</v>
      </c>
      <c r="O69">
        <f t="shared" si="8"/>
        <v>0</v>
      </c>
      <c r="P69">
        <f t="shared" si="20"/>
        <v>0</v>
      </c>
      <c r="Q69">
        <f t="shared" si="7"/>
        <v>0</v>
      </c>
      <c r="R69">
        <f t="shared" si="10"/>
        <v>0</v>
      </c>
      <c r="S69">
        <f t="shared" si="11"/>
        <v>0</v>
      </c>
      <c r="T69">
        <f t="shared" si="12"/>
        <v>0</v>
      </c>
      <c r="U69">
        <f t="shared" si="13"/>
        <v>0</v>
      </c>
      <c r="V69">
        <f t="shared" si="14"/>
        <v>0</v>
      </c>
      <c r="W69">
        <f t="shared" si="15"/>
        <v>0</v>
      </c>
      <c r="X69">
        <f t="shared" si="16"/>
        <v>0</v>
      </c>
      <c r="Y69">
        <f t="shared" si="17"/>
        <v>0</v>
      </c>
      <c r="Z69">
        <f t="shared" si="18"/>
        <v>0</v>
      </c>
      <c r="AB69">
        <v>65</v>
      </c>
      <c r="AC69">
        <f t="shared" si="5"/>
        <v>0</v>
      </c>
      <c r="AD69">
        <f t="shared" si="4"/>
        <v>0</v>
      </c>
    </row>
    <row r="70" spans="3:30" x14ac:dyDescent="0.25">
      <c r="C70" s="3"/>
      <c r="D70" s="31">
        <f>Simulation_output!A68</f>
        <v>665000</v>
      </c>
      <c r="E70">
        <f>Sheet2!R67</f>
        <v>10014</v>
      </c>
      <c r="F70">
        <f>Sheet2!S67</f>
        <v>1</v>
      </c>
      <c r="G70">
        <f>Sheet2!T67</f>
        <v>1</v>
      </c>
      <c r="H70" s="31">
        <f>Simulation_output!E68</f>
        <v>1</v>
      </c>
      <c r="I70" s="31">
        <f>Simulation_output!F68</f>
        <v>0</v>
      </c>
      <c r="J70" s="31">
        <f>Simulation_output!G68</f>
        <v>0</v>
      </c>
      <c r="K70" s="31">
        <f>Simulation_output!H68</f>
        <v>0</v>
      </c>
      <c r="L70">
        <v>1</v>
      </c>
      <c r="M70">
        <f t="shared" si="19"/>
        <v>0</v>
      </c>
      <c r="N70">
        <f t="shared" si="9"/>
        <v>0</v>
      </c>
      <c r="O70">
        <f t="shared" si="8"/>
        <v>0</v>
      </c>
      <c r="P70">
        <f t="shared" si="20"/>
        <v>0</v>
      </c>
      <c r="Q70">
        <f t="shared" si="7"/>
        <v>0</v>
      </c>
      <c r="R70">
        <f>IF(K70&gt;0,I62,0)</f>
        <v>0</v>
      </c>
      <c r="S70">
        <f>IF(K70&gt;0,I63,0)</f>
        <v>0</v>
      </c>
      <c r="T70">
        <f>IF(K70&gt;0,I64,0)</f>
        <v>0</v>
      </c>
      <c r="U70">
        <f>IF(K70&gt;0,I65,0)</f>
        <v>0</v>
      </c>
      <c r="V70">
        <f>IF(K70&gt;0,I66,0)</f>
        <v>0</v>
      </c>
      <c r="W70">
        <f>IF(K70&gt;0,I67,0)</f>
        <v>0</v>
      </c>
      <c r="X70">
        <f>IF(K70&gt;0,I68,0)</f>
        <v>0</v>
      </c>
      <c r="Y70">
        <f>IF(K70&gt;0,I69,0)</f>
        <v>0</v>
      </c>
      <c r="Z70">
        <f>IF(K70&gt;0,DEC2HEX(I70),0)</f>
        <v>0</v>
      </c>
      <c r="AB70">
        <v>66</v>
      </c>
      <c r="AC70">
        <f t="shared" si="5"/>
        <v>0</v>
      </c>
      <c r="AD70">
        <f t="shared" ref="AD70:AD133" si="21">IF(M70="FFFFFFF",AC70,0)</f>
        <v>0</v>
      </c>
    </row>
    <row r="71" spans="3:30" x14ac:dyDescent="0.25">
      <c r="C71" s="3"/>
      <c r="D71" s="31">
        <f>Simulation_output!A69</f>
        <v>675000</v>
      </c>
      <c r="E71">
        <f>Sheet2!R68</f>
        <v>0</v>
      </c>
      <c r="F71">
        <f>Sheet2!S68</f>
        <v>0</v>
      </c>
      <c r="G71">
        <f>Sheet2!T68</f>
        <v>0</v>
      </c>
      <c r="H71" s="31">
        <f>Simulation_output!E69</f>
        <v>1</v>
      </c>
      <c r="I71" s="31">
        <f>Simulation_output!F69</f>
        <v>0</v>
      </c>
      <c r="J71" s="31">
        <f>Simulation_output!G69</f>
        <v>0</v>
      </c>
      <c r="K71" s="31">
        <f>Simulation_output!H69</f>
        <v>0</v>
      </c>
      <c r="L71">
        <v>1</v>
      </c>
      <c r="M71">
        <f t="shared" si="19"/>
        <v>0</v>
      </c>
      <c r="N71">
        <f t="shared" si="9"/>
        <v>0</v>
      </c>
      <c r="O71">
        <f t="shared" si="8"/>
        <v>0</v>
      </c>
      <c r="P71">
        <f t="shared" si="20"/>
        <v>0</v>
      </c>
      <c r="Q71">
        <f t="shared" si="7"/>
        <v>0</v>
      </c>
      <c r="R71">
        <f t="shared" ref="R71:R134" si="22">IF(K71&gt;0,I63,0)</f>
        <v>0</v>
      </c>
      <c r="S71">
        <f t="shared" ref="S71:S134" si="23">IF(K71&gt;0,I64,0)</f>
        <v>0</v>
      </c>
      <c r="T71">
        <f t="shared" ref="T71:T134" si="24">IF(K71&gt;0,I65,0)</f>
        <v>0</v>
      </c>
      <c r="U71">
        <f t="shared" ref="U71:U134" si="25">IF(K71&gt;0,I66,0)</f>
        <v>0</v>
      </c>
      <c r="V71">
        <f t="shared" ref="V71:V134" si="26">IF(K71&gt;0,I67,0)</f>
        <v>0</v>
      </c>
      <c r="W71">
        <f t="shared" ref="W71:W134" si="27">IF(K71&gt;0,I68,0)</f>
        <v>0</v>
      </c>
      <c r="X71">
        <f t="shared" ref="X71:X134" si="28">IF(K71&gt;0,I69,0)</f>
        <v>0</v>
      </c>
      <c r="Y71">
        <f t="shared" ref="Y71:Y134" si="29">IF(K71&gt;0,I70,0)</f>
        <v>0</v>
      </c>
      <c r="Z71">
        <f t="shared" ref="Z71:Z134" si="30">IF(K71&gt;0,DEC2HEX(I71),0)</f>
        <v>0</v>
      </c>
      <c r="AB71">
        <v>67</v>
      </c>
      <c r="AC71">
        <f t="shared" ref="AC71:AC134" si="31">IF(M71="FFFFFFF",AC70+1,AC70)</f>
        <v>0</v>
      </c>
      <c r="AD71">
        <f t="shared" si="21"/>
        <v>0</v>
      </c>
    </row>
    <row r="72" spans="3:30" x14ac:dyDescent="0.25">
      <c r="C72" s="3"/>
      <c r="D72" s="31">
        <f>Simulation_output!A70</f>
        <v>685000</v>
      </c>
      <c r="E72">
        <f>Sheet2!R69</f>
        <v>0</v>
      </c>
      <c r="F72">
        <f>Sheet2!S69</f>
        <v>1</v>
      </c>
      <c r="G72">
        <f>Sheet2!T69</f>
        <v>0</v>
      </c>
      <c r="H72" s="31">
        <f>Simulation_output!E70</f>
        <v>1</v>
      </c>
      <c r="I72" s="31">
        <f>Simulation_output!F70</f>
        <v>0</v>
      </c>
      <c r="J72" s="31">
        <f>Simulation_output!G70</f>
        <v>0</v>
      </c>
      <c r="K72" s="31">
        <f>Simulation_output!H70</f>
        <v>0</v>
      </c>
      <c r="L72">
        <v>1</v>
      </c>
      <c r="M72">
        <f t="shared" si="19"/>
        <v>0</v>
      </c>
      <c r="N72">
        <f t="shared" si="9"/>
        <v>0</v>
      </c>
      <c r="O72">
        <f t="shared" si="8"/>
        <v>0</v>
      </c>
      <c r="P72">
        <f t="shared" si="20"/>
        <v>0</v>
      </c>
      <c r="Q72">
        <f t="shared" si="7"/>
        <v>0</v>
      </c>
      <c r="R72">
        <f t="shared" si="22"/>
        <v>0</v>
      </c>
      <c r="S72">
        <f t="shared" si="23"/>
        <v>0</v>
      </c>
      <c r="T72">
        <f t="shared" si="24"/>
        <v>0</v>
      </c>
      <c r="U72">
        <f t="shared" si="25"/>
        <v>0</v>
      </c>
      <c r="V72">
        <f t="shared" si="26"/>
        <v>0</v>
      </c>
      <c r="W72">
        <f t="shared" si="27"/>
        <v>0</v>
      </c>
      <c r="X72">
        <f t="shared" si="28"/>
        <v>0</v>
      </c>
      <c r="Y72">
        <f t="shared" si="29"/>
        <v>0</v>
      </c>
      <c r="Z72">
        <f t="shared" si="30"/>
        <v>0</v>
      </c>
      <c r="AB72">
        <v>68</v>
      </c>
      <c r="AC72">
        <f t="shared" si="31"/>
        <v>0</v>
      </c>
      <c r="AD72">
        <f t="shared" si="21"/>
        <v>0</v>
      </c>
    </row>
    <row r="73" spans="3:30" x14ac:dyDescent="0.25">
      <c r="C73" s="3"/>
      <c r="D73" s="31">
        <f>Simulation_output!A71</f>
        <v>695000</v>
      </c>
      <c r="E73">
        <f>Sheet2!R70</f>
        <v>0</v>
      </c>
      <c r="F73">
        <f>Sheet2!S70</f>
        <v>0</v>
      </c>
      <c r="G73">
        <f>Sheet2!T70</f>
        <v>0</v>
      </c>
      <c r="H73" s="31">
        <f>Simulation_output!E71</f>
        <v>1</v>
      </c>
      <c r="I73" s="31">
        <f>Simulation_output!F71</f>
        <v>0</v>
      </c>
      <c r="J73" s="31">
        <f>Simulation_output!G71</f>
        <v>0</v>
      </c>
      <c r="K73" s="31">
        <f>Simulation_output!H71</f>
        <v>0</v>
      </c>
      <c r="L73">
        <v>1</v>
      </c>
      <c r="M73">
        <f t="shared" si="19"/>
        <v>0</v>
      </c>
      <c r="N73">
        <f t="shared" si="9"/>
        <v>0</v>
      </c>
      <c r="O73">
        <f t="shared" si="8"/>
        <v>0</v>
      </c>
      <c r="P73">
        <f t="shared" si="20"/>
        <v>0</v>
      </c>
      <c r="Q73">
        <f t="shared" si="7"/>
        <v>0</v>
      </c>
      <c r="R73">
        <f t="shared" si="22"/>
        <v>0</v>
      </c>
      <c r="S73">
        <f t="shared" si="23"/>
        <v>0</v>
      </c>
      <c r="T73">
        <f t="shared" si="24"/>
        <v>0</v>
      </c>
      <c r="U73">
        <f t="shared" si="25"/>
        <v>0</v>
      </c>
      <c r="V73">
        <f t="shared" si="26"/>
        <v>0</v>
      </c>
      <c r="W73">
        <f t="shared" si="27"/>
        <v>0</v>
      </c>
      <c r="X73">
        <f t="shared" si="28"/>
        <v>0</v>
      </c>
      <c r="Y73">
        <f t="shared" si="29"/>
        <v>0</v>
      </c>
      <c r="Z73">
        <f t="shared" si="30"/>
        <v>0</v>
      </c>
      <c r="AB73">
        <v>69</v>
      </c>
      <c r="AC73">
        <f t="shared" si="31"/>
        <v>0</v>
      </c>
      <c r="AD73">
        <f t="shared" si="21"/>
        <v>0</v>
      </c>
    </row>
    <row r="74" spans="3:30" x14ac:dyDescent="0.25">
      <c r="C74" s="3"/>
      <c r="D74" s="31">
        <f>Simulation_output!A72</f>
        <v>705000</v>
      </c>
      <c r="E74">
        <f>Sheet2!R71</f>
        <v>5</v>
      </c>
      <c r="F74">
        <f>Sheet2!S71</f>
        <v>1</v>
      </c>
      <c r="G74">
        <f>Sheet2!T71</f>
        <v>0</v>
      </c>
      <c r="H74" s="31">
        <f>Simulation_output!E72</f>
        <v>1</v>
      </c>
      <c r="I74" s="31">
        <f>Simulation_output!F72</f>
        <v>0</v>
      </c>
      <c r="J74" s="31">
        <f>Simulation_output!G72</f>
        <v>0</v>
      </c>
      <c r="K74" s="31">
        <f>Simulation_output!H72</f>
        <v>0</v>
      </c>
      <c r="L74">
        <v>1</v>
      </c>
      <c r="M74">
        <f t="shared" si="19"/>
        <v>0</v>
      </c>
      <c r="N74">
        <f t="shared" si="9"/>
        <v>0</v>
      </c>
      <c r="O74">
        <f t="shared" si="8"/>
        <v>0</v>
      </c>
      <c r="P74">
        <f t="shared" si="20"/>
        <v>0</v>
      </c>
      <c r="Q74">
        <f t="shared" si="7"/>
        <v>0</v>
      </c>
      <c r="R74">
        <f t="shared" si="22"/>
        <v>0</v>
      </c>
      <c r="S74">
        <f t="shared" si="23"/>
        <v>0</v>
      </c>
      <c r="T74">
        <f t="shared" si="24"/>
        <v>0</v>
      </c>
      <c r="U74">
        <f t="shared" si="25"/>
        <v>0</v>
      </c>
      <c r="V74">
        <f t="shared" si="26"/>
        <v>0</v>
      </c>
      <c r="W74">
        <f t="shared" si="27"/>
        <v>0</v>
      </c>
      <c r="X74">
        <f t="shared" si="28"/>
        <v>0</v>
      </c>
      <c r="Y74">
        <f t="shared" si="29"/>
        <v>0</v>
      </c>
      <c r="Z74">
        <f t="shared" si="30"/>
        <v>0</v>
      </c>
      <c r="AB74">
        <v>70</v>
      </c>
      <c r="AC74">
        <f t="shared" si="31"/>
        <v>0</v>
      </c>
      <c r="AD74">
        <f t="shared" si="21"/>
        <v>0</v>
      </c>
    </row>
    <row r="75" spans="3:30" x14ac:dyDescent="0.25">
      <c r="C75" s="3"/>
      <c r="D75" s="31">
        <f>Simulation_output!A73</f>
        <v>715000</v>
      </c>
      <c r="E75">
        <f>Sheet2!R72</f>
        <v>0</v>
      </c>
      <c r="F75">
        <f>Sheet2!S72</f>
        <v>0</v>
      </c>
      <c r="G75">
        <f>Sheet2!T72</f>
        <v>0</v>
      </c>
      <c r="H75" s="31">
        <f>Simulation_output!E73</f>
        <v>1</v>
      </c>
      <c r="I75" s="31">
        <f>Simulation_output!F73</f>
        <v>0</v>
      </c>
      <c r="J75" s="31">
        <f>Simulation_output!G73</f>
        <v>0</v>
      </c>
      <c r="K75" s="31">
        <f>Simulation_output!H73</f>
        <v>0</v>
      </c>
      <c r="L75">
        <v>1</v>
      </c>
      <c r="M75">
        <f t="shared" si="19"/>
        <v>0</v>
      </c>
      <c r="N75">
        <f t="shared" si="9"/>
        <v>0</v>
      </c>
      <c r="O75">
        <f t="shared" si="8"/>
        <v>0</v>
      </c>
      <c r="P75">
        <f t="shared" si="20"/>
        <v>0</v>
      </c>
      <c r="Q75">
        <f t="shared" ref="Q75:Q138" si="32">IF(K75&gt;0,I66,0)</f>
        <v>0</v>
      </c>
      <c r="R75">
        <f t="shared" si="22"/>
        <v>0</v>
      </c>
      <c r="S75">
        <f t="shared" si="23"/>
        <v>0</v>
      </c>
      <c r="T75">
        <f t="shared" si="24"/>
        <v>0</v>
      </c>
      <c r="U75">
        <f t="shared" si="25"/>
        <v>0</v>
      </c>
      <c r="V75">
        <f t="shared" si="26"/>
        <v>0</v>
      </c>
      <c r="W75">
        <f t="shared" si="27"/>
        <v>0</v>
      </c>
      <c r="X75">
        <f t="shared" si="28"/>
        <v>0</v>
      </c>
      <c r="Y75">
        <f t="shared" si="29"/>
        <v>0</v>
      </c>
      <c r="Z75">
        <f t="shared" si="30"/>
        <v>0</v>
      </c>
      <c r="AB75">
        <v>71</v>
      </c>
      <c r="AC75">
        <f t="shared" si="31"/>
        <v>0</v>
      </c>
      <c r="AD75">
        <f t="shared" si="21"/>
        <v>0</v>
      </c>
    </row>
    <row r="76" spans="3:30" x14ac:dyDescent="0.25">
      <c r="C76" s="3"/>
      <c r="D76" s="31">
        <f>Simulation_output!A74</f>
        <v>725000</v>
      </c>
      <c r="E76">
        <f>Sheet2!R73</f>
        <v>15</v>
      </c>
      <c r="F76">
        <f>Sheet2!S73</f>
        <v>1</v>
      </c>
      <c r="G76">
        <f>Sheet2!T73</f>
        <v>0</v>
      </c>
      <c r="H76" s="31">
        <f>Simulation_output!E74</f>
        <v>1</v>
      </c>
      <c r="I76" s="31">
        <f>Simulation_output!F74</f>
        <v>0</v>
      </c>
      <c r="J76" s="31">
        <f>Simulation_output!G74</f>
        <v>0</v>
      </c>
      <c r="K76" s="31">
        <f>Simulation_output!H74</f>
        <v>0</v>
      </c>
      <c r="L76">
        <v>1</v>
      </c>
      <c r="M76">
        <f t="shared" si="19"/>
        <v>0</v>
      </c>
      <c r="N76">
        <f t="shared" si="9"/>
        <v>0</v>
      </c>
      <c r="O76">
        <f t="shared" si="8"/>
        <v>0</v>
      </c>
      <c r="P76">
        <f t="shared" si="20"/>
        <v>0</v>
      </c>
      <c r="Q76">
        <f t="shared" si="32"/>
        <v>0</v>
      </c>
      <c r="R76">
        <f t="shared" si="22"/>
        <v>0</v>
      </c>
      <c r="S76">
        <f t="shared" si="23"/>
        <v>0</v>
      </c>
      <c r="T76">
        <f t="shared" si="24"/>
        <v>0</v>
      </c>
      <c r="U76">
        <f t="shared" si="25"/>
        <v>0</v>
      </c>
      <c r="V76">
        <f t="shared" si="26"/>
        <v>0</v>
      </c>
      <c r="W76">
        <f t="shared" si="27"/>
        <v>0</v>
      </c>
      <c r="X76">
        <f t="shared" si="28"/>
        <v>0</v>
      </c>
      <c r="Y76">
        <f t="shared" si="29"/>
        <v>0</v>
      </c>
      <c r="Z76">
        <f t="shared" si="30"/>
        <v>0</v>
      </c>
      <c r="AB76">
        <v>72</v>
      </c>
      <c r="AC76">
        <f t="shared" si="31"/>
        <v>0</v>
      </c>
      <c r="AD76">
        <f t="shared" si="21"/>
        <v>0</v>
      </c>
    </row>
    <row r="77" spans="3:30" x14ac:dyDescent="0.25">
      <c r="C77" s="3"/>
      <c r="D77" s="31">
        <f>Simulation_output!A75</f>
        <v>735000</v>
      </c>
      <c r="E77">
        <f>Sheet2!R74</f>
        <v>0</v>
      </c>
      <c r="F77">
        <f>Sheet2!S74</f>
        <v>0</v>
      </c>
      <c r="G77">
        <f>Sheet2!T74</f>
        <v>0</v>
      </c>
      <c r="H77" s="31">
        <f>Simulation_output!E75</f>
        <v>1</v>
      </c>
      <c r="I77" s="31">
        <f>Simulation_output!F75</f>
        <v>0</v>
      </c>
      <c r="J77" s="31">
        <f>Simulation_output!G75</f>
        <v>0</v>
      </c>
      <c r="K77" s="31">
        <f>Simulation_output!H75</f>
        <v>0</v>
      </c>
      <c r="L77">
        <v>1</v>
      </c>
      <c r="M77">
        <f t="shared" si="19"/>
        <v>0</v>
      </c>
      <c r="N77">
        <f t="shared" si="9"/>
        <v>0</v>
      </c>
      <c r="O77">
        <f t="shared" ref="O77:O140" si="33">IF(K77&gt;0,I66,0)</f>
        <v>0</v>
      </c>
      <c r="P77">
        <f t="shared" si="20"/>
        <v>0</v>
      </c>
      <c r="Q77">
        <f t="shared" si="32"/>
        <v>0</v>
      </c>
      <c r="R77">
        <f t="shared" si="22"/>
        <v>0</v>
      </c>
      <c r="S77">
        <f t="shared" si="23"/>
        <v>0</v>
      </c>
      <c r="T77">
        <f t="shared" si="24"/>
        <v>0</v>
      </c>
      <c r="U77">
        <f t="shared" si="25"/>
        <v>0</v>
      </c>
      <c r="V77">
        <f t="shared" si="26"/>
        <v>0</v>
      </c>
      <c r="W77">
        <f t="shared" si="27"/>
        <v>0</v>
      </c>
      <c r="X77">
        <f t="shared" si="28"/>
        <v>0</v>
      </c>
      <c r="Y77">
        <f t="shared" si="29"/>
        <v>0</v>
      </c>
      <c r="Z77">
        <f t="shared" si="30"/>
        <v>0</v>
      </c>
      <c r="AB77">
        <v>73</v>
      </c>
      <c r="AC77">
        <f t="shared" si="31"/>
        <v>0</v>
      </c>
      <c r="AD77">
        <f t="shared" si="21"/>
        <v>0</v>
      </c>
    </row>
    <row r="78" spans="3:30" x14ac:dyDescent="0.25">
      <c r="C78" s="3"/>
      <c r="D78" s="31">
        <f>Simulation_output!A76</f>
        <v>745000</v>
      </c>
      <c r="E78">
        <f>Sheet2!R75</f>
        <v>115</v>
      </c>
      <c r="F78">
        <f>Sheet2!S75</f>
        <v>1</v>
      </c>
      <c r="G78">
        <f>Sheet2!T75</f>
        <v>0</v>
      </c>
      <c r="H78" s="31">
        <f>Simulation_output!E76</f>
        <v>1</v>
      </c>
      <c r="I78" s="31">
        <f>Simulation_output!F76</f>
        <v>0</v>
      </c>
      <c r="J78" s="31">
        <f>Simulation_output!G76</f>
        <v>0</v>
      </c>
      <c r="K78" s="31">
        <f>Simulation_output!H76</f>
        <v>0</v>
      </c>
      <c r="L78">
        <v>1</v>
      </c>
      <c r="M78">
        <f t="shared" si="19"/>
        <v>0</v>
      </c>
      <c r="N78">
        <f t="shared" ref="N78:N141" si="34">IF(K78&gt;0,I66,0)</f>
        <v>0</v>
      </c>
      <c r="O78">
        <f t="shared" si="33"/>
        <v>0</v>
      </c>
      <c r="P78">
        <f t="shared" si="20"/>
        <v>0</v>
      </c>
      <c r="Q78">
        <f t="shared" si="32"/>
        <v>0</v>
      </c>
      <c r="R78">
        <f t="shared" si="22"/>
        <v>0</v>
      </c>
      <c r="S78">
        <f t="shared" si="23"/>
        <v>0</v>
      </c>
      <c r="T78">
        <f t="shared" si="24"/>
        <v>0</v>
      </c>
      <c r="U78">
        <f t="shared" si="25"/>
        <v>0</v>
      </c>
      <c r="V78">
        <f t="shared" si="26"/>
        <v>0</v>
      </c>
      <c r="W78">
        <f t="shared" si="27"/>
        <v>0</v>
      </c>
      <c r="X78">
        <f t="shared" si="28"/>
        <v>0</v>
      </c>
      <c r="Y78">
        <f t="shared" si="29"/>
        <v>0</v>
      </c>
      <c r="Z78">
        <f t="shared" si="30"/>
        <v>0</v>
      </c>
      <c r="AB78">
        <v>74</v>
      </c>
      <c r="AC78">
        <f t="shared" si="31"/>
        <v>0</v>
      </c>
      <c r="AD78">
        <f t="shared" si="21"/>
        <v>0</v>
      </c>
    </row>
    <row r="79" spans="3:30" x14ac:dyDescent="0.25">
      <c r="C79" s="3"/>
      <c r="D79" s="31">
        <f>Simulation_output!A77</f>
        <v>755000</v>
      </c>
      <c r="E79">
        <f>Sheet2!R76</f>
        <v>0</v>
      </c>
      <c r="F79">
        <f>Sheet2!S76</f>
        <v>0</v>
      </c>
      <c r="G79">
        <f>Sheet2!T76</f>
        <v>0</v>
      </c>
      <c r="H79" s="31">
        <f>Simulation_output!E77</f>
        <v>1</v>
      </c>
      <c r="I79" s="31">
        <f>Simulation_output!F77</f>
        <v>0</v>
      </c>
      <c r="J79" s="31">
        <f>Simulation_output!G77</f>
        <v>0</v>
      </c>
      <c r="K79" s="31">
        <f>Simulation_output!H77</f>
        <v>0</v>
      </c>
      <c r="L79">
        <v>1</v>
      </c>
      <c r="M79">
        <f t="shared" ref="M79:M142" si="35">IF(K79&gt;0,DEC2HEX(I66),0)</f>
        <v>0</v>
      </c>
      <c r="N79">
        <f t="shared" si="34"/>
        <v>0</v>
      </c>
      <c r="O79">
        <f t="shared" si="33"/>
        <v>0</v>
      </c>
      <c r="P79">
        <f t="shared" ref="P79:P142" si="36">IF(K79&gt;0,I69,0)</f>
        <v>0</v>
      </c>
      <c r="Q79">
        <f t="shared" si="32"/>
        <v>0</v>
      </c>
      <c r="R79">
        <f t="shared" si="22"/>
        <v>0</v>
      </c>
      <c r="S79">
        <f t="shared" si="23"/>
        <v>0</v>
      </c>
      <c r="T79">
        <f t="shared" si="24"/>
        <v>0</v>
      </c>
      <c r="U79">
        <f t="shared" si="25"/>
        <v>0</v>
      </c>
      <c r="V79">
        <f t="shared" si="26"/>
        <v>0</v>
      </c>
      <c r="W79">
        <f t="shared" si="27"/>
        <v>0</v>
      </c>
      <c r="X79">
        <f t="shared" si="28"/>
        <v>0</v>
      </c>
      <c r="Y79">
        <f t="shared" si="29"/>
        <v>0</v>
      </c>
      <c r="Z79">
        <f t="shared" si="30"/>
        <v>0</v>
      </c>
      <c r="AB79">
        <v>75</v>
      </c>
      <c r="AC79">
        <f t="shared" si="31"/>
        <v>0</v>
      </c>
      <c r="AD79">
        <f t="shared" si="21"/>
        <v>0</v>
      </c>
    </row>
    <row r="80" spans="3:30" x14ac:dyDescent="0.25">
      <c r="C80" s="3"/>
      <c r="D80" s="31">
        <f>Simulation_output!A78</f>
        <v>765000</v>
      </c>
      <c r="E80">
        <f>Sheet2!R77</f>
        <v>1015</v>
      </c>
      <c r="F80">
        <f>Sheet2!S77</f>
        <v>1</v>
      </c>
      <c r="G80">
        <f>Sheet2!T77</f>
        <v>0</v>
      </c>
      <c r="H80" s="31">
        <f>Simulation_output!E78</f>
        <v>1</v>
      </c>
      <c r="I80" s="31">
        <f>Simulation_output!F78</f>
        <v>0</v>
      </c>
      <c r="J80" s="31">
        <f>Simulation_output!G78</f>
        <v>0</v>
      </c>
      <c r="K80" s="31">
        <f>Simulation_output!H78</f>
        <v>0</v>
      </c>
      <c r="L80">
        <v>1</v>
      </c>
      <c r="M80">
        <f t="shared" si="35"/>
        <v>0</v>
      </c>
      <c r="N80">
        <f t="shared" si="34"/>
        <v>0</v>
      </c>
      <c r="O80">
        <f t="shared" si="33"/>
        <v>0</v>
      </c>
      <c r="P80">
        <f t="shared" si="36"/>
        <v>0</v>
      </c>
      <c r="Q80">
        <f t="shared" si="32"/>
        <v>0</v>
      </c>
      <c r="R80">
        <f t="shared" si="22"/>
        <v>0</v>
      </c>
      <c r="S80">
        <f t="shared" si="23"/>
        <v>0</v>
      </c>
      <c r="T80">
        <f t="shared" si="24"/>
        <v>0</v>
      </c>
      <c r="U80">
        <f t="shared" si="25"/>
        <v>0</v>
      </c>
      <c r="V80">
        <f t="shared" si="26"/>
        <v>0</v>
      </c>
      <c r="W80">
        <f t="shared" si="27"/>
        <v>0</v>
      </c>
      <c r="X80">
        <f t="shared" si="28"/>
        <v>0</v>
      </c>
      <c r="Y80">
        <f t="shared" si="29"/>
        <v>0</v>
      </c>
      <c r="Z80">
        <f t="shared" si="30"/>
        <v>0</v>
      </c>
      <c r="AB80">
        <v>76</v>
      </c>
      <c r="AC80">
        <f t="shared" si="31"/>
        <v>0</v>
      </c>
      <c r="AD80">
        <f t="shared" si="21"/>
        <v>0</v>
      </c>
    </row>
    <row r="81" spans="3:30" x14ac:dyDescent="0.25">
      <c r="C81" s="3"/>
      <c r="D81" s="31">
        <f>Simulation_output!A79</f>
        <v>775000</v>
      </c>
      <c r="E81">
        <f>Sheet2!R78</f>
        <v>0</v>
      </c>
      <c r="F81">
        <f>Sheet2!S78</f>
        <v>0</v>
      </c>
      <c r="G81">
        <f>Sheet2!T78</f>
        <v>0</v>
      </c>
      <c r="H81" s="31">
        <f>Simulation_output!E79</f>
        <v>1</v>
      </c>
      <c r="I81" s="31">
        <f>Simulation_output!F79</f>
        <v>0</v>
      </c>
      <c r="J81" s="31">
        <f>Simulation_output!G79</f>
        <v>0</v>
      </c>
      <c r="K81" s="31">
        <f>Simulation_output!H79</f>
        <v>0</v>
      </c>
      <c r="L81">
        <v>1</v>
      </c>
      <c r="M81">
        <f t="shared" si="35"/>
        <v>0</v>
      </c>
      <c r="N81">
        <f t="shared" si="34"/>
        <v>0</v>
      </c>
      <c r="O81">
        <f t="shared" si="33"/>
        <v>0</v>
      </c>
      <c r="P81">
        <f t="shared" si="36"/>
        <v>0</v>
      </c>
      <c r="Q81">
        <f t="shared" si="32"/>
        <v>0</v>
      </c>
      <c r="R81">
        <f t="shared" si="22"/>
        <v>0</v>
      </c>
      <c r="S81">
        <f t="shared" si="23"/>
        <v>0</v>
      </c>
      <c r="T81">
        <f t="shared" si="24"/>
        <v>0</v>
      </c>
      <c r="U81">
        <f t="shared" si="25"/>
        <v>0</v>
      </c>
      <c r="V81">
        <f t="shared" si="26"/>
        <v>0</v>
      </c>
      <c r="W81">
        <f t="shared" si="27"/>
        <v>0</v>
      </c>
      <c r="X81">
        <f t="shared" si="28"/>
        <v>0</v>
      </c>
      <c r="Y81">
        <f t="shared" si="29"/>
        <v>0</v>
      </c>
      <c r="Z81">
        <f t="shared" si="30"/>
        <v>0</v>
      </c>
      <c r="AB81">
        <v>77</v>
      </c>
      <c r="AC81">
        <f t="shared" si="31"/>
        <v>0</v>
      </c>
      <c r="AD81">
        <f t="shared" si="21"/>
        <v>0</v>
      </c>
    </row>
    <row r="82" spans="3:30" x14ac:dyDescent="0.25">
      <c r="C82" s="3"/>
      <c r="D82" s="31">
        <f>Simulation_output!A80</f>
        <v>785000</v>
      </c>
      <c r="E82">
        <f>Sheet2!R79</f>
        <v>10015</v>
      </c>
      <c r="F82">
        <f>Sheet2!S79</f>
        <v>1</v>
      </c>
      <c r="G82">
        <f>Sheet2!T79</f>
        <v>1</v>
      </c>
      <c r="H82" s="31">
        <f>Simulation_output!E80</f>
        <v>1</v>
      </c>
      <c r="I82" s="31">
        <f>Simulation_output!F80</f>
        <v>0</v>
      </c>
      <c r="J82" s="31">
        <f>Simulation_output!G80</f>
        <v>0</v>
      </c>
      <c r="K82" s="31">
        <f>Simulation_output!H80</f>
        <v>0</v>
      </c>
      <c r="L82">
        <v>1</v>
      </c>
      <c r="M82">
        <f t="shared" si="35"/>
        <v>0</v>
      </c>
      <c r="N82">
        <f t="shared" si="34"/>
        <v>0</v>
      </c>
      <c r="O82">
        <f t="shared" si="33"/>
        <v>0</v>
      </c>
      <c r="P82">
        <f t="shared" si="36"/>
        <v>0</v>
      </c>
      <c r="Q82">
        <f t="shared" si="32"/>
        <v>0</v>
      </c>
      <c r="R82">
        <f t="shared" si="22"/>
        <v>0</v>
      </c>
      <c r="S82">
        <f t="shared" si="23"/>
        <v>0</v>
      </c>
      <c r="T82">
        <f t="shared" si="24"/>
        <v>0</v>
      </c>
      <c r="U82">
        <f t="shared" si="25"/>
        <v>0</v>
      </c>
      <c r="V82">
        <f t="shared" si="26"/>
        <v>0</v>
      </c>
      <c r="W82">
        <f t="shared" si="27"/>
        <v>0</v>
      </c>
      <c r="X82">
        <f t="shared" si="28"/>
        <v>0</v>
      </c>
      <c r="Y82">
        <f t="shared" si="29"/>
        <v>0</v>
      </c>
      <c r="Z82">
        <f t="shared" si="30"/>
        <v>0</v>
      </c>
      <c r="AB82">
        <v>78</v>
      </c>
      <c r="AC82">
        <f t="shared" si="31"/>
        <v>0</v>
      </c>
      <c r="AD82">
        <f t="shared" si="21"/>
        <v>0</v>
      </c>
    </row>
    <row r="83" spans="3:30" x14ac:dyDescent="0.25">
      <c r="C83" s="3"/>
      <c r="D83" s="31">
        <f>Simulation_output!A81</f>
        <v>795000</v>
      </c>
      <c r="E83">
        <f>Sheet2!R80</f>
        <v>0</v>
      </c>
      <c r="F83">
        <f>Sheet2!S80</f>
        <v>0</v>
      </c>
      <c r="G83">
        <f>Sheet2!T80</f>
        <v>0</v>
      </c>
      <c r="H83" s="31">
        <f>Simulation_output!E81</f>
        <v>1</v>
      </c>
      <c r="I83" s="31">
        <f>Simulation_output!F81</f>
        <v>0</v>
      </c>
      <c r="J83" s="31">
        <f>Simulation_output!G81</f>
        <v>0</v>
      </c>
      <c r="K83" s="31">
        <f>Simulation_output!H81</f>
        <v>0</v>
      </c>
      <c r="L83">
        <v>1</v>
      </c>
      <c r="M83">
        <f t="shared" si="35"/>
        <v>0</v>
      </c>
      <c r="N83">
        <f t="shared" si="34"/>
        <v>0</v>
      </c>
      <c r="O83">
        <f t="shared" si="33"/>
        <v>0</v>
      </c>
      <c r="P83">
        <f t="shared" si="36"/>
        <v>0</v>
      </c>
      <c r="Q83">
        <f t="shared" si="32"/>
        <v>0</v>
      </c>
      <c r="R83">
        <f t="shared" si="22"/>
        <v>0</v>
      </c>
      <c r="S83">
        <f t="shared" si="23"/>
        <v>0</v>
      </c>
      <c r="T83">
        <f t="shared" si="24"/>
        <v>0</v>
      </c>
      <c r="U83">
        <f t="shared" si="25"/>
        <v>0</v>
      </c>
      <c r="V83">
        <f t="shared" si="26"/>
        <v>0</v>
      </c>
      <c r="W83">
        <f t="shared" si="27"/>
        <v>0</v>
      </c>
      <c r="X83">
        <f t="shared" si="28"/>
        <v>0</v>
      </c>
      <c r="Y83">
        <f t="shared" si="29"/>
        <v>0</v>
      </c>
      <c r="Z83">
        <f t="shared" si="30"/>
        <v>0</v>
      </c>
      <c r="AB83">
        <v>79</v>
      </c>
      <c r="AC83">
        <f t="shared" si="31"/>
        <v>0</v>
      </c>
      <c r="AD83">
        <f t="shared" si="21"/>
        <v>0</v>
      </c>
    </row>
    <row r="84" spans="3:30" x14ac:dyDescent="0.25">
      <c r="C84" s="3"/>
      <c r="D84" s="31">
        <f>Simulation_output!A82</f>
        <v>805000</v>
      </c>
      <c r="E84">
        <f>Sheet2!R81</f>
        <v>0</v>
      </c>
      <c r="F84">
        <f>Sheet2!S81</f>
        <v>1</v>
      </c>
      <c r="G84">
        <f>Sheet2!T81</f>
        <v>0</v>
      </c>
      <c r="H84" s="31">
        <f>Simulation_output!E82</f>
        <v>1</v>
      </c>
      <c r="I84" s="31">
        <f>Simulation_output!F82</f>
        <v>0</v>
      </c>
      <c r="J84" s="31">
        <f>Simulation_output!G82</f>
        <v>0</v>
      </c>
      <c r="K84" s="31">
        <f>Simulation_output!H82</f>
        <v>0</v>
      </c>
      <c r="L84">
        <v>1</v>
      </c>
      <c r="M84">
        <f t="shared" si="35"/>
        <v>0</v>
      </c>
      <c r="N84">
        <f t="shared" si="34"/>
        <v>0</v>
      </c>
      <c r="O84">
        <f t="shared" si="33"/>
        <v>0</v>
      </c>
      <c r="P84">
        <f t="shared" si="36"/>
        <v>0</v>
      </c>
      <c r="Q84">
        <f t="shared" si="32"/>
        <v>0</v>
      </c>
      <c r="R84">
        <f t="shared" si="22"/>
        <v>0</v>
      </c>
      <c r="S84">
        <f t="shared" si="23"/>
        <v>0</v>
      </c>
      <c r="T84">
        <f t="shared" si="24"/>
        <v>0</v>
      </c>
      <c r="U84">
        <f t="shared" si="25"/>
        <v>0</v>
      </c>
      <c r="V84">
        <f t="shared" si="26"/>
        <v>0</v>
      </c>
      <c r="W84">
        <f t="shared" si="27"/>
        <v>0</v>
      </c>
      <c r="X84">
        <f t="shared" si="28"/>
        <v>0</v>
      </c>
      <c r="Y84">
        <f t="shared" si="29"/>
        <v>0</v>
      </c>
      <c r="Z84">
        <f t="shared" si="30"/>
        <v>0</v>
      </c>
      <c r="AB84">
        <v>80</v>
      </c>
      <c r="AC84">
        <f t="shared" si="31"/>
        <v>0</v>
      </c>
      <c r="AD84">
        <f t="shared" si="21"/>
        <v>0</v>
      </c>
    </row>
    <row r="85" spans="3:30" x14ac:dyDescent="0.25">
      <c r="C85" s="3"/>
      <c r="D85" s="31">
        <f>Simulation_output!A83</f>
        <v>815000</v>
      </c>
      <c r="E85">
        <f>Sheet2!R82</f>
        <v>0</v>
      </c>
      <c r="F85">
        <f>Sheet2!S82</f>
        <v>0</v>
      </c>
      <c r="G85">
        <f>Sheet2!T82</f>
        <v>0</v>
      </c>
      <c r="H85" s="31">
        <f>Simulation_output!E83</f>
        <v>1</v>
      </c>
      <c r="I85" s="31">
        <f>Simulation_output!F83</f>
        <v>0</v>
      </c>
      <c r="J85" s="31">
        <f>Simulation_output!G83</f>
        <v>0</v>
      </c>
      <c r="K85" s="31">
        <f>Simulation_output!H83</f>
        <v>0</v>
      </c>
      <c r="L85">
        <v>1</v>
      </c>
      <c r="M85">
        <f t="shared" si="35"/>
        <v>0</v>
      </c>
      <c r="N85">
        <f t="shared" si="34"/>
        <v>0</v>
      </c>
      <c r="O85">
        <f t="shared" si="33"/>
        <v>0</v>
      </c>
      <c r="P85">
        <f t="shared" si="36"/>
        <v>0</v>
      </c>
      <c r="Q85">
        <f t="shared" si="32"/>
        <v>0</v>
      </c>
      <c r="R85">
        <f t="shared" si="22"/>
        <v>0</v>
      </c>
      <c r="S85">
        <f t="shared" si="23"/>
        <v>0</v>
      </c>
      <c r="T85">
        <f t="shared" si="24"/>
        <v>0</v>
      </c>
      <c r="U85">
        <f t="shared" si="25"/>
        <v>0</v>
      </c>
      <c r="V85">
        <f t="shared" si="26"/>
        <v>0</v>
      </c>
      <c r="W85">
        <f t="shared" si="27"/>
        <v>0</v>
      </c>
      <c r="X85">
        <f t="shared" si="28"/>
        <v>0</v>
      </c>
      <c r="Y85">
        <f t="shared" si="29"/>
        <v>0</v>
      </c>
      <c r="Z85">
        <f t="shared" si="30"/>
        <v>0</v>
      </c>
      <c r="AB85">
        <v>81</v>
      </c>
      <c r="AC85">
        <f t="shared" si="31"/>
        <v>0</v>
      </c>
      <c r="AD85">
        <f t="shared" si="21"/>
        <v>0</v>
      </c>
    </row>
    <row r="86" spans="3:30" x14ac:dyDescent="0.25">
      <c r="C86" s="3"/>
      <c r="D86" s="31">
        <f>Simulation_output!A84</f>
        <v>825000</v>
      </c>
      <c r="E86">
        <f>Sheet2!R83</f>
        <v>5</v>
      </c>
      <c r="F86">
        <f>Sheet2!S83</f>
        <v>1</v>
      </c>
      <c r="G86">
        <f>Sheet2!T83</f>
        <v>0</v>
      </c>
      <c r="H86" s="31">
        <f>Simulation_output!E84</f>
        <v>1</v>
      </c>
      <c r="I86" s="31">
        <f>Simulation_output!F84</f>
        <v>0</v>
      </c>
      <c r="J86" s="31">
        <f>Simulation_output!G84</f>
        <v>0</v>
      </c>
      <c r="K86" s="31">
        <f>Simulation_output!H84</f>
        <v>0</v>
      </c>
      <c r="L86">
        <v>1</v>
      </c>
      <c r="M86">
        <f t="shared" si="35"/>
        <v>0</v>
      </c>
      <c r="N86">
        <f t="shared" si="34"/>
        <v>0</v>
      </c>
      <c r="O86">
        <f t="shared" si="33"/>
        <v>0</v>
      </c>
      <c r="P86">
        <f t="shared" si="36"/>
        <v>0</v>
      </c>
      <c r="Q86">
        <f t="shared" si="32"/>
        <v>0</v>
      </c>
      <c r="R86">
        <f t="shared" si="22"/>
        <v>0</v>
      </c>
      <c r="S86">
        <f t="shared" si="23"/>
        <v>0</v>
      </c>
      <c r="T86">
        <f t="shared" si="24"/>
        <v>0</v>
      </c>
      <c r="U86">
        <f t="shared" si="25"/>
        <v>0</v>
      </c>
      <c r="V86">
        <f t="shared" si="26"/>
        <v>0</v>
      </c>
      <c r="W86">
        <f t="shared" si="27"/>
        <v>0</v>
      </c>
      <c r="X86">
        <f t="shared" si="28"/>
        <v>0</v>
      </c>
      <c r="Y86">
        <f t="shared" si="29"/>
        <v>0</v>
      </c>
      <c r="Z86">
        <f t="shared" si="30"/>
        <v>0</v>
      </c>
      <c r="AB86">
        <v>82</v>
      </c>
      <c r="AC86">
        <f t="shared" si="31"/>
        <v>0</v>
      </c>
      <c r="AD86">
        <f t="shared" si="21"/>
        <v>0</v>
      </c>
    </row>
    <row r="87" spans="3:30" x14ac:dyDescent="0.25">
      <c r="C87" s="3"/>
      <c r="D87" s="31">
        <f>Simulation_output!A85</f>
        <v>835000</v>
      </c>
      <c r="E87">
        <f>Sheet2!R84</f>
        <v>0</v>
      </c>
      <c r="F87">
        <f>Sheet2!S84</f>
        <v>0</v>
      </c>
      <c r="G87">
        <f>Sheet2!T84</f>
        <v>0</v>
      </c>
      <c r="H87" s="31">
        <f>Simulation_output!E85</f>
        <v>1</v>
      </c>
      <c r="I87" s="31">
        <f>Simulation_output!F85</f>
        <v>0</v>
      </c>
      <c r="J87" s="31">
        <f>Simulation_output!G85</f>
        <v>0</v>
      </c>
      <c r="K87" s="31">
        <f>Simulation_output!H85</f>
        <v>0</v>
      </c>
      <c r="L87">
        <v>1</v>
      </c>
      <c r="M87">
        <f t="shared" si="35"/>
        <v>0</v>
      </c>
      <c r="N87">
        <f t="shared" si="34"/>
        <v>0</v>
      </c>
      <c r="O87">
        <f t="shared" si="33"/>
        <v>0</v>
      </c>
      <c r="P87">
        <f t="shared" si="36"/>
        <v>0</v>
      </c>
      <c r="Q87">
        <f t="shared" si="32"/>
        <v>0</v>
      </c>
      <c r="R87">
        <f t="shared" si="22"/>
        <v>0</v>
      </c>
      <c r="S87">
        <f t="shared" si="23"/>
        <v>0</v>
      </c>
      <c r="T87">
        <f t="shared" si="24"/>
        <v>0</v>
      </c>
      <c r="U87">
        <f t="shared" si="25"/>
        <v>0</v>
      </c>
      <c r="V87">
        <f t="shared" si="26"/>
        <v>0</v>
      </c>
      <c r="W87">
        <f t="shared" si="27"/>
        <v>0</v>
      </c>
      <c r="X87">
        <f t="shared" si="28"/>
        <v>0</v>
      </c>
      <c r="Y87">
        <f t="shared" si="29"/>
        <v>0</v>
      </c>
      <c r="Z87">
        <f t="shared" si="30"/>
        <v>0</v>
      </c>
      <c r="AB87">
        <v>83</v>
      </c>
      <c r="AC87">
        <f t="shared" si="31"/>
        <v>0</v>
      </c>
      <c r="AD87">
        <f t="shared" si="21"/>
        <v>0</v>
      </c>
    </row>
    <row r="88" spans="3:30" x14ac:dyDescent="0.25">
      <c r="C88" s="3"/>
      <c r="D88" s="31">
        <f>Simulation_output!A86</f>
        <v>845000</v>
      </c>
      <c r="E88">
        <f>Sheet2!R85</f>
        <v>16</v>
      </c>
      <c r="F88">
        <f>Sheet2!S85</f>
        <v>1</v>
      </c>
      <c r="G88">
        <f>Sheet2!T85</f>
        <v>0</v>
      </c>
      <c r="H88" s="31">
        <f>Simulation_output!E86</f>
        <v>1</v>
      </c>
      <c r="I88" s="31">
        <f>Simulation_output!F86</f>
        <v>0</v>
      </c>
      <c r="J88" s="31">
        <f>Simulation_output!G86</f>
        <v>0</v>
      </c>
      <c r="K88" s="31">
        <f>Simulation_output!H86</f>
        <v>0</v>
      </c>
      <c r="L88">
        <v>1</v>
      </c>
      <c r="M88">
        <f t="shared" si="35"/>
        <v>0</v>
      </c>
      <c r="N88">
        <f t="shared" si="34"/>
        <v>0</v>
      </c>
      <c r="O88">
        <f t="shared" si="33"/>
        <v>0</v>
      </c>
      <c r="P88">
        <f t="shared" si="36"/>
        <v>0</v>
      </c>
      <c r="Q88">
        <f t="shared" si="32"/>
        <v>0</v>
      </c>
      <c r="R88">
        <f t="shared" si="22"/>
        <v>0</v>
      </c>
      <c r="S88">
        <f t="shared" si="23"/>
        <v>0</v>
      </c>
      <c r="T88">
        <f t="shared" si="24"/>
        <v>0</v>
      </c>
      <c r="U88">
        <f t="shared" si="25"/>
        <v>0</v>
      </c>
      <c r="V88">
        <f t="shared" si="26"/>
        <v>0</v>
      </c>
      <c r="W88">
        <f t="shared" si="27"/>
        <v>0</v>
      </c>
      <c r="X88">
        <f t="shared" si="28"/>
        <v>0</v>
      </c>
      <c r="Y88">
        <f t="shared" si="29"/>
        <v>0</v>
      </c>
      <c r="Z88">
        <f t="shared" si="30"/>
        <v>0</v>
      </c>
      <c r="AB88">
        <v>84</v>
      </c>
      <c r="AC88">
        <f t="shared" si="31"/>
        <v>0</v>
      </c>
      <c r="AD88">
        <f t="shared" si="21"/>
        <v>0</v>
      </c>
    </row>
    <row r="89" spans="3:30" x14ac:dyDescent="0.25">
      <c r="C89" s="3"/>
      <c r="D89" s="31">
        <f>Simulation_output!A87</f>
        <v>855000</v>
      </c>
      <c r="E89">
        <f>Sheet2!R86</f>
        <v>0</v>
      </c>
      <c r="F89">
        <f>Sheet2!S86</f>
        <v>0</v>
      </c>
      <c r="G89">
        <f>Sheet2!T86</f>
        <v>0</v>
      </c>
      <c r="H89" s="31">
        <f>Simulation_output!E87</f>
        <v>1</v>
      </c>
      <c r="I89" s="31">
        <f>Simulation_output!F87</f>
        <v>0</v>
      </c>
      <c r="J89" s="31">
        <f>Simulation_output!G87</f>
        <v>0</v>
      </c>
      <c r="K89" s="31">
        <f>Simulation_output!H87</f>
        <v>0</v>
      </c>
      <c r="L89">
        <v>1</v>
      </c>
      <c r="M89">
        <f t="shared" si="35"/>
        <v>0</v>
      </c>
      <c r="N89">
        <f t="shared" si="34"/>
        <v>0</v>
      </c>
      <c r="O89">
        <f t="shared" si="33"/>
        <v>0</v>
      </c>
      <c r="P89">
        <f t="shared" si="36"/>
        <v>0</v>
      </c>
      <c r="Q89">
        <f t="shared" si="32"/>
        <v>0</v>
      </c>
      <c r="R89">
        <f t="shared" si="22"/>
        <v>0</v>
      </c>
      <c r="S89">
        <f t="shared" si="23"/>
        <v>0</v>
      </c>
      <c r="T89">
        <f t="shared" si="24"/>
        <v>0</v>
      </c>
      <c r="U89">
        <f t="shared" si="25"/>
        <v>0</v>
      </c>
      <c r="V89">
        <f t="shared" si="26"/>
        <v>0</v>
      </c>
      <c r="W89">
        <f t="shared" si="27"/>
        <v>0</v>
      </c>
      <c r="X89">
        <f t="shared" si="28"/>
        <v>0</v>
      </c>
      <c r="Y89">
        <f t="shared" si="29"/>
        <v>0</v>
      </c>
      <c r="Z89">
        <f t="shared" si="30"/>
        <v>0</v>
      </c>
      <c r="AB89">
        <v>85</v>
      </c>
      <c r="AC89">
        <f t="shared" si="31"/>
        <v>0</v>
      </c>
      <c r="AD89">
        <f t="shared" si="21"/>
        <v>0</v>
      </c>
    </row>
    <row r="90" spans="3:30" x14ac:dyDescent="0.25">
      <c r="C90" s="3"/>
      <c r="D90" s="31">
        <f>Simulation_output!A88</f>
        <v>865000</v>
      </c>
      <c r="E90">
        <f>Sheet2!R87</f>
        <v>116</v>
      </c>
      <c r="F90">
        <f>Sheet2!S87</f>
        <v>1</v>
      </c>
      <c r="G90">
        <f>Sheet2!T87</f>
        <v>0</v>
      </c>
      <c r="H90" s="31">
        <f>Simulation_output!E88</f>
        <v>1</v>
      </c>
      <c r="I90" s="31">
        <f>Simulation_output!F88</f>
        <v>0</v>
      </c>
      <c r="J90" s="31">
        <f>Simulation_output!G88</f>
        <v>0</v>
      </c>
      <c r="K90" s="31">
        <f>Simulation_output!H88</f>
        <v>0</v>
      </c>
      <c r="L90">
        <v>1</v>
      </c>
      <c r="M90">
        <f t="shared" si="35"/>
        <v>0</v>
      </c>
      <c r="N90">
        <f t="shared" si="34"/>
        <v>0</v>
      </c>
      <c r="O90">
        <f t="shared" si="33"/>
        <v>0</v>
      </c>
      <c r="P90">
        <f t="shared" si="36"/>
        <v>0</v>
      </c>
      <c r="Q90">
        <f t="shared" si="32"/>
        <v>0</v>
      </c>
      <c r="R90">
        <f t="shared" si="22"/>
        <v>0</v>
      </c>
      <c r="S90">
        <f t="shared" si="23"/>
        <v>0</v>
      </c>
      <c r="T90">
        <f t="shared" si="24"/>
        <v>0</v>
      </c>
      <c r="U90">
        <f t="shared" si="25"/>
        <v>0</v>
      </c>
      <c r="V90">
        <f t="shared" si="26"/>
        <v>0</v>
      </c>
      <c r="W90">
        <f t="shared" si="27"/>
        <v>0</v>
      </c>
      <c r="X90">
        <f t="shared" si="28"/>
        <v>0</v>
      </c>
      <c r="Y90">
        <f t="shared" si="29"/>
        <v>0</v>
      </c>
      <c r="Z90">
        <f t="shared" si="30"/>
        <v>0</v>
      </c>
      <c r="AB90">
        <v>86</v>
      </c>
      <c r="AC90">
        <f t="shared" si="31"/>
        <v>0</v>
      </c>
      <c r="AD90">
        <f t="shared" si="21"/>
        <v>0</v>
      </c>
    </row>
    <row r="91" spans="3:30" x14ac:dyDescent="0.25">
      <c r="C91" s="3"/>
      <c r="D91" s="31">
        <f>Simulation_output!A89</f>
        <v>875000</v>
      </c>
      <c r="E91">
        <f>Sheet2!R88</f>
        <v>0</v>
      </c>
      <c r="F91">
        <f>Sheet2!S88</f>
        <v>0</v>
      </c>
      <c r="G91">
        <f>Sheet2!T88</f>
        <v>0</v>
      </c>
      <c r="H91" s="31">
        <f>Simulation_output!E89</f>
        <v>1</v>
      </c>
      <c r="I91" s="31">
        <f>Simulation_output!F89</f>
        <v>0</v>
      </c>
      <c r="J91" s="31">
        <f>Simulation_output!G89</f>
        <v>0</v>
      </c>
      <c r="K91" s="31">
        <f>Simulation_output!H89</f>
        <v>0</v>
      </c>
      <c r="L91">
        <v>1</v>
      </c>
      <c r="M91">
        <f t="shared" si="35"/>
        <v>0</v>
      </c>
      <c r="N91">
        <f t="shared" si="34"/>
        <v>0</v>
      </c>
      <c r="O91">
        <f t="shared" si="33"/>
        <v>0</v>
      </c>
      <c r="P91">
        <f t="shared" si="36"/>
        <v>0</v>
      </c>
      <c r="Q91">
        <f t="shared" si="32"/>
        <v>0</v>
      </c>
      <c r="R91">
        <f t="shared" si="22"/>
        <v>0</v>
      </c>
      <c r="S91">
        <f t="shared" si="23"/>
        <v>0</v>
      </c>
      <c r="T91">
        <f t="shared" si="24"/>
        <v>0</v>
      </c>
      <c r="U91">
        <f t="shared" si="25"/>
        <v>0</v>
      </c>
      <c r="V91">
        <f t="shared" si="26"/>
        <v>0</v>
      </c>
      <c r="W91">
        <f t="shared" si="27"/>
        <v>0</v>
      </c>
      <c r="X91">
        <f t="shared" si="28"/>
        <v>0</v>
      </c>
      <c r="Y91">
        <f t="shared" si="29"/>
        <v>0</v>
      </c>
      <c r="Z91">
        <f t="shared" si="30"/>
        <v>0</v>
      </c>
      <c r="AB91">
        <v>87</v>
      </c>
      <c r="AC91">
        <f t="shared" si="31"/>
        <v>0</v>
      </c>
      <c r="AD91">
        <f t="shared" si="21"/>
        <v>0</v>
      </c>
    </row>
    <row r="92" spans="3:30" x14ac:dyDescent="0.25">
      <c r="C92" s="3"/>
      <c r="D92" s="31">
        <f>Simulation_output!A90</f>
        <v>885000</v>
      </c>
      <c r="E92">
        <f>Sheet2!R89</f>
        <v>1016</v>
      </c>
      <c r="F92">
        <f>Sheet2!S89</f>
        <v>1</v>
      </c>
      <c r="G92">
        <f>Sheet2!T89</f>
        <v>0</v>
      </c>
      <c r="H92" s="31">
        <f>Simulation_output!E90</f>
        <v>1</v>
      </c>
      <c r="I92" s="31">
        <f>Simulation_output!F90</f>
        <v>0</v>
      </c>
      <c r="J92" s="31">
        <f>Simulation_output!G90</f>
        <v>0</v>
      </c>
      <c r="K92" s="31">
        <f>Simulation_output!H90</f>
        <v>0</v>
      </c>
      <c r="L92">
        <v>1</v>
      </c>
      <c r="M92">
        <f t="shared" si="35"/>
        <v>0</v>
      </c>
      <c r="N92">
        <f t="shared" si="34"/>
        <v>0</v>
      </c>
      <c r="O92">
        <f t="shared" si="33"/>
        <v>0</v>
      </c>
      <c r="P92">
        <f t="shared" si="36"/>
        <v>0</v>
      </c>
      <c r="Q92">
        <f t="shared" si="32"/>
        <v>0</v>
      </c>
      <c r="R92">
        <f t="shared" si="22"/>
        <v>0</v>
      </c>
      <c r="S92">
        <f t="shared" si="23"/>
        <v>0</v>
      </c>
      <c r="T92">
        <f t="shared" si="24"/>
        <v>0</v>
      </c>
      <c r="U92">
        <f t="shared" si="25"/>
        <v>0</v>
      </c>
      <c r="V92">
        <f t="shared" si="26"/>
        <v>0</v>
      </c>
      <c r="W92">
        <f t="shared" si="27"/>
        <v>0</v>
      </c>
      <c r="X92">
        <f t="shared" si="28"/>
        <v>0</v>
      </c>
      <c r="Y92">
        <f t="shared" si="29"/>
        <v>0</v>
      </c>
      <c r="Z92">
        <f t="shared" si="30"/>
        <v>0</v>
      </c>
      <c r="AB92">
        <v>88</v>
      </c>
      <c r="AC92">
        <f t="shared" si="31"/>
        <v>0</v>
      </c>
      <c r="AD92">
        <f t="shared" si="21"/>
        <v>0</v>
      </c>
    </row>
    <row r="93" spans="3:30" x14ac:dyDescent="0.25">
      <c r="C93" s="3"/>
      <c r="D93" s="31">
        <f>Simulation_output!A91</f>
        <v>895000</v>
      </c>
      <c r="E93">
        <f>Sheet2!R90</f>
        <v>0</v>
      </c>
      <c r="F93">
        <f>Sheet2!S90</f>
        <v>0</v>
      </c>
      <c r="G93">
        <f>Sheet2!T90</f>
        <v>0</v>
      </c>
      <c r="H93" s="31">
        <f>Simulation_output!E91</f>
        <v>1</v>
      </c>
      <c r="I93" s="31">
        <f>Simulation_output!F91</f>
        <v>0</v>
      </c>
      <c r="J93" s="31">
        <f>Simulation_output!G91</f>
        <v>0</v>
      </c>
      <c r="K93" s="31">
        <f>Simulation_output!H91</f>
        <v>0</v>
      </c>
      <c r="L93">
        <v>1</v>
      </c>
      <c r="M93">
        <f t="shared" si="35"/>
        <v>0</v>
      </c>
      <c r="N93">
        <f t="shared" si="34"/>
        <v>0</v>
      </c>
      <c r="O93">
        <f t="shared" si="33"/>
        <v>0</v>
      </c>
      <c r="P93">
        <f t="shared" si="36"/>
        <v>0</v>
      </c>
      <c r="Q93">
        <f t="shared" si="32"/>
        <v>0</v>
      </c>
      <c r="R93">
        <f t="shared" si="22"/>
        <v>0</v>
      </c>
      <c r="S93">
        <f t="shared" si="23"/>
        <v>0</v>
      </c>
      <c r="T93">
        <f t="shared" si="24"/>
        <v>0</v>
      </c>
      <c r="U93">
        <f t="shared" si="25"/>
        <v>0</v>
      </c>
      <c r="V93">
        <f t="shared" si="26"/>
        <v>0</v>
      </c>
      <c r="W93">
        <f t="shared" si="27"/>
        <v>0</v>
      </c>
      <c r="X93">
        <f t="shared" si="28"/>
        <v>0</v>
      </c>
      <c r="Y93">
        <f t="shared" si="29"/>
        <v>0</v>
      </c>
      <c r="Z93">
        <f t="shared" si="30"/>
        <v>0</v>
      </c>
      <c r="AB93">
        <v>89</v>
      </c>
      <c r="AC93">
        <f t="shared" si="31"/>
        <v>0</v>
      </c>
      <c r="AD93">
        <f t="shared" si="21"/>
        <v>0</v>
      </c>
    </row>
    <row r="94" spans="3:30" x14ac:dyDescent="0.25">
      <c r="C94" s="3"/>
      <c r="D94" s="31">
        <f>Simulation_output!A92</f>
        <v>905000</v>
      </c>
      <c r="E94">
        <f>Sheet2!R91</f>
        <v>10016</v>
      </c>
      <c r="F94">
        <f>Sheet2!S91</f>
        <v>1</v>
      </c>
      <c r="G94">
        <f>Sheet2!T91</f>
        <v>1</v>
      </c>
      <c r="H94" s="31">
        <f>Simulation_output!E92</f>
        <v>1</v>
      </c>
      <c r="I94" s="31">
        <f>Simulation_output!F92</f>
        <v>0</v>
      </c>
      <c r="J94" s="31">
        <f>Simulation_output!G92</f>
        <v>0</v>
      </c>
      <c r="K94" s="31">
        <f>Simulation_output!H92</f>
        <v>0</v>
      </c>
      <c r="L94">
        <v>1</v>
      </c>
      <c r="M94">
        <f t="shared" si="35"/>
        <v>0</v>
      </c>
      <c r="N94">
        <f t="shared" si="34"/>
        <v>0</v>
      </c>
      <c r="O94">
        <f t="shared" si="33"/>
        <v>0</v>
      </c>
      <c r="P94">
        <f t="shared" si="36"/>
        <v>0</v>
      </c>
      <c r="Q94">
        <f t="shared" si="32"/>
        <v>0</v>
      </c>
      <c r="R94">
        <f t="shared" si="22"/>
        <v>0</v>
      </c>
      <c r="S94">
        <f t="shared" si="23"/>
        <v>0</v>
      </c>
      <c r="T94">
        <f t="shared" si="24"/>
        <v>0</v>
      </c>
      <c r="U94">
        <f t="shared" si="25"/>
        <v>0</v>
      </c>
      <c r="V94">
        <f t="shared" si="26"/>
        <v>0</v>
      </c>
      <c r="W94">
        <f t="shared" si="27"/>
        <v>0</v>
      </c>
      <c r="X94">
        <f t="shared" si="28"/>
        <v>0</v>
      </c>
      <c r="Y94">
        <f t="shared" si="29"/>
        <v>0</v>
      </c>
      <c r="Z94">
        <f t="shared" si="30"/>
        <v>0</v>
      </c>
      <c r="AB94">
        <v>90</v>
      </c>
      <c r="AC94">
        <f t="shared" si="31"/>
        <v>0</v>
      </c>
      <c r="AD94">
        <f t="shared" si="21"/>
        <v>0</v>
      </c>
    </row>
    <row r="95" spans="3:30" x14ac:dyDescent="0.25">
      <c r="C95" s="3"/>
      <c r="D95" s="31">
        <f>Simulation_output!A93</f>
        <v>915000</v>
      </c>
      <c r="E95">
        <f>Sheet2!R92</f>
        <v>0</v>
      </c>
      <c r="F95">
        <f>Sheet2!S92</f>
        <v>0</v>
      </c>
      <c r="G95">
        <f>Sheet2!T92</f>
        <v>0</v>
      </c>
      <c r="H95" s="31">
        <f>Simulation_output!E93</f>
        <v>1</v>
      </c>
      <c r="I95" s="31">
        <f>Simulation_output!F93</f>
        <v>0</v>
      </c>
      <c r="J95" s="31">
        <f>Simulation_output!G93</f>
        <v>0</v>
      </c>
      <c r="K95" s="31">
        <f>Simulation_output!H93</f>
        <v>0</v>
      </c>
      <c r="L95">
        <v>1</v>
      </c>
      <c r="M95">
        <f t="shared" si="35"/>
        <v>0</v>
      </c>
      <c r="N95">
        <f t="shared" si="34"/>
        <v>0</v>
      </c>
      <c r="O95">
        <f t="shared" si="33"/>
        <v>0</v>
      </c>
      <c r="P95">
        <f t="shared" si="36"/>
        <v>0</v>
      </c>
      <c r="Q95">
        <f t="shared" si="32"/>
        <v>0</v>
      </c>
      <c r="R95">
        <f t="shared" si="22"/>
        <v>0</v>
      </c>
      <c r="S95">
        <f t="shared" si="23"/>
        <v>0</v>
      </c>
      <c r="T95">
        <f t="shared" si="24"/>
        <v>0</v>
      </c>
      <c r="U95">
        <f t="shared" si="25"/>
        <v>0</v>
      </c>
      <c r="V95">
        <f t="shared" si="26"/>
        <v>0</v>
      </c>
      <c r="W95">
        <f t="shared" si="27"/>
        <v>0</v>
      </c>
      <c r="X95">
        <f t="shared" si="28"/>
        <v>0</v>
      </c>
      <c r="Y95">
        <f t="shared" si="29"/>
        <v>0</v>
      </c>
      <c r="Z95">
        <f t="shared" si="30"/>
        <v>0</v>
      </c>
      <c r="AB95">
        <v>91</v>
      </c>
      <c r="AC95">
        <f t="shared" si="31"/>
        <v>0</v>
      </c>
      <c r="AD95">
        <f t="shared" si="21"/>
        <v>0</v>
      </c>
    </row>
    <row r="96" spans="3:30" x14ac:dyDescent="0.25">
      <c r="C96" s="3"/>
      <c r="D96" s="31">
        <f>Simulation_output!A94</f>
        <v>925000</v>
      </c>
      <c r="E96">
        <f>Sheet2!R93</f>
        <v>0</v>
      </c>
      <c r="F96">
        <f>Sheet2!S93</f>
        <v>1</v>
      </c>
      <c r="G96">
        <f>Sheet2!T93</f>
        <v>0</v>
      </c>
      <c r="H96" s="31">
        <f>Simulation_output!E94</f>
        <v>1</v>
      </c>
      <c r="I96" s="31">
        <f>Simulation_output!F94</f>
        <v>0</v>
      </c>
      <c r="J96" s="31">
        <f>Simulation_output!G94</f>
        <v>0</v>
      </c>
      <c r="K96" s="31">
        <f>Simulation_output!H94</f>
        <v>0</v>
      </c>
      <c r="L96">
        <v>1</v>
      </c>
      <c r="M96">
        <f t="shared" si="35"/>
        <v>0</v>
      </c>
      <c r="N96">
        <f t="shared" si="34"/>
        <v>0</v>
      </c>
      <c r="O96">
        <f t="shared" si="33"/>
        <v>0</v>
      </c>
      <c r="P96">
        <f t="shared" si="36"/>
        <v>0</v>
      </c>
      <c r="Q96">
        <f t="shared" si="32"/>
        <v>0</v>
      </c>
      <c r="R96">
        <f t="shared" si="22"/>
        <v>0</v>
      </c>
      <c r="S96">
        <f t="shared" si="23"/>
        <v>0</v>
      </c>
      <c r="T96">
        <f t="shared" si="24"/>
        <v>0</v>
      </c>
      <c r="U96">
        <f t="shared" si="25"/>
        <v>0</v>
      </c>
      <c r="V96">
        <f t="shared" si="26"/>
        <v>0</v>
      </c>
      <c r="W96">
        <f t="shared" si="27"/>
        <v>0</v>
      </c>
      <c r="X96">
        <f t="shared" si="28"/>
        <v>0</v>
      </c>
      <c r="Y96">
        <f t="shared" si="29"/>
        <v>0</v>
      </c>
      <c r="Z96">
        <f t="shared" si="30"/>
        <v>0</v>
      </c>
      <c r="AB96">
        <v>92</v>
      </c>
      <c r="AC96">
        <f t="shared" si="31"/>
        <v>0</v>
      </c>
      <c r="AD96">
        <f t="shared" si="21"/>
        <v>0</v>
      </c>
    </row>
    <row r="97" spans="3:30" x14ac:dyDescent="0.25">
      <c r="C97" s="3"/>
      <c r="D97" s="31">
        <f>Simulation_output!A95</f>
        <v>935000</v>
      </c>
      <c r="E97">
        <f>Sheet2!R94</f>
        <v>0</v>
      </c>
      <c r="F97">
        <f>Sheet2!S94</f>
        <v>0</v>
      </c>
      <c r="G97">
        <f>Sheet2!T94</f>
        <v>0</v>
      </c>
      <c r="H97" s="31">
        <f>Simulation_output!E95</f>
        <v>1</v>
      </c>
      <c r="I97" s="31">
        <f>Simulation_output!F95</f>
        <v>0</v>
      </c>
      <c r="J97" s="31">
        <f>Simulation_output!G95</f>
        <v>0</v>
      </c>
      <c r="K97" s="31">
        <f>Simulation_output!H95</f>
        <v>0</v>
      </c>
      <c r="L97">
        <v>1</v>
      </c>
      <c r="M97">
        <f t="shared" si="35"/>
        <v>0</v>
      </c>
      <c r="N97">
        <f t="shared" si="34"/>
        <v>0</v>
      </c>
      <c r="O97">
        <f t="shared" si="33"/>
        <v>0</v>
      </c>
      <c r="P97">
        <f t="shared" si="36"/>
        <v>0</v>
      </c>
      <c r="Q97">
        <f t="shared" si="32"/>
        <v>0</v>
      </c>
      <c r="R97">
        <f t="shared" si="22"/>
        <v>0</v>
      </c>
      <c r="S97">
        <f t="shared" si="23"/>
        <v>0</v>
      </c>
      <c r="T97">
        <f t="shared" si="24"/>
        <v>0</v>
      </c>
      <c r="U97">
        <f t="shared" si="25"/>
        <v>0</v>
      </c>
      <c r="V97">
        <f t="shared" si="26"/>
        <v>0</v>
      </c>
      <c r="W97">
        <f t="shared" si="27"/>
        <v>0</v>
      </c>
      <c r="X97">
        <f t="shared" si="28"/>
        <v>0</v>
      </c>
      <c r="Y97">
        <f t="shared" si="29"/>
        <v>0</v>
      </c>
      <c r="Z97">
        <f t="shared" si="30"/>
        <v>0</v>
      </c>
      <c r="AB97">
        <v>93</v>
      </c>
      <c r="AC97">
        <f t="shared" si="31"/>
        <v>0</v>
      </c>
      <c r="AD97">
        <f t="shared" si="21"/>
        <v>0</v>
      </c>
    </row>
    <row r="98" spans="3:30" x14ac:dyDescent="0.25">
      <c r="C98" s="3"/>
      <c r="D98" s="31">
        <f>Simulation_output!A96</f>
        <v>945000</v>
      </c>
      <c r="E98">
        <f>Sheet2!R95</f>
        <v>5</v>
      </c>
      <c r="F98">
        <f>Sheet2!S95</f>
        <v>1</v>
      </c>
      <c r="G98">
        <f>Sheet2!T95</f>
        <v>0</v>
      </c>
      <c r="H98" s="31">
        <f>Simulation_output!E96</f>
        <v>1</v>
      </c>
      <c r="I98" s="31">
        <f>Simulation_output!F96</f>
        <v>0</v>
      </c>
      <c r="J98" s="31">
        <f>Simulation_output!G96</f>
        <v>0</v>
      </c>
      <c r="K98" s="31">
        <f>Simulation_output!H96</f>
        <v>0</v>
      </c>
      <c r="L98">
        <v>1</v>
      </c>
      <c r="M98">
        <f t="shared" si="35"/>
        <v>0</v>
      </c>
      <c r="N98">
        <f t="shared" si="34"/>
        <v>0</v>
      </c>
      <c r="O98">
        <f t="shared" si="33"/>
        <v>0</v>
      </c>
      <c r="P98">
        <f t="shared" si="36"/>
        <v>0</v>
      </c>
      <c r="Q98">
        <f t="shared" si="32"/>
        <v>0</v>
      </c>
      <c r="R98">
        <f t="shared" si="22"/>
        <v>0</v>
      </c>
      <c r="S98">
        <f t="shared" si="23"/>
        <v>0</v>
      </c>
      <c r="T98">
        <f t="shared" si="24"/>
        <v>0</v>
      </c>
      <c r="U98">
        <f t="shared" si="25"/>
        <v>0</v>
      </c>
      <c r="V98">
        <f t="shared" si="26"/>
        <v>0</v>
      </c>
      <c r="W98">
        <f t="shared" si="27"/>
        <v>0</v>
      </c>
      <c r="X98">
        <f t="shared" si="28"/>
        <v>0</v>
      </c>
      <c r="Y98">
        <f t="shared" si="29"/>
        <v>0</v>
      </c>
      <c r="Z98">
        <f t="shared" si="30"/>
        <v>0</v>
      </c>
      <c r="AB98">
        <v>94</v>
      </c>
      <c r="AC98">
        <f t="shared" si="31"/>
        <v>0</v>
      </c>
      <c r="AD98">
        <f t="shared" si="21"/>
        <v>0</v>
      </c>
    </row>
    <row r="99" spans="3:30" x14ac:dyDescent="0.25">
      <c r="C99" s="3"/>
      <c r="D99" s="31">
        <f>Simulation_output!A97</f>
        <v>955000</v>
      </c>
      <c r="E99">
        <f>Sheet2!R96</f>
        <v>0</v>
      </c>
      <c r="F99">
        <f>Sheet2!S96</f>
        <v>0</v>
      </c>
      <c r="G99">
        <f>Sheet2!T96</f>
        <v>0</v>
      </c>
      <c r="H99" s="31">
        <f>Simulation_output!E97</f>
        <v>1</v>
      </c>
      <c r="I99" s="31">
        <f>Simulation_output!F97</f>
        <v>0</v>
      </c>
      <c r="J99" s="31">
        <f>Simulation_output!G97</f>
        <v>0</v>
      </c>
      <c r="K99" s="31">
        <f>Simulation_output!H97</f>
        <v>0</v>
      </c>
      <c r="L99">
        <v>1</v>
      </c>
      <c r="M99">
        <f t="shared" si="35"/>
        <v>0</v>
      </c>
      <c r="N99">
        <f t="shared" si="34"/>
        <v>0</v>
      </c>
      <c r="O99">
        <f t="shared" si="33"/>
        <v>0</v>
      </c>
      <c r="P99">
        <f t="shared" si="36"/>
        <v>0</v>
      </c>
      <c r="Q99">
        <f t="shared" si="32"/>
        <v>0</v>
      </c>
      <c r="R99">
        <f t="shared" si="22"/>
        <v>0</v>
      </c>
      <c r="S99">
        <f t="shared" si="23"/>
        <v>0</v>
      </c>
      <c r="T99">
        <f t="shared" si="24"/>
        <v>0</v>
      </c>
      <c r="U99">
        <f t="shared" si="25"/>
        <v>0</v>
      </c>
      <c r="V99">
        <f t="shared" si="26"/>
        <v>0</v>
      </c>
      <c r="W99">
        <f t="shared" si="27"/>
        <v>0</v>
      </c>
      <c r="X99">
        <f t="shared" si="28"/>
        <v>0</v>
      </c>
      <c r="Y99">
        <f t="shared" si="29"/>
        <v>0</v>
      </c>
      <c r="Z99">
        <f t="shared" si="30"/>
        <v>0</v>
      </c>
      <c r="AB99">
        <v>95</v>
      </c>
      <c r="AC99">
        <f t="shared" si="31"/>
        <v>0</v>
      </c>
      <c r="AD99">
        <f t="shared" si="21"/>
        <v>0</v>
      </c>
    </row>
    <row r="100" spans="3:30" x14ac:dyDescent="0.25">
      <c r="C100" s="3"/>
      <c r="D100" s="31">
        <f>Simulation_output!A98</f>
        <v>965000</v>
      </c>
      <c r="E100">
        <f>Sheet2!R97</f>
        <v>17</v>
      </c>
      <c r="F100">
        <f>Sheet2!S97</f>
        <v>1</v>
      </c>
      <c r="G100">
        <f>Sheet2!T97</f>
        <v>0</v>
      </c>
      <c r="H100" s="31">
        <f>Simulation_output!E98</f>
        <v>1</v>
      </c>
      <c r="I100" s="31">
        <f>Simulation_output!F98</f>
        <v>0</v>
      </c>
      <c r="J100" s="31">
        <f>Simulation_output!G98</f>
        <v>0</v>
      </c>
      <c r="K100" s="31">
        <f>Simulation_output!H98</f>
        <v>0</v>
      </c>
      <c r="L100">
        <v>1</v>
      </c>
      <c r="M100">
        <f t="shared" si="35"/>
        <v>0</v>
      </c>
      <c r="N100">
        <f t="shared" si="34"/>
        <v>0</v>
      </c>
      <c r="O100">
        <f t="shared" si="33"/>
        <v>0</v>
      </c>
      <c r="P100">
        <f t="shared" si="36"/>
        <v>0</v>
      </c>
      <c r="Q100">
        <f t="shared" si="32"/>
        <v>0</v>
      </c>
      <c r="R100">
        <f t="shared" si="22"/>
        <v>0</v>
      </c>
      <c r="S100">
        <f t="shared" si="23"/>
        <v>0</v>
      </c>
      <c r="T100">
        <f t="shared" si="24"/>
        <v>0</v>
      </c>
      <c r="U100">
        <f t="shared" si="25"/>
        <v>0</v>
      </c>
      <c r="V100">
        <f t="shared" si="26"/>
        <v>0</v>
      </c>
      <c r="W100">
        <f t="shared" si="27"/>
        <v>0</v>
      </c>
      <c r="X100">
        <f t="shared" si="28"/>
        <v>0</v>
      </c>
      <c r="Y100">
        <f t="shared" si="29"/>
        <v>0</v>
      </c>
      <c r="Z100">
        <f t="shared" si="30"/>
        <v>0</v>
      </c>
      <c r="AB100">
        <v>96</v>
      </c>
      <c r="AC100">
        <f t="shared" si="31"/>
        <v>0</v>
      </c>
      <c r="AD100">
        <f t="shared" si="21"/>
        <v>0</v>
      </c>
    </row>
    <row r="101" spans="3:30" x14ac:dyDescent="0.25">
      <c r="C101" s="3"/>
      <c r="D101" s="31">
        <f>Simulation_output!A99</f>
        <v>975000</v>
      </c>
      <c r="E101">
        <f>Sheet2!R98</f>
        <v>0</v>
      </c>
      <c r="F101">
        <f>Sheet2!S98</f>
        <v>0</v>
      </c>
      <c r="G101">
        <f>Sheet2!T98</f>
        <v>0</v>
      </c>
      <c r="H101" s="31">
        <f>Simulation_output!E99</f>
        <v>1</v>
      </c>
      <c r="I101" s="31">
        <f>Simulation_output!F99</f>
        <v>0</v>
      </c>
      <c r="J101" s="31">
        <f>Simulation_output!G99</f>
        <v>0</v>
      </c>
      <c r="K101" s="31">
        <f>Simulation_output!H99</f>
        <v>0</v>
      </c>
      <c r="L101">
        <v>1</v>
      </c>
      <c r="M101">
        <f t="shared" si="35"/>
        <v>0</v>
      </c>
      <c r="N101">
        <f t="shared" si="34"/>
        <v>0</v>
      </c>
      <c r="O101">
        <f t="shared" si="33"/>
        <v>0</v>
      </c>
      <c r="P101">
        <f t="shared" si="36"/>
        <v>0</v>
      </c>
      <c r="Q101">
        <f t="shared" si="32"/>
        <v>0</v>
      </c>
      <c r="R101">
        <f t="shared" si="22"/>
        <v>0</v>
      </c>
      <c r="S101">
        <f t="shared" si="23"/>
        <v>0</v>
      </c>
      <c r="T101">
        <f t="shared" si="24"/>
        <v>0</v>
      </c>
      <c r="U101">
        <f t="shared" si="25"/>
        <v>0</v>
      </c>
      <c r="V101">
        <f t="shared" si="26"/>
        <v>0</v>
      </c>
      <c r="W101">
        <f t="shared" si="27"/>
        <v>0</v>
      </c>
      <c r="X101">
        <f t="shared" si="28"/>
        <v>0</v>
      </c>
      <c r="Y101">
        <f t="shared" si="29"/>
        <v>0</v>
      </c>
      <c r="Z101">
        <f t="shared" si="30"/>
        <v>0</v>
      </c>
      <c r="AB101">
        <v>97</v>
      </c>
      <c r="AC101">
        <f t="shared" si="31"/>
        <v>0</v>
      </c>
      <c r="AD101">
        <f t="shared" si="21"/>
        <v>0</v>
      </c>
    </row>
    <row r="102" spans="3:30" x14ac:dyDescent="0.25">
      <c r="C102" s="3"/>
      <c r="D102" s="31">
        <f>Simulation_output!A100</f>
        <v>985000</v>
      </c>
      <c r="E102">
        <f>Sheet2!R99</f>
        <v>117</v>
      </c>
      <c r="F102">
        <f>Sheet2!S99</f>
        <v>1</v>
      </c>
      <c r="G102">
        <f>Sheet2!T99</f>
        <v>0</v>
      </c>
      <c r="H102" s="31">
        <f>Simulation_output!E100</f>
        <v>1</v>
      </c>
      <c r="I102" s="31">
        <f>Simulation_output!F100</f>
        <v>0</v>
      </c>
      <c r="J102" s="31">
        <f>Simulation_output!G100</f>
        <v>0</v>
      </c>
      <c r="K102" s="31">
        <f>Simulation_output!H100</f>
        <v>0</v>
      </c>
      <c r="L102">
        <v>1</v>
      </c>
      <c r="M102">
        <f t="shared" si="35"/>
        <v>0</v>
      </c>
      <c r="N102">
        <f t="shared" si="34"/>
        <v>0</v>
      </c>
      <c r="O102">
        <f t="shared" si="33"/>
        <v>0</v>
      </c>
      <c r="P102">
        <f t="shared" si="36"/>
        <v>0</v>
      </c>
      <c r="Q102">
        <f t="shared" si="32"/>
        <v>0</v>
      </c>
      <c r="R102">
        <f t="shared" si="22"/>
        <v>0</v>
      </c>
      <c r="S102">
        <f t="shared" si="23"/>
        <v>0</v>
      </c>
      <c r="T102">
        <f t="shared" si="24"/>
        <v>0</v>
      </c>
      <c r="U102">
        <f t="shared" si="25"/>
        <v>0</v>
      </c>
      <c r="V102">
        <f t="shared" si="26"/>
        <v>0</v>
      </c>
      <c r="W102">
        <f t="shared" si="27"/>
        <v>0</v>
      </c>
      <c r="X102">
        <f t="shared" si="28"/>
        <v>0</v>
      </c>
      <c r="Y102">
        <f t="shared" si="29"/>
        <v>0</v>
      </c>
      <c r="Z102">
        <f t="shared" si="30"/>
        <v>0</v>
      </c>
      <c r="AB102">
        <v>98</v>
      </c>
      <c r="AC102">
        <f t="shared" si="31"/>
        <v>0</v>
      </c>
      <c r="AD102">
        <f t="shared" si="21"/>
        <v>0</v>
      </c>
    </row>
    <row r="103" spans="3:30" x14ac:dyDescent="0.25">
      <c r="C103" s="3"/>
      <c r="D103" s="31">
        <f>Simulation_output!A101</f>
        <v>995000</v>
      </c>
      <c r="E103">
        <f>Sheet2!R100</f>
        <v>0</v>
      </c>
      <c r="F103">
        <f>Sheet2!S100</f>
        <v>0</v>
      </c>
      <c r="G103">
        <f>Sheet2!T100</f>
        <v>0</v>
      </c>
      <c r="H103" s="31">
        <f>Simulation_output!E101</f>
        <v>1</v>
      </c>
      <c r="I103" s="31">
        <f>Simulation_output!F101</f>
        <v>0</v>
      </c>
      <c r="J103" s="31">
        <f>Simulation_output!G101</f>
        <v>0</v>
      </c>
      <c r="K103" s="31">
        <f>Simulation_output!H101</f>
        <v>0</v>
      </c>
      <c r="L103">
        <v>1</v>
      </c>
      <c r="M103">
        <f t="shared" si="35"/>
        <v>0</v>
      </c>
      <c r="N103">
        <f t="shared" si="34"/>
        <v>0</v>
      </c>
      <c r="O103">
        <f t="shared" si="33"/>
        <v>0</v>
      </c>
      <c r="P103">
        <f t="shared" si="36"/>
        <v>0</v>
      </c>
      <c r="Q103">
        <f t="shared" si="32"/>
        <v>0</v>
      </c>
      <c r="R103">
        <f t="shared" si="22"/>
        <v>0</v>
      </c>
      <c r="S103">
        <f t="shared" si="23"/>
        <v>0</v>
      </c>
      <c r="T103">
        <f t="shared" si="24"/>
        <v>0</v>
      </c>
      <c r="U103">
        <f t="shared" si="25"/>
        <v>0</v>
      </c>
      <c r="V103">
        <f t="shared" si="26"/>
        <v>0</v>
      </c>
      <c r="W103">
        <f t="shared" si="27"/>
        <v>0</v>
      </c>
      <c r="X103">
        <f t="shared" si="28"/>
        <v>0</v>
      </c>
      <c r="Y103">
        <f t="shared" si="29"/>
        <v>0</v>
      </c>
      <c r="Z103">
        <f t="shared" si="30"/>
        <v>0</v>
      </c>
      <c r="AB103">
        <v>99</v>
      </c>
      <c r="AC103">
        <f t="shared" si="31"/>
        <v>0</v>
      </c>
      <c r="AD103">
        <f t="shared" si="21"/>
        <v>0</v>
      </c>
    </row>
    <row r="104" spans="3:30" x14ac:dyDescent="0.25">
      <c r="C104" s="3"/>
      <c r="D104" s="31">
        <f>Simulation_output!A102</f>
        <v>1005000</v>
      </c>
      <c r="E104">
        <f>Sheet2!R101</f>
        <v>1017</v>
      </c>
      <c r="F104">
        <f>Sheet2!S101</f>
        <v>1</v>
      </c>
      <c r="G104">
        <f>Sheet2!T101</f>
        <v>0</v>
      </c>
      <c r="H104" s="31">
        <f>Simulation_output!E102</f>
        <v>1</v>
      </c>
      <c r="I104" s="31">
        <f>Simulation_output!F102</f>
        <v>0</v>
      </c>
      <c r="J104" s="31">
        <f>Simulation_output!G102</f>
        <v>0</v>
      </c>
      <c r="K104" s="31">
        <f>Simulation_output!H102</f>
        <v>0</v>
      </c>
      <c r="L104">
        <v>1</v>
      </c>
      <c r="M104">
        <f t="shared" si="35"/>
        <v>0</v>
      </c>
      <c r="N104">
        <f t="shared" si="34"/>
        <v>0</v>
      </c>
      <c r="O104">
        <f t="shared" si="33"/>
        <v>0</v>
      </c>
      <c r="P104">
        <f t="shared" si="36"/>
        <v>0</v>
      </c>
      <c r="Q104">
        <f t="shared" si="32"/>
        <v>0</v>
      </c>
      <c r="R104">
        <f t="shared" si="22"/>
        <v>0</v>
      </c>
      <c r="S104">
        <f t="shared" si="23"/>
        <v>0</v>
      </c>
      <c r="T104">
        <f t="shared" si="24"/>
        <v>0</v>
      </c>
      <c r="U104">
        <f t="shared" si="25"/>
        <v>0</v>
      </c>
      <c r="V104">
        <f t="shared" si="26"/>
        <v>0</v>
      </c>
      <c r="W104">
        <f t="shared" si="27"/>
        <v>0</v>
      </c>
      <c r="X104">
        <f t="shared" si="28"/>
        <v>0</v>
      </c>
      <c r="Y104">
        <f t="shared" si="29"/>
        <v>0</v>
      </c>
      <c r="Z104">
        <f t="shared" si="30"/>
        <v>0</v>
      </c>
      <c r="AB104">
        <v>100</v>
      </c>
      <c r="AC104">
        <f t="shared" si="31"/>
        <v>0</v>
      </c>
      <c r="AD104">
        <f t="shared" si="21"/>
        <v>0</v>
      </c>
    </row>
    <row r="105" spans="3:30" x14ac:dyDescent="0.25">
      <c r="C105" s="3"/>
      <c r="D105" s="31">
        <f>Simulation_output!A103</f>
        <v>1015000</v>
      </c>
      <c r="E105">
        <f>Sheet2!R102</f>
        <v>0</v>
      </c>
      <c r="F105">
        <f>Sheet2!S102</f>
        <v>0</v>
      </c>
      <c r="G105">
        <f>Sheet2!T102</f>
        <v>0</v>
      </c>
      <c r="H105" s="31">
        <f>Simulation_output!E103</f>
        <v>1</v>
      </c>
      <c r="I105" s="31">
        <f>Simulation_output!F103</f>
        <v>0</v>
      </c>
      <c r="J105" s="31">
        <f>Simulation_output!G103</f>
        <v>0</v>
      </c>
      <c r="K105" s="31">
        <f>Simulation_output!H103</f>
        <v>0</v>
      </c>
      <c r="L105">
        <v>1</v>
      </c>
      <c r="M105">
        <f t="shared" si="35"/>
        <v>0</v>
      </c>
      <c r="N105">
        <f t="shared" si="34"/>
        <v>0</v>
      </c>
      <c r="O105">
        <f t="shared" si="33"/>
        <v>0</v>
      </c>
      <c r="P105">
        <f t="shared" si="36"/>
        <v>0</v>
      </c>
      <c r="Q105">
        <f t="shared" si="32"/>
        <v>0</v>
      </c>
      <c r="R105">
        <f t="shared" si="22"/>
        <v>0</v>
      </c>
      <c r="S105">
        <f t="shared" si="23"/>
        <v>0</v>
      </c>
      <c r="T105">
        <f t="shared" si="24"/>
        <v>0</v>
      </c>
      <c r="U105">
        <f t="shared" si="25"/>
        <v>0</v>
      </c>
      <c r="V105">
        <f t="shared" si="26"/>
        <v>0</v>
      </c>
      <c r="W105">
        <f t="shared" si="27"/>
        <v>0</v>
      </c>
      <c r="X105">
        <f t="shared" si="28"/>
        <v>0</v>
      </c>
      <c r="Y105">
        <f t="shared" si="29"/>
        <v>0</v>
      </c>
      <c r="Z105">
        <f t="shared" si="30"/>
        <v>0</v>
      </c>
      <c r="AB105">
        <v>101</v>
      </c>
      <c r="AC105">
        <f t="shared" si="31"/>
        <v>0</v>
      </c>
      <c r="AD105">
        <f t="shared" si="21"/>
        <v>0</v>
      </c>
    </row>
    <row r="106" spans="3:30" x14ac:dyDescent="0.25">
      <c r="C106" s="3"/>
      <c r="D106" s="31">
        <f>Simulation_output!A104</f>
        <v>1025000</v>
      </c>
      <c r="E106">
        <f>Sheet2!R103</f>
        <v>10017</v>
      </c>
      <c r="F106">
        <f>Sheet2!S103</f>
        <v>1</v>
      </c>
      <c r="G106">
        <f>Sheet2!T103</f>
        <v>1</v>
      </c>
      <c r="H106" s="31">
        <f>Simulation_output!E104</f>
        <v>1</v>
      </c>
      <c r="I106" s="31">
        <f>Simulation_output!F104</f>
        <v>0</v>
      </c>
      <c r="J106" s="31">
        <f>Simulation_output!G104</f>
        <v>0</v>
      </c>
      <c r="K106" s="31">
        <f>Simulation_output!H104</f>
        <v>0</v>
      </c>
      <c r="L106">
        <v>1</v>
      </c>
      <c r="M106">
        <f t="shared" si="35"/>
        <v>0</v>
      </c>
      <c r="N106">
        <f t="shared" si="34"/>
        <v>0</v>
      </c>
      <c r="O106">
        <f t="shared" si="33"/>
        <v>0</v>
      </c>
      <c r="P106">
        <f t="shared" si="36"/>
        <v>0</v>
      </c>
      <c r="Q106">
        <f t="shared" si="32"/>
        <v>0</v>
      </c>
      <c r="R106">
        <f t="shared" si="22"/>
        <v>0</v>
      </c>
      <c r="S106">
        <f t="shared" si="23"/>
        <v>0</v>
      </c>
      <c r="T106">
        <f t="shared" si="24"/>
        <v>0</v>
      </c>
      <c r="U106">
        <f t="shared" si="25"/>
        <v>0</v>
      </c>
      <c r="V106">
        <f t="shared" si="26"/>
        <v>0</v>
      </c>
      <c r="W106">
        <f t="shared" si="27"/>
        <v>0</v>
      </c>
      <c r="X106">
        <f t="shared" si="28"/>
        <v>0</v>
      </c>
      <c r="Y106">
        <f t="shared" si="29"/>
        <v>0</v>
      </c>
      <c r="Z106">
        <f t="shared" si="30"/>
        <v>0</v>
      </c>
      <c r="AB106">
        <v>102</v>
      </c>
      <c r="AC106">
        <f t="shared" si="31"/>
        <v>0</v>
      </c>
      <c r="AD106">
        <f t="shared" si="21"/>
        <v>0</v>
      </c>
    </row>
    <row r="107" spans="3:30" x14ac:dyDescent="0.25">
      <c r="C107" s="3"/>
      <c r="D107" s="31">
        <f>Simulation_output!A105</f>
        <v>1035000</v>
      </c>
      <c r="E107">
        <f>Sheet2!R104</f>
        <v>0</v>
      </c>
      <c r="F107">
        <f>Sheet2!S104</f>
        <v>0</v>
      </c>
      <c r="G107">
        <f>Sheet2!T104</f>
        <v>0</v>
      </c>
      <c r="H107" s="31">
        <f>Simulation_output!E105</f>
        <v>1</v>
      </c>
      <c r="I107" s="31">
        <f>Simulation_output!F105</f>
        <v>0</v>
      </c>
      <c r="J107" s="31">
        <f>Simulation_output!G105</f>
        <v>0</v>
      </c>
      <c r="K107" s="31">
        <f>Simulation_output!H105</f>
        <v>0</v>
      </c>
      <c r="L107">
        <v>1</v>
      </c>
      <c r="M107">
        <f t="shared" si="35"/>
        <v>0</v>
      </c>
      <c r="N107">
        <f t="shared" si="34"/>
        <v>0</v>
      </c>
      <c r="O107">
        <f t="shared" si="33"/>
        <v>0</v>
      </c>
      <c r="P107">
        <f t="shared" si="36"/>
        <v>0</v>
      </c>
      <c r="Q107">
        <f t="shared" si="32"/>
        <v>0</v>
      </c>
      <c r="R107">
        <f t="shared" si="22"/>
        <v>0</v>
      </c>
      <c r="S107">
        <f t="shared" si="23"/>
        <v>0</v>
      </c>
      <c r="T107">
        <f t="shared" si="24"/>
        <v>0</v>
      </c>
      <c r="U107">
        <f t="shared" si="25"/>
        <v>0</v>
      </c>
      <c r="V107">
        <f t="shared" si="26"/>
        <v>0</v>
      </c>
      <c r="W107">
        <f t="shared" si="27"/>
        <v>0</v>
      </c>
      <c r="X107">
        <f t="shared" si="28"/>
        <v>0</v>
      </c>
      <c r="Y107">
        <f t="shared" si="29"/>
        <v>0</v>
      </c>
      <c r="Z107">
        <f t="shared" si="30"/>
        <v>0</v>
      </c>
      <c r="AB107">
        <v>103</v>
      </c>
      <c r="AC107">
        <f t="shared" si="31"/>
        <v>0</v>
      </c>
      <c r="AD107">
        <f t="shared" si="21"/>
        <v>0</v>
      </c>
    </row>
    <row r="108" spans="3:30" x14ac:dyDescent="0.25">
      <c r="C108" s="3"/>
      <c r="D108" s="31">
        <f>Simulation_output!A106</f>
        <v>1045000</v>
      </c>
      <c r="E108">
        <f>Sheet2!R105</f>
        <v>0</v>
      </c>
      <c r="F108">
        <f>Sheet2!S105</f>
        <v>1</v>
      </c>
      <c r="G108">
        <f>Sheet2!T105</f>
        <v>0</v>
      </c>
      <c r="H108" s="31">
        <f>Simulation_output!E106</f>
        <v>1</v>
      </c>
      <c r="I108" s="31">
        <f>Simulation_output!F106</f>
        <v>0</v>
      </c>
      <c r="J108" s="31">
        <f>Simulation_output!G106</f>
        <v>0</v>
      </c>
      <c r="K108" s="31">
        <f>Simulation_output!H106</f>
        <v>0</v>
      </c>
      <c r="L108">
        <v>1</v>
      </c>
      <c r="M108">
        <f t="shared" si="35"/>
        <v>0</v>
      </c>
      <c r="N108">
        <f t="shared" si="34"/>
        <v>0</v>
      </c>
      <c r="O108">
        <f t="shared" si="33"/>
        <v>0</v>
      </c>
      <c r="P108">
        <f t="shared" si="36"/>
        <v>0</v>
      </c>
      <c r="Q108">
        <f t="shared" si="32"/>
        <v>0</v>
      </c>
      <c r="R108">
        <f t="shared" si="22"/>
        <v>0</v>
      </c>
      <c r="S108">
        <f t="shared" si="23"/>
        <v>0</v>
      </c>
      <c r="T108">
        <f t="shared" si="24"/>
        <v>0</v>
      </c>
      <c r="U108">
        <f t="shared" si="25"/>
        <v>0</v>
      </c>
      <c r="V108">
        <f t="shared" si="26"/>
        <v>0</v>
      </c>
      <c r="W108">
        <f t="shared" si="27"/>
        <v>0</v>
      </c>
      <c r="X108">
        <f t="shared" si="28"/>
        <v>0</v>
      </c>
      <c r="Y108">
        <f t="shared" si="29"/>
        <v>0</v>
      </c>
      <c r="Z108">
        <f t="shared" si="30"/>
        <v>0</v>
      </c>
      <c r="AB108">
        <v>104</v>
      </c>
      <c r="AC108">
        <f t="shared" si="31"/>
        <v>0</v>
      </c>
      <c r="AD108">
        <f t="shared" si="21"/>
        <v>0</v>
      </c>
    </row>
    <row r="109" spans="3:30" x14ac:dyDescent="0.25">
      <c r="C109" s="3"/>
      <c r="D109" s="31">
        <f>Simulation_output!A107</f>
        <v>1055000</v>
      </c>
      <c r="E109">
        <f>Sheet2!R106</f>
        <v>0</v>
      </c>
      <c r="F109">
        <f>Sheet2!S106</f>
        <v>0</v>
      </c>
      <c r="G109">
        <f>Sheet2!T106</f>
        <v>0</v>
      </c>
      <c r="H109" s="31">
        <f>Simulation_output!E107</f>
        <v>1</v>
      </c>
      <c r="I109" s="31">
        <f>Simulation_output!F107</f>
        <v>0</v>
      </c>
      <c r="J109" s="31">
        <f>Simulation_output!G107</f>
        <v>0</v>
      </c>
      <c r="K109" s="31">
        <f>Simulation_output!H107</f>
        <v>0</v>
      </c>
      <c r="L109">
        <v>1</v>
      </c>
      <c r="M109">
        <f t="shared" si="35"/>
        <v>0</v>
      </c>
      <c r="N109">
        <f t="shared" si="34"/>
        <v>0</v>
      </c>
      <c r="O109">
        <f t="shared" si="33"/>
        <v>0</v>
      </c>
      <c r="P109">
        <f t="shared" si="36"/>
        <v>0</v>
      </c>
      <c r="Q109">
        <f t="shared" si="32"/>
        <v>0</v>
      </c>
      <c r="R109">
        <f t="shared" si="22"/>
        <v>0</v>
      </c>
      <c r="S109">
        <f t="shared" si="23"/>
        <v>0</v>
      </c>
      <c r="T109">
        <f t="shared" si="24"/>
        <v>0</v>
      </c>
      <c r="U109">
        <f t="shared" si="25"/>
        <v>0</v>
      </c>
      <c r="V109">
        <f t="shared" si="26"/>
        <v>0</v>
      </c>
      <c r="W109">
        <f t="shared" si="27"/>
        <v>0</v>
      </c>
      <c r="X109">
        <f t="shared" si="28"/>
        <v>0</v>
      </c>
      <c r="Y109">
        <f t="shared" si="29"/>
        <v>0</v>
      </c>
      <c r="Z109">
        <f t="shared" si="30"/>
        <v>0</v>
      </c>
      <c r="AB109">
        <v>105</v>
      </c>
      <c r="AC109">
        <f t="shared" si="31"/>
        <v>0</v>
      </c>
      <c r="AD109">
        <f t="shared" si="21"/>
        <v>0</v>
      </c>
    </row>
    <row r="110" spans="3:30" x14ac:dyDescent="0.25">
      <c r="C110" s="3"/>
      <c r="D110" s="31">
        <f>Simulation_output!A108</f>
        <v>1065000</v>
      </c>
      <c r="E110">
        <f>Sheet2!R107</f>
        <v>5</v>
      </c>
      <c r="F110">
        <f>Sheet2!S107</f>
        <v>1</v>
      </c>
      <c r="G110">
        <f>Sheet2!T107</f>
        <v>0</v>
      </c>
      <c r="H110" s="31">
        <f>Simulation_output!E108</f>
        <v>1</v>
      </c>
      <c r="I110" s="31">
        <f>Simulation_output!F108</f>
        <v>0</v>
      </c>
      <c r="J110" s="31">
        <f>Simulation_output!G108</f>
        <v>0</v>
      </c>
      <c r="K110" s="31">
        <f>Simulation_output!H108</f>
        <v>0</v>
      </c>
      <c r="L110">
        <v>1</v>
      </c>
      <c r="M110">
        <f t="shared" si="35"/>
        <v>0</v>
      </c>
      <c r="N110">
        <f t="shared" si="34"/>
        <v>0</v>
      </c>
      <c r="O110">
        <f t="shared" si="33"/>
        <v>0</v>
      </c>
      <c r="P110">
        <f t="shared" si="36"/>
        <v>0</v>
      </c>
      <c r="Q110">
        <f t="shared" si="32"/>
        <v>0</v>
      </c>
      <c r="R110">
        <f t="shared" si="22"/>
        <v>0</v>
      </c>
      <c r="S110">
        <f t="shared" si="23"/>
        <v>0</v>
      </c>
      <c r="T110">
        <f t="shared" si="24"/>
        <v>0</v>
      </c>
      <c r="U110">
        <f t="shared" si="25"/>
        <v>0</v>
      </c>
      <c r="V110">
        <f t="shared" si="26"/>
        <v>0</v>
      </c>
      <c r="W110">
        <f t="shared" si="27"/>
        <v>0</v>
      </c>
      <c r="X110">
        <f t="shared" si="28"/>
        <v>0</v>
      </c>
      <c r="Y110">
        <f t="shared" si="29"/>
        <v>0</v>
      </c>
      <c r="Z110">
        <f t="shared" si="30"/>
        <v>0</v>
      </c>
      <c r="AB110">
        <v>106</v>
      </c>
      <c r="AC110">
        <f t="shared" si="31"/>
        <v>0</v>
      </c>
      <c r="AD110">
        <f t="shared" si="21"/>
        <v>0</v>
      </c>
    </row>
    <row r="111" spans="3:30" x14ac:dyDescent="0.25">
      <c r="C111" s="3"/>
      <c r="D111" s="31">
        <f>Simulation_output!A109</f>
        <v>1075000</v>
      </c>
      <c r="E111">
        <f>Sheet2!R108</f>
        <v>0</v>
      </c>
      <c r="F111">
        <f>Sheet2!S108</f>
        <v>0</v>
      </c>
      <c r="G111">
        <f>Sheet2!T108</f>
        <v>0</v>
      </c>
      <c r="H111" s="31">
        <f>Simulation_output!E109</f>
        <v>1</v>
      </c>
      <c r="I111" s="31">
        <f>Simulation_output!F109</f>
        <v>0</v>
      </c>
      <c r="J111" s="31">
        <f>Simulation_output!G109</f>
        <v>0</v>
      </c>
      <c r="K111" s="31">
        <f>Simulation_output!H109</f>
        <v>0</v>
      </c>
      <c r="L111">
        <v>1</v>
      </c>
      <c r="M111">
        <f t="shared" si="35"/>
        <v>0</v>
      </c>
      <c r="N111">
        <f t="shared" si="34"/>
        <v>0</v>
      </c>
      <c r="O111">
        <f t="shared" si="33"/>
        <v>0</v>
      </c>
      <c r="P111">
        <f t="shared" si="36"/>
        <v>0</v>
      </c>
      <c r="Q111">
        <f t="shared" si="32"/>
        <v>0</v>
      </c>
      <c r="R111">
        <f t="shared" si="22"/>
        <v>0</v>
      </c>
      <c r="S111">
        <f t="shared" si="23"/>
        <v>0</v>
      </c>
      <c r="T111">
        <f t="shared" si="24"/>
        <v>0</v>
      </c>
      <c r="U111">
        <f t="shared" si="25"/>
        <v>0</v>
      </c>
      <c r="V111">
        <f t="shared" si="26"/>
        <v>0</v>
      </c>
      <c r="W111">
        <f t="shared" si="27"/>
        <v>0</v>
      </c>
      <c r="X111">
        <f t="shared" si="28"/>
        <v>0</v>
      </c>
      <c r="Y111">
        <f t="shared" si="29"/>
        <v>0</v>
      </c>
      <c r="Z111">
        <f t="shared" si="30"/>
        <v>0</v>
      </c>
      <c r="AB111">
        <v>107</v>
      </c>
      <c r="AC111">
        <f t="shared" si="31"/>
        <v>0</v>
      </c>
      <c r="AD111">
        <f t="shared" si="21"/>
        <v>0</v>
      </c>
    </row>
    <row r="112" spans="3:30" x14ac:dyDescent="0.25">
      <c r="C112" s="3"/>
      <c r="D112" s="31">
        <f>Simulation_output!A110</f>
        <v>1085000</v>
      </c>
      <c r="E112">
        <f>Sheet2!R109</f>
        <v>18</v>
      </c>
      <c r="F112">
        <f>Sheet2!S109</f>
        <v>1</v>
      </c>
      <c r="G112">
        <f>Sheet2!T109</f>
        <v>0</v>
      </c>
      <c r="H112" s="31">
        <f>Simulation_output!E110</f>
        <v>1</v>
      </c>
      <c r="I112" s="31">
        <f>Simulation_output!F110</f>
        <v>0</v>
      </c>
      <c r="J112" s="31">
        <f>Simulation_output!G110</f>
        <v>0</v>
      </c>
      <c r="K112" s="31">
        <f>Simulation_output!H110</f>
        <v>0</v>
      </c>
      <c r="L112">
        <v>1</v>
      </c>
      <c r="M112">
        <f t="shared" si="35"/>
        <v>0</v>
      </c>
      <c r="N112">
        <f t="shared" si="34"/>
        <v>0</v>
      </c>
      <c r="O112">
        <f t="shared" si="33"/>
        <v>0</v>
      </c>
      <c r="P112">
        <f t="shared" si="36"/>
        <v>0</v>
      </c>
      <c r="Q112">
        <f t="shared" si="32"/>
        <v>0</v>
      </c>
      <c r="R112">
        <f t="shared" si="22"/>
        <v>0</v>
      </c>
      <c r="S112">
        <f t="shared" si="23"/>
        <v>0</v>
      </c>
      <c r="T112">
        <f t="shared" si="24"/>
        <v>0</v>
      </c>
      <c r="U112">
        <f t="shared" si="25"/>
        <v>0</v>
      </c>
      <c r="V112">
        <f t="shared" si="26"/>
        <v>0</v>
      </c>
      <c r="W112">
        <f t="shared" si="27"/>
        <v>0</v>
      </c>
      <c r="X112">
        <f t="shared" si="28"/>
        <v>0</v>
      </c>
      <c r="Y112">
        <f t="shared" si="29"/>
        <v>0</v>
      </c>
      <c r="Z112">
        <f t="shared" si="30"/>
        <v>0</v>
      </c>
      <c r="AB112">
        <v>108</v>
      </c>
      <c r="AC112">
        <f t="shared" si="31"/>
        <v>0</v>
      </c>
      <c r="AD112">
        <f t="shared" si="21"/>
        <v>0</v>
      </c>
    </row>
    <row r="113" spans="3:30" x14ac:dyDescent="0.25">
      <c r="C113" s="3"/>
      <c r="D113" s="31">
        <f>Simulation_output!A111</f>
        <v>1095000</v>
      </c>
      <c r="E113">
        <f>Sheet2!R110</f>
        <v>0</v>
      </c>
      <c r="F113">
        <f>Sheet2!S110</f>
        <v>0</v>
      </c>
      <c r="G113">
        <f>Sheet2!T110</f>
        <v>0</v>
      </c>
      <c r="H113" s="31">
        <f>Simulation_output!E111</f>
        <v>1</v>
      </c>
      <c r="I113" s="31">
        <f>Simulation_output!F111</f>
        <v>0</v>
      </c>
      <c r="J113" s="31">
        <f>Simulation_output!G111</f>
        <v>0</v>
      </c>
      <c r="K113" s="31">
        <f>Simulation_output!H111</f>
        <v>0</v>
      </c>
      <c r="L113">
        <v>1</v>
      </c>
      <c r="M113">
        <f t="shared" si="35"/>
        <v>0</v>
      </c>
      <c r="N113">
        <f t="shared" si="34"/>
        <v>0</v>
      </c>
      <c r="O113">
        <f t="shared" si="33"/>
        <v>0</v>
      </c>
      <c r="P113">
        <f t="shared" si="36"/>
        <v>0</v>
      </c>
      <c r="Q113">
        <f t="shared" si="32"/>
        <v>0</v>
      </c>
      <c r="R113">
        <f t="shared" si="22"/>
        <v>0</v>
      </c>
      <c r="S113">
        <f t="shared" si="23"/>
        <v>0</v>
      </c>
      <c r="T113">
        <f t="shared" si="24"/>
        <v>0</v>
      </c>
      <c r="U113">
        <f t="shared" si="25"/>
        <v>0</v>
      </c>
      <c r="V113">
        <f t="shared" si="26"/>
        <v>0</v>
      </c>
      <c r="W113">
        <f t="shared" si="27"/>
        <v>0</v>
      </c>
      <c r="X113">
        <f t="shared" si="28"/>
        <v>0</v>
      </c>
      <c r="Y113">
        <f t="shared" si="29"/>
        <v>0</v>
      </c>
      <c r="Z113">
        <f t="shared" si="30"/>
        <v>0</v>
      </c>
      <c r="AB113">
        <v>109</v>
      </c>
      <c r="AC113">
        <f t="shared" si="31"/>
        <v>0</v>
      </c>
      <c r="AD113">
        <f t="shared" si="21"/>
        <v>0</v>
      </c>
    </row>
    <row r="114" spans="3:30" x14ac:dyDescent="0.25">
      <c r="C114" s="3"/>
      <c r="D114" s="31">
        <f>Simulation_output!A112</f>
        <v>1105000</v>
      </c>
      <c r="E114">
        <f>Sheet2!R111</f>
        <v>118</v>
      </c>
      <c r="F114">
        <f>Sheet2!S111</f>
        <v>1</v>
      </c>
      <c r="G114">
        <f>Sheet2!T111</f>
        <v>0</v>
      </c>
      <c r="H114" s="31">
        <f>Simulation_output!E112</f>
        <v>1</v>
      </c>
      <c r="I114" s="31">
        <f>Simulation_output!F112</f>
        <v>0</v>
      </c>
      <c r="J114" s="31">
        <f>Simulation_output!G112</f>
        <v>0</v>
      </c>
      <c r="K114" s="31">
        <f>Simulation_output!H112</f>
        <v>0</v>
      </c>
      <c r="L114">
        <v>1</v>
      </c>
      <c r="M114">
        <f t="shared" si="35"/>
        <v>0</v>
      </c>
      <c r="N114">
        <f t="shared" si="34"/>
        <v>0</v>
      </c>
      <c r="O114">
        <f t="shared" si="33"/>
        <v>0</v>
      </c>
      <c r="P114">
        <f t="shared" si="36"/>
        <v>0</v>
      </c>
      <c r="Q114">
        <f t="shared" si="32"/>
        <v>0</v>
      </c>
      <c r="R114">
        <f t="shared" si="22"/>
        <v>0</v>
      </c>
      <c r="S114">
        <f t="shared" si="23"/>
        <v>0</v>
      </c>
      <c r="T114">
        <f t="shared" si="24"/>
        <v>0</v>
      </c>
      <c r="U114">
        <f t="shared" si="25"/>
        <v>0</v>
      </c>
      <c r="V114">
        <f t="shared" si="26"/>
        <v>0</v>
      </c>
      <c r="W114">
        <f t="shared" si="27"/>
        <v>0</v>
      </c>
      <c r="X114">
        <f t="shared" si="28"/>
        <v>0</v>
      </c>
      <c r="Y114">
        <f t="shared" si="29"/>
        <v>0</v>
      </c>
      <c r="Z114">
        <f t="shared" si="30"/>
        <v>0</v>
      </c>
      <c r="AB114">
        <v>110</v>
      </c>
      <c r="AC114">
        <f t="shared" si="31"/>
        <v>0</v>
      </c>
      <c r="AD114">
        <f t="shared" si="21"/>
        <v>0</v>
      </c>
    </row>
    <row r="115" spans="3:30" x14ac:dyDescent="0.25">
      <c r="C115" s="3"/>
      <c r="D115" s="31">
        <f>Simulation_output!A113</f>
        <v>1115000</v>
      </c>
      <c r="E115">
        <f>Sheet2!R112</f>
        <v>0</v>
      </c>
      <c r="F115">
        <f>Sheet2!S112</f>
        <v>0</v>
      </c>
      <c r="G115">
        <f>Sheet2!T112</f>
        <v>0</v>
      </c>
      <c r="H115" s="31">
        <f>Simulation_output!E113</f>
        <v>1</v>
      </c>
      <c r="I115" s="31">
        <f>Simulation_output!F113</f>
        <v>0</v>
      </c>
      <c r="J115" s="31">
        <f>Simulation_output!G113</f>
        <v>0</v>
      </c>
      <c r="K115" s="31">
        <f>Simulation_output!H113</f>
        <v>0</v>
      </c>
      <c r="L115">
        <v>1</v>
      </c>
      <c r="M115">
        <f t="shared" si="35"/>
        <v>0</v>
      </c>
      <c r="N115">
        <f t="shared" si="34"/>
        <v>0</v>
      </c>
      <c r="O115">
        <f t="shared" si="33"/>
        <v>0</v>
      </c>
      <c r="P115">
        <f t="shared" si="36"/>
        <v>0</v>
      </c>
      <c r="Q115">
        <f t="shared" si="32"/>
        <v>0</v>
      </c>
      <c r="R115">
        <f t="shared" si="22"/>
        <v>0</v>
      </c>
      <c r="S115">
        <f t="shared" si="23"/>
        <v>0</v>
      </c>
      <c r="T115">
        <f t="shared" si="24"/>
        <v>0</v>
      </c>
      <c r="U115">
        <f t="shared" si="25"/>
        <v>0</v>
      </c>
      <c r="V115">
        <f t="shared" si="26"/>
        <v>0</v>
      </c>
      <c r="W115">
        <f t="shared" si="27"/>
        <v>0</v>
      </c>
      <c r="X115">
        <f t="shared" si="28"/>
        <v>0</v>
      </c>
      <c r="Y115">
        <f t="shared" si="29"/>
        <v>0</v>
      </c>
      <c r="Z115">
        <f t="shared" si="30"/>
        <v>0</v>
      </c>
      <c r="AB115">
        <v>111</v>
      </c>
      <c r="AC115">
        <f t="shared" si="31"/>
        <v>0</v>
      </c>
      <c r="AD115">
        <f t="shared" si="21"/>
        <v>0</v>
      </c>
    </row>
    <row r="116" spans="3:30" x14ac:dyDescent="0.25">
      <c r="C116" s="3"/>
      <c r="D116" s="31">
        <f>Simulation_output!A114</f>
        <v>1125000</v>
      </c>
      <c r="E116">
        <f>Sheet2!R113</f>
        <v>1018</v>
      </c>
      <c r="F116">
        <f>Sheet2!S113</f>
        <v>1</v>
      </c>
      <c r="G116">
        <f>Sheet2!T113</f>
        <v>0</v>
      </c>
      <c r="H116" s="31">
        <f>Simulation_output!E114</f>
        <v>1</v>
      </c>
      <c r="I116" s="31">
        <f>Simulation_output!F114</f>
        <v>0</v>
      </c>
      <c r="J116" s="31">
        <f>Simulation_output!G114</f>
        <v>0</v>
      </c>
      <c r="K116" s="31">
        <f>Simulation_output!H114</f>
        <v>0</v>
      </c>
      <c r="L116">
        <v>1</v>
      </c>
      <c r="M116">
        <f t="shared" si="35"/>
        <v>0</v>
      </c>
      <c r="N116">
        <f t="shared" si="34"/>
        <v>0</v>
      </c>
      <c r="O116">
        <f t="shared" si="33"/>
        <v>0</v>
      </c>
      <c r="P116">
        <f t="shared" si="36"/>
        <v>0</v>
      </c>
      <c r="Q116">
        <f t="shared" si="32"/>
        <v>0</v>
      </c>
      <c r="R116">
        <f t="shared" si="22"/>
        <v>0</v>
      </c>
      <c r="S116">
        <f t="shared" si="23"/>
        <v>0</v>
      </c>
      <c r="T116">
        <f t="shared" si="24"/>
        <v>0</v>
      </c>
      <c r="U116">
        <f t="shared" si="25"/>
        <v>0</v>
      </c>
      <c r="V116">
        <f t="shared" si="26"/>
        <v>0</v>
      </c>
      <c r="W116">
        <f t="shared" si="27"/>
        <v>0</v>
      </c>
      <c r="X116">
        <f t="shared" si="28"/>
        <v>0</v>
      </c>
      <c r="Y116">
        <f t="shared" si="29"/>
        <v>0</v>
      </c>
      <c r="Z116">
        <f t="shared" si="30"/>
        <v>0</v>
      </c>
      <c r="AB116">
        <v>112</v>
      </c>
      <c r="AC116">
        <f t="shared" si="31"/>
        <v>0</v>
      </c>
      <c r="AD116">
        <f t="shared" si="21"/>
        <v>0</v>
      </c>
    </row>
    <row r="117" spans="3:30" x14ac:dyDescent="0.25">
      <c r="C117" s="3"/>
      <c r="D117" s="31">
        <f>Simulation_output!A115</f>
        <v>1135000</v>
      </c>
      <c r="E117">
        <f>Sheet2!R114</f>
        <v>0</v>
      </c>
      <c r="F117">
        <f>Sheet2!S114</f>
        <v>0</v>
      </c>
      <c r="G117">
        <f>Sheet2!T114</f>
        <v>0</v>
      </c>
      <c r="H117" s="31">
        <f>Simulation_output!E115</f>
        <v>1</v>
      </c>
      <c r="I117" s="31">
        <f>Simulation_output!F115</f>
        <v>0</v>
      </c>
      <c r="J117" s="31">
        <f>Simulation_output!G115</f>
        <v>0</v>
      </c>
      <c r="K117" s="31">
        <f>Simulation_output!H115</f>
        <v>0</v>
      </c>
      <c r="L117">
        <v>1</v>
      </c>
      <c r="M117">
        <f t="shared" si="35"/>
        <v>0</v>
      </c>
      <c r="N117">
        <f t="shared" si="34"/>
        <v>0</v>
      </c>
      <c r="O117">
        <f t="shared" si="33"/>
        <v>0</v>
      </c>
      <c r="P117">
        <f t="shared" si="36"/>
        <v>0</v>
      </c>
      <c r="Q117">
        <f t="shared" si="32"/>
        <v>0</v>
      </c>
      <c r="R117">
        <f t="shared" si="22"/>
        <v>0</v>
      </c>
      <c r="S117">
        <f t="shared" si="23"/>
        <v>0</v>
      </c>
      <c r="T117">
        <f t="shared" si="24"/>
        <v>0</v>
      </c>
      <c r="U117">
        <f t="shared" si="25"/>
        <v>0</v>
      </c>
      <c r="V117">
        <f t="shared" si="26"/>
        <v>0</v>
      </c>
      <c r="W117">
        <f t="shared" si="27"/>
        <v>0</v>
      </c>
      <c r="X117">
        <f t="shared" si="28"/>
        <v>0</v>
      </c>
      <c r="Y117">
        <f t="shared" si="29"/>
        <v>0</v>
      </c>
      <c r="Z117">
        <f t="shared" si="30"/>
        <v>0</v>
      </c>
      <c r="AB117">
        <v>113</v>
      </c>
      <c r="AC117">
        <f t="shared" si="31"/>
        <v>0</v>
      </c>
      <c r="AD117">
        <f t="shared" si="21"/>
        <v>0</v>
      </c>
    </row>
    <row r="118" spans="3:30" x14ac:dyDescent="0.25">
      <c r="C118" s="3"/>
      <c r="D118" s="31">
        <f>Simulation_output!A116</f>
        <v>1145000</v>
      </c>
      <c r="E118">
        <f>Sheet2!R115</f>
        <v>10018</v>
      </c>
      <c r="F118">
        <f>Sheet2!S115</f>
        <v>1</v>
      </c>
      <c r="G118">
        <f>Sheet2!T115</f>
        <v>1</v>
      </c>
      <c r="H118" s="31">
        <f>Simulation_output!E116</f>
        <v>1</v>
      </c>
      <c r="I118" s="31">
        <f>Simulation_output!F116</f>
        <v>0</v>
      </c>
      <c r="J118" s="31">
        <f>Simulation_output!G116</f>
        <v>0</v>
      </c>
      <c r="K118" s="31">
        <f>Simulation_output!H116</f>
        <v>0</v>
      </c>
      <c r="L118">
        <v>1</v>
      </c>
      <c r="M118">
        <f t="shared" si="35"/>
        <v>0</v>
      </c>
      <c r="N118">
        <f t="shared" si="34"/>
        <v>0</v>
      </c>
      <c r="O118">
        <f t="shared" si="33"/>
        <v>0</v>
      </c>
      <c r="P118">
        <f t="shared" si="36"/>
        <v>0</v>
      </c>
      <c r="Q118">
        <f t="shared" si="32"/>
        <v>0</v>
      </c>
      <c r="R118">
        <f t="shared" si="22"/>
        <v>0</v>
      </c>
      <c r="S118">
        <f t="shared" si="23"/>
        <v>0</v>
      </c>
      <c r="T118">
        <f t="shared" si="24"/>
        <v>0</v>
      </c>
      <c r="U118">
        <f t="shared" si="25"/>
        <v>0</v>
      </c>
      <c r="V118">
        <f t="shared" si="26"/>
        <v>0</v>
      </c>
      <c r="W118">
        <f t="shared" si="27"/>
        <v>0</v>
      </c>
      <c r="X118">
        <f t="shared" si="28"/>
        <v>0</v>
      </c>
      <c r="Y118">
        <f t="shared" si="29"/>
        <v>0</v>
      </c>
      <c r="Z118">
        <f t="shared" si="30"/>
        <v>0</v>
      </c>
      <c r="AB118">
        <v>114</v>
      </c>
      <c r="AC118">
        <f t="shared" si="31"/>
        <v>0</v>
      </c>
      <c r="AD118">
        <f t="shared" si="21"/>
        <v>0</v>
      </c>
    </row>
    <row r="119" spans="3:30" x14ac:dyDescent="0.25">
      <c r="C119" s="3"/>
      <c r="D119" s="31">
        <f>Simulation_output!A117</f>
        <v>1155000</v>
      </c>
      <c r="E119">
        <f>Sheet2!R116</f>
        <v>0</v>
      </c>
      <c r="F119">
        <f>Sheet2!S116</f>
        <v>0</v>
      </c>
      <c r="G119">
        <f>Sheet2!T116</f>
        <v>0</v>
      </c>
      <c r="H119" s="31">
        <f>Simulation_output!E117</f>
        <v>1</v>
      </c>
      <c r="I119" s="31">
        <f>Simulation_output!F117</f>
        <v>0</v>
      </c>
      <c r="J119" s="31">
        <f>Simulation_output!G117</f>
        <v>0</v>
      </c>
      <c r="K119" s="31">
        <f>Simulation_output!H117</f>
        <v>0</v>
      </c>
      <c r="L119">
        <v>1</v>
      </c>
      <c r="M119">
        <f t="shared" si="35"/>
        <v>0</v>
      </c>
      <c r="N119">
        <f t="shared" si="34"/>
        <v>0</v>
      </c>
      <c r="O119">
        <f t="shared" si="33"/>
        <v>0</v>
      </c>
      <c r="P119">
        <f t="shared" si="36"/>
        <v>0</v>
      </c>
      <c r="Q119">
        <f t="shared" si="32"/>
        <v>0</v>
      </c>
      <c r="R119">
        <f t="shared" si="22"/>
        <v>0</v>
      </c>
      <c r="S119">
        <f t="shared" si="23"/>
        <v>0</v>
      </c>
      <c r="T119">
        <f t="shared" si="24"/>
        <v>0</v>
      </c>
      <c r="U119">
        <f t="shared" si="25"/>
        <v>0</v>
      </c>
      <c r="V119">
        <f t="shared" si="26"/>
        <v>0</v>
      </c>
      <c r="W119">
        <f t="shared" si="27"/>
        <v>0</v>
      </c>
      <c r="X119">
        <f t="shared" si="28"/>
        <v>0</v>
      </c>
      <c r="Y119">
        <f t="shared" si="29"/>
        <v>0</v>
      </c>
      <c r="Z119">
        <f t="shared" si="30"/>
        <v>0</v>
      </c>
      <c r="AB119">
        <v>115</v>
      </c>
      <c r="AC119">
        <f t="shared" si="31"/>
        <v>0</v>
      </c>
      <c r="AD119">
        <f t="shared" si="21"/>
        <v>0</v>
      </c>
    </row>
    <row r="120" spans="3:30" x14ac:dyDescent="0.25">
      <c r="C120" s="3"/>
      <c r="D120" s="31">
        <f>Simulation_output!A118</f>
        <v>1165000</v>
      </c>
      <c r="E120">
        <f>Sheet2!R117</f>
        <v>0</v>
      </c>
      <c r="F120">
        <f>Sheet2!S117</f>
        <v>1</v>
      </c>
      <c r="G120">
        <f>Sheet2!T117</f>
        <v>0</v>
      </c>
      <c r="H120" s="31">
        <f>Simulation_output!E118</f>
        <v>1</v>
      </c>
      <c r="I120" s="31">
        <f>Simulation_output!F118</f>
        <v>0</v>
      </c>
      <c r="J120" s="31">
        <f>Simulation_output!G118</f>
        <v>0</v>
      </c>
      <c r="K120" s="31">
        <f>Simulation_output!H118</f>
        <v>0</v>
      </c>
      <c r="L120">
        <v>1</v>
      </c>
      <c r="M120">
        <f t="shared" si="35"/>
        <v>0</v>
      </c>
      <c r="N120">
        <f t="shared" si="34"/>
        <v>0</v>
      </c>
      <c r="O120">
        <f t="shared" si="33"/>
        <v>0</v>
      </c>
      <c r="P120">
        <f t="shared" si="36"/>
        <v>0</v>
      </c>
      <c r="Q120">
        <f t="shared" si="32"/>
        <v>0</v>
      </c>
      <c r="R120">
        <f t="shared" si="22"/>
        <v>0</v>
      </c>
      <c r="S120">
        <f t="shared" si="23"/>
        <v>0</v>
      </c>
      <c r="T120">
        <f t="shared" si="24"/>
        <v>0</v>
      </c>
      <c r="U120">
        <f t="shared" si="25"/>
        <v>0</v>
      </c>
      <c r="V120">
        <f t="shared" si="26"/>
        <v>0</v>
      </c>
      <c r="W120">
        <f t="shared" si="27"/>
        <v>0</v>
      </c>
      <c r="X120">
        <f t="shared" si="28"/>
        <v>0</v>
      </c>
      <c r="Y120">
        <f t="shared" si="29"/>
        <v>0</v>
      </c>
      <c r="Z120">
        <f t="shared" si="30"/>
        <v>0</v>
      </c>
      <c r="AB120">
        <v>116</v>
      </c>
      <c r="AC120">
        <f t="shared" si="31"/>
        <v>0</v>
      </c>
      <c r="AD120">
        <f t="shared" si="21"/>
        <v>0</v>
      </c>
    </row>
    <row r="121" spans="3:30" x14ac:dyDescent="0.25">
      <c r="C121" s="3"/>
      <c r="D121" s="31">
        <f>Simulation_output!A119</f>
        <v>1175000</v>
      </c>
      <c r="E121">
        <f>Sheet2!R118</f>
        <v>0</v>
      </c>
      <c r="F121">
        <f>Sheet2!S118</f>
        <v>0</v>
      </c>
      <c r="G121">
        <f>Sheet2!T118</f>
        <v>0</v>
      </c>
      <c r="H121" s="31">
        <f>Simulation_output!E119</f>
        <v>1</v>
      </c>
      <c r="I121" s="31">
        <f>Simulation_output!F119</f>
        <v>0</v>
      </c>
      <c r="J121" s="31">
        <f>Simulation_output!G119</f>
        <v>0</v>
      </c>
      <c r="K121" s="31">
        <f>Simulation_output!H119</f>
        <v>0</v>
      </c>
      <c r="L121">
        <v>1</v>
      </c>
      <c r="M121">
        <f t="shared" si="35"/>
        <v>0</v>
      </c>
      <c r="N121">
        <f t="shared" si="34"/>
        <v>0</v>
      </c>
      <c r="O121">
        <f t="shared" si="33"/>
        <v>0</v>
      </c>
      <c r="P121">
        <f t="shared" si="36"/>
        <v>0</v>
      </c>
      <c r="Q121">
        <f t="shared" si="32"/>
        <v>0</v>
      </c>
      <c r="R121">
        <f t="shared" si="22"/>
        <v>0</v>
      </c>
      <c r="S121">
        <f t="shared" si="23"/>
        <v>0</v>
      </c>
      <c r="T121">
        <f t="shared" si="24"/>
        <v>0</v>
      </c>
      <c r="U121">
        <f t="shared" si="25"/>
        <v>0</v>
      </c>
      <c r="V121">
        <f t="shared" si="26"/>
        <v>0</v>
      </c>
      <c r="W121">
        <f t="shared" si="27"/>
        <v>0</v>
      </c>
      <c r="X121">
        <f t="shared" si="28"/>
        <v>0</v>
      </c>
      <c r="Y121">
        <f t="shared" si="29"/>
        <v>0</v>
      </c>
      <c r="Z121">
        <f t="shared" si="30"/>
        <v>0</v>
      </c>
      <c r="AB121">
        <v>117</v>
      </c>
      <c r="AC121">
        <f t="shared" si="31"/>
        <v>0</v>
      </c>
      <c r="AD121">
        <f t="shared" si="21"/>
        <v>0</v>
      </c>
    </row>
    <row r="122" spans="3:30" x14ac:dyDescent="0.25">
      <c r="C122" s="3"/>
      <c r="D122" s="31">
        <f>Simulation_output!A120</f>
        <v>1185000</v>
      </c>
      <c r="E122">
        <f>Sheet2!R119</f>
        <v>5</v>
      </c>
      <c r="F122">
        <f>Sheet2!S119</f>
        <v>1</v>
      </c>
      <c r="G122">
        <f>Sheet2!T119</f>
        <v>0</v>
      </c>
      <c r="H122" s="31">
        <f>Simulation_output!E120</f>
        <v>1</v>
      </c>
      <c r="I122" s="31">
        <f>Simulation_output!F120</f>
        <v>0</v>
      </c>
      <c r="J122" s="31">
        <f>Simulation_output!G120</f>
        <v>0</v>
      </c>
      <c r="K122" s="31">
        <f>Simulation_output!H120</f>
        <v>0</v>
      </c>
      <c r="L122">
        <v>1</v>
      </c>
      <c r="M122">
        <f t="shared" si="35"/>
        <v>0</v>
      </c>
      <c r="N122">
        <f t="shared" si="34"/>
        <v>0</v>
      </c>
      <c r="O122">
        <f t="shared" si="33"/>
        <v>0</v>
      </c>
      <c r="P122">
        <f t="shared" si="36"/>
        <v>0</v>
      </c>
      <c r="Q122">
        <f t="shared" si="32"/>
        <v>0</v>
      </c>
      <c r="R122">
        <f t="shared" si="22"/>
        <v>0</v>
      </c>
      <c r="S122">
        <f t="shared" si="23"/>
        <v>0</v>
      </c>
      <c r="T122">
        <f t="shared" si="24"/>
        <v>0</v>
      </c>
      <c r="U122">
        <f t="shared" si="25"/>
        <v>0</v>
      </c>
      <c r="V122">
        <f t="shared" si="26"/>
        <v>0</v>
      </c>
      <c r="W122">
        <f t="shared" si="27"/>
        <v>0</v>
      </c>
      <c r="X122">
        <f t="shared" si="28"/>
        <v>0</v>
      </c>
      <c r="Y122">
        <f t="shared" si="29"/>
        <v>0</v>
      </c>
      <c r="Z122">
        <f t="shared" si="30"/>
        <v>0</v>
      </c>
      <c r="AB122">
        <v>118</v>
      </c>
      <c r="AC122">
        <f t="shared" si="31"/>
        <v>0</v>
      </c>
      <c r="AD122">
        <f t="shared" si="21"/>
        <v>0</v>
      </c>
    </row>
    <row r="123" spans="3:30" x14ac:dyDescent="0.25">
      <c r="C123" s="3"/>
      <c r="D123" s="31">
        <f>Simulation_output!A121</f>
        <v>1195000</v>
      </c>
      <c r="E123">
        <f>Sheet2!R120</f>
        <v>0</v>
      </c>
      <c r="F123">
        <f>Sheet2!S120</f>
        <v>0</v>
      </c>
      <c r="G123">
        <f>Sheet2!T120</f>
        <v>0</v>
      </c>
      <c r="H123" s="31">
        <f>Simulation_output!E121</f>
        <v>1</v>
      </c>
      <c r="I123" s="31">
        <f>Simulation_output!F121</f>
        <v>0</v>
      </c>
      <c r="J123" s="31">
        <f>Simulation_output!G121</f>
        <v>0</v>
      </c>
      <c r="K123" s="31">
        <f>Simulation_output!H121</f>
        <v>0</v>
      </c>
      <c r="L123">
        <v>1</v>
      </c>
      <c r="M123">
        <f t="shared" si="35"/>
        <v>0</v>
      </c>
      <c r="N123">
        <f t="shared" si="34"/>
        <v>0</v>
      </c>
      <c r="O123">
        <f t="shared" si="33"/>
        <v>0</v>
      </c>
      <c r="P123">
        <f t="shared" si="36"/>
        <v>0</v>
      </c>
      <c r="Q123">
        <f t="shared" si="32"/>
        <v>0</v>
      </c>
      <c r="R123">
        <f t="shared" si="22"/>
        <v>0</v>
      </c>
      <c r="S123">
        <f t="shared" si="23"/>
        <v>0</v>
      </c>
      <c r="T123">
        <f t="shared" si="24"/>
        <v>0</v>
      </c>
      <c r="U123">
        <f t="shared" si="25"/>
        <v>0</v>
      </c>
      <c r="V123">
        <f t="shared" si="26"/>
        <v>0</v>
      </c>
      <c r="W123">
        <f t="shared" si="27"/>
        <v>0</v>
      </c>
      <c r="X123">
        <f t="shared" si="28"/>
        <v>0</v>
      </c>
      <c r="Y123">
        <f t="shared" si="29"/>
        <v>0</v>
      </c>
      <c r="Z123">
        <f t="shared" si="30"/>
        <v>0</v>
      </c>
      <c r="AB123">
        <v>119</v>
      </c>
      <c r="AC123">
        <f t="shared" si="31"/>
        <v>0</v>
      </c>
      <c r="AD123">
        <f t="shared" si="21"/>
        <v>0</v>
      </c>
    </row>
    <row r="124" spans="3:30" x14ac:dyDescent="0.25">
      <c r="C124" s="3"/>
      <c r="D124" s="31">
        <f>Simulation_output!A122</f>
        <v>1205000</v>
      </c>
      <c r="E124">
        <f>Sheet2!R121</f>
        <v>19</v>
      </c>
      <c r="F124">
        <f>Sheet2!S121</f>
        <v>1</v>
      </c>
      <c r="G124">
        <f>Sheet2!T121</f>
        <v>0</v>
      </c>
      <c r="H124" s="31">
        <f>Simulation_output!E122</f>
        <v>1</v>
      </c>
      <c r="I124" s="31">
        <f>Simulation_output!F122</f>
        <v>0</v>
      </c>
      <c r="J124" s="31">
        <f>Simulation_output!G122</f>
        <v>0</v>
      </c>
      <c r="K124" s="31">
        <f>Simulation_output!H122</f>
        <v>0</v>
      </c>
      <c r="L124">
        <v>1</v>
      </c>
      <c r="M124">
        <f t="shared" si="35"/>
        <v>0</v>
      </c>
      <c r="N124">
        <f t="shared" si="34"/>
        <v>0</v>
      </c>
      <c r="O124">
        <f t="shared" si="33"/>
        <v>0</v>
      </c>
      <c r="P124">
        <f t="shared" si="36"/>
        <v>0</v>
      </c>
      <c r="Q124">
        <f t="shared" si="32"/>
        <v>0</v>
      </c>
      <c r="R124">
        <f t="shared" si="22"/>
        <v>0</v>
      </c>
      <c r="S124">
        <f t="shared" si="23"/>
        <v>0</v>
      </c>
      <c r="T124">
        <f t="shared" si="24"/>
        <v>0</v>
      </c>
      <c r="U124">
        <f t="shared" si="25"/>
        <v>0</v>
      </c>
      <c r="V124">
        <f t="shared" si="26"/>
        <v>0</v>
      </c>
      <c r="W124">
        <f t="shared" si="27"/>
        <v>0</v>
      </c>
      <c r="X124">
        <f t="shared" si="28"/>
        <v>0</v>
      </c>
      <c r="Y124">
        <f t="shared" si="29"/>
        <v>0</v>
      </c>
      <c r="Z124">
        <f t="shared" si="30"/>
        <v>0</v>
      </c>
      <c r="AB124">
        <v>120</v>
      </c>
      <c r="AC124">
        <f t="shared" si="31"/>
        <v>0</v>
      </c>
      <c r="AD124">
        <f t="shared" si="21"/>
        <v>0</v>
      </c>
    </row>
    <row r="125" spans="3:30" x14ac:dyDescent="0.25">
      <c r="C125" s="3"/>
      <c r="D125" s="31">
        <f>Simulation_output!A123</f>
        <v>1215000</v>
      </c>
      <c r="E125">
        <f>Sheet2!R122</f>
        <v>0</v>
      </c>
      <c r="F125">
        <f>Sheet2!S122</f>
        <v>0</v>
      </c>
      <c r="G125">
        <f>Sheet2!T122</f>
        <v>0</v>
      </c>
      <c r="H125" s="31">
        <f>Simulation_output!E123</f>
        <v>1</v>
      </c>
      <c r="I125" s="31">
        <f>Simulation_output!F123</f>
        <v>0</v>
      </c>
      <c r="J125" s="31">
        <f>Simulation_output!G123</f>
        <v>0</v>
      </c>
      <c r="K125" s="31">
        <f>Simulation_output!H123</f>
        <v>0</v>
      </c>
      <c r="L125">
        <v>1</v>
      </c>
      <c r="M125">
        <f t="shared" si="35"/>
        <v>0</v>
      </c>
      <c r="N125">
        <f t="shared" si="34"/>
        <v>0</v>
      </c>
      <c r="O125">
        <f t="shared" si="33"/>
        <v>0</v>
      </c>
      <c r="P125">
        <f t="shared" si="36"/>
        <v>0</v>
      </c>
      <c r="Q125">
        <f t="shared" si="32"/>
        <v>0</v>
      </c>
      <c r="R125">
        <f t="shared" si="22"/>
        <v>0</v>
      </c>
      <c r="S125">
        <f t="shared" si="23"/>
        <v>0</v>
      </c>
      <c r="T125">
        <f t="shared" si="24"/>
        <v>0</v>
      </c>
      <c r="U125">
        <f t="shared" si="25"/>
        <v>0</v>
      </c>
      <c r="V125">
        <f t="shared" si="26"/>
        <v>0</v>
      </c>
      <c r="W125">
        <f t="shared" si="27"/>
        <v>0</v>
      </c>
      <c r="X125">
        <f t="shared" si="28"/>
        <v>0</v>
      </c>
      <c r="Y125">
        <f t="shared" si="29"/>
        <v>0</v>
      </c>
      <c r="Z125">
        <f t="shared" si="30"/>
        <v>0</v>
      </c>
      <c r="AB125">
        <v>121</v>
      </c>
      <c r="AC125">
        <f t="shared" si="31"/>
        <v>0</v>
      </c>
      <c r="AD125">
        <f t="shared" si="21"/>
        <v>0</v>
      </c>
    </row>
    <row r="126" spans="3:30" x14ac:dyDescent="0.25">
      <c r="C126" s="3"/>
      <c r="D126" s="31">
        <f>Simulation_output!A124</f>
        <v>1225000</v>
      </c>
      <c r="E126">
        <f>Sheet2!R123</f>
        <v>119</v>
      </c>
      <c r="F126">
        <f>Sheet2!S123</f>
        <v>1</v>
      </c>
      <c r="G126">
        <f>Sheet2!T123</f>
        <v>0</v>
      </c>
      <c r="H126" s="31">
        <f>Simulation_output!E124</f>
        <v>1</v>
      </c>
      <c r="I126" s="31">
        <f>Simulation_output!F124</f>
        <v>0</v>
      </c>
      <c r="J126" s="31">
        <f>Simulation_output!G124</f>
        <v>0</v>
      </c>
      <c r="K126" s="31">
        <f>Simulation_output!H124</f>
        <v>0</v>
      </c>
      <c r="L126">
        <v>1</v>
      </c>
      <c r="M126">
        <f t="shared" si="35"/>
        <v>0</v>
      </c>
      <c r="N126">
        <f t="shared" si="34"/>
        <v>0</v>
      </c>
      <c r="O126">
        <f t="shared" si="33"/>
        <v>0</v>
      </c>
      <c r="P126">
        <f t="shared" si="36"/>
        <v>0</v>
      </c>
      <c r="Q126">
        <f t="shared" si="32"/>
        <v>0</v>
      </c>
      <c r="R126">
        <f t="shared" si="22"/>
        <v>0</v>
      </c>
      <c r="S126">
        <f t="shared" si="23"/>
        <v>0</v>
      </c>
      <c r="T126">
        <f t="shared" si="24"/>
        <v>0</v>
      </c>
      <c r="U126">
        <f t="shared" si="25"/>
        <v>0</v>
      </c>
      <c r="V126">
        <f t="shared" si="26"/>
        <v>0</v>
      </c>
      <c r="W126">
        <f t="shared" si="27"/>
        <v>0</v>
      </c>
      <c r="X126">
        <f t="shared" si="28"/>
        <v>0</v>
      </c>
      <c r="Y126">
        <f t="shared" si="29"/>
        <v>0</v>
      </c>
      <c r="Z126">
        <f t="shared" si="30"/>
        <v>0</v>
      </c>
      <c r="AB126">
        <v>122</v>
      </c>
      <c r="AC126">
        <f t="shared" si="31"/>
        <v>0</v>
      </c>
      <c r="AD126">
        <f t="shared" si="21"/>
        <v>0</v>
      </c>
    </row>
    <row r="127" spans="3:30" x14ac:dyDescent="0.25">
      <c r="C127" s="3"/>
      <c r="D127" s="31">
        <f>Simulation_output!A125</f>
        <v>1235000</v>
      </c>
      <c r="E127">
        <f>Sheet2!R124</f>
        <v>0</v>
      </c>
      <c r="F127">
        <f>Sheet2!S124</f>
        <v>0</v>
      </c>
      <c r="G127">
        <f>Sheet2!T124</f>
        <v>0</v>
      </c>
      <c r="H127" s="31">
        <f>Simulation_output!E125</f>
        <v>1</v>
      </c>
      <c r="I127" s="31">
        <f>Simulation_output!F125</f>
        <v>0</v>
      </c>
      <c r="J127" s="31">
        <f>Simulation_output!G125</f>
        <v>0</v>
      </c>
      <c r="K127" s="31">
        <f>Simulation_output!H125</f>
        <v>0</v>
      </c>
      <c r="L127">
        <v>1</v>
      </c>
      <c r="M127">
        <f t="shared" si="35"/>
        <v>0</v>
      </c>
      <c r="N127">
        <f t="shared" si="34"/>
        <v>0</v>
      </c>
      <c r="O127">
        <f t="shared" si="33"/>
        <v>0</v>
      </c>
      <c r="P127">
        <f t="shared" si="36"/>
        <v>0</v>
      </c>
      <c r="Q127">
        <f t="shared" si="32"/>
        <v>0</v>
      </c>
      <c r="R127">
        <f t="shared" si="22"/>
        <v>0</v>
      </c>
      <c r="S127">
        <f t="shared" si="23"/>
        <v>0</v>
      </c>
      <c r="T127">
        <f t="shared" si="24"/>
        <v>0</v>
      </c>
      <c r="U127">
        <f t="shared" si="25"/>
        <v>0</v>
      </c>
      <c r="V127">
        <f t="shared" si="26"/>
        <v>0</v>
      </c>
      <c r="W127">
        <f t="shared" si="27"/>
        <v>0</v>
      </c>
      <c r="X127">
        <f t="shared" si="28"/>
        <v>0</v>
      </c>
      <c r="Y127">
        <f t="shared" si="29"/>
        <v>0</v>
      </c>
      <c r="Z127">
        <f t="shared" si="30"/>
        <v>0</v>
      </c>
      <c r="AB127">
        <v>123</v>
      </c>
      <c r="AC127">
        <f t="shared" si="31"/>
        <v>0</v>
      </c>
      <c r="AD127">
        <f t="shared" si="21"/>
        <v>0</v>
      </c>
    </row>
    <row r="128" spans="3:30" x14ac:dyDescent="0.25">
      <c r="C128" s="3"/>
      <c r="D128" s="31">
        <f>Simulation_output!A126</f>
        <v>1245000</v>
      </c>
      <c r="E128">
        <f>Sheet2!R125</f>
        <v>1019</v>
      </c>
      <c r="F128">
        <f>Sheet2!S125</f>
        <v>1</v>
      </c>
      <c r="G128">
        <f>Sheet2!T125</f>
        <v>0</v>
      </c>
      <c r="H128" s="31">
        <f>Simulation_output!E126</f>
        <v>1</v>
      </c>
      <c r="I128" s="31">
        <f>Simulation_output!F126</f>
        <v>0</v>
      </c>
      <c r="J128" s="31">
        <f>Simulation_output!G126</f>
        <v>0</v>
      </c>
      <c r="K128" s="31">
        <f>Simulation_output!H126</f>
        <v>0</v>
      </c>
      <c r="L128">
        <v>1</v>
      </c>
      <c r="M128">
        <f t="shared" si="35"/>
        <v>0</v>
      </c>
      <c r="N128">
        <f t="shared" si="34"/>
        <v>0</v>
      </c>
      <c r="O128">
        <f t="shared" si="33"/>
        <v>0</v>
      </c>
      <c r="P128">
        <f t="shared" si="36"/>
        <v>0</v>
      </c>
      <c r="Q128">
        <f t="shared" si="32"/>
        <v>0</v>
      </c>
      <c r="R128">
        <f t="shared" si="22"/>
        <v>0</v>
      </c>
      <c r="S128">
        <f t="shared" si="23"/>
        <v>0</v>
      </c>
      <c r="T128">
        <f t="shared" si="24"/>
        <v>0</v>
      </c>
      <c r="U128">
        <f t="shared" si="25"/>
        <v>0</v>
      </c>
      <c r="V128">
        <f t="shared" si="26"/>
        <v>0</v>
      </c>
      <c r="W128">
        <f t="shared" si="27"/>
        <v>0</v>
      </c>
      <c r="X128">
        <f t="shared" si="28"/>
        <v>0</v>
      </c>
      <c r="Y128">
        <f t="shared" si="29"/>
        <v>0</v>
      </c>
      <c r="Z128">
        <f t="shared" si="30"/>
        <v>0</v>
      </c>
      <c r="AB128">
        <v>124</v>
      </c>
      <c r="AC128">
        <f t="shared" si="31"/>
        <v>0</v>
      </c>
      <c r="AD128">
        <f t="shared" si="21"/>
        <v>0</v>
      </c>
    </row>
    <row r="129" spans="3:30" x14ac:dyDescent="0.25">
      <c r="C129" s="3"/>
      <c r="D129" s="31">
        <f>Simulation_output!A127</f>
        <v>1255000</v>
      </c>
      <c r="E129">
        <f>Sheet2!R126</f>
        <v>0</v>
      </c>
      <c r="F129">
        <f>Sheet2!S126</f>
        <v>0</v>
      </c>
      <c r="G129">
        <f>Sheet2!T126</f>
        <v>0</v>
      </c>
      <c r="H129" s="31">
        <f>Simulation_output!E127</f>
        <v>1</v>
      </c>
      <c r="I129" s="31">
        <f>Simulation_output!F127</f>
        <v>0</v>
      </c>
      <c r="J129" s="31">
        <f>Simulation_output!G127</f>
        <v>0</v>
      </c>
      <c r="K129" s="31">
        <f>Simulation_output!H127</f>
        <v>0</v>
      </c>
      <c r="L129">
        <v>1</v>
      </c>
      <c r="M129">
        <f t="shared" si="35"/>
        <v>0</v>
      </c>
      <c r="N129">
        <f t="shared" si="34"/>
        <v>0</v>
      </c>
      <c r="O129">
        <f t="shared" si="33"/>
        <v>0</v>
      </c>
      <c r="P129">
        <f t="shared" si="36"/>
        <v>0</v>
      </c>
      <c r="Q129">
        <f t="shared" si="32"/>
        <v>0</v>
      </c>
      <c r="R129">
        <f t="shared" si="22"/>
        <v>0</v>
      </c>
      <c r="S129">
        <f t="shared" si="23"/>
        <v>0</v>
      </c>
      <c r="T129">
        <f t="shared" si="24"/>
        <v>0</v>
      </c>
      <c r="U129">
        <f t="shared" si="25"/>
        <v>0</v>
      </c>
      <c r="V129">
        <f t="shared" si="26"/>
        <v>0</v>
      </c>
      <c r="W129">
        <f t="shared" si="27"/>
        <v>0</v>
      </c>
      <c r="X129">
        <f t="shared" si="28"/>
        <v>0</v>
      </c>
      <c r="Y129">
        <f t="shared" si="29"/>
        <v>0</v>
      </c>
      <c r="Z129">
        <f t="shared" si="30"/>
        <v>0</v>
      </c>
      <c r="AB129">
        <v>125</v>
      </c>
      <c r="AC129">
        <f t="shared" si="31"/>
        <v>0</v>
      </c>
      <c r="AD129">
        <f t="shared" si="21"/>
        <v>0</v>
      </c>
    </row>
    <row r="130" spans="3:30" x14ac:dyDescent="0.25">
      <c r="C130" s="3"/>
      <c r="D130" s="31">
        <f>Simulation_output!A128</f>
        <v>1265000</v>
      </c>
      <c r="E130">
        <f>Sheet2!R127</f>
        <v>10019</v>
      </c>
      <c r="F130">
        <f>Sheet2!S127</f>
        <v>1</v>
      </c>
      <c r="G130">
        <f>Sheet2!T127</f>
        <v>1</v>
      </c>
      <c r="H130" s="31">
        <f>Simulation_output!E128</f>
        <v>1</v>
      </c>
      <c r="I130" s="31">
        <f>Simulation_output!F128</f>
        <v>0</v>
      </c>
      <c r="J130" s="31">
        <f>Simulation_output!G128</f>
        <v>0</v>
      </c>
      <c r="K130" s="31">
        <f>Simulation_output!H128</f>
        <v>0</v>
      </c>
      <c r="L130">
        <v>1</v>
      </c>
      <c r="M130">
        <f t="shared" si="35"/>
        <v>0</v>
      </c>
      <c r="N130">
        <f t="shared" si="34"/>
        <v>0</v>
      </c>
      <c r="O130">
        <f t="shared" si="33"/>
        <v>0</v>
      </c>
      <c r="P130">
        <f t="shared" si="36"/>
        <v>0</v>
      </c>
      <c r="Q130">
        <f t="shared" si="32"/>
        <v>0</v>
      </c>
      <c r="R130">
        <f t="shared" si="22"/>
        <v>0</v>
      </c>
      <c r="S130">
        <f t="shared" si="23"/>
        <v>0</v>
      </c>
      <c r="T130">
        <f t="shared" si="24"/>
        <v>0</v>
      </c>
      <c r="U130">
        <f t="shared" si="25"/>
        <v>0</v>
      </c>
      <c r="V130">
        <f t="shared" si="26"/>
        <v>0</v>
      </c>
      <c r="W130">
        <f t="shared" si="27"/>
        <v>0</v>
      </c>
      <c r="X130">
        <f t="shared" si="28"/>
        <v>0</v>
      </c>
      <c r="Y130">
        <f t="shared" si="29"/>
        <v>0</v>
      </c>
      <c r="Z130">
        <f t="shared" si="30"/>
        <v>0</v>
      </c>
      <c r="AB130">
        <v>126</v>
      </c>
      <c r="AC130">
        <f t="shared" si="31"/>
        <v>0</v>
      </c>
      <c r="AD130">
        <f t="shared" si="21"/>
        <v>0</v>
      </c>
    </row>
    <row r="131" spans="3:30" x14ac:dyDescent="0.25">
      <c r="C131" s="3"/>
      <c r="D131" s="31">
        <f>Simulation_output!A129</f>
        <v>1275000</v>
      </c>
      <c r="E131">
        <f>Sheet2!R128</f>
        <v>0</v>
      </c>
      <c r="F131">
        <f>Sheet2!S128</f>
        <v>0</v>
      </c>
      <c r="G131">
        <f>Sheet2!T128</f>
        <v>0</v>
      </c>
      <c r="H131" s="31">
        <f>Simulation_output!E129</f>
        <v>1</v>
      </c>
      <c r="I131" s="31">
        <f>Simulation_output!F129</f>
        <v>0</v>
      </c>
      <c r="J131" s="31">
        <f>Simulation_output!G129</f>
        <v>0</v>
      </c>
      <c r="K131" s="31">
        <f>Simulation_output!H129</f>
        <v>0</v>
      </c>
      <c r="L131">
        <v>1</v>
      </c>
      <c r="M131">
        <f t="shared" si="35"/>
        <v>0</v>
      </c>
      <c r="N131">
        <f t="shared" si="34"/>
        <v>0</v>
      </c>
      <c r="O131">
        <f t="shared" si="33"/>
        <v>0</v>
      </c>
      <c r="P131">
        <f t="shared" si="36"/>
        <v>0</v>
      </c>
      <c r="Q131">
        <f t="shared" si="32"/>
        <v>0</v>
      </c>
      <c r="R131">
        <f t="shared" si="22"/>
        <v>0</v>
      </c>
      <c r="S131">
        <f t="shared" si="23"/>
        <v>0</v>
      </c>
      <c r="T131">
        <f t="shared" si="24"/>
        <v>0</v>
      </c>
      <c r="U131">
        <f t="shared" si="25"/>
        <v>0</v>
      </c>
      <c r="V131">
        <f t="shared" si="26"/>
        <v>0</v>
      </c>
      <c r="W131">
        <f t="shared" si="27"/>
        <v>0</v>
      </c>
      <c r="X131">
        <f t="shared" si="28"/>
        <v>0</v>
      </c>
      <c r="Y131">
        <f t="shared" si="29"/>
        <v>0</v>
      </c>
      <c r="Z131">
        <f t="shared" si="30"/>
        <v>0</v>
      </c>
      <c r="AB131">
        <v>127</v>
      </c>
      <c r="AC131">
        <f t="shared" si="31"/>
        <v>0</v>
      </c>
      <c r="AD131">
        <f t="shared" si="21"/>
        <v>0</v>
      </c>
    </row>
    <row r="132" spans="3:30" x14ac:dyDescent="0.25">
      <c r="C132" s="3"/>
      <c r="D132" s="31">
        <f>Simulation_output!A130</f>
        <v>1285000</v>
      </c>
      <c r="E132">
        <f>Sheet2!R129</f>
        <v>0</v>
      </c>
      <c r="F132">
        <f>Sheet2!S129</f>
        <v>1</v>
      </c>
      <c r="G132">
        <f>Sheet2!T129</f>
        <v>0</v>
      </c>
      <c r="H132" s="31">
        <f>Simulation_output!E130</f>
        <v>1</v>
      </c>
      <c r="I132" s="31">
        <f>Simulation_output!F130</f>
        <v>0</v>
      </c>
      <c r="J132" s="31">
        <f>Simulation_output!G130</f>
        <v>0</v>
      </c>
      <c r="K132" s="31">
        <f>Simulation_output!H130</f>
        <v>0</v>
      </c>
      <c r="L132">
        <v>1</v>
      </c>
      <c r="M132">
        <f t="shared" si="35"/>
        <v>0</v>
      </c>
      <c r="N132">
        <f t="shared" si="34"/>
        <v>0</v>
      </c>
      <c r="O132">
        <f t="shared" si="33"/>
        <v>0</v>
      </c>
      <c r="P132">
        <f t="shared" si="36"/>
        <v>0</v>
      </c>
      <c r="Q132">
        <f t="shared" si="32"/>
        <v>0</v>
      </c>
      <c r="R132">
        <f t="shared" si="22"/>
        <v>0</v>
      </c>
      <c r="S132">
        <f t="shared" si="23"/>
        <v>0</v>
      </c>
      <c r="T132">
        <f t="shared" si="24"/>
        <v>0</v>
      </c>
      <c r="U132">
        <f t="shared" si="25"/>
        <v>0</v>
      </c>
      <c r="V132">
        <f t="shared" si="26"/>
        <v>0</v>
      </c>
      <c r="W132">
        <f t="shared" si="27"/>
        <v>0</v>
      </c>
      <c r="X132">
        <f t="shared" si="28"/>
        <v>0</v>
      </c>
      <c r="Y132">
        <f t="shared" si="29"/>
        <v>0</v>
      </c>
      <c r="Z132">
        <f t="shared" si="30"/>
        <v>0</v>
      </c>
      <c r="AB132">
        <v>128</v>
      </c>
      <c r="AC132">
        <f t="shared" si="31"/>
        <v>0</v>
      </c>
      <c r="AD132">
        <f t="shared" si="21"/>
        <v>0</v>
      </c>
    </row>
    <row r="133" spans="3:30" x14ac:dyDescent="0.25">
      <c r="C133" s="3"/>
      <c r="D133" s="31">
        <f>Simulation_output!A131</f>
        <v>1295000</v>
      </c>
      <c r="E133">
        <f>Sheet2!R130</f>
        <v>0</v>
      </c>
      <c r="F133">
        <f>Sheet2!S130</f>
        <v>0</v>
      </c>
      <c r="G133">
        <f>Sheet2!T130</f>
        <v>0</v>
      </c>
      <c r="H133" s="31">
        <f>Simulation_output!E131</f>
        <v>1</v>
      </c>
      <c r="I133" s="31">
        <f>Simulation_output!F131</f>
        <v>0</v>
      </c>
      <c r="J133" s="31">
        <f>Simulation_output!G131</f>
        <v>0</v>
      </c>
      <c r="K133" s="31">
        <f>Simulation_output!H131</f>
        <v>0</v>
      </c>
      <c r="L133">
        <v>1</v>
      </c>
      <c r="M133">
        <f t="shared" si="35"/>
        <v>0</v>
      </c>
      <c r="N133">
        <f t="shared" si="34"/>
        <v>0</v>
      </c>
      <c r="O133">
        <f t="shared" si="33"/>
        <v>0</v>
      </c>
      <c r="P133">
        <f t="shared" si="36"/>
        <v>0</v>
      </c>
      <c r="Q133">
        <f t="shared" si="32"/>
        <v>0</v>
      </c>
      <c r="R133">
        <f t="shared" si="22"/>
        <v>0</v>
      </c>
      <c r="S133">
        <f t="shared" si="23"/>
        <v>0</v>
      </c>
      <c r="T133">
        <f t="shared" si="24"/>
        <v>0</v>
      </c>
      <c r="U133">
        <f t="shared" si="25"/>
        <v>0</v>
      </c>
      <c r="V133">
        <f t="shared" si="26"/>
        <v>0</v>
      </c>
      <c r="W133">
        <f t="shared" si="27"/>
        <v>0</v>
      </c>
      <c r="X133">
        <f t="shared" si="28"/>
        <v>0</v>
      </c>
      <c r="Y133">
        <f t="shared" si="29"/>
        <v>0</v>
      </c>
      <c r="Z133">
        <f t="shared" si="30"/>
        <v>0</v>
      </c>
      <c r="AB133">
        <v>129</v>
      </c>
      <c r="AC133">
        <f t="shared" si="31"/>
        <v>0</v>
      </c>
      <c r="AD133">
        <f t="shared" si="21"/>
        <v>0</v>
      </c>
    </row>
    <row r="134" spans="3:30" x14ac:dyDescent="0.25">
      <c r="C134" s="3"/>
      <c r="D134" s="31">
        <f>Simulation_output!A132</f>
        <v>1305000</v>
      </c>
      <c r="E134">
        <f>Sheet2!R131</f>
        <v>5</v>
      </c>
      <c r="F134">
        <f>Sheet2!S131</f>
        <v>1</v>
      </c>
      <c r="G134">
        <f>Sheet2!T131</f>
        <v>0</v>
      </c>
      <c r="H134" s="31">
        <f>Simulation_output!E132</f>
        <v>1</v>
      </c>
      <c r="I134" s="31">
        <f>Simulation_output!F132</f>
        <v>0</v>
      </c>
      <c r="J134" s="31">
        <f>Simulation_output!G132</f>
        <v>0</v>
      </c>
      <c r="K134" s="31">
        <f>Simulation_output!H132</f>
        <v>0</v>
      </c>
      <c r="L134">
        <v>1</v>
      </c>
      <c r="M134">
        <f t="shared" si="35"/>
        <v>0</v>
      </c>
      <c r="N134">
        <f t="shared" si="34"/>
        <v>0</v>
      </c>
      <c r="O134">
        <f t="shared" si="33"/>
        <v>0</v>
      </c>
      <c r="P134">
        <f t="shared" si="36"/>
        <v>0</v>
      </c>
      <c r="Q134">
        <f t="shared" si="32"/>
        <v>0</v>
      </c>
      <c r="R134">
        <f t="shared" si="22"/>
        <v>0</v>
      </c>
      <c r="S134">
        <f t="shared" si="23"/>
        <v>0</v>
      </c>
      <c r="T134">
        <f t="shared" si="24"/>
        <v>0</v>
      </c>
      <c r="U134">
        <f t="shared" si="25"/>
        <v>0</v>
      </c>
      <c r="V134">
        <f t="shared" si="26"/>
        <v>0</v>
      </c>
      <c r="W134">
        <f t="shared" si="27"/>
        <v>0</v>
      </c>
      <c r="X134">
        <f t="shared" si="28"/>
        <v>0</v>
      </c>
      <c r="Y134">
        <f t="shared" si="29"/>
        <v>0</v>
      </c>
      <c r="Z134">
        <f t="shared" si="30"/>
        <v>0</v>
      </c>
      <c r="AB134">
        <v>130</v>
      </c>
      <c r="AC134">
        <f t="shared" si="31"/>
        <v>0</v>
      </c>
      <c r="AD134">
        <f t="shared" ref="AD134:AD197" si="37">IF(M134="FFFFFFF",AC134,0)</f>
        <v>0</v>
      </c>
    </row>
    <row r="135" spans="3:30" x14ac:dyDescent="0.25">
      <c r="C135" s="3"/>
      <c r="D135" s="31">
        <f>Simulation_output!A133</f>
        <v>1315000</v>
      </c>
      <c r="E135">
        <f>Sheet2!R132</f>
        <v>0</v>
      </c>
      <c r="F135">
        <f>Sheet2!S132</f>
        <v>0</v>
      </c>
      <c r="G135">
        <f>Sheet2!T132</f>
        <v>0</v>
      </c>
      <c r="H135" s="31">
        <f>Simulation_output!E133</f>
        <v>1</v>
      </c>
      <c r="I135" s="31">
        <f>Simulation_output!F133</f>
        <v>0</v>
      </c>
      <c r="J135" s="31">
        <f>Simulation_output!G133</f>
        <v>0</v>
      </c>
      <c r="K135" s="31">
        <f>Simulation_output!H133</f>
        <v>0</v>
      </c>
      <c r="L135">
        <v>1</v>
      </c>
      <c r="M135">
        <f t="shared" si="35"/>
        <v>0</v>
      </c>
      <c r="N135">
        <f t="shared" si="34"/>
        <v>0</v>
      </c>
      <c r="O135">
        <f t="shared" si="33"/>
        <v>0</v>
      </c>
      <c r="P135">
        <f t="shared" si="36"/>
        <v>0</v>
      </c>
      <c r="Q135">
        <f t="shared" si="32"/>
        <v>0</v>
      </c>
      <c r="R135">
        <f t="shared" ref="R135:R198" si="38">IF(K135&gt;0,I127,0)</f>
        <v>0</v>
      </c>
      <c r="S135">
        <f t="shared" ref="S135:S198" si="39">IF(K135&gt;0,I128,0)</f>
        <v>0</v>
      </c>
      <c r="T135">
        <f t="shared" ref="T135:T198" si="40">IF(K135&gt;0,I129,0)</f>
        <v>0</v>
      </c>
      <c r="U135">
        <f t="shared" ref="U135:U198" si="41">IF(K135&gt;0,I130,0)</f>
        <v>0</v>
      </c>
      <c r="V135">
        <f t="shared" ref="V135:V198" si="42">IF(K135&gt;0,I131,0)</f>
        <v>0</v>
      </c>
      <c r="W135">
        <f t="shared" ref="W135:W198" si="43">IF(K135&gt;0,I132,0)</f>
        <v>0</v>
      </c>
      <c r="X135">
        <f t="shared" ref="X135:X198" si="44">IF(K135&gt;0,I133,0)</f>
        <v>0</v>
      </c>
      <c r="Y135">
        <f t="shared" ref="Y135:Y198" si="45">IF(K135&gt;0,I134,0)</f>
        <v>0</v>
      </c>
      <c r="Z135">
        <f t="shared" ref="Z135:Z198" si="46">IF(K135&gt;0,DEC2HEX(I135),0)</f>
        <v>0</v>
      </c>
      <c r="AB135">
        <v>131</v>
      </c>
      <c r="AC135">
        <f t="shared" ref="AC135:AC198" si="47">IF(M135="FFFFFFF",AC134+1,AC134)</f>
        <v>0</v>
      </c>
      <c r="AD135">
        <f t="shared" si="37"/>
        <v>0</v>
      </c>
    </row>
    <row r="136" spans="3:30" x14ac:dyDescent="0.25">
      <c r="C136" s="3"/>
      <c r="D136" s="31">
        <f>Simulation_output!A134</f>
        <v>1325000</v>
      </c>
      <c r="E136">
        <f>Sheet2!R133</f>
        <v>20</v>
      </c>
      <c r="F136">
        <f>Sheet2!S133</f>
        <v>1</v>
      </c>
      <c r="G136">
        <f>Sheet2!T133</f>
        <v>0</v>
      </c>
      <c r="H136" s="31">
        <f>Simulation_output!E134</f>
        <v>1</v>
      </c>
      <c r="I136" s="31">
        <f>Simulation_output!F134</f>
        <v>0</v>
      </c>
      <c r="J136" s="31">
        <f>Simulation_output!G134</f>
        <v>0</v>
      </c>
      <c r="K136" s="31">
        <f>Simulation_output!H134</f>
        <v>0</v>
      </c>
      <c r="L136">
        <v>1</v>
      </c>
      <c r="M136">
        <f t="shared" si="35"/>
        <v>0</v>
      </c>
      <c r="N136">
        <f t="shared" si="34"/>
        <v>0</v>
      </c>
      <c r="O136">
        <f t="shared" si="33"/>
        <v>0</v>
      </c>
      <c r="P136">
        <f t="shared" si="36"/>
        <v>0</v>
      </c>
      <c r="Q136">
        <f t="shared" si="32"/>
        <v>0</v>
      </c>
      <c r="R136">
        <f t="shared" si="38"/>
        <v>0</v>
      </c>
      <c r="S136">
        <f t="shared" si="39"/>
        <v>0</v>
      </c>
      <c r="T136">
        <f t="shared" si="40"/>
        <v>0</v>
      </c>
      <c r="U136">
        <f t="shared" si="41"/>
        <v>0</v>
      </c>
      <c r="V136">
        <f t="shared" si="42"/>
        <v>0</v>
      </c>
      <c r="W136">
        <f t="shared" si="43"/>
        <v>0</v>
      </c>
      <c r="X136">
        <f t="shared" si="44"/>
        <v>0</v>
      </c>
      <c r="Y136">
        <f t="shared" si="45"/>
        <v>0</v>
      </c>
      <c r="Z136">
        <f t="shared" si="46"/>
        <v>0</v>
      </c>
      <c r="AB136">
        <v>132</v>
      </c>
      <c r="AC136">
        <f t="shared" si="47"/>
        <v>0</v>
      </c>
      <c r="AD136">
        <f t="shared" si="37"/>
        <v>0</v>
      </c>
    </row>
    <row r="137" spans="3:30" x14ac:dyDescent="0.25">
      <c r="C137" s="3"/>
      <c r="D137" s="31">
        <f>Simulation_output!A135</f>
        <v>1335000</v>
      </c>
      <c r="E137">
        <f>Sheet2!R134</f>
        <v>0</v>
      </c>
      <c r="F137">
        <f>Sheet2!S134</f>
        <v>0</v>
      </c>
      <c r="G137">
        <f>Sheet2!T134</f>
        <v>0</v>
      </c>
      <c r="H137" s="31">
        <f>Simulation_output!E135</f>
        <v>1</v>
      </c>
      <c r="I137" s="31">
        <f>Simulation_output!F135</f>
        <v>0</v>
      </c>
      <c r="J137" s="31">
        <f>Simulation_output!G135</f>
        <v>0</v>
      </c>
      <c r="K137" s="31">
        <f>Simulation_output!H135</f>
        <v>0</v>
      </c>
      <c r="L137">
        <v>1</v>
      </c>
      <c r="M137">
        <f t="shared" si="35"/>
        <v>0</v>
      </c>
      <c r="N137">
        <f t="shared" si="34"/>
        <v>0</v>
      </c>
      <c r="O137">
        <f t="shared" si="33"/>
        <v>0</v>
      </c>
      <c r="P137">
        <f t="shared" si="36"/>
        <v>0</v>
      </c>
      <c r="Q137">
        <f t="shared" si="32"/>
        <v>0</v>
      </c>
      <c r="R137">
        <f t="shared" si="38"/>
        <v>0</v>
      </c>
      <c r="S137">
        <f t="shared" si="39"/>
        <v>0</v>
      </c>
      <c r="T137">
        <f t="shared" si="40"/>
        <v>0</v>
      </c>
      <c r="U137">
        <f t="shared" si="41"/>
        <v>0</v>
      </c>
      <c r="V137">
        <f t="shared" si="42"/>
        <v>0</v>
      </c>
      <c r="W137">
        <f t="shared" si="43"/>
        <v>0</v>
      </c>
      <c r="X137">
        <f t="shared" si="44"/>
        <v>0</v>
      </c>
      <c r="Y137">
        <f t="shared" si="45"/>
        <v>0</v>
      </c>
      <c r="Z137">
        <f t="shared" si="46"/>
        <v>0</v>
      </c>
      <c r="AB137">
        <v>133</v>
      </c>
      <c r="AC137">
        <f t="shared" si="47"/>
        <v>0</v>
      </c>
      <c r="AD137">
        <f t="shared" si="37"/>
        <v>0</v>
      </c>
    </row>
    <row r="138" spans="3:30" x14ac:dyDescent="0.25">
      <c r="C138" s="3"/>
      <c r="D138" s="31">
        <f>Simulation_output!A136</f>
        <v>1345000</v>
      </c>
      <c r="E138">
        <f>Sheet2!R135</f>
        <v>120</v>
      </c>
      <c r="F138">
        <f>Sheet2!S135</f>
        <v>1</v>
      </c>
      <c r="G138">
        <f>Sheet2!T135</f>
        <v>0</v>
      </c>
      <c r="H138" s="31">
        <f>Simulation_output!E136</f>
        <v>1</v>
      </c>
      <c r="I138" s="31">
        <f>Simulation_output!F136</f>
        <v>0</v>
      </c>
      <c r="J138" s="31">
        <f>Simulation_output!G136</f>
        <v>0</v>
      </c>
      <c r="K138" s="31">
        <f>Simulation_output!H136</f>
        <v>0</v>
      </c>
      <c r="L138">
        <v>1</v>
      </c>
      <c r="M138">
        <f t="shared" si="35"/>
        <v>0</v>
      </c>
      <c r="N138">
        <f t="shared" si="34"/>
        <v>0</v>
      </c>
      <c r="O138">
        <f t="shared" si="33"/>
        <v>0</v>
      </c>
      <c r="P138">
        <f t="shared" si="36"/>
        <v>0</v>
      </c>
      <c r="Q138">
        <f t="shared" si="32"/>
        <v>0</v>
      </c>
      <c r="R138">
        <f t="shared" si="38"/>
        <v>0</v>
      </c>
      <c r="S138">
        <f t="shared" si="39"/>
        <v>0</v>
      </c>
      <c r="T138">
        <f t="shared" si="40"/>
        <v>0</v>
      </c>
      <c r="U138">
        <f t="shared" si="41"/>
        <v>0</v>
      </c>
      <c r="V138">
        <f t="shared" si="42"/>
        <v>0</v>
      </c>
      <c r="W138">
        <f t="shared" si="43"/>
        <v>0</v>
      </c>
      <c r="X138">
        <f t="shared" si="44"/>
        <v>0</v>
      </c>
      <c r="Y138">
        <f t="shared" si="45"/>
        <v>0</v>
      </c>
      <c r="Z138">
        <f t="shared" si="46"/>
        <v>0</v>
      </c>
      <c r="AB138">
        <v>134</v>
      </c>
      <c r="AC138">
        <f t="shared" si="47"/>
        <v>0</v>
      </c>
      <c r="AD138">
        <f t="shared" si="37"/>
        <v>0</v>
      </c>
    </row>
    <row r="139" spans="3:30" x14ac:dyDescent="0.25">
      <c r="C139" s="3"/>
      <c r="D139" s="31">
        <f>Simulation_output!A137</f>
        <v>1355000</v>
      </c>
      <c r="E139">
        <f>Sheet2!R136</f>
        <v>0</v>
      </c>
      <c r="F139">
        <f>Sheet2!S136</f>
        <v>0</v>
      </c>
      <c r="G139">
        <f>Sheet2!T136</f>
        <v>0</v>
      </c>
      <c r="H139" s="31">
        <f>Simulation_output!E137</f>
        <v>1</v>
      </c>
      <c r="I139" s="31">
        <f>Simulation_output!F137</f>
        <v>0</v>
      </c>
      <c r="J139" s="31">
        <f>Simulation_output!G137</f>
        <v>0</v>
      </c>
      <c r="K139" s="31">
        <f>Simulation_output!H137</f>
        <v>0</v>
      </c>
      <c r="L139">
        <v>1</v>
      </c>
      <c r="M139">
        <f t="shared" si="35"/>
        <v>0</v>
      </c>
      <c r="N139">
        <f t="shared" si="34"/>
        <v>0</v>
      </c>
      <c r="O139">
        <f t="shared" si="33"/>
        <v>0</v>
      </c>
      <c r="P139">
        <f t="shared" si="36"/>
        <v>0</v>
      </c>
      <c r="Q139">
        <f t="shared" ref="Q139:Q202" si="48">IF(K139&gt;0,I130,0)</f>
        <v>0</v>
      </c>
      <c r="R139">
        <f t="shared" si="38"/>
        <v>0</v>
      </c>
      <c r="S139">
        <f t="shared" si="39"/>
        <v>0</v>
      </c>
      <c r="T139">
        <f t="shared" si="40"/>
        <v>0</v>
      </c>
      <c r="U139">
        <f t="shared" si="41"/>
        <v>0</v>
      </c>
      <c r="V139">
        <f t="shared" si="42"/>
        <v>0</v>
      </c>
      <c r="W139">
        <f t="shared" si="43"/>
        <v>0</v>
      </c>
      <c r="X139">
        <f t="shared" si="44"/>
        <v>0</v>
      </c>
      <c r="Y139">
        <f t="shared" si="45"/>
        <v>0</v>
      </c>
      <c r="Z139">
        <f t="shared" si="46"/>
        <v>0</v>
      </c>
      <c r="AB139">
        <v>135</v>
      </c>
      <c r="AC139">
        <f t="shared" si="47"/>
        <v>0</v>
      </c>
      <c r="AD139">
        <f t="shared" si="37"/>
        <v>0</v>
      </c>
    </row>
    <row r="140" spans="3:30" x14ac:dyDescent="0.25">
      <c r="C140" s="3"/>
      <c r="D140" s="31">
        <f>Simulation_output!A138</f>
        <v>1365000</v>
      </c>
      <c r="E140">
        <f>Sheet2!R137</f>
        <v>1020</v>
      </c>
      <c r="F140">
        <f>Sheet2!S137</f>
        <v>1</v>
      </c>
      <c r="G140">
        <f>Sheet2!T137</f>
        <v>0</v>
      </c>
      <c r="H140" s="31">
        <f>Simulation_output!E138</f>
        <v>1</v>
      </c>
      <c r="I140" s="31">
        <f>Simulation_output!F138</f>
        <v>0</v>
      </c>
      <c r="J140" s="31">
        <f>Simulation_output!G138</f>
        <v>0</v>
      </c>
      <c r="K140" s="31">
        <f>Simulation_output!H138</f>
        <v>0</v>
      </c>
      <c r="L140">
        <v>1</v>
      </c>
      <c r="M140">
        <f t="shared" si="35"/>
        <v>0</v>
      </c>
      <c r="N140">
        <f t="shared" si="34"/>
        <v>0</v>
      </c>
      <c r="O140">
        <f t="shared" si="33"/>
        <v>0</v>
      </c>
      <c r="P140">
        <f t="shared" si="36"/>
        <v>0</v>
      </c>
      <c r="Q140">
        <f t="shared" si="48"/>
        <v>0</v>
      </c>
      <c r="R140">
        <f t="shared" si="38"/>
        <v>0</v>
      </c>
      <c r="S140">
        <f t="shared" si="39"/>
        <v>0</v>
      </c>
      <c r="T140">
        <f t="shared" si="40"/>
        <v>0</v>
      </c>
      <c r="U140">
        <f t="shared" si="41"/>
        <v>0</v>
      </c>
      <c r="V140">
        <f t="shared" si="42"/>
        <v>0</v>
      </c>
      <c r="W140">
        <f t="shared" si="43"/>
        <v>0</v>
      </c>
      <c r="X140">
        <f t="shared" si="44"/>
        <v>0</v>
      </c>
      <c r="Y140">
        <f t="shared" si="45"/>
        <v>0</v>
      </c>
      <c r="Z140">
        <f t="shared" si="46"/>
        <v>0</v>
      </c>
      <c r="AB140">
        <v>136</v>
      </c>
      <c r="AC140">
        <f t="shared" si="47"/>
        <v>0</v>
      </c>
      <c r="AD140">
        <f t="shared" si="37"/>
        <v>0</v>
      </c>
    </row>
    <row r="141" spans="3:30" x14ac:dyDescent="0.25">
      <c r="C141" s="3"/>
      <c r="D141" s="31">
        <f>Simulation_output!A139</f>
        <v>1375000</v>
      </c>
      <c r="E141">
        <f>Sheet2!R138</f>
        <v>0</v>
      </c>
      <c r="F141">
        <f>Sheet2!S138</f>
        <v>0</v>
      </c>
      <c r="G141">
        <f>Sheet2!T138</f>
        <v>0</v>
      </c>
      <c r="H141" s="31">
        <f>Simulation_output!E139</f>
        <v>1</v>
      </c>
      <c r="I141" s="31">
        <f>Simulation_output!F139</f>
        <v>0</v>
      </c>
      <c r="J141" s="31">
        <f>Simulation_output!G139</f>
        <v>0</v>
      </c>
      <c r="K141" s="31">
        <f>Simulation_output!H139</f>
        <v>0</v>
      </c>
      <c r="L141">
        <v>1</v>
      </c>
      <c r="M141">
        <f t="shared" si="35"/>
        <v>0</v>
      </c>
      <c r="N141">
        <f t="shared" si="34"/>
        <v>0</v>
      </c>
      <c r="O141">
        <f t="shared" ref="O141:O204" si="49">IF(K141&gt;0,I130,0)</f>
        <v>0</v>
      </c>
      <c r="P141">
        <f t="shared" si="36"/>
        <v>0</v>
      </c>
      <c r="Q141">
        <f t="shared" si="48"/>
        <v>0</v>
      </c>
      <c r="R141">
        <f t="shared" si="38"/>
        <v>0</v>
      </c>
      <c r="S141">
        <f t="shared" si="39"/>
        <v>0</v>
      </c>
      <c r="T141">
        <f t="shared" si="40"/>
        <v>0</v>
      </c>
      <c r="U141">
        <f t="shared" si="41"/>
        <v>0</v>
      </c>
      <c r="V141">
        <f t="shared" si="42"/>
        <v>0</v>
      </c>
      <c r="W141">
        <f t="shared" si="43"/>
        <v>0</v>
      </c>
      <c r="X141">
        <f t="shared" si="44"/>
        <v>0</v>
      </c>
      <c r="Y141">
        <f t="shared" si="45"/>
        <v>0</v>
      </c>
      <c r="Z141">
        <f t="shared" si="46"/>
        <v>0</v>
      </c>
      <c r="AB141">
        <v>137</v>
      </c>
      <c r="AC141">
        <f t="shared" si="47"/>
        <v>0</v>
      </c>
      <c r="AD141">
        <f t="shared" si="37"/>
        <v>0</v>
      </c>
    </row>
    <row r="142" spans="3:30" x14ac:dyDescent="0.25">
      <c r="C142" s="3"/>
      <c r="D142" s="31">
        <f>Simulation_output!A140</f>
        <v>1385000</v>
      </c>
      <c r="E142">
        <f>Sheet2!R139</f>
        <v>10020</v>
      </c>
      <c r="F142">
        <f>Sheet2!S139</f>
        <v>1</v>
      </c>
      <c r="G142">
        <f>Sheet2!T139</f>
        <v>1</v>
      </c>
      <c r="H142" s="31">
        <f>Simulation_output!E140</f>
        <v>1</v>
      </c>
      <c r="I142" s="31">
        <f>Simulation_output!F140</f>
        <v>0</v>
      </c>
      <c r="J142" s="31">
        <f>Simulation_output!G140</f>
        <v>0</v>
      </c>
      <c r="K142" s="31">
        <f>Simulation_output!H140</f>
        <v>0</v>
      </c>
      <c r="L142">
        <v>1</v>
      </c>
      <c r="M142">
        <f t="shared" si="35"/>
        <v>0</v>
      </c>
      <c r="N142">
        <f t="shared" ref="N142:N205" si="50">IF(K142&gt;0,I130,0)</f>
        <v>0</v>
      </c>
      <c r="O142">
        <f t="shared" si="49"/>
        <v>0</v>
      </c>
      <c r="P142">
        <f t="shared" si="36"/>
        <v>0</v>
      </c>
      <c r="Q142">
        <f t="shared" si="48"/>
        <v>0</v>
      </c>
      <c r="R142">
        <f t="shared" si="38"/>
        <v>0</v>
      </c>
      <c r="S142">
        <f t="shared" si="39"/>
        <v>0</v>
      </c>
      <c r="T142">
        <f t="shared" si="40"/>
        <v>0</v>
      </c>
      <c r="U142">
        <f t="shared" si="41"/>
        <v>0</v>
      </c>
      <c r="V142">
        <f t="shared" si="42"/>
        <v>0</v>
      </c>
      <c r="W142">
        <f t="shared" si="43"/>
        <v>0</v>
      </c>
      <c r="X142">
        <f t="shared" si="44"/>
        <v>0</v>
      </c>
      <c r="Y142">
        <f t="shared" si="45"/>
        <v>0</v>
      </c>
      <c r="Z142">
        <f t="shared" si="46"/>
        <v>0</v>
      </c>
      <c r="AB142">
        <v>138</v>
      </c>
      <c r="AC142">
        <f t="shared" si="47"/>
        <v>0</v>
      </c>
      <c r="AD142">
        <f t="shared" si="37"/>
        <v>0</v>
      </c>
    </row>
    <row r="143" spans="3:30" x14ac:dyDescent="0.25">
      <c r="C143" s="3"/>
      <c r="D143" s="31">
        <f>Simulation_output!A141</f>
        <v>1395000</v>
      </c>
      <c r="E143">
        <f>Sheet2!R140</f>
        <v>0</v>
      </c>
      <c r="F143">
        <f>Sheet2!S140</f>
        <v>0</v>
      </c>
      <c r="G143">
        <f>Sheet2!T140</f>
        <v>0</v>
      </c>
      <c r="H143" s="31">
        <f>Simulation_output!E141</f>
        <v>1</v>
      </c>
      <c r="I143" s="31">
        <f>Simulation_output!F141</f>
        <v>0</v>
      </c>
      <c r="J143" s="31">
        <f>Simulation_output!G141</f>
        <v>0</v>
      </c>
      <c r="K143" s="31">
        <f>Simulation_output!H141</f>
        <v>0</v>
      </c>
      <c r="L143">
        <v>1</v>
      </c>
      <c r="M143">
        <f t="shared" ref="M143:M206" si="51">IF(K143&gt;0,DEC2HEX(I130),0)</f>
        <v>0</v>
      </c>
      <c r="N143">
        <f t="shared" si="50"/>
        <v>0</v>
      </c>
      <c r="O143">
        <f t="shared" si="49"/>
        <v>0</v>
      </c>
      <c r="P143">
        <f t="shared" ref="P143:P206" si="52">IF(K143&gt;0,I133,0)</f>
        <v>0</v>
      </c>
      <c r="Q143">
        <f t="shared" si="48"/>
        <v>0</v>
      </c>
      <c r="R143">
        <f t="shared" si="38"/>
        <v>0</v>
      </c>
      <c r="S143">
        <f t="shared" si="39"/>
        <v>0</v>
      </c>
      <c r="T143">
        <f t="shared" si="40"/>
        <v>0</v>
      </c>
      <c r="U143">
        <f t="shared" si="41"/>
        <v>0</v>
      </c>
      <c r="V143">
        <f t="shared" si="42"/>
        <v>0</v>
      </c>
      <c r="W143">
        <f t="shared" si="43"/>
        <v>0</v>
      </c>
      <c r="X143">
        <f t="shared" si="44"/>
        <v>0</v>
      </c>
      <c r="Y143">
        <f t="shared" si="45"/>
        <v>0</v>
      </c>
      <c r="Z143">
        <f t="shared" si="46"/>
        <v>0</v>
      </c>
      <c r="AB143">
        <v>139</v>
      </c>
      <c r="AC143">
        <f t="shared" si="47"/>
        <v>0</v>
      </c>
      <c r="AD143">
        <f t="shared" si="37"/>
        <v>0</v>
      </c>
    </row>
    <row r="144" spans="3:30" x14ac:dyDescent="0.25">
      <c r="C144" s="3"/>
      <c r="D144" s="31">
        <f>Simulation_output!A142</f>
        <v>1405000</v>
      </c>
      <c r="E144">
        <f>Sheet2!R141</f>
        <v>0</v>
      </c>
      <c r="F144">
        <f>Sheet2!S141</f>
        <v>1</v>
      </c>
      <c r="G144">
        <f>Sheet2!T141</f>
        <v>0</v>
      </c>
      <c r="H144" s="31">
        <f>Simulation_output!E142</f>
        <v>1</v>
      </c>
      <c r="I144" s="31">
        <f>Simulation_output!F142</f>
        <v>0</v>
      </c>
      <c r="J144" s="31">
        <f>Simulation_output!G142</f>
        <v>0</v>
      </c>
      <c r="K144" s="31">
        <f>Simulation_output!H142</f>
        <v>0</v>
      </c>
      <c r="L144">
        <v>1</v>
      </c>
      <c r="M144">
        <f t="shared" si="51"/>
        <v>0</v>
      </c>
      <c r="N144">
        <f t="shared" si="50"/>
        <v>0</v>
      </c>
      <c r="O144">
        <f t="shared" si="49"/>
        <v>0</v>
      </c>
      <c r="P144">
        <f t="shared" si="52"/>
        <v>0</v>
      </c>
      <c r="Q144">
        <f t="shared" si="48"/>
        <v>0</v>
      </c>
      <c r="R144">
        <f t="shared" si="38"/>
        <v>0</v>
      </c>
      <c r="S144">
        <f t="shared" si="39"/>
        <v>0</v>
      </c>
      <c r="T144">
        <f t="shared" si="40"/>
        <v>0</v>
      </c>
      <c r="U144">
        <f t="shared" si="41"/>
        <v>0</v>
      </c>
      <c r="V144">
        <f t="shared" si="42"/>
        <v>0</v>
      </c>
      <c r="W144">
        <f t="shared" si="43"/>
        <v>0</v>
      </c>
      <c r="X144">
        <f t="shared" si="44"/>
        <v>0</v>
      </c>
      <c r="Y144">
        <f t="shared" si="45"/>
        <v>0</v>
      </c>
      <c r="Z144">
        <f t="shared" si="46"/>
        <v>0</v>
      </c>
      <c r="AB144">
        <v>140</v>
      </c>
      <c r="AC144">
        <f t="shared" si="47"/>
        <v>0</v>
      </c>
      <c r="AD144">
        <f t="shared" si="37"/>
        <v>0</v>
      </c>
    </row>
    <row r="145" spans="3:30" x14ac:dyDescent="0.25">
      <c r="C145" s="3"/>
      <c r="D145" s="31">
        <f>Simulation_output!A143</f>
        <v>1415000</v>
      </c>
      <c r="E145">
        <f>Sheet2!R142</f>
        <v>0</v>
      </c>
      <c r="F145">
        <f>Sheet2!S142</f>
        <v>0</v>
      </c>
      <c r="G145">
        <f>Sheet2!T142</f>
        <v>0</v>
      </c>
      <c r="H145" s="31">
        <f>Simulation_output!E143</f>
        <v>1</v>
      </c>
      <c r="I145" s="31">
        <f>Simulation_output!F143</f>
        <v>0</v>
      </c>
      <c r="J145" s="31">
        <f>Simulation_output!G143</f>
        <v>0</v>
      </c>
      <c r="K145" s="31">
        <f>Simulation_output!H143</f>
        <v>0</v>
      </c>
      <c r="L145">
        <v>1</v>
      </c>
      <c r="M145">
        <f t="shared" si="51"/>
        <v>0</v>
      </c>
      <c r="N145">
        <f t="shared" si="50"/>
        <v>0</v>
      </c>
      <c r="O145">
        <f t="shared" si="49"/>
        <v>0</v>
      </c>
      <c r="P145">
        <f t="shared" si="52"/>
        <v>0</v>
      </c>
      <c r="Q145">
        <f t="shared" si="48"/>
        <v>0</v>
      </c>
      <c r="R145">
        <f t="shared" si="38"/>
        <v>0</v>
      </c>
      <c r="S145">
        <f t="shared" si="39"/>
        <v>0</v>
      </c>
      <c r="T145">
        <f t="shared" si="40"/>
        <v>0</v>
      </c>
      <c r="U145">
        <f t="shared" si="41"/>
        <v>0</v>
      </c>
      <c r="V145">
        <f t="shared" si="42"/>
        <v>0</v>
      </c>
      <c r="W145">
        <f t="shared" si="43"/>
        <v>0</v>
      </c>
      <c r="X145">
        <f t="shared" si="44"/>
        <v>0</v>
      </c>
      <c r="Y145">
        <f t="shared" si="45"/>
        <v>0</v>
      </c>
      <c r="Z145">
        <f t="shared" si="46"/>
        <v>0</v>
      </c>
      <c r="AB145">
        <v>141</v>
      </c>
      <c r="AC145">
        <f t="shared" si="47"/>
        <v>0</v>
      </c>
      <c r="AD145">
        <f t="shared" si="37"/>
        <v>0</v>
      </c>
    </row>
    <row r="146" spans="3:30" x14ac:dyDescent="0.25">
      <c r="C146" s="3"/>
      <c r="D146" s="31">
        <f>Simulation_output!A144</f>
        <v>1425000</v>
      </c>
      <c r="E146">
        <f>Sheet2!R143</f>
        <v>5</v>
      </c>
      <c r="F146">
        <f>Sheet2!S143</f>
        <v>1</v>
      </c>
      <c r="G146">
        <f>Sheet2!T143</f>
        <v>0</v>
      </c>
      <c r="H146" s="31">
        <f>Simulation_output!E144</f>
        <v>1</v>
      </c>
      <c r="I146" s="31">
        <f>Simulation_output!F144</f>
        <v>0</v>
      </c>
      <c r="J146" s="31">
        <f>Simulation_output!G144</f>
        <v>0</v>
      </c>
      <c r="K146" s="31">
        <f>Simulation_output!H144</f>
        <v>0</v>
      </c>
      <c r="L146">
        <v>1</v>
      </c>
      <c r="M146">
        <f t="shared" si="51"/>
        <v>0</v>
      </c>
      <c r="N146">
        <f t="shared" si="50"/>
        <v>0</v>
      </c>
      <c r="O146">
        <f t="shared" si="49"/>
        <v>0</v>
      </c>
      <c r="P146">
        <f t="shared" si="52"/>
        <v>0</v>
      </c>
      <c r="Q146">
        <f t="shared" si="48"/>
        <v>0</v>
      </c>
      <c r="R146">
        <f t="shared" si="38"/>
        <v>0</v>
      </c>
      <c r="S146">
        <f t="shared" si="39"/>
        <v>0</v>
      </c>
      <c r="T146">
        <f t="shared" si="40"/>
        <v>0</v>
      </c>
      <c r="U146">
        <f t="shared" si="41"/>
        <v>0</v>
      </c>
      <c r="V146">
        <f t="shared" si="42"/>
        <v>0</v>
      </c>
      <c r="W146">
        <f t="shared" si="43"/>
        <v>0</v>
      </c>
      <c r="X146">
        <f t="shared" si="44"/>
        <v>0</v>
      </c>
      <c r="Y146">
        <f t="shared" si="45"/>
        <v>0</v>
      </c>
      <c r="Z146">
        <f t="shared" si="46"/>
        <v>0</v>
      </c>
      <c r="AB146">
        <v>142</v>
      </c>
      <c r="AC146">
        <f t="shared" si="47"/>
        <v>0</v>
      </c>
      <c r="AD146">
        <f t="shared" si="37"/>
        <v>0</v>
      </c>
    </row>
    <row r="147" spans="3:30" x14ac:dyDescent="0.25">
      <c r="C147" s="3"/>
      <c r="D147" s="31">
        <f>Simulation_output!A145</f>
        <v>1435000</v>
      </c>
      <c r="E147">
        <f>Sheet2!R144</f>
        <v>0</v>
      </c>
      <c r="F147">
        <f>Sheet2!S144</f>
        <v>0</v>
      </c>
      <c r="G147">
        <f>Sheet2!T144</f>
        <v>0</v>
      </c>
      <c r="H147" s="31">
        <f>Simulation_output!E145</f>
        <v>1</v>
      </c>
      <c r="I147" s="31">
        <f>Simulation_output!F145</f>
        <v>0</v>
      </c>
      <c r="J147" s="31">
        <f>Simulation_output!G145</f>
        <v>0</v>
      </c>
      <c r="K147" s="31">
        <f>Simulation_output!H145</f>
        <v>0</v>
      </c>
      <c r="L147">
        <v>1</v>
      </c>
      <c r="M147">
        <f t="shared" si="51"/>
        <v>0</v>
      </c>
      <c r="N147">
        <f t="shared" si="50"/>
        <v>0</v>
      </c>
      <c r="O147">
        <f t="shared" si="49"/>
        <v>0</v>
      </c>
      <c r="P147">
        <f t="shared" si="52"/>
        <v>0</v>
      </c>
      <c r="Q147">
        <f t="shared" si="48"/>
        <v>0</v>
      </c>
      <c r="R147">
        <f t="shared" si="38"/>
        <v>0</v>
      </c>
      <c r="S147">
        <f t="shared" si="39"/>
        <v>0</v>
      </c>
      <c r="T147">
        <f t="shared" si="40"/>
        <v>0</v>
      </c>
      <c r="U147">
        <f t="shared" si="41"/>
        <v>0</v>
      </c>
      <c r="V147">
        <f t="shared" si="42"/>
        <v>0</v>
      </c>
      <c r="W147">
        <f t="shared" si="43"/>
        <v>0</v>
      </c>
      <c r="X147">
        <f t="shared" si="44"/>
        <v>0</v>
      </c>
      <c r="Y147">
        <f t="shared" si="45"/>
        <v>0</v>
      </c>
      <c r="Z147">
        <f t="shared" si="46"/>
        <v>0</v>
      </c>
      <c r="AB147">
        <v>143</v>
      </c>
      <c r="AC147">
        <f t="shared" si="47"/>
        <v>0</v>
      </c>
      <c r="AD147">
        <f t="shared" si="37"/>
        <v>0</v>
      </c>
    </row>
    <row r="148" spans="3:30" x14ac:dyDescent="0.25">
      <c r="C148" s="3"/>
      <c r="D148" s="31">
        <f>Simulation_output!A146</f>
        <v>1445000</v>
      </c>
      <c r="E148">
        <f>Sheet2!R145</f>
        <v>21</v>
      </c>
      <c r="F148">
        <f>Sheet2!S145</f>
        <v>1</v>
      </c>
      <c r="G148">
        <f>Sheet2!T145</f>
        <v>0</v>
      </c>
      <c r="H148" s="31">
        <f>Simulation_output!E146</f>
        <v>1</v>
      </c>
      <c r="I148" s="31">
        <f>Simulation_output!F146</f>
        <v>0</v>
      </c>
      <c r="J148" s="31">
        <f>Simulation_output!G146</f>
        <v>0</v>
      </c>
      <c r="K148" s="31">
        <f>Simulation_output!H146</f>
        <v>0</v>
      </c>
      <c r="L148">
        <v>1</v>
      </c>
      <c r="M148">
        <f t="shared" si="51"/>
        <v>0</v>
      </c>
      <c r="N148">
        <f t="shared" si="50"/>
        <v>0</v>
      </c>
      <c r="O148">
        <f t="shared" si="49"/>
        <v>0</v>
      </c>
      <c r="P148">
        <f t="shared" si="52"/>
        <v>0</v>
      </c>
      <c r="Q148">
        <f t="shared" si="48"/>
        <v>0</v>
      </c>
      <c r="R148">
        <f t="shared" si="38"/>
        <v>0</v>
      </c>
      <c r="S148">
        <f t="shared" si="39"/>
        <v>0</v>
      </c>
      <c r="T148">
        <f t="shared" si="40"/>
        <v>0</v>
      </c>
      <c r="U148">
        <f t="shared" si="41"/>
        <v>0</v>
      </c>
      <c r="V148">
        <f t="shared" si="42"/>
        <v>0</v>
      </c>
      <c r="W148">
        <f t="shared" si="43"/>
        <v>0</v>
      </c>
      <c r="X148">
        <f t="shared" si="44"/>
        <v>0</v>
      </c>
      <c r="Y148">
        <f t="shared" si="45"/>
        <v>0</v>
      </c>
      <c r="Z148">
        <f t="shared" si="46"/>
        <v>0</v>
      </c>
      <c r="AB148">
        <v>144</v>
      </c>
      <c r="AC148">
        <f t="shared" si="47"/>
        <v>0</v>
      </c>
      <c r="AD148">
        <f t="shared" si="37"/>
        <v>0</v>
      </c>
    </row>
    <row r="149" spans="3:30" x14ac:dyDescent="0.25">
      <c r="C149" s="3"/>
      <c r="D149" s="31">
        <f>Simulation_output!A147</f>
        <v>1455000</v>
      </c>
      <c r="E149">
        <f>Sheet2!R146</f>
        <v>0</v>
      </c>
      <c r="F149">
        <f>Sheet2!S146</f>
        <v>0</v>
      </c>
      <c r="G149">
        <f>Sheet2!T146</f>
        <v>0</v>
      </c>
      <c r="H149" s="31">
        <f>Simulation_output!E147</f>
        <v>1</v>
      </c>
      <c r="I149" s="31">
        <f>Simulation_output!F147</f>
        <v>0</v>
      </c>
      <c r="J149" s="31">
        <f>Simulation_output!G147</f>
        <v>0</v>
      </c>
      <c r="K149" s="31">
        <f>Simulation_output!H147</f>
        <v>0</v>
      </c>
      <c r="L149">
        <v>1</v>
      </c>
      <c r="M149">
        <f t="shared" si="51"/>
        <v>0</v>
      </c>
      <c r="N149">
        <f t="shared" si="50"/>
        <v>0</v>
      </c>
      <c r="O149">
        <f t="shared" si="49"/>
        <v>0</v>
      </c>
      <c r="P149">
        <f t="shared" si="52"/>
        <v>0</v>
      </c>
      <c r="Q149">
        <f t="shared" si="48"/>
        <v>0</v>
      </c>
      <c r="R149">
        <f t="shared" si="38"/>
        <v>0</v>
      </c>
      <c r="S149">
        <f t="shared" si="39"/>
        <v>0</v>
      </c>
      <c r="T149">
        <f t="shared" si="40"/>
        <v>0</v>
      </c>
      <c r="U149">
        <f t="shared" si="41"/>
        <v>0</v>
      </c>
      <c r="V149">
        <f t="shared" si="42"/>
        <v>0</v>
      </c>
      <c r="W149">
        <f t="shared" si="43"/>
        <v>0</v>
      </c>
      <c r="X149">
        <f t="shared" si="44"/>
        <v>0</v>
      </c>
      <c r="Y149">
        <f t="shared" si="45"/>
        <v>0</v>
      </c>
      <c r="Z149">
        <f t="shared" si="46"/>
        <v>0</v>
      </c>
      <c r="AB149">
        <v>145</v>
      </c>
      <c r="AC149">
        <f t="shared" si="47"/>
        <v>0</v>
      </c>
      <c r="AD149">
        <f t="shared" si="37"/>
        <v>0</v>
      </c>
    </row>
    <row r="150" spans="3:30" x14ac:dyDescent="0.25">
      <c r="C150" s="3"/>
      <c r="D150" s="31">
        <f>Simulation_output!A148</f>
        <v>1465000</v>
      </c>
      <c r="E150">
        <f>Sheet2!R147</f>
        <v>121</v>
      </c>
      <c r="F150">
        <f>Sheet2!S147</f>
        <v>1</v>
      </c>
      <c r="G150">
        <f>Sheet2!T147</f>
        <v>0</v>
      </c>
      <c r="H150" s="31">
        <f>Simulation_output!E148</f>
        <v>1</v>
      </c>
      <c r="I150" s="31">
        <f>Simulation_output!F148</f>
        <v>0</v>
      </c>
      <c r="J150" s="31">
        <f>Simulation_output!G148</f>
        <v>0</v>
      </c>
      <c r="K150" s="31">
        <f>Simulation_output!H148</f>
        <v>0</v>
      </c>
      <c r="L150">
        <v>1</v>
      </c>
      <c r="M150">
        <f t="shared" si="51"/>
        <v>0</v>
      </c>
      <c r="N150">
        <f t="shared" si="50"/>
        <v>0</v>
      </c>
      <c r="O150">
        <f t="shared" si="49"/>
        <v>0</v>
      </c>
      <c r="P150">
        <f t="shared" si="52"/>
        <v>0</v>
      </c>
      <c r="Q150">
        <f t="shared" si="48"/>
        <v>0</v>
      </c>
      <c r="R150">
        <f t="shared" si="38"/>
        <v>0</v>
      </c>
      <c r="S150">
        <f t="shared" si="39"/>
        <v>0</v>
      </c>
      <c r="T150">
        <f t="shared" si="40"/>
        <v>0</v>
      </c>
      <c r="U150">
        <f t="shared" si="41"/>
        <v>0</v>
      </c>
      <c r="V150">
        <f t="shared" si="42"/>
        <v>0</v>
      </c>
      <c r="W150">
        <f t="shared" si="43"/>
        <v>0</v>
      </c>
      <c r="X150">
        <f t="shared" si="44"/>
        <v>0</v>
      </c>
      <c r="Y150">
        <f t="shared" si="45"/>
        <v>0</v>
      </c>
      <c r="Z150">
        <f t="shared" si="46"/>
        <v>0</v>
      </c>
      <c r="AB150">
        <v>146</v>
      </c>
      <c r="AC150">
        <f t="shared" si="47"/>
        <v>0</v>
      </c>
      <c r="AD150">
        <f t="shared" si="37"/>
        <v>0</v>
      </c>
    </row>
    <row r="151" spans="3:30" x14ac:dyDescent="0.25">
      <c r="C151" s="3"/>
      <c r="D151" s="31">
        <f>Simulation_output!A149</f>
        <v>1475000</v>
      </c>
      <c r="E151">
        <f>Sheet2!R148</f>
        <v>0</v>
      </c>
      <c r="F151">
        <f>Sheet2!S148</f>
        <v>0</v>
      </c>
      <c r="G151">
        <f>Sheet2!T148</f>
        <v>0</v>
      </c>
      <c r="H151" s="31">
        <f>Simulation_output!E149</f>
        <v>1</v>
      </c>
      <c r="I151" s="31">
        <f>Simulation_output!F149</f>
        <v>0</v>
      </c>
      <c r="J151" s="31">
        <f>Simulation_output!G149</f>
        <v>0</v>
      </c>
      <c r="K151" s="31">
        <f>Simulation_output!H149</f>
        <v>0</v>
      </c>
      <c r="L151">
        <v>1</v>
      </c>
      <c r="M151">
        <f t="shared" si="51"/>
        <v>0</v>
      </c>
      <c r="N151">
        <f t="shared" si="50"/>
        <v>0</v>
      </c>
      <c r="O151">
        <f t="shared" si="49"/>
        <v>0</v>
      </c>
      <c r="P151">
        <f t="shared" si="52"/>
        <v>0</v>
      </c>
      <c r="Q151">
        <f t="shared" si="48"/>
        <v>0</v>
      </c>
      <c r="R151">
        <f t="shared" si="38"/>
        <v>0</v>
      </c>
      <c r="S151">
        <f t="shared" si="39"/>
        <v>0</v>
      </c>
      <c r="T151">
        <f t="shared" si="40"/>
        <v>0</v>
      </c>
      <c r="U151">
        <f t="shared" si="41"/>
        <v>0</v>
      </c>
      <c r="V151">
        <f t="shared" si="42"/>
        <v>0</v>
      </c>
      <c r="W151">
        <f t="shared" si="43"/>
        <v>0</v>
      </c>
      <c r="X151">
        <f t="shared" si="44"/>
        <v>0</v>
      </c>
      <c r="Y151">
        <f t="shared" si="45"/>
        <v>0</v>
      </c>
      <c r="Z151">
        <f t="shared" si="46"/>
        <v>0</v>
      </c>
      <c r="AB151">
        <v>147</v>
      </c>
      <c r="AC151">
        <f t="shared" si="47"/>
        <v>0</v>
      </c>
      <c r="AD151">
        <f t="shared" si="37"/>
        <v>0</v>
      </c>
    </row>
    <row r="152" spans="3:30" x14ac:dyDescent="0.25">
      <c r="C152" s="3"/>
      <c r="D152" s="31">
        <f>Simulation_output!A150</f>
        <v>1485000</v>
      </c>
      <c r="E152">
        <f>Sheet2!R149</f>
        <v>1021</v>
      </c>
      <c r="F152">
        <f>Sheet2!S149</f>
        <v>1</v>
      </c>
      <c r="G152">
        <f>Sheet2!T149</f>
        <v>0</v>
      </c>
      <c r="H152" s="31">
        <f>Simulation_output!E150</f>
        <v>1</v>
      </c>
      <c r="I152" s="31">
        <f>Simulation_output!F150</f>
        <v>0</v>
      </c>
      <c r="J152" s="31">
        <f>Simulation_output!G150</f>
        <v>0</v>
      </c>
      <c r="K152" s="31">
        <f>Simulation_output!H150</f>
        <v>0</v>
      </c>
      <c r="L152">
        <v>1</v>
      </c>
      <c r="M152">
        <f t="shared" si="51"/>
        <v>0</v>
      </c>
      <c r="N152">
        <f t="shared" si="50"/>
        <v>0</v>
      </c>
      <c r="O152">
        <f t="shared" si="49"/>
        <v>0</v>
      </c>
      <c r="P152">
        <f t="shared" si="52"/>
        <v>0</v>
      </c>
      <c r="Q152">
        <f t="shared" si="48"/>
        <v>0</v>
      </c>
      <c r="R152">
        <f t="shared" si="38"/>
        <v>0</v>
      </c>
      <c r="S152">
        <f t="shared" si="39"/>
        <v>0</v>
      </c>
      <c r="T152">
        <f t="shared" si="40"/>
        <v>0</v>
      </c>
      <c r="U152">
        <f t="shared" si="41"/>
        <v>0</v>
      </c>
      <c r="V152">
        <f t="shared" si="42"/>
        <v>0</v>
      </c>
      <c r="W152">
        <f t="shared" si="43"/>
        <v>0</v>
      </c>
      <c r="X152">
        <f t="shared" si="44"/>
        <v>0</v>
      </c>
      <c r="Y152">
        <f t="shared" si="45"/>
        <v>0</v>
      </c>
      <c r="Z152">
        <f t="shared" si="46"/>
        <v>0</v>
      </c>
      <c r="AB152">
        <v>148</v>
      </c>
      <c r="AC152">
        <f t="shared" si="47"/>
        <v>0</v>
      </c>
      <c r="AD152">
        <f t="shared" si="37"/>
        <v>0</v>
      </c>
    </row>
    <row r="153" spans="3:30" x14ac:dyDescent="0.25">
      <c r="C153" s="3"/>
      <c r="D153" s="31">
        <f>Simulation_output!A151</f>
        <v>1495000</v>
      </c>
      <c r="E153">
        <f>Sheet2!R150</f>
        <v>0</v>
      </c>
      <c r="F153">
        <f>Sheet2!S150</f>
        <v>0</v>
      </c>
      <c r="G153">
        <f>Sheet2!T150</f>
        <v>0</v>
      </c>
      <c r="H153" s="31">
        <f>Simulation_output!E151</f>
        <v>1</v>
      </c>
      <c r="I153" s="31">
        <f>Simulation_output!F151</f>
        <v>0</v>
      </c>
      <c r="J153" s="31">
        <f>Simulation_output!G151</f>
        <v>0</v>
      </c>
      <c r="K153" s="31">
        <f>Simulation_output!H151</f>
        <v>0</v>
      </c>
      <c r="L153">
        <v>1</v>
      </c>
      <c r="M153">
        <f t="shared" si="51"/>
        <v>0</v>
      </c>
      <c r="N153">
        <f t="shared" si="50"/>
        <v>0</v>
      </c>
      <c r="O153">
        <f t="shared" si="49"/>
        <v>0</v>
      </c>
      <c r="P153">
        <f t="shared" si="52"/>
        <v>0</v>
      </c>
      <c r="Q153">
        <f t="shared" si="48"/>
        <v>0</v>
      </c>
      <c r="R153">
        <f t="shared" si="38"/>
        <v>0</v>
      </c>
      <c r="S153">
        <f t="shared" si="39"/>
        <v>0</v>
      </c>
      <c r="T153">
        <f t="shared" si="40"/>
        <v>0</v>
      </c>
      <c r="U153">
        <f t="shared" si="41"/>
        <v>0</v>
      </c>
      <c r="V153">
        <f t="shared" si="42"/>
        <v>0</v>
      </c>
      <c r="W153">
        <f t="shared" si="43"/>
        <v>0</v>
      </c>
      <c r="X153">
        <f t="shared" si="44"/>
        <v>0</v>
      </c>
      <c r="Y153">
        <f t="shared" si="45"/>
        <v>0</v>
      </c>
      <c r="Z153">
        <f t="shared" si="46"/>
        <v>0</v>
      </c>
      <c r="AB153">
        <v>149</v>
      </c>
      <c r="AC153">
        <f t="shared" si="47"/>
        <v>0</v>
      </c>
      <c r="AD153">
        <f t="shared" si="37"/>
        <v>0</v>
      </c>
    </row>
    <row r="154" spans="3:30" x14ac:dyDescent="0.25">
      <c r="C154" s="3"/>
      <c r="D154" s="31">
        <f>Simulation_output!A152</f>
        <v>1505000</v>
      </c>
      <c r="E154">
        <f>Sheet2!R151</f>
        <v>10021</v>
      </c>
      <c r="F154">
        <f>Sheet2!S151</f>
        <v>1</v>
      </c>
      <c r="G154">
        <f>Sheet2!T151</f>
        <v>1</v>
      </c>
      <c r="H154" s="31">
        <f>Simulation_output!E152</f>
        <v>1</v>
      </c>
      <c r="I154" s="31">
        <f>Simulation_output!F152</f>
        <v>0</v>
      </c>
      <c r="J154" s="31">
        <f>Simulation_output!G152</f>
        <v>0</v>
      </c>
      <c r="K154" s="31">
        <f>Simulation_output!H152</f>
        <v>0</v>
      </c>
      <c r="L154">
        <v>1</v>
      </c>
      <c r="M154">
        <f t="shared" si="51"/>
        <v>0</v>
      </c>
      <c r="N154">
        <f t="shared" si="50"/>
        <v>0</v>
      </c>
      <c r="O154">
        <f t="shared" si="49"/>
        <v>0</v>
      </c>
      <c r="P154">
        <f t="shared" si="52"/>
        <v>0</v>
      </c>
      <c r="Q154">
        <f t="shared" si="48"/>
        <v>0</v>
      </c>
      <c r="R154">
        <f t="shared" si="38"/>
        <v>0</v>
      </c>
      <c r="S154">
        <f t="shared" si="39"/>
        <v>0</v>
      </c>
      <c r="T154">
        <f t="shared" si="40"/>
        <v>0</v>
      </c>
      <c r="U154">
        <f t="shared" si="41"/>
        <v>0</v>
      </c>
      <c r="V154">
        <f t="shared" si="42"/>
        <v>0</v>
      </c>
      <c r="W154">
        <f t="shared" si="43"/>
        <v>0</v>
      </c>
      <c r="X154">
        <f t="shared" si="44"/>
        <v>0</v>
      </c>
      <c r="Y154">
        <f t="shared" si="45"/>
        <v>0</v>
      </c>
      <c r="Z154">
        <f t="shared" si="46"/>
        <v>0</v>
      </c>
      <c r="AB154">
        <v>150</v>
      </c>
      <c r="AC154">
        <f t="shared" si="47"/>
        <v>0</v>
      </c>
      <c r="AD154">
        <f t="shared" si="37"/>
        <v>0</v>
      </c>
    </row>
    <row r="155" spans="3:30" x14ac:dyDescent="0.25">
      <c r="C155" s="3"/>
      <c r="D155" s="31">
        <f>Simulation_output!A153</f>
        <v>1515000</v>
      </c>
      <c r="E155">
        <f>Sheet2!R152</f>
        <v>0</v>
      </c>
      <c r="F155">
        <f>Sheet2!S152</f>
        <v>0</v>
      </c>
      <c r="G155">
        <f>Sheet2!T152</f>
        <v>0</v>
      </c>
      <c r="H155" s="31">
        <f>Simulation_output!E153</f>
        <v>1</v>
      </c>
      <c r="I155" s="31">
        <f>Simulation_output!F153</f>
        <v>0</v>
      </c>
      <c r="J155" s="31">
        <f>Simulation_output!G153</f>
        <v>0</v>
      </c>
      <c r="K155" s="31">
        <f>Simulation_output!H153</f>
        <v>0</v>
      </c>
      <c r="L155">
        <v>1</v>
      </c>
      <c r="M155">
        <f t="shared" si="51"/>
        <v>0</v>
      </c>
      <c r="N155">
        <f t="shared" si="50"/>
        <v>0</v>
      </c>
      <c r="O155">
        <f t="shared" si="49"/>
        <v>0</v>
      </c>
      <c r="P155">
        <f t="shared" si="52"/>
        <v>0</v>
      </c>
      <c r="Q155">
        <f t="shared" si="48"/>
        <v>0</v>
      </c>
      <c r="R155">
        <f t="shared" si="38"/>
        <v>0</v>
      </c>
      <c r="S155">
        <f t="shared" si="39"/>
        <v>0</v>
      </c>
      <c r="T155">
        <f t="shared" si="40"/>
        <v>0</v>
      </c>
      <c r="U155">
        <f t="shared" si="41"/>
        <v>0</v>
      </c>
      <c r="V155">
        <f t="shared" si="42"/>
        <v>0</v>
      </c>
      <c r="W155">
        <f t="shared" si="43"/>
        <v>0</v>
      </c>
      <c r="X155">
        <f t="shared" si="44"/>
        <v>0</v>
      </c>
      <c r="Y155">
        <f t="shared" si="45"/>
        <v>0</v>
      </c>
      <c r="Z155">
        <f t="shared" si="46"/>
        <v>0</v>
      </c>
      <c r="AB155">
        <v>151</v>
      </c>
      <c r="AC155">
        <f t="shared" si="47"/>
        <v>0</v>
      </c>
      <c r="AD155">
        <f t="shared" si="37"/>
        <v>0</v>
      </c>
    </row>
    <row r="156" spans="3:30" x14ac:dyDescent="0.25">
      <c r="C156" s="3"/>
      <c r="D156" s="31">
        <f>Simulation_output!A154</f>
        <v>1525000</v>
      </c>
      <c r="E156">
        <f>Sheet2!R153</f>
        <v>0</v>
      </c>
      <c r="F156">
        <f>Sheet2!S153</f>
        <v>1</v>
      </c>
      <c r="G156">
        <f>Sheet2!T153</f>
        <v>0</v>
      </c>
      <c r="H156" s="31">
        <f>Simulation_output!E154</f>
        <v>1</v>
      </c>
      <c r="I156" s="31">
        <f>Simulation_output!F154</f>
        <v>0</v>
      </c>
      <c r="J156" s="31">
        <f>Simulation_output!G154</f>
        <v>0</v>
      </c>
      <c r="K156" s="31">
        <f>Simulation_output!H154</f>
        <v>0</v>
      </c>
      <c r="L156">
        <v>1</v>
      </c>
      <c r="M156">
        <f t="shared" si="51"/>
        <v>0</v>
      </c>
      <c r="N156">
        <f t="shared" si="50"/>
        <v>0</v>
      </c>
      <c r="O156">
        <f t="shared" si="49"/>
        <v>0</v>
      </c>
      <c r="P156">
        <f t="shared" si="52"/>
        <v>0</v>
      </c>
      <c r="Q156">
        <f t="shared" si="48"/>
        <v>0</v>
      </c>
      <c r="R156">
        <f t="shared" si="38"/>
        <v>0</v>
      </c>
      <c r="S156">
        <f t="shared" si="39"/>
        <v>0</v>
      </c>
      <c r="T156">
        <f t="shared" si="40"/>
        <v>0</v>
      </c>
      <c r="U156">
        <f t="shared" si="41"/>
        <v>0</v>
      </c>
      <c r="V156">
        <f t="shared" si="42"/>
        <v>0</v>
      </c>
      <c r="W156">
        <f t="shared" si="43"/>
        <v>0</v>
      </c>
      <c r="X156">
        <f t="shared" si="44"/>
        <v>0</v>
      </c>
      <c r="Y156">
        <f t="shared" si="45"/>
        <v>0</v>
      </c>
      <c r="Z156">
        <f t="shared" si="46"/>
        <v>0</v>
      </c>
      <c r="AB156">
        <v>152</v>
      </c>
      <c r="AC156">
        <f t="shared" si="47"/>
        <v>0</v>
      </c>
      <c r="AD156">
        <f t="shared" si="37"/>
        <v>0</v>
      </c>
    </row>
    <row r="157" spans="3:30" x14ac:dyDescent="0.25">
      <c r="C157" s="3"/>
      <c r="D157" s="31">
        <f>Simulation_output!A155</f>
        <v>1535000</v>
      </c>
      <c r="E157">
        <f>Sheet2!R154</f>
        <v>0</v>
      </c>
      <c r="F157">
        <f>Sheet2!S154</f>
        <v>0</v>
      </c>
      <c r="G157">
        <f>Sheet2!T154</f>
        <v>0</v>
      </c>
      <c r="H157" s="31">
        <f>Simulation_output!E155</f>
        <v>1</v>
      </c>
      <c r="I157" s="31">
        <f>Simulation_output!F155</f>
        <v>0</v>
      </c>
      <c r="J157" s="31">
        <f>Simulation_output!G155</f>
        <v>0</v>
      </c>
      <c r="K157" s="31">
        <f>Simulation_output!H155</f>
        <v>0</v>
      </c>
      <c r="L157">
        <v>1</v>
      </c>
      <c r="M157">
        <f t="shared" si="51"/>
        <v>0</v>
      </c>
      <c r="N157">
        <f t="shared" si="50"/>
        <v>0</v>
      </c>
      <c r="O157">
        <f t="shared" si="49"/>
        <v>0</v>
      </c>
      <c r="P157">
        <f t="shared" si="52"/>
        <v>0</v>
      </c>
      <c r="Q157">
        <f t="shared" si="48"/>
        <v>0</v>
      </c>
      <c r="R157">
        <f t="shared" si="38"/>
        <v>0</v>
      </c>
      <c r="S157">
        <f t="shared" si="39"/>
        <v>0</v>
      </c>
      <c r="T157">
        <f t="shared" si="40"/>
        <v>0</v>
      </c>
      <c r="U157">
        <f t="shared" si="41"/>
        <v>0</v>
      </c>
      <c r="V157">
        <f t="shared" si="42"/>
        <v>0</v>
      </c>
      <c r="W157">
        <f t="shared" si="43"/>
        <v>0</v>
      </c>
      <c r="X157">
        <f t="shared" si="44"/>
        <v>0</v>
      </c>
      <c r="Y157">
        <f t="shared" si="45"/>
        <v>0</v>
      </c>
      <c r="Z157">
        <f t="shared" si="46"/>
        <v>0</v>
      </c>
      <c r="AB157">
        <v>153</v>
      </c>
      <c r="AC157">
        <f t="shared" si="47"/>
        <v>0</v>
      </c>
      <c r="AD157">
        <f t="shared" si="37"/>
        <v>0</v>
      </c>
    </row>
    <row r="158" spans="3:30" x14ac:dyDescent="0.25">
      <c r="C158" s="3"/>
      <c r="D158" s="31">
        <f>Simulation_output!A156</f>
        <v>1545000</v>
      </c>
      <c r="E158">
        <f>Sheet2!R155</f>
        <v>5</v>
      </c>
      <c r="F158">
        <f>Sheet2!S155</f>
        <v>1</v>
      </c>
      <c r="G158">
        <f>Sheet2!T155</f>
        <v>0</v>
      </c>
      <c r="H158" s="31">
        <f>Simulation_output!E156</f>
        <v>1</v>
      </c>
      <c r="I158" s="31">
        <f>Simulation_output!F156</f>
        <v>0</v>
      </c>
      <c r="J158" s="31">
        <f>Simulation_output!G156</f>
        <v>0</v>
      </c>
      <c r="K158" s="31">
        <f>Simulation_output!H156</f>
        <v>0</v>
      </c>
      <c r="L158">
        <v>1</v>
      </c>
      <c r="M158">
        <f t="shared" si="51"/>
        <v>0</v>
      </c>
      <c r="N158">
        <f t="shared" si="50"/>
        <v>0</v>
      </c>
      <c r="O158">
        <f t="shared" si="49"/>
        <v>0</v>
      </c>
      <c r="P158">
        <f t="shared" si="52"/>
        <v>0</v>
      </c>
      <c r="Q158">
        <f t="shared" si="48"/>
        <v>0</v>
      </c>
      <c r="R158">
        <f t="shared" si="38"/>
        <v>0</v>
      </c>
      <c r="S158">
        <f t="shared" si="39"/>
        <v>0</v>
      </c>
      <c r="T158">
        <f t="shared" si="40"/>
        <v>0</v>
      </c>
      <c r="U158">
        <f t="shared" si="41"/>
        <v>0</v>
      </c>
      <c r="V158">
        <f t="shared" si="42"/>
        <v>0</v>
      </c>
      <c r="W158">
        <f t="shared" si="43"/>
        <v>0</v>
      </c>
      <c r="X158">
        <f t="shared" si="44"/>
        <v>0</v>
      </c>
      <c r="Y158">
        <f t="shared" si="45"/>
        <v>0</v>
      </c>
      <c r="Z158">
        <f t="shared" si="46"/>
        <v>0</v>
      </c>
      <c r="AB158">
        <v>154</v>
      </c>
      <c r="AC158">
        <f t="shared" si="47"/>
        <v>0</v>
      </c>
      <c r="AD158">
        <f t="shared" si="37"/>
        <v>0</v>
      </c>
    </row>
    <row r="159" spans="3:30" x14ac:dyDescent="0.25">
      <c r="C159" s="3"/>
      <c r="D159" s="31">
        <f>Simulation_output!A157</f>
        <v>1555000</v>
      </c>
      <c r="E159">
        <f>Sheet2!R156</f>
        <v>0</v>
      </c>
      <c r="F159">
        <f>Sheet2!S156</f>
        <v>0</v>
      </c>
      <c r="G159">
        <f>Sheet2!T156</f>
        <v>0</v>
      </c>
      <c r="H159" s="31">
        <f>Simulation_output!E157</f>
        <v>1</v>
      </c>
      <c r="I159" s="31">
        <f>Simulation_output!F157</f>
        <v>0</v>
      </c>
      <c r="J159" s="31">
        <f>Simulation_output!G157</f>
        <v>0</v>
      </c>
      <c r="K159" s="31">
        <f>Simulation_output!H157</f>
        <v>0</v>
      </c>
      <c r="L159">
        <v>1</v>
      </c>
      <c r="M159">
        <f t="shared" si="51"/>
        <v>0</v>
      </c>
      <c r="N159">
        <f t="shared" si="50"/>
        <v>0</v>
      </c>
      <c r="O159">
        <f t="shared" si="49"/>
        <v>0</v>
      </c>
      <c r="P159">
        <f t="shared" si="52"/>
        <v>0</v>
      </c>
      <c r="Q159">
        <f t="shared" si="48"/>
        <v>0</v>
      </c>
      <c r="R159">
        <f t="shared" si="38"/>
        <v>0</v>
      </c>
      <c r="S159">
        <f t="shared" si="39"/>
        <v>0</v>
      </c>
      <c r="T159">
        <f t="shared" si="40"/>
        <v>0</v>
      </c>
      <c r="U159">
        <f t="shared" si="41"/>
        <v>0</v>
      </c>
      <c r="V159">
        <f t="shared" si="42"/>
        <v>0</v>
      </c>
      <c r="W159">
        <f t="shared" si="43"/>
        <v>0</v>
      </c>
      <c r="X159">
        <f t="shared" si="44"/>
        <v>0</v>
      </c>
      <c r="Y159">
        <f t="shared" si="45"/>
        <v>0</v>
      </c>
      <c r="Z159">
        <f t="shared" si="46"/>
        <v>0</v>
      </c>
      <c r="AB159">
        <v>155</v>
      </c>
      <c r="AC159">
        <f t="shared" si="47"/>
        <v>0</v>
      </c>
      <c r="AD159">
        <f t="shared" si="37"/>
        <v>0</v>
      </c>
    </row>
    <row r="160" spans="3:30" x14ac:dyDescent="0.25">
      <c r="C160" s="3"/>
      <c r="D160" s="31">
        <f>Simulation_output!A158</f>
        <v>1565000</v>
      </c>
      <c r="E160">
        <f>Sheet2!R157</f>
        <v>22</v>
      </c>
      <c r="F160">
        <f>Sheet2!S157</f>
        <v>1</v>
      </c>
      <c r="G160">
        <f>Sheet2!T157</f>
        <v>0</v>
      </c>
      <c r="H160" s="31">
        <f>Simulation_output!E158</f>
        <v>1</v>
      </c>
      <c r="I160" s="31">
        <f>Simulation_output!F158</f>
        <v>0</v>
      </c>
      <c r="J160" s="31">
        <f>Simulation_output!G158</f>
        <v>0</v>
      </c>
      <c r="K160" s="31">
        <f>Simulation_output!H158</f>
        <v>0</v>
      </c>
      <c r="L160">
        <v>1</v>
      </c>
      <c r="M160">
        <f t="shared" si="51"/>
        <v>0</v>
      </c>
      <c r="N160">
        <f t="shared" si="50"/>
        <v>0</v>
      </c>
      <c r="O160">
        <f t="shared" si="49"/>
        <v>0</v>
      </c>
      <c r="P160">
        <f t="shared" si="52"/>
        <v>0</v>
      </c>
      <c r="Q160">
        <f t="shared" si="48"/>
        <v>0</v>
      </c>
      <c r="R160">
        <f t="shared" si="38"/>
        <v>0</v>
      </c>
      <c r="S160">
        <f t="shared" si="39"/>
        <v>0</v>
      </c>
      <c r="T160">
        <f t="shared" si="40"/>
        <v>0</v>
      </c>
      <c r="U160">
        <f t="shared" si="41"/>
        <v>0</v>
      </c>
      <c r="V160">
        <f t="shared" si="42"/>
        <v>0</v>
      </c>
      <c r="W160">
        <f t="shared" si="43"/>
        <v>0</v>
      </c>
      <c r="X160">
        <f t="shared" si="44"/>
        <v>0</v>
      </c>
      <c r="Y160">
        <f t="shared" si="45"/>
        <v>0</v>
      </c>
      <c r="Z160">
        <f t="shared" si="46"/>
        <v>0</v>
      </c>
      <c r="AB160">
        <v>156</v>
      </c>
      <c r="AC160">
        <f t="shared" si="47"/>
        <v>0</v>
      </c>
      <c r="AD160">
        <f t="shared" si="37"/>
        <v>0</v>
      </c>
    </row>
    <row r="161" spans="3:30" x14ac:dyDescent="0.25">
      <c r="C161" s="3"/>
      <c r="D161" s="31">
        <f>Simulation_output!A159</f>
        <v>1575000</v>
      </c>
      <c r="E161">
        <f>Sheet2!R158</f>
        <v>0</v>
      </c>
      <c r="F161">
        <f>Sheet2!S158</f>
        <v>0</v>
      </c>
      <c r="G161">
        <f>Sheet2!T158</f>
        <v>0</v>
      </c>
      <c r="H161" s="31">
        <f>Simulation_output!E159</f>
        <v>1</v>
      </c>
      <c r="I161" s="31">
        <f>Simulation_output!F159</f>
        <v>0</v>
      </c>
      <c r="J161" s="31">
        <f>Simulation_output!G159</f>
        <v>0</v>
      </c>
      <c r="K161" s="31">
        <f>Simulation_output!H159</f>
        <v>0</v>
      </c>
      <c r="L161">
        <v>1</v>
      </c>
      <c r="M161">
        <f t="shared" si="51"/>
        <v>0</v>
      </c>
      <c r="N161">
        <f t="shared" si="50"/>
        <v>0</v>
      </c>
      <c r="O161">
        <f t="shared" si="49"/>
        <v>0</v>
      </c>
      <c r="P161">
        <f t="shared" si="52"/>
        <v>0</v>
      </c>
      <c r="Q161">
        <f t="shared" si="48"/>
        <v>0</v>
      </c>
      <c r="R161">
        <f t="shared" si="38"/>
        <v>0</v>
      </c>
      <c r="S161">
        <f t="shared" si="39"/>
        <v>0</v>
      </c>
      <c r="T161">
        <f t="shared" si="40"/>
        <v>0</v>
      </c>
      <c r="U161">
        <f t="shared" si="41"/>
        <v>0</v>
      </c>
      <c r="V161">
        <f t="shared" si="42"/>
        <v>0</v>
      </c>
      <c r="W161">
        <f t="shared" si="43"/>
        <v>0</v>
      </c>
      <c r="X161">
        <f t="shared" si="44"/>
        <v>0</v>
      </c>
      <c r="Y161">
        <f t="shared" si="45"/>
        <v>0</v>
      </c>
      <c r="Z161">
        <f t="shared" si="46"/>
        <v>0</v>
      </c>
      <c r="AB161">
        <v>157</v>
      </c>
      <c r="AC161">
        <f t="shared" si="47"/>
        <v>0</v>
      </c>
      <c r="AD161">
        <f t="shared" si="37"/>
        <v>0</v>
      </c>
    </row>
    <row r="162" spans="3:30" x14ac:dyDescent="0.25">
      <c r="C162" s="3"/>
      <c r="D162" s="31">
        <f>Simulation_output!A160</f>
        <v>1585000</v>
      </c>
      <c r="E162">
        <f>Sheet2!R159</f>
        <v>122</v>
      </c>
      <c r="F162">
        <f>Sheet2!S159</f>
        <v>1</v>
      </c>
      <c r="G162">
        <f>Sheet2!T159</f>
        <v>0</v>
      </c>
      <c r="H162" s="31">
        <f>Simulation_output!E160</f>
        <v>1</v>
      </c>
      <c r="I162" s="31">
        <f>Simulation_output!F160</f>
        <v>0</v>
      </c>
      <c r="J162" s="31">
        <f>Simulation_output!G160</f>
        <v>0</v>
      </c>
      <c r="K162" s="31">
        <f>Simulation_output!H160</f>
        <v>0</v>
      </c>
      <c r="L162">
        <v>1</v>
      </c>
      <c r="M162">
        <f t="shared" si="51"/>
        <v>0</v>
      </c>
      <c r="N162">
        <f t="shared" si="50"/>
        <v>0</v>
      </c>
      <c r="O162">
        <f t="shared" si="49"/>
        <v>0</v>
      </c>
      <c r="P162">
        <f t="shared" si="52"/>
        <v>0</v>
      </c>
      <c r="Q162">
        <f t="shared" si="48"/>
        <v>0</v>
      </c>
      <c r="R162">
        <f t="shared" si="38"/>
        <v>0</v>
      </c>
      <c r="S162">
        <f t="shared" si="39"/>
        <v>0</v>
      </c>
      <c r="T162">
        <f t="shared" si="40"/>
        <v>0</v>
      </c>
      <c r="U162">
        <f t="shared" si="41"/>
        <v>0</v>
      </c>
      <c r="V162">
        <f t="shared" si="42"/>
        <v>0</v>
      </c>
      <c r="W162">
        <f t="shared" si="43"/>
        <v>0</v>
      </c>
      <c r="X162">
        <f t="shared" si="44"/>
        <v>0</v>
      </c>
      <c r="Y162">
        <f t="shared" si="45"/>
        <v>0</v>
      </c>
      <c r="Z162">
        <f t="shared" si="46"/>
        <v>0</v>
      </c>
      <c r="AB162">
        <v>158</v>
      </c>
      <c r="AC162">
        <f t="shared" si="47"/>
        <v>0</v>
      </c>
      <c r="AD162">
        <f t="shared" si="37"/>
        <v>0</v>
      </c>
    </row>
    <row r="163" spans="3:30" x14ac:dyDescent="0.25">
      <c r="C163" s="3"/>
      <c r="D163" s="31">
        <f>Simulation_output!A161</f>
        <v>1595000</v>
      </c>
      <c r="E163">
        <f>Sheet2!R160</f>
        <v>0</v>
      </c>
      <c r="F163">
        <f>Sheet2!S160</f>
        <v>0</v>
      </c>
      <c r="G163">
        <f>Sheet2!T160</f>
        <v>0</v>
      </c>
      <c r="H163" s="31">
        <f>Simulation_output!E161</f>
        <v>1</v>
      </c>
      <c r="I163" s="31">
        <f>Simulation_output!F161</f>
        <v>0</v>
      </c>
      <c r="J163" s="31">
        <f>Simulation_output!G161</f>
        <v>0</v>
      </c>
      <c r="K163" s="31">
        <f>Simulation_output!H161</f>
        <v>0</v>
      </c>
      <c r="L163">
        <v>1</v>
      </c>
      <c r="M163">
        <f t="shared" si="51"/>
        <v>0</v>
      </c>
      <c r="N163">
        <f t="shared" si="50"/>
        <v>0</v>
      </c>
      <c r="O163">
        <f t="shared" si="49"/>
        <v>0</v>
      </c>
      <c r="P163">
        <f t="shared" si="52"/>
        <v>0</v>
      </c>
      <c r="Q163">
        <f t="shared" si="48"/>
        <v>0</v>
      </c>
      <c r="R163">
        <f t="shared" si="38"/>
        <v>0</v>
      </c>
      <c r="S163">
        <f t="shared" si="39"/>
        <v>0</v>
      </c>
      <c r="T163">
        <f t="shared" si="40"/>
        <v>0</v>
      </c>
      <c r="U163">
        <f t="shared" si="41"/>
        <v>0</v>
      </c>
      <c r="V163">
        <f t="shared" si="42"/>
        <v>0</v>
      </c>
      <c r="W163">
        <f t="shared" si="43"/>
        <v>0</v>
      </c>
      <c r="X163">
        <f t="shared" si="44"/>
        <v>0</v>
      </c>
      <c r="Y163">
        <f t="shared" si="45"/>
        <v>0</v>
      </c>
      <c r="Z163">
        <f t="shared" si="46"/>
        <v>0</v>
      </c>
      <c r="AB163">
        <v>159</v>
      </c>
      <c r="AC163">
        <f t="shared" si="47"/>
        <v>0</v>
      </c>
      <c r="AD163">
        <f t="shared" si="37"/>
        <v>0</v>
      </c>
    </row>
    <row r="164" spans="3:30" x14ac:dyDescent="0.25">
      <c r="C164" s="3"/>
      <c r="D164" s="31">
        <f>Simulation_output!A162</f>
        <v>1605000</v>
      </c>
      <c r="E164">
        <f>Sheet2!R161</f>
        <v>1022</v>
      </c>
      <c r="F164">
        <f>Sheet2!S161</f>
        <v>1</v>
      </c>
      <c r="G164">
        <f>Sheet2!T161</f>
        <v>0</v>
      </c>
      <c r="H164" s="31">
        <f>Simulation_output!E162</f>
        <v>1</v>
      </c>
      <c r="I164" s="31">
        <f>Simulation_output!F162</f>
        <v>0</v>
      </c>
      <c r="J164" s="31">
        <f>Simulation_output!G162</f>
        <v>0</v>
      </c>
      <c r="K164" s="31">
        <f>Simulation_output!H162</f>
        <v>0</v>
      </c>
      <c r="L164">
        <v>1</v>
      </c>
      <c r="M164">
        <f t="shared" si="51"/>
        <v>0</v>
      </c>
      <c r="N164">
        <f t="shared" si="50"/>
        <v>0</v>
      </c>
      <c r="O164">
        <f t="shared" si="49"/>
        <v>0</v>
      </c>
      <c r="P164">
        <f t="shared" si="52"/>
        <v>0</v>
      </c>
      <c r="Q164">
        <f t="shared" si="48"/>
        <v>0</v>
      </c>
      <c r="R164">
        <f t="shared" si="38"/>
        <v>0</v>
      </c>
      <c r="S164">
        <f t="shared" si="39"/>
        <v>0</v>
      </c>
      <c r="T164">
        <f t="shared" si="40"/>
        <v>0</v>
      </c>
      <c r="U164">
        <f t="shared" si="41"/>
        <v>0</v>
      </c>
      <c r="V164">
        <f t="shared" si="42"/>
        <v>0</v>
      </c>
      <c r="W164">
        <f t="shared" si="43"/>
        <v>0</v>
      </c>
      <c r="X164">
        <f t="shared" si="44"/>
        <v>0</v>
      </c>
      <c r="Y164">
        <f t="shared" si="45"/>
        <v>0</v>
      </c>
      <c r="Z164">
        <f t="shared" si="46"/>
        <v>0</v>
      </c>
      <c r="AB164">
        <v>160</v>
      </c>
      <c r="AC164">
        <f t="shared" si="47"/>
        <v>0</v>
      </c>
      <c r="AD164">
        <f t="shared" si="37"/>
        <v>0</v>
      </c>
    </row>
    <row r="165" spans="3:30" x14ac:dyDescent="0.25">
      <c r="C165" s="3"/>
      <c r="D165" s="31">
        <f>Simulation_output!A163</f>
        <v>1615000</v>
      </c>
      <c r="E165">
        <f>Sheet2!R162</f>
        <v>0</v>
      </c>
      <c r="F165">
        <f>Sheet2!S162</f>
        <v>0</v>
      </c>
      <c r="G165">
        <f>Sheet2!T162</f>
        <v>0</v>
      </c>
      <c r="H165" s="31">
        <f>Simulation_output!E163</f>
        <v>1</v>
      </c>
      <c r="I165" s="31">
        <f>Simulation_output!F163</f>
        <v>0</v>
      </c>
      <c r="J165" s="31">
        <f>Simulation_output!G163</f>
        <v>0</v>
      </c>
      <c r="K165" s="31">
        <f>Simulation_output!H163</f>
        <v>0</v>
      </c>
      <c r="L165">
        <v>1</v>
      </c>
      <c r="M165">
        <f t="shared" si="51"/>
        <v>0</v>
      </c>
      <c r="N165">
        <f t="shared" si="50"/>
        <v>0</v>
      </c>
      <c r="O165">
        <f t="shared" si="49"/>
        <v>0</v>
      </c>
      <c r="P165">
        <f t="shared" si="52"/>
        <v>0</v>
      </c>
      <c r="Q165">
        <f t="shared" si="48"/>
        <v>0</v>
      </c>
      <c r="R165">
        <f t="shared" si="38"/>
        <v>0</v>
      </c>
      <c r="S165">
        <f t="shared" si="39"/>
        <v>0</v>
      </c>
      <c r="T165">
        <f t="shared" si="40"/>
        <v>0</v>
      </c>
      <c r="U165">
        <f t="shared" si="41"/>
        <v>0</v>
      </c>
      <c r="V165">
        <f t="shared" si="42"/>
        <v>0</v>
      </c>
      <c r="W165">
        <f t="shared" si="43"/>
        <v>0</v>
      </c>
      <c r="X165">
        <f t="shared" si="44"/>
        <v>0</v>
      </c>
      <c r="Y165">
        <f t="shared" si="45"/>
        <v>0</v>
      </c>
      <c r="Z165">
        <f t="shared" si="46"/>
        <v>0</v>
      </c>
      <c r="AB165">
        <v>161</v>
      </c>
      <c r="AC165">
        <f t="shared" si="47"/>
        <v>0</v>
      </c>
      <c r="AD165">
        <f t="shared" si="37"/>
        <v>0</v>
      </c>
    </row>
    <row r="166" spans="3:30" x14ac:dyDescent="0.25">
      <c r="C166" s="3"/>
      <c r="D166" s="31">
        <f>Simulation_output!A164</f>
        <v>1625000</v>
      </c>
      <c r="E166">
        <f>Sheet2!R163</f>
        <v>10022</v>
      </c>
      <c r="F166">
        <f>Sheet2!S163</f>
        <v>1</v>
      </c>
      <c r="G166">
        <f>Sheet2!T163</f>
        <v>1</v>
      </c>
      <c r="H166" s="31">
        <f>Simulation_output!E164</f>
        <v>1</v>
      </c>
      <c r="I166" s="31">
        <f>Simulation_output!F164</f>
        <v>0</v>
      </c>
      <c r="J166" s="31">
        <f>Simulation_output!G164</f>
        <v>0</v>
      </c>
      <c r="K166" s="31">
        <f>Simulation_output!H164</f>
        <v>0</v>
      </c>
      <c r="L166">
        <v>1</v>
      </c>
      <c r="M166">
        <f t="shared" si="51"/>
        <v>0</v>
      </c>
      <c r="N166">
        <f t="shared" si="50"/>
        <v>0</v>
      </c>
      <c r="O166">
        <f t="shared" si="49"/>
        <v>0</v>
      </c>
      <c r="P166">
        <f t="shared" si="52"/>
        <v>0</v>
      </c>
      <c r="Q166">
        <f t="shared" si="48"/>
        <v>0</v>
      </c>
      <c r="R166">
        <f t="shared" si="38"/>
        <v>0</v>
      </c>
      <c r="S166">
        <f t="shared" si="39"/>
        <v>0</v>
      </c>
      <c r="T166">
        <f t="shared" si="40"/>
        <v>0</v>
      </c>
      <c r="U166">
        <f t="shared" si="41"/>
        <v>0</v>
      </c>
      <c r="V166">
        <f t="shared" si="42"/>
        <v>0</v>
      </c>
      <c r="W166">
        <f t="shared" si="43"/>
        <v>0</v>
      </c>
      <c r="X166">
        <f t="shared" si="44"/>
        <v>0</v>
      </c>
      <c r="Y166">
        <f t="shared" si="45"/>
        <v>0</v>
      </c>
      <c r="Z166">
        <f t="shared" si="46"/>
        <v>0</v>
      </c>
      <c r="AB166">
        <v>162</v>
      </c>
      <c r="AC166">
        <f t="shared" si="47"/>
        <v>0</v>
      </c>
      <c r="AD166">
        <f t="shared" si="37"/>
        <v>0</v>
      </c>
    </row>
    <row r="167" spans="3:30" x14ac:dyDescent="0.25">
      <c r="C167" s="3"/>
      <c r="D167" s="31">
        <f>Simulation_output!A165</f>
        <v>1635000</v>
      </c>
      <c r="E167">
        <f>Sheet2!R164</f>
        <v>0</v>
      </c>
      <c r="F167">
        <f>Sheet2!S164</f>
        <v>0</v>
      </c>
      <c r="G167">
        <f>Sheet2!T164</f>
        <v>0</v>
      </c>
      <c r="H167" s="31">
        <f>Simulation_output!E165</f>
        <v>1</v>
      </c>
      <c r="I167" s="31">
        <f>Simulation_output!F165</f>
        <v>0</v>
      </c>
      <c r="J167" s="31">
        <f>Simulation_output!G165</f>
        <v>0</v>
      </c>
      <c r="K167" s="31">
        <f>Simulation_output!H165</f>
        <v>0</v>
      </c>
      <c r="L167">
        <v>1</v>
      </c>
      <c r="M167">
        <f t="shared" si="51"/>
        <v>0</v>
      </c>
      <c r="N167">
        <f t="shared" si="50"/>
        <v>0</v>
      </c>
      <c r="O167">
        <f t="shared" si="49"/>
        <v>0</v>
      </c>
      <c r="P167">
        <f t="shared" si="52"/>
        <v>0</v>
      </c>
      <c r="Q167">
        <f t="shared" si="48"/>
        <v>0</v>
      </c>
      <c r="R167">
        <f t="shared" si="38"/>
        <v>0</v>
      </c>
      <c r="S167">
        <f t="shared" si="39"/>
        <v>0</v>
      </c>
      <c r="T167">
        <f t="shared" si="40"/>
        <v>0</v>
      </c>
      <c r="U167">
        <f t="shared" si="41"/>
        <v>0</v>
      </c>
      <c r="V167">
        <f t="shared" si="42"/>
        <v>0</v>
      </c>
      <c r="W167">
        <f t="shared" si="43"/>
        <v>0</v>
      </c>
      <c r="X167">
        <f t="shared" si="44"/>
        <v>0</v>
      </c>
      <c r="Y167">
        <f t="shared" si="45"/>
        <v>0</v>
      </c>
      <c r="Z167">
        <f t="shared" si="46"/>
        <v>0</v>
      </c>
      <c r="AB167">
        <v>163</v>
      </c>
      <c r="AC167">
        <f t="shared" si="47"/>
        <v>0</v>
      </c>
      <c r="AD167">
        <f t="shared" si="37"/>
        <v>0</v>
      </c>
    </row>
    <row r="168" spans="3:30" x14ac:dyDescent="0.25">
      <c r="C168" s="3"/>
      <c r="D168" s="31">
        <f>Simulation_output!A166</f>
        <v>1645000</v>
      </c>
      <c r="E168">
        <f>Sheet2!R165</f>
        <v>0</v>
      </c>
      <c r="F168">
        <f>Sheet2!S165</f>
        <v>1</v>
      </c>
      <c r="G168">
        <f>Sheet2!T165</f>
        <v>0</v>
      </c>
      <c r="H168" s="31">
        <f>Simulation_output!E166</f>
        <v>1</v>
      </c>
      <c r="I168" s="31">
        <f>Simulation_output!F166</f>
        <v>0</v>
      </c>
      <c r="J168" s="31">
        <f>Simulation_output!G166</f>
        <v>0</v>
      </c>
      <c r="K168" s="31">
        <f>Simulation_output!H166</f>
        <v>0</v>
      </c>
      <c r="L168">
        <v>1</v>
      </c>
      <c r="M168">
        <f t="shared" si="51"/>
        <v>0</v>
      </c>
      <c r="N168">
        <f t="shared" si="50"/>
        <v>0</v>
      </c>
      <c r="O168">
        <f t="shared" si="49"/>
        <v>0</v>
      </c>
      <c r="P168">
        <f t="shared" si="52"/>
        <v>0</v>
      </c>
      <c r="Q168">
        <f t="shared" si="48"/>
        <v>0</v>
      </c>
      <c r="R168">
        <f t="shared" si="38"/>
        <v>0</v>
      </c>
      <c r="S168">
        <f t="shared" si="39"/>
        <v>0</v>
      </c>
      <c r="T168">
        <f t="shared" si="40"/>
        <v>0</v>
      </c>
      <c r="U168">
        <f t="shared" si="41"/>
        <v>0</v>
      </c>
      <c r="V168">
        <f t="shared" si="42"/>
        <v>0</v>
      </c>
      <c r="W168">
        <f t="shared" si="43"/>
        <v>0</v>
      </c>
      <c r="X168">
        <f t="shared" si="44"/>
        <v>0</v>
      </c>
      <c r="Y168">
        <f t="shared" si="45"/>
        <v>0</v>
      </c>
      <c r="Z168">
        <f t="shared" si="46"/>
        <v>0</v>
      </c>
      <c r="AB168">
        <v>164</v>
      </c>
      <c r="AC168">
        <f t="shared" si="47"/>
        <v>0</v>
      </c>
      <c r="AD168">
        <f t="shared" si="37"/>
        <v>0</v>
      </c>
    </row>
    <row r="169" spans="3:30" x14ac:dyDescent="0.25">
      <c r="C169" s="3"/>
      <c r="D169" s="31">
        <f>Simulation_output!A167</f>
        <v>1655000</v>
      </c>
      <c r="E169">
        <f>Sheet2!R166</f>
        <v>0</v>
      </c>
      <c r="F169">
        <f>Sheet2!S166</f>
        <v>0</v>
      </c>
      <c r="G169">
        <f>Sheet2!T166</f>
        <v>0</v>
      </c>
      <c r="H169" s="31">
        <f>Simulation_output!E167</f>
        <v>1</v>
      </c>
      <c r="I169" s="31">
        <f>Simulation_output!F167</f>
        <v>0</v>
      </c>
      <c r="J169" s="31">
        <f>Simulation_output!G167</f>
        <v>0</v>
      </c>
      <c r="K169" s="31">
        <f>Simulation_output!H167</f>
        <v>0</v>
      </c>
      <c r="L169">
        <v>1</v>
      </c>
      <c r="M169">
        <f t="shared" si="51"/>
        <v>0</v>
      </c>
      <c r="N169">
        <f t="shared" si="50"/>
        <v>0</v>
      </c>
      <c r="O169">
        <f t="shared" si="49"/>
        <v>0</v>
      </c>
      <c r="P169">
        <f t="shared" si="52"/>
        <v>0</v>
      </c>
      <c r="Q169">
        <f t="shared" si="48"/>
        <v>0</v>
      </c>
      <c r="R169">
        <f t="shared" si="38"/>
        <v>0</v>
      </c>
      <c r="S169">
        <f t="shared" si="39"/>
        <v>0</v>
      </c>
      <c r="T169">
        <f t="shared" si="40"/>
        <v>0</v>
      </c>
      <c r="U169">
        <f t="shared" si="41"/>
        <v>0</v>
      </c>
      <c r="V169">
        <f t="shared" si="42"/>
        <v>0</v>
      </c>
      <c r="W169">
        <f t="shared" si="43"/>
        <v>0</v>
      </c>
      <c r="X169">
        <f t="shared" si="44"/>
        <v>0</v>
      </c>
      <c r="Y169">
        <f t="shared" si="45"/>
        <v>0</v>
      </c>
      <c r="Z169">
        <f t="shared" si="46"/>
        <v>0</v>
      </c>
      <c r="AB169">
        <v>165</v>
      </c>
      <c r="AC169">
        <f t="shared" si="47"/>
        <v>0</v>
      </c>
      <c r="AD169">
        <f t="shared" si="37"/>
        <v>0</v>
      </c>
    </row>
    <row r="170" spans="3:30" x14ac:dyDescent="0.25">
      <c r="C170" s="3"/>
      <c r="D170" s="31">
        <f>Simulation_output!A168</f>
        <v>1665000</v>
      </c>
      <c r="E170">
        <f>Sheet2!R167</f>
        <v>5</v>
      </c>
      <c r="F170">
        <f>Sheet2!S167</f>
        <v>1</v>
      </c>
      <c r="G170">
        <f>Sheet2!T167</f>
        <v>0</v>
      </c>
      <c r="H170" s="31">
        <f>Simulation_output!E168</f>
        <v>1</v>
      </c>
      <c r="I170" s="31">
        <f>Simulation_output!F168</f>
        <v>0</v>
      </c>
      <c r="J170" s="31">
        <f>Simulation_output!G168</f>
        <v>0</v>
      </c>
      <c r="K170" s="31">
        <f>Simulation_output!H168</f>
        <v>0</v>
      </c>
      <c r="L170">
        <v>1</v>
      </c>
      <c r="M170">
        <f t="shared" si="51"/>
        <v>0</v>
      </c>
      <c r="N170">
        <f t="shared" si="50"/>
        <v>0</v>
      </c>
      <c r="O170">
        <f t="shared" si="49"/>
        <v>0</v>
      </c>
      <c r="P170">
        <f t="shared" si="52"/>
        <v>0</v>
      </c>
      <c r="Q170">
        <f t="shared" si="48"/>
        <v>0</v>
      </c>
      <c r="R170">
        <f t="shared" si="38"/>
        <v>0</v>
      </c>
      <c r="S170">
        <f t="shared" si="39"/>
        <v>0</v>
      </c>
      <c r="T170">
        <f t="shared" si="40"/>
        <v>0</v>
      </c>
      <c r="U170">
        <f t="shared" si="41"/>
        <v>0</v>
      </c>
      <c r="V170">
        <f t="shared" si="42"/>
        <v>0</v>
      </c>
      <c r="W170">
        <f t="shared" si="43"/>
        <v>0</v>
      </c>
      <c r="X170">
        <f t="shared" si="44"/>
        <v>0</v>
      </c>
      <c r="Y170">
        <f t="shared" si="45"/>
        <v>0</v>
      </c>
      <c r="Z170">
        <f t="shared" si="46"/>
        <v>0</v>
      </c>
      <c r="AB170">
        <v>166</v>
      </c>
      <c r="AC170">
        <f t="shared" si="47"/>
        <v>0</v>
      </c>
      <c r="AD170">
        <f t="shared" si="37"/>
        <v>0</v>
      </c>
    </row>
    <row r="171" spans="3:30" x14ac:dyDescent="0.25">
      <c r="C171" s="3"/>
      <c r="D171" s="31">
        <f>Simulation_output!A169</f>
        <v>1675000</v>
      </c>
      <c r="E171">
        <f>Sheet2!R168</f>
        <v>0</v>
      </c>
      <c r="F171">
        <f>Sheet2!S168</f>
        <v>0</v>
      </c>
      <c r="G171">
        <f>Sheet2!T168</f>
        <v>0</v>
      </c>
      <c r="H171" s="31">
        <f>Simulation_output!E169</f>
        <v>1</v>
      </c>
      <c r="I171" s="31">
        <f>Simulation_output!F169</f>
        <v>0</v>
      </c>
      <c r="J171" s="31">
        <f>Simulation_output!G169</f>
        <v>0</v>
      </c>
      <c r="K171" s="31">
        <f>Simulation_output!H169</f>
        <v>0</v>
      </c>
      <c r="L171">
        <v>1</v>
      </c>
      <c r="M171">
        <f t="shared" si="51"/>
        <v>0</v>
      </c>
      <c r="N171">
        <f t="shared" si="50"/>
        <v>0</v>
      </c>
      <c r="O171">
        <f t="shared" si="49"/>
        <v>0</v>
      </c>
      <c r="P171">
        <f t="shared" si="52"/>
        <v>0</v>
      </c>
      <c r="Q171">
        <f t="shared" si="48"/>
        <v>0</v>
      </c>
      <c r="R171">
        <f t="shared" si="38"/>
        <v>0</v>
      </c>
      <c r="S171">
        <f t="shared" si="39"/>
        <v>0</v>
      </c>
      <c r="T171">
        <f t="shared" si="40"/>
        <v>0</v>
      </c>
      <c r="U171">
        <f t="shared" si="41"/>
        <v>0</v>
      </c>
      <c r="V171">
        <f t="shared" si="42"/>
        <v>0</v>
      </c>
      <c r="W171">
        <f t="shared" si="43"/>
        <v>0</v>
      </c>
      <c r="X171">
        <f t="shared" si="44"/>
        <v>0</v>
      </c>
      <c r="Y171">
        <f t="shared" si="45"/>
        <v>0</v>
      </c>
      <c r="Z171">
        <f t="shared" si="46"/>
        <v>0</v>
      </c>
      <c r="AB171">
        <v>167</v>
      </c>
      <c r="AC171">
        <f t="shared" si="47"/>
        <v>0</v>
      </c>
      <c r="AD171">
        <f t="shared" si="37"/>
        <v>0</v>
      </c>
    </row>
    <row r="172" spans="3:30" x14ac:dyDescent="0.25">
      <c r="C172" s="3"/>
      <c r="D172" s="31">
        <f>Simulation_output!A170</f>
        <v>1685000</v>
      </c>
      <c r="E172">
        <f>Sheet2!R169</f>
        <v>23</v>
      </c>
      <c r="F172">
        <f>Sheet2!S169</f>
        <v>1</v>
      </c>
      <c r="G172">
        <f>Sheet2!T169</f>
        <v>0</v>
      </c>
      <c r="H172" s="31">
        <f>Simulation_output!E170</f>
        <v>1</v>
      </c>
      <c r="I172" s="31">
        <f>Simulation_output!F170</f>
        <v>0</v>
      </c>
      <c r="J172" s="31">
        <f>Simulation_output!G170</f>
        <v>0</v>
      </c>
      <c r="K172" s="31">
        <f>Simulation_output!H170</f>
        <v>0</v>
      </c>
      <c r="L172">
        <v>1</v>
      </c>
      <c r="M172">
        <f t="shared" si="51"/>
        <v>0</v>
      </c>
      <c r="N172">
        <f t="shared" si="50"/>
        <v>0</v>
      </c>
      <c r="O172">
        <f t="shared" si="49"/>
        <v>0</v>
      </c>
      <c r="P172">
        <f t="shared" si="52"/>
        <v>0</v>
      </c>
      <c r="Q172">
        <f t="shared" si="48"/>
        <v>0</v>
      </c>
      <c r="R172">
        <f t="shared" si="38"/>
        <v>0</v>
      </c>
      <c r="S172">
        <f t="shared" si="39"/>
        <v>0</v>
      </c>
      <c r="T172">
        <f t="shared" si="40"/>
        <v>0</v>
      </c>
      <c r="U172">
        <f t="shared" si="41"/>
        <v>0</v>
      </c>
      <c r="V172">
        <f t="shared" si="42"/>
        <v>0</v>
      </c>
      <c r="W172">
        <f t="shared" si="43"/>
        <v>0</v>
      </c>
      <c r="X172">
        <f t="shared" si="44"/>
        <v>0</v>
      </c>
      <c r="Y172">
        <f t="shared" si="45"/>
        <v>0</v>
      </c>
      <c r="Z172">
        <f t="shared" si="46"/>
        <v>0</v>
      </c>
      <c r="AB172">
        <v>168</v>
      </c>
      <c r="AC172">
        <f t="shared" si="47"/>
        <v>0</v>
      </c>
      <c r="AD172">
        <f t="shared" si="37"/>
        <v>0</v>
      </c>
    </row>
    <row r="173" spans="3:30" x14ac:dyDescent="0.25">
      <c r="C173" s="3"/>
      <c r="D173" s="31">
        <f>Simulation_output!A171</f>
        <v>1695000</v>
      </c>
      <c r="E173">
        <f>Sheet2!R170</f>
        <v>0</v>
      </c>
      <c r="F173">
        <f>Sheet2!S170</f>
        <v>0</v>
      </c>
      <c r="G173">
        <f>Sheet2!T170</f>
        <v>0</v>
      </c>
      <c r="H173" s="31">
        <f>Simulation_output!E171</f>
        <v>1</v>
      </c>
      <c r="I173" s="31">
        <f>Simulation_output!F171</f>
        <v>0</v>
      </c>
      <c r="J173" s="31">
        <f>Simulation_output!G171</f>
        <v>0</v>
      </c>
      <c r="K173" s="31">
        <f>Simulation_output!H171</f>
        <v>0</v>
      </c>
      <c r="L173">
        <v>1</v>
      </c>
      <c r="M173">
        <f t="shared" si="51"/>
        <v>0</v>
      </c>
      <c r="N173">
        <f t="shared" si="50"/>
        <v>0</v>
      </c>
      <c r="O173">
        <f t="shared" si="49"/>
        <v>0</v>
      </c>
      <c r="P173">
        <f t="shared" si="52"/>
        <v>0</v>
      </c>
      <c r="Q173">
        <f t="shared" si="48"/>
        <v>0</v>
      </c>
      <c r="R173">
        <f t="shared" si="38"/>
        <v>0</v>
      </c>
      <c r="S173">
        <f t="shared" si="39"/>
        <v>0</v>
      </c>
      <c r="T173">
        <f t="shared" si="40"/>
        <v>0</v>
      </c>
      <c r="U173">
        <f t="shared" si="41"/>
        <v>0</v>
      </c>
      <c r="V173">
        <f t="shared" si="42"/>
        <v>0</v>
      </c>
      <c r="W173">
        <f t="shared" si="43"/>
        <v>0</v>
      </c>
      <c r="X173">
        <f t="shared" si="44"/>
        <v>0</v>
      </c>
      <c r="Y173">
        <f t="shared" si="45"/>
        <v>0</v>
      </c>
      <c r="Z173">
        <f t="shared" si="46"/>
        <v>0</v>
      </c>
      <c r="AB173">
        <v>169</v>
      </c>
      <c r="AC173">
        <f t="shared" si="47"/>
        <v>0</v>
      </c>
      <c r="AD173">
        <f t="shared" si="37"/>
        <v>0</v>
      </c>
    </row>
    <row r="174" spans="3:30" x14ac:dyDescent="0.25">
      <c r="C174" s="3"/>
      <c r="D174" s="31">
        <f>Simulation_output!A172</f>
        <v>1705000</v>
      </c>
      <c r="E174">
        <f>Sheet2!R171</f>
        <v>123</v>
      </c>
      <c r="F174">
        <f>Sheet2!S171</f>
        <v>1</v>
      </c>
      <c r="G174">
        <f>Sheet2!T171</f>
        <v>0</v>
      </c>
      <c r="H174" s="31">
        <f>Simulation_output!E172</f>
        <v>1</v>
      </c>
      <c r="I174" s="31">
        <f>Simulation_output!F172</f>
        <v>0</v>
      </c>
      <c r="J174" s="31">
        <f>Simulation_output!G172</f>
        <v>0</v>
      </c>
      <c r="K174" s="31">
        <f>Simulation_output!H172</f>
        <v>0</v>
      </c>
      <c r="L174">
        <v>1</v>
      </c>
      <c r="M174">
        <f t="shared" si="51"/>
        <v>0</v>
      </c>
      <c r="N174">
        <f t="shared" si="50"/>
        <v>0</v>
      </c>
      <c r="O174">
        <f t="shared" si="49"/>
        <v>0</v>
      </c>
      <c r="P174">
        <f t="shared" si="52"/>
        <v>0</v>
      </c>
      <c r="Q174">
        <f t="shared" si="48"/>
        <v>0</v>
      </c>
      <c r="R174">
        <f t="shared" si="38"/>
        <v>0</v>
      </c>
      <c r="S174">
        <f t="shared" si="39"/>
        <v>0</v>
      </c>
      <c r="T174">
        <f t="shared" si="40"/>
        <v>0</v>
      </c>
      <c r="U174">
        <f t="shared" si="41"/>
        <v>0</v>
      </c>
      <c r="V174">
        <f t="shared" si="42"/>
        <v>0</v>
      </c>
      <c r="W174">
        <f t="shared" si="43"/>
        <v>0</v>
      </c>
      <c r="X174">
        <f t="shared" si="44"/>
        <v>0</v>
      </c>
      <c r="Y174">
        <f t="shared" si="45"/>
        <v>0</v>
      </c>
      <c r="Z174">
        <f t="shared" si="46"/>
        <v>0</v>
      </c>
      <c r="AB174">
        <v>170</v>
      </c>
      <c r="AC174">
        <f t="shared" si="47"/>
        <v>0</v>
      </c>
      <c r="AD174">
        <f t="shared" si="37"/>
        <v>0</v>
      </c>
    </row>
    <row r="175" spans="3:30" x14ac:dyDescent="0.25">
      <c r="C175" s="3"/>
      <c r="D175" s="31">
        <f>Simulation_output!A173</f>
        <v>1715000</v>
      </c>
      <c r="E175">
        <f>Sheet2!R172</f>
        <v>0</v>
      </c>
      <c r="F175">
        <f>Sheet2!S172</f>
        <v>0</v>
      </c>
      <c r="G175">
        <f>Sheet2!T172</f>
        <v>0</v>
      </c>
      <c r="H175" s="31">
        <f>Simulation_output!E173</f>
        <v>1</v>
      </c>
      <c r="I175" s="31">
        <f>Simulation_output!F173</f>
        <v>0</v>
      </c>
      <c r="J175" s="31">
        <f>Simulation_output!G173</f>
        <v>0</v>
      </c>
      <c r="K175" s="31">
        <f>Simulation_output!H173</f>
        <v>0</v>
      </c>
      <c r="L175">
        <v>1</v>
      </c>
      <c r="M175">
        <f t="shared" si="51"/>
        <v>0</v>
      </c>
      <c r="N175">
        <f t="shared" si="50"/>
        <v>0</v>
      </c>
      <c r="O175">
        <f t="shared" si="49"/>
        <v>0</v>
      </c>
      <c r="P175">
        <f t="shared" si="52"/>
        <v>0</v>
      </c>
      <c r="Q175">
        <f t="shared" si="48"/>
        <v>0</v>
      </c>
      <c r="R175">
        <f t="shared" si="38"/>
        <v>0</v>
      </c>
      <c r="S175">
        <f t="shared" si="39"/>
        <v>0</v>
      </c>
      <c r="T175">
        <f t="shared" si="40"/>
        <v>0</v>
      </c>
      <c r="U175">
        <f t="shared" si="41"/>
        <v>0</v>
      </c>
      <c r="V175">
        <f t="shared" si="42"/>
        <v>0</v>
      </c>
      <c r="W175">
        <f t="shared" si="43"/>
        <v>0</v>
      </c>
      <c r="X175">
        <f t="shared" si="44"/>
        <v>0</v>
      </c>
      <c r="Y175">
        <f t="shared" si="45"/>
        <v>0</v>
      </c>
      <c r="Z175">
        <f t="shared" si="46"/>
        <v>0</v>
      </c>
      <c r="AB175">
        <v>171</v>
      </c>
      <c r="AC175">
        <f t="shared" si="47"/>
        <v>0</v>
      </c>
      <c r="AD175">
        <f t="shared" si="37"/>
        <v>0</v>
      </c>
    </row>
    <row r="176" spans="3:30" x14ac:dyDescent="0.25">
      <c r="C176" s="3"/>
      <c r="D176" s="31">
        <f>Simulation_output!A174</f>
        <v>1725000</v>
      </c>
      <c r="E176">
        <f>Sheet2!R173</f>
        <v>1023</v>
      </c>
      <c r="F176">
        <f>Sheet2!S173</f>
        <v>1</v>
      </c>
      <c r="G176">
        <f>Sheet2!T173</f>
        <v>0</v>
      </c>
      <c r="H176" s="31">
        <f>Simulation_output!E174</f>
        <v>1</v>
      </c>
      <c r="I176" s="31">
        <f>Simulation_output!F174</f>
        <v>0</v>
      </c>
      <c r="J176" s="31">
        <f>Simulation_output!G174</f>
        <v>0</v>
      </c>
      <c r="K176" s="31">
        <f>Simulation_output!H174</f>
        <v>0</v>
      </c>
      <c r="L176">
        <v>1</v>
      </c>
      <c r="M176">
        <f t="shared" si="51"/>
        <v>0</v>
      </c>
      <c r="N176">
        <f t="shared" si="50"/>
        <v>0</v>
      </c>
      <c r="O176">
        <f t="shared" si="49"/>
        <v>0</v>
      </c>
      <c r="P176">
        <f t="shared" si="52"/>
        <v>0</v>
      </c>
      <c r="Q176">
        <f t="shared" si="48"/>
        <v>0</v>
      </c>
      <c r="R176">
        <f t="shared" si="38"/>
        <v>0</v>
      </c>
      <c r="S176">
        <f t="shared" si="39"/>
        <v>0</v>
      </c>
      <c r="T176">
        <f t="shared" si="40"/>
        <v>0</v>
      </c>
      <c r="U176">
        <f t="shared" si="41"/>
        <v>0</v>
      </c>
      <c r="V176">
        <f t="shared" si="42"/>
        <v>0</v>
      </c>
      <c r="W176">
        <f t="shared" si="43"/>
        <v>0</v>
      </c>
      <c r="X176">
        <f t="shared" si="44"/>
        <v>0</v>
      </c>
      <c r="Y176">
        <f t="shared" si="45"/>
        <v>0</v>
      </c>
      <c r="Z176">
        <f t="shared" si="46"/>
        <v>0</v>
      </c>
      <c r="AB176">
        <v>172</v>
      </c>
      <c r="AC176">
        <f t="shared" si="47"/>
        <v>0</v>
      </c>
      <c r="AD176">
        <f t="shared" si="37"/>
        <v>0</v>
      </c>
    </row>
    <row r="177" spans="3:30" x14ac:dyDescent="0.25">
      <c r="C177" s="3"/>
      <c r="D177" s="31">
        <f>Simulation_output!A175</f>
        <v>1735000</v>
      </c>
      <c r="E177">
        <f>Sheet2!R174</f>
        <v>0</v>
      </c>
      <c r="F177">
        <f>Sheet2!S174</f>
        <v>0</v>
      </c>
      <c r="G177">
        <f>Sheet2!T174</f>
        <v>0</v>
      </c>
      <c r="H177" s="31">
        <f>Simulation_output!E175</f>
        <v>1</v>
      </c>
      <c r="I177" s="31">
        <f>Simulation_output!F175</f>
        <v>0</v>
      </c>
      <c r="J177" s="31">
        <f>Simulation_output!G175</f>
        <v>0</v>
      </c>
      <c r="K177" s="31">
        <f>Simulation_output!H175</f>
        <v>0</v>
      </c>
      <c r="L177">
        <v>1</v>
      </c>
      <c r="M177">
        <f t="shared" si="51"/>
        <v>0</v>
      </c>
      <c r="N177">
        <f t="shared" si="50"/>
        <v>0</v>
      </c>
      <c r="O177">
        <f t="shared" si="49"/>
        <v>0</v>
      </c>
      <c r="P177">
        <f t="shared" si="52"/>
        <v>0</v>
      </c>
      <c r="Q177">
        <f t="shared" si="48"/>
        <v>0</v>
      </c>
      <c r="R177">
        <f t="shared" si="38"/>
        <v>0</v>
      </c>
      <c r="S177">
        <f t="shared" si="39"/>
        <v>0</v>
      </c>
      <c r="T177">
        <f t="shared" si="40"/>
        <v>0</v>
      </c>
      <c r="U177">
        <f t="shared" si="41"/>
        <v>0</v>
      </c>
      <c r="V177">
        <f t="shared" si="42"/>
        <v>0</v>
      </c>
      <c r="W177">
        <f t="shared" si="43"/>
        <v>0</v>
      </c>
      <c r="X177">
        <f t="shared" si="44"/>
        <v>0</v>
      </c>
      <c r="Y177">
        <f t="shared" si="45"/>
        <v>0</v>
      </c>
      <c r="Z177">
        <f t="shared" si="46"/>
        <v>0</v>
      </c>
      <c r="AB177">
        <v>173</v>
      </c>
      <c r="AC177">
        <f t="shared" si="47"/>
        <v>0</v>
      </c>
      <c r="AD177">
        <f t="shared" si="37"/>
        <v>0</v>
      </c>
    </row>
    <row r="178" spans="3:30" x14ac:dyDescent="0.25">
      <c r="C178" s="3"/>
      <c r="D178" s="31">
        <f>Simulation_output!A176</f>
        <v>1745000</v>
      </c>
      <c r="E178">
        <f>Sheet2!R175</f>
        <v>10023</v>
      </c>
      <c r="F178">
        <f>Sheet2!S175</f>
        <v>1</v>
      </c>
      <c r="G178">
        <f>Sheet2!T175</f>
        <v>1</v>
      </c>
      <c r="H178" s="31">
        <f>Simulation_output!E176</f>
        <v>1</v>
      </c>
      <c r="I178" s="31">
        <f>Simulation_output!F176</f>
        <v>0</v>
      </c>
      <c r="J178" s="31">
        <f>Simulation_output!G176</f>
        <v>0</v>
      </c>
      <c r="K178" s="31">
        <f>Simulation_output!H176</f>
        <v>0</v>
      </c>
      <c r="L178">
        <v>1</v>
      </c>
      <c r="M178">
        <f t="shared" si="51"/>
        <v>0</v>
      </c>
      <c r="N178">
        <f t="shared" si="50"/>
        <v>0</v>
      </c>
      <c r="O178">
        <f t="shared" si="49"/>
        <v>0</v>
      </c>
      <c r="P178">
        <f t="shared" si="52"/>
        <v>0</v>
      </c>
      <c r="Q178">
        <f t="shared" si="48"/>
        <v>0</v>
      </c>
      <c r="R178">
        <f t="shared" si="38"/>
        <v>0</v>
      </c>
      <c r="S178">
        <f t="shared" si="39"/>
        <v>0</v>
      </c>
      <c r="T178">
        <f t="shared" si="40"/>
        <v>0</v>
      </c>
      <c r="U178">
        <f t="shared" si="41"/>
        <v>0</v>
      </c>
      <c r="V178">
        <f t="shared" si="42"/>
        <v>0</v>
      </c>
      <c r="W178">
        <f t="shared" si="43"/>
        <v>0</v>
      </c>
      <c r="X178">
        <f t="shared" si="44"/>
        <v>0</v>
      </c>
      <c r="Y178">
        <f t="shared" si="45"/>
        <v>0</v>
      </c>
      <c r="Z178">
        <f t="shared" si="46"/>
        <v>0</v>
      </c>
      <c r="AB178">
        <v>174</v>
      </c>
      <c r="AC178">
        <f t="shared" si="47"/>
        <v>0</v>
      </c>
      <c r="AD178">
        <f t="shared" si="37"/>
        <v>0</v>
      </c>
    </row>
    <row r="179" spans="3:30" x14ac:dyDescent="0.25">
      <c r="C179" s="3"/>
      <c r="D179" s="31">
        <f>Simulation_output!A177</f>
        <v>1755000</v>
      </c>
      <c r="E179">
        <f>Sheet2!R176</f>
        <v>0</v>
      </c>
      <c r="F179">
        <f>Sheet2!S176</f>
        <v>0</v>
      </c>
      <c r="G179">
        <f>Sheet2!T176</f>
        <v>0</v>
      </c>
      <c r="H179" s="31">
        <f>Simulation_output!E177</f>
        <v>1</v>
      </c>
      <c r="I179" s="31">
        <f>Simulation_output!F177</f>
        <v>0</v>
      </c>
      <c r="J179" s="31">
        <f>Simulation_output!G177</f>
        <v>0</v>
      </c>
      <c r="K179" s="31">
        <f>Simulation_output!H177</f>
        <v>0</v>
      </c>
      <c r="L179">
        <v>1</v>
      </c>
      <c r="M179">
        <f t="shared" si="51"/>
        <v>0</v>
      </c>
      <c r="N179">
        <f t="shared" si="50"/>
        <v>0</v>
      </c>
      <c r="O179">
        <f t="shared" si="49"/>
        <v>0</v>
      </c>
      <c r="P179">
        <f t="shared" si="52"/>
        <v>0</v>
      </c>
      <c r="Q179">
        <f t="shared" si="48"/>
        <v>0</v>
      </c>
      <c r="R179">
        <f t="shared" si="38"/>
        <v>0</v>
      </c>
      <c r="S179">
        <f t="shared" si="39"/>
        <v>0</v>
      </c>
      <c r="T179">
        <f t="shared" si="40"/>
        <v>0</v>
      </c>
      <c r="U179">
        <f t="shared" si="41"/>
        <v>0</v>
      </c>
      <c r="V179">
        <f t="shared" si="42"/>
        <v>0</v>
      </c>
      <c r="W179">
        <f t="shared" si="43"/>
        <v>0</v>
      </c>
      <c r="X179">
        <f t="shared" si="44"/>
        <v>0</v>
      </c>
      <c r="Y179">
        <f t="shared" si="45"/>
        <v>0</v>
      </c>
      <c r="Z179">
        <f t="shared" si="46"/>
        <v>0</v>
      </c>
      <c r="AB179">
        <v>175</v>
      </c>
      <c r="AC179">
        <f t="shared" si="47"/>
        <v>0</v>
      </c>
      <c r="AD179">
        <f t="shared" si="37"/>
        <v>0</v>
      </c>
    </row>
    <row r="180" spans="3:30" x14ac:dyDescent="0.25">
      <c r="C180" s="3"/>
      <c r="D180" s="31">
        <f>Simulation_output!A178</f>
        <v>1765000</v>
      </c>
      <c r="E180">
        <f>Sheet2!R177</f>
        <v>0</v>
      </c>
      <c r="F180">
        <f>Sheet2!S177</f>
        <v>1</v>
      </c>
      <c r="G180">
        <f>Sheet2!T177</f>
        <v>0</v>
      </c>
      <c r="H180" s="31">
        <f>Simulation_output!E178</f>
        <v>1</v>
      </c>
      <c r="I180" s="31">
        <f>Simulation_output!F178</f>
        <v>0</v>
      </c>
      <c r="J180" s="31">
        <f>Simulation_output!G178</f>
        <v>0</v>
      </c>
      <c r="K180" s="31">
        <f>Simulation_output!H178</f>
        <v>0</v>
      </c>
      <c r="L180">
        <v>1</v>
      </c>
      <c r="M180">
        <f t="shared" si="51"/>
        <v>0</v>
      </c>
      <c r="N180">
        <f t="shared" si="50"/>
        <v>0</v>
      </c>
      <c r="O180">
        <f t="shared" si="49"/>
        <v>0</v>
      </c>
      <c r="P180">
        <f t="shared" si="52"/>
        <v>0</v>
      </c>
      <c r="Q180">
        <f t="shared" si="48"/>
        <v>0</v>
      </c>
      <c r="R180">
        <f t="shared" si="38"/>
        <v>0</v>
      </c>
      <c r="S180">
        <f t="shared" si="39"/>
        <v>0</v>
      </c>
      <c r="T180">
        <f t="shared" si="40"/>
        <v>0</v>
      </c>
      <c r="U180">
        <f t="shared" si="41"/>
        <v>0</v>
      </c>
      <c r="V180">
        <f t="shared" si="42"/>
        <v>0</v>
      </c>
      <c r="W180">
        <f t="shared" si="43"/>
        <v>0</v>
      </c>
      <c r="X180">
        <f t="shared" si="44"/>
        <v>0</v>
      </c>
      <c r="Y180">
        <f t="shared" si="45"/>
        <v>0</v>
      </c>
      <c r="Z180">
        <f t="shared" si="46"/>
        <v>0</v>
      </c>
      <c r="AB180">
        <v>176</v>
      </c>
      <c r="AC180">
        <f t="shared" si="47"/>
        <v>0</v>
      </c>
      <c r="AD180">
        <f t="shared" si="37"/>
        <v>0</v>
      </c>
    </row>
    <row r="181" spans="3:30" x14ac:dyDescent="0.25">
      <c r="C181" s="3"/>
      <c r="D181" s="31">
        <f>Simulation_output!A179</f>
        <v>1775000</v>
      </c>
      <c r="E181">
        <f>Sheet2!R178</f>
        <v>0</v>
      </c>
      <c r="F181">
        <f>Sheet2!S178</f>
        <v>0</v>
      </c>
      <c r="G181">
        <f>Sheet2!T178</f>
        <v>0</v>
      </c>
      <c r="H181" s="31">
        <f>Simulation_output!E179</f>
        <v>1</v>
      </c>
      <c r="I181" s="31">
        <f>Simulation_output!F179</f>
        <v>0</v>
      </c>
      <c r="J181" s="31">
        <f>Simulation_output!G179</f>
        <v>0</v>
      </c>
      <c r="K181" s="31">
        <f>Simulation_output!H179</f>
        <v>0</v>
      </c>
      <c r="L181">
        <v>1</v>
      </c>
      <c r="M181">
        <f t="shared" si="51"/>
        <v>0</v>
      </c>
      <c r="N181">
        <f t="shared" si="50"/>
        <v>0</v>
      </c>
      <c r="O181">
        <f t="shared" si="49"/>
        <v>0</v>
      </c>
      <c r="P181">
        <f t="shared" si="52"/>
        <v>0</v>
      </c>
      <c r="Q181">
        <f t="shared" si="48"/>
        <v>0</v>
      </c>
      <c r="R181">
        <f t="shared" si="38"/>
        <v>0</v>
      </c>
      <c r="S181">
        <f t="shared" si="39"/>
        <v>0</v>
      </c>
      <c r="T181">
        <f t="shared" si="40"/>
        <v>0</v>
      </c>
      <c r="U181">
        <f t="shared" si="41"/>
        <v>0</v>
      </c>
      <c r="V181">
        <f t="shared" si="42"/>
        <v>0</v>
      </c>
      <c r="W181">
        <f t="shared" si="43"/>
        <v>0</v>
      </c>
      <c r="X181">
        <f t="shared" si="44"/>
        <v>0</v>
      </c>
      <c r="Y181">
        <f t="shared" si="45"/>
        <v>0</v>
      </c>
      <c r="Z181">
        <f t="shared" si="46"/>
        <v>0</v>
      </c>
      <c r="AB181">
        <v>177</v>
      </c>
      <c r="AC181">
        <f t="shared" si="47"/>
        <v>0</v>
      </c>
      <c r="AD181">
        <f t="shared" si="37"/>
        <v>0</v>
      </c>
    </row>
    <row r="182" spans="3:30" x14ac:dyDescent="0.25">
      <c r="C182" s="3"/>
      <c r="D182" s="31">
        <f>Simulation_output!A180</f>
        <v>1785000</v>
      </c>
      <c r="E182">
        <f>Sheet2!R179</f>
        <v>5</v>
      </c>
      <c r="F182">
        <f>Sheet2!S179</f>
        <v>1</v>
      </c>
      <c r="G182">
        <f>Sheet2!T179</f>
        <v>0</v>
      </c>
      <c r="H182" s="31">
        <f>Simulation_output!E180</f>
        <v>1</v>
      </c>
      <c r="I182" s="31">
        <f>Simulation_output!F180</f>
        <v>0</v>
      </c>
      <c r="J182" s="31">
        <f>Simulation_output!G180</f>
        <v>0</v>
      </c>
      <c r="K182" s="31">
        <f>Simulation_output!H180</f>
        <v>0</v>
      </c>
      <c r="L182">
        <v>1</v>
      </c>
      <c r="M182">
        <f t="shared" si="51"/>
        <v>0</v>
      </c>
      <c r="N182">
        <f t="shared" si="50"/>
        <v>0</v>
      </c>
      <c r="O182">
        <f t="shared" si="49"/>
        <v>0</v>
      </c>
      <c r="P182">
        <f t="shared" si="52"/>
        <v>0</v>
      </c>
      <c r="Q182">
        <f t="shared" si="48"/>
        <v>0</v>
      </c>
      <c r="R182">
        <f t="shared" si="38"/>
        <v>0</v>
      </c>
      <c r="S182">
        <f t="shared" si="39"/>
        <v>0</v>
      </c>
      <c r="T182">
        <f t="shared" si="40"/>
        <v>0</v>
      </c>
      <c r="U182">
        <f t="shared" si="41"/>
        <v>0</v>
      </c>
      <c r="V182">
        <f t="shared" si="42"/>
        <v>0</v>
      </c>
      <c r="W182">
        <f t="shared" si="43"/>
        <v>0</v>
      </c>
      <c r="X182">
        <f t="shared" si="44"/>
        <v>0</v>
      </c>
      <c r="Y182">
        <f t="shared" si="45"/>
        <v>0</v>
      </c>
      <c r="Z182">
        <f t="shared" si="46"/>
        <v>0</v>
      </c>
      <c r="AB182">
        <v>178</v>
      </c>
      <c r="AC182">
        <f t="shared" si="47"/>
        <v>0</v>
      </c>
      <c r="AD182">
        <f t="shared" si="37"/>
        <v>0</v>
      </c>
    </row>
    <row r="183" spans="3:30" x14ac:dyDescent="0.25">
      <c r="C183" s="3"/>
      <c r="D183" s="31">
        <f>Simulation_output!A181</f>
        <v>1795000</v>
      </c>
      <c r="E183">
        <f>Sheet2!R180</f>
        <v>0</v>
      </c>
      <c r="F183">
        <f>Sheet2!S180</f>
        <v>0</v>
      </c>
      <c r="G183">
        <f>Sheet2!T180</f>
        <v>0</v>
      </c>
      <c r="H183" s="31">
        <f>Simulation_output!E181</f>
        <v>1</v>
      </c>
      <c r="I183" s="31">
        <f>Simulation_output!F181</f>
        <v>0</v>
      </c>
      <c r="J183" s="31">
        <f>Simulation_output!G181</f>
        <v>0</v>
      </c>
      <c r="K183" s="31">
        <f>Simulation_output!H181</f>
        <v>0</v>
      </c>
      <c r="L183">
        <v>1</v>
      </c>
      <c r="M183">
        <f t="shared" si="51"/>
        <v>0</v>
      </c>
      <c r="N183">
        <f t="shared" si="50"/>
        <v>0</v>
      </c>
      <c r="O183">
        <f t="shared" si="49"/>
        <v>0</v>
      </c>
      <c r="P183">
        <f t="shared" si="52"/>
        <v>0</v>
      </c>
      <c r="Q183">
        <f t="shared" si="48"/>
        <v>0</v>
      </c>
      <c r="R183">
        <f t="shared" si="38"/>
        <v>0</v>
      </c>
      <c r="S183">
        <f t="shared" si="39"/>
        <v>0</v>
      </c>
      <c r="T183">
        <f t="shared" si="40"/>
        <v>0</v>
      </c>
      <c r="U183">
        <f t="shared" si="41"/>
        <v>0</v>
      </c>
      <c r="V183">
        <f t="shared" si="42"/>
        <v>0</v>
      </c>
      <c r="W183">
        <f t="shared" si="43"/>
        <v>0</v>
      </c>
      <c r="X183">
        <f t="shared" si="44"/>
        <v>0</v>
      </c>
      <c r="Y183">
        <f t="shared" si="45"/>
        <v>0</v>
      </c>
      <c r="Z183">
        <f t="shared" si="46"/>
        <v>0</v>
      </c>
      <c r="AB183">
        <v>179</v>
      </c>
      <c r="AC183">
        <f t="shared" si="47"/>
        <v>0</v>
      </c>
      <c r="AD183">
        <f t="shared" si="37"/>
        <v>0</v>
      </c>
    </row>
    <row r="184" spans="3:30" x14ac:dyDescent="0.25">
      <c r="C184" s="3"/>
      <c r="D184" s="31">
        <f>Simulation_output!A182</f>
        <v>1805000</v>
      </c>
      <c r="E184">
        <f>Sheet2!R181</f>
        <v>24</v>
      </c>
      <c r="F184">
        <f>Sheet2!S181</f>
        <v>1</v>
      </c>
      <c r="G184">
        <f>Sheet2!T181</f>
        <v>0</v>
      </c>
      <c r="H184" s="31">
        <f>Simulation_output!E182</f>
        <v>1</v>
      </c>
      <c r="I184" s="31">
        <f>Simulation_output!F182</f>
        <v>0</v>
      </c>
      <c r="J184" s="31">
        <f>Simulation_output!G182</f>
        <v>0</v>
      </c>
      <c r="K184" s="31">
        <f>Simulation_output!H182</f>
        <v>0</v>
      </c>
      <c r="L184">
        <v>1</v>
      </c>
      <c r="M184">
        <f t="shared" si="51"/>
        <v>0</v>
      </c>
      <c r="N184">
        <f t="shared" si="50"/>
        <v>0</v>
      </c>
      <c r="O184">
        <f t="shared" si="49"/>
        <v>0</v>
      </c>
      <c r="P184">
        <f t="shared" si="52"/>
        <v>0</v>
      </c>
      <c r="Q184">
        <f t="shared" si="48"/>
        <v>0</v>
      </c>
      <c r="R184">
        <f t="shared" si="38"/>
        <v>0</v>
      </c>
      <c r="S184">
        <f t="shared" si="39"/>
        <v>0</v>
      </c>
      <c r="T184">
        <f t="shared" si="40"/>
        <v>0</v>
      </c>
      <c r="U184">
        <f t="shared" si="41"/>
        <v>0</v>
      </c>
      <c r="V184">
        <f t="shared" si="42"/>
        <v>0</v>
      </c>
      <c r="W184">
        <f t="shared" si="43"/>
        <v>0</v>
      </c>
      <c r="X184">
        <f t="shared" si="44"/>
        <v>0</v>
      </c>
      <c r="Y184">
        <f t="shared" si="45"/>
        <v>0</v>
      </c>
      <c r="Z184">
        <f t="shared" si="46"/>
        <v>0</v>
      </c>
      <c r="AB184">
        <v>180</v>
      </c>
      <c r="AC184">
        <f t="shared" si="47"/>
        <v>0</v>
      </c>
      <c r="AD184">
        <f t="shared" si="37"/>
        <v>0</v>
      </c>
    </row>
    <row r="185" spans="3:30" x14ac:dyDescent="0.25">
      <c r="C185" s="3"/>
      <c r="D185" s="31">
        <f>Simulation_output!A183</f>
        <v>1815000</v>
      </c>
      <c r="E185">
        <f>Sheet2!R182</f>
        <v>0</v>
      </c>
      <c r="F185">
        <f>Sheet2!S182</f>
        <v>0</v>
      </c>
      <c r="G185">
        <f>Sheet2!T182</f>
        <v>0</v>
      </c>
      <c r="H185" s="31">
        <f>Simulation_output!E183</f>
        <v>1</v>
      </c>
      <c r="I185" s="31">
        <f>Simulation_output!F183</f>
        <v>0</v>
      </c>
      <c r="J185" s="31">
        <f>Simulation_output!G183</f>
        <v>0</v>
      </c>
      <c r="K185" s="31">
        <f>Simulation_output!H183</f>
        <v>0</v>
      </c>
      <c r="L185">
        <v>1</v>
      </c>
      <c r="M185">
        <f t="shared" si="51"/>
        <v>0</v>
      </c>
      <c r="N185">
        <f t="shared" si="50"/>
        <v>0</v>
      </c>
      <c r="O185">
        <f t="shared" si="49"/>
        <v>0</v>
      </c>
      <c r="P185">
        <f t="shared" si="52"/>
        <v>0</v>
      </c>
      <c r="Q185">
        <f t="shared" si="48"/>
        <v>0</v>
      </c>
      <c r="R185">
        <f t="shared" si="38"/>
        <v>0</v>
      </c>
      <c r="S185">
        <f t="shared" si="39"/>
        <v>0</v>
      </c>
      <c r="T185">
        <f t="shared" si="40"/>
        <v>0</v>
      </c>
      <c r="U185">
        <f t="shared" si="41"/>
        <v>0</v>
      </c>
      <c r="V185">
        <f t="shared" si="42"/>
        <v>0</v>
      </c>
      <c r="W185">
        <f t="shared" si="43"/>
        <v>0</v>
      </c>
      <c r="X185">
        <f t="shared" si="44"/>
        <v>0</v>
      </c>
      <c r="Y185">
        <f t="shared" si="45"/>
        <v>0</v>
      </c>
      <c r="Z185">
        <f t="shared" si="46"/>
        <v>0</v>
      </c>
      <c r="AB185">
        <v>181</v>
      </c>
      <c r="AC185">
        <f t="shared" si="47"/>
        <v>0</v>
      </c>
      <c r="AD185">
        <f t="shared" si="37"/>
        <v>0</v>
      </c>
    </row>
    <row r="186" spans="3:30" x14ac:dyDescent="0.25">
      <c r="C186" s="3"/>
      <c r="D186" s="31">
        <f>Simulation_output!A184</f>
        <v>1825000</v>
      </c>
      <c r="E186">
        <f>Sheet2!R183</f>
        <v>124</v>
      </c>
      <c r="F186">
        <f>Sheet2!S183</f>
        <v>1</v>
      </c>
      <c r="G186">
        <f>Sheet2!T183</f>
        <v>0</v>
      </c>
      <c r="H186" s="31">
        <f>Simulation_output!E184</f>
        <v>1</v>
      </c>
      <c r="I186" s="31">
        <f>Simulation_output!F184</f>
        <v>0</v>
      </c>
      <c r="J186" s="31">
        <f>Simulation_output!G184</f>
        <v>0</v>
      </c>
      <c r="K186" s="31">
        <f>Simulation_output!H184</f>
        <v>0</v>
      </c>
      <c r="L186">
        <v>1</v>
      </c>
      <c r="M186">
        <f t="shared" si="51"/>
        <v>0</v>
      </c>
      <c r="N186">
        <f t="shared" si="50"/>
        <v>0</v>
      </c>
      <c r="O186">
        <f t="shared" si="49"/>
        <v>0</v>
      </c>
      <c r="P186">
        <f t="shared" si="52"/>
        <v>0</v>
      </c>
      <c r="Q186">
        <f t="shared" si="48"/>
        <v>0</v>
      </c>
      <c r="R186">
        <f t="shared" si="38"/>
        <v>0</v>
      </c>
      <c r="S186">
        <f t="shared" si="39"/>
        <v>0</v>
      </c>
      <c r="T186">
        <f t="shared" si="40"/>
        <v>0</v>
      </c>
      <c r="U186">
        <f t="shared" si="41"/>
        <v>0</v>
      </c>
      <c r="V186">
        <f t="shared" si="42"/>
        <v>0</v>
      </c>
      <c r="W186">
        <f t="shared" si="43"/>
        <v>0</v>
      </c>
      <c r="X186">
        <f t="shared" si="44"/>
        <v>0</v>
      </c>
      <c r="Y186">
        <f t="shared" si="45"/>
        <v>0</v>
      </c>
      <c r="Z186">
        <f t="shared" si="46"/>
        <v>0</v>
      </c>
      <c r="AB186">
        <v>182</v>
      </c>
      <c r="AC186">
        <f t="shared" si="47"/>
        <v>0</v>
      </c>
      <c r="AD186">
        <f t="shared" si="37"/>
        <v>0</v>
      </c>
    </row>
    <row r="187" spans="3:30" x14ac:dyDescent="0.25">
      <c r="C187" s="3"/>
      <c r="D187" s="31">
        <f>Simulation_output!A185</f>
        <v>1835000</v>
      </c>
      <c r="E187">
        <f>Sheet2!R184</f>
        <v>0</v>
      </c>
      <c r="F187">
        <f>Sheet2!S184</f>
        <v>0</v>
      </c>
      <c r="G187">
        <f>Sheet2!T184</f>
        <v>0</v>
      </c>
      <c r="H187" s="31">
        <f>Simulation_output!E185</f>
        <v>1</v>
      </c>
      <c r="I187" s="31">
        <f>Simulation_output!F185</f>
        <v>0</v>
      </c>
      <c r="J187" s="31">
        <f>Simulation_output!G185</f>
        <v>0</v>
      </c>
      <c r="K187" s="31">
        <f>Simulation_output!H185</f>
        <v>0</v>
      </c>
      <c r="L187">
        <v>1</v>
      </c>
      <c r="M187">
        <f t="shared" si="51"/>
        <v>0</v>
      </c>
      <c r="N187">
        <f t="shared" si="50"/>
        <v>0</v>
      </c>
      <c r="O187">
        <f t="shared" si="49"/>
        <v>0</v>
      </c>
      <c r="P187">
        <f t="shared" si="52"/>
        <v>0</v>
      </c>
      <c r="Q187">
        <f t="shared" si="48"/>
        <v>0</v>
      </c>
      <c r="R187">
        <f t="shared" si="38"/>
        <v>0</v>
      </c>
      <c r="S187">
        <f t="shared" si="39"/>
        <v>0</v>
      </c>
      <c r="T187">
        <f t="shared" si="40"/>
        <v>0</v>
      </c>
      <c r="U187">
        <f t="shared" si="41"/>
        <v>0</v>
      </c>
      <c r="V187">
        <f t="shared" si="42"/>
        <v>0</v>
      </c>
      <c r="W187">
        <f t="shared" si="43"/>
        <v>0</v>
      </c>
      <c r="X187">
        <f t="shared" si="44"/>
        <v>0</v>
      </c>
      <c r="Y187">
        <f t="shared" si="45"/>
        <v>0</v>
      </c>
      <c r="Z187">
        <f t="shared" si="46"/>
        <v>0</v>
      </c>
      <c r="AB187">
        <v>183</v>
      </c>
      <c r="AC187">
        <f t="shared" si="47"/>
        <v>0</v>
      </c>
      <c r="AD187">
        <f t="shared" si="37"/>
        <v>0</v>
      </c>
    </row>
    <row r="188" spans="3:30" x14ac:dyDescent="0.25">
      <c r="C188" s="3"/>
      <c r="D188" s="31">
        <f>Simulation_output!A186</f>
        <v>1845000</v>
      </c>
      <c r="E188">
        <f>Sheet2!R185</f>
        <v>1024</v>
      </c>
      <c r="F188">
        <f>Sheet2!S185</f>
        <v>1</v>
      </c>
      <c r="G188">
        <f>Sheet2!T185</f>
        <v>0</v>
      </c>
      <c r="H188" s="31">
        <f>Simulation_output!E186</f>
        <v>1</v>
      </c>
      <c r="I188" s="31">
        <f>Simulation_output!F186</f>
        <v>0</v>
      </c>
      <c r="J188" s="31">
        <f>Simulation_output!G186</f>
        <v>0</v>
      </c>
      <c r="K188" s="31">
        <f>Simulation_output!H186</f>
        <v>0</v>
      </c>
      <c r="L188">
        <v>1</v>
      </c>
      <c r="M188">
        <f t="shared" si="51"/>
        <v>0</v>
      </c>
      <c r="N188">
        <f t="shared" si="50"/>
        <v>0</v>
      </c>
      <c r="O188">
        <f t="shared" si="49"/>
        <v>0</v>
      </c>
      <c r="P188">
        <f t="shared" si="52"/>
        <v>0</v>
      </c>
      <c r="Q188">
        <f t="shared" si="48"/>
        <v>0</v>
      </c>
      <c r="R188">
        <f t="shared" si="38"/>
        <v>0</v>
      </c>
      <c r="S188">
        <f t="shared" si="39"/>
        <v>0</v>
      </c>
      <c r="T188">
        <f t="shared" si="40"/>
        <v>0</v>
      </c>
      <c r="U188">
        <f t="shared" si="41"/>
        <v>0</v>
      </c>
      <c r="V188">
        <f t="shared" si="42"/>
        <v>0</v>
      </c>
      <c r="W188">
        <f t="shared" si="43"/>
        <v>0</v>
      </c>
      <c r="X188">
        <f t="shared" si="44"/>
        <v>0</v>
      </c>
      <c r="Y188">
        <f t="shared" si="45"/>
        <v>0</v>
      </c>
      <c r="Z188">
        <f t="shared" si="46"/>
        <v>0</v>
      </c>
      <c r="AB188">
        <v>184</v>
      </c>
      <c r="AC188">
        <f t="shared" si="47"/>
        <v>0</v>
      </c>
      <c r="AD188">
        <f t="shared" si="37"/>
        <v>0</v>
      </c>
    </row>
    <row r="189" spans="3:30" x14ac:dyDescent="0.25">
      <c r="C189" s="3"/>
      <c r="D189" s="31">
        <f>Simulation_output!A187</f>
        <v>1855000</v>
      </c>
      <c r="E189">
        <f>Sheet2!R186</f>
        <v>0</v>
      </c>
      <c r="F189">
        <f>Sheet2!S186</f>
        <v>0</v>
      </c>
      <c r="G189">
        <f>Sheet2!T186</f>
        <v>0</v>
      </c>
      <c r="H189" s="31">
        <f>Simulation_output!E187</f>
        <v>1</v>
      </c>
      <c r="I189" s="31">
        <f>Simulation_output!F187</f>
        <v>0</v>
      </c>
      <c r="J189" s="31">
        <f>Simulation_output!G187</f>
        <v>0</v>
      </c>
      <c r="K189" s="31">
        <f>Simulation_output!H187</f>
        <v>0</v>
      </c>
      <c r="L189">
        <v>1</v>
      </c>
      <c r="M189">
        <f t="shared" si="51"/>
        <v>0</v>
      </c>
      <c r="N189">
        <f t="shared" si="50"/>
        <v>0</v>
      </c>
      <c r="O189">
        <f t="shared" si="49"/>
        <v>0</v>
      </c>
      <c r="P189">
        <f t="shared" si="52"/>
        <v>0</v>
      </c>
      <c r="Q189">
        <f t="shared" si="48"/>
        <v>0</v>
      </c>
      <c r="R189">
        <f t="shared" si="38"/>
        <v>0</v>
      </c>
      <c r="S189">
        <f t="shared" si="39"/>
        <v>0</v>
      </c>
      <c r="T189">
        <f t="shared" si="40"/>
        <v>0</v>
      </c>
      <c r="U189">
        <f t="shared" si="41"/>
        <v>0</v>
      </c>
      <c r="V189">
        <f t="shared" si="42"/>
        <v>0</v>
      </c>
      <c r="W189">
        <f t="shared" si="43"/>
        <v>0</v>
      </c>
      <c r="X189">
        <f t="shared" si="44"/>
        <v>0</v>
      </c>
      <c r="Y189">
        <f t="shared" si="45"/>
        <v>0</v>
      </c>
      <c r="Z189">
        <f t="shared" si="46"/>
        <v>0</v>
      </c>
      <c r="AB189">
        <v>185</v>
      </c>
      <c r="AC189">
        <f t="shared" si="47"/>
        <v>0</v>
      </c>
      <c r="AD189">
        <f t="shared" si="37"/>
        <v>0</v>
      </c>
    </row>
    <row r="190" spans="3:30" x14ac:dyDescent="0.25">
      <c r="C190" s="3"/>
      <c r="D190" s="31">
        <f>Simulation_output!A188</f>
        <v>1865000</v>
      </c>
      <c r="E190">
        <f>Sheet2!R187</f>
        <v>10024</v>
      </c>
      <c r="F190">
        <f>Sheet2!S187</f>
        <v>1</v>
      </c>
      <c r="G190">
        <f>Sheet2!T187</f>
        <v>1</v>
      </c>
      <c r="H190" s="31">
        <f>Simulation_output!E188</f>
        <v>1</v>
      </c>
      <c r="I190" s="31">
        <f>Simulation_output!F188</f>
        <v>0</v>
      </c>
      <c r="J190" s="31">
        <f>Simulation_output!G188</f>
        <v>0</v>
      </c>
      <c r="K190" s="31">
        <f>Simulation_output!H188</f>
        <v>0</v>
      </c>
      <c r="L190">
        <v>1</v>
      </c>
      <c r="M190">
        <f t="shared" si="51"/>
        <v>0</v>
      </c>
      <c r="N190">
        <f t="shared" si="50"/>
        <v>0</v>
      </c>
      <c r="O190">
        <f t="shared" si="49"/>
        <v>0</v>
      </c>
      <c r="P190">
        <f t="shared" si="52"/>
        <v>0</v>
      </c>
      <c r="Q190">
        <f t="shared" si="48"/>
        <v>0</v>
      </c>
      <c r="R190">
        <f t="shared" si="38"/>
        <v>0</v>
      </c>
      <c r="S190">
        <f t="shared" si="39"/>
        <v>0</v>
      </c>
      <c r="T190">
        <f t="shared" si="40"/>
        <v>0</v>
      </c>
      <c r="U190">
        <f t="shared" si="41"/>
        <v>0</v>
      </c>
      <c r="V190">
        <f t="shared" si="42"/>
        <v>0</v>
      </c>
      <c r="W190">
        <f t="shared" si="43"/>
        <v>0</v>
      </c>
      <c r="X190">
        <f t="shared" si="44"/>
        <v>0</v>
      </c>
      <c r="Y190">
        <f t="shared" si="45"/>
        <v>0</v>
      </c>
      <c r="Z190">
        <f t="shared" si="46"/>
        <v>0</v>
      </c>
      <c r="AB190">
        <v>186</v>
      </c>
      <c r="AC190">
        <f t="shared" si="47"/>
        <v>0</v>
      </c>
      <c r="AD190">
        <f t="shared" si="37"/>
        <v>0</v>
      </c>
    </row>
    <row r="191" spans="3:30" x14ac:dyDescent="0.25">
      <c r="C191" s="3"/>
      <c r="D191" s="31">
        <f>Simulation_output!A189</f>
        <v>1875000</v>
      </c>
      <c r="E191">
        <f>Sheet2!R188</f>
        <v>0</v>
      </c>
      <c r="F191">
        <f>Sheet2!S188</f>
        <v>0</v>
      </c>
      <c r="G191">
        <f>Sheet2!T188</f>
        <v>0</v>
      </c>
      <c r="H191" s="31">
        <f>Simulation_output!E189</f>
        <v>1</v>
      </c>
      <c r="I191" s="31">
        <f>Simulation_output!F189</f>
        <v>0</v>
      </c>
      <c r="J191" s="31">
        <f>Simulation_output!G189</f>
        <v>0</v>
      </c>
      <c r="K191" s="31">
        <f>Simulation_output!H189</f>
        <v>0</v>
      </c>
      <c r="L191">
        <v>1</v>
      </c>
      <c r="M191">
        <f t="shared" si="51"/>
        <v>0</v>
      </c>
      <c r="N191">
        <f t="shared" si="50"/>
        <v>0</v>
      </c>
      <c r="O191">
        <f t="shared" si="49"/>
        <v>0</v>
      </c>
      <c r="P191">
        <f t="shared" si="52"/>
        <v>0</v>
      </c>
      <c r="Q191">
        <f t="shared" si="48"/>
        <v>0</v>
      </c>
      <c r="R191">
        <f t="shared" si="38"/>
        <v>0</v>
      </c>
      <c r="S191">
        <f t="shared" si="39"/>
        <v>0</v>
      </c>
      <c r="T191">
        <f t="shared" si="40"/>
        <v>0</v>
      </c>
      <c r="U191">
        <f t="shared" si="41"/>
        <v>0</v>
      </c>
      <c r="V191">
        <f t="shared" si="42"/>
        <v>0</v>
      </c>
      <c r="W191">
        <f t="shared" si="43"/>
        <v>0</v>
      </c>
      <c r="X191">
        <f t="shared" si="44"/>
        <v>0</v>
      </c>
      <c r="Y191">
        <f t="shared" si="45"/>
        <v>0</v>
      </c>
      <c r="Z191">
        <f t="shared" si="46"/>
        <v>0</v>
      </c>
      <c r="AB191">
        <v>187</v>
      </c>
      <c r="AC191">
        <f t="shared" si="47"/>
        <v>0</v>
      </c>
      <c r="AD191">
        <f t="shared" si="37"/>
        <v>0</v>
      </c>
    </row>
    <row r="192" spans="3:30" x14ac:dyDescent="0.25">
      <c r="C192" s="3"/>
      <c r="D192" s="31">
        <f>Simulation_output!A190</f>
        <v>1885000</v>
      </c>
      <c r="E192">
        <f>Sheet2!R189</f>
        <v>0</v>
      </c>
      <c r="F192">
        <f>Sheet2!S189</f>
        <v>1</v>
      </c>
      <c r="G192">
        <f>Sheet2!T189</f>
        <v>0</v>
      </c>
      <c r="H192" s="31">
        <f>Simulation_output!E190</f>
        <v>1</v>
      </c>
      <c r="I192" s="31">
        <f>Simulation_output!F190</f>
        <v>0</v>
      </c>
      <c r="J192" s="31">
        <f>Simulation_output!G190</f>
        <v>0</v>
      </c>
      <c r="K192" s="31">
        <f>Simulation_output!H190</f>
        <v>0</v>
      </c>
      <c r="L192">
        <v>1</v>
      </c>
      <c r="M192">
        <f t="shared" si="51"/>
        <v>0</v>
      </c>
      <c r="N192">
        <f t="shared" si="50"/>
        <v>0</v>
      </c>
      <c r="O192">
        <f t="shared" si="49"/>
        <v>0</v>
      </c>
      <c r="P192">
        <f t="shared" si="52"/>
        <v>0</v>
      </c>
      <c r="Q192">
        <f t="shared" si="48"/>
        <v>0</v>
      </c>
      <c r="R192">
        <f t="shared" si="38"/>
        <v>0</v>
      </c>
      <c r="S192">
        <f t="shared" si="39"/>
        <v>0</v>
      </c>
      <c r="T192">
        <f t="shared" si="40"/>
        <v>0</v>
      </c>
      <c r="U192">
        <f t="shared" si="41"/>
        <v>0</v>
      </c>
      <c r="V192">
        <f t="shared" si="42"/>
        <v>0</v>
      </c>
      <c r="W192">
        <f t="shared" si="43"/>
        <v>0</v>
      </c>
      <c r="X192">
        <f t="shared" si="44"/>
        <v>0</v>
      </c>
      <c r="Y192">
        <f t="shared" si="45"/>
        <v>0</v>
      </c>
      <c r="Z192">
        <f t="shared" si="46"/>
        <v>0</v>
      </c>
      <c r="AB192">
        <v>188</v>
      </c>
      <c r="AC192">
        <f t="shared" si="47"/>
        <v>0</v>
      </c>
      <c r="AD192">
        <f t="shared" si="37"/>
        <v>0</v>
      </c>
    </row>
    <row r="193" spans="3:30" x14ac:dyDescent="0.25">
      <c r="C193" s="3"/>
      <c r="D193" s="31">
        <f>Simulation_output!A191</f>
        <v>1895000</v>
      </c>
      <c r="E193">
        <f>Sheet2!R190</f>
        <v>0</v>
      </c>
      <c r="F193">
        <f>Sheet2!S190</f>
        <v>0</v>
      </c>
      <c r="G193">
        <f>Sheet2!T190</f>
        <v>0</v>
      </c>
      <c r="H193" s="31">
        <f>Simulation_output!E191</f>
        <v>1</v>
      </c>
      <c r="I193" s="31">
        <f>Simulation_output!F191</f>
        <v>0</v>
      </c>
      <c r="J193" s="31">
        <f>Simulation_output!G191</f>
        <v>0</v>
      </c>
      <c r="K193" s="31">
        <f>Simulation_output!H191</f>
        <v>0</v>
      </c>
      <c r="L193">
        <v>1</v>
      </c>
      <c r="M193">
        <f t="shared" si="51"/>
        <v>0</v>
      </c>
      <c r="N193">
        <f t="shared" si="50"/>
        <v>0</v>
      </c>
      <c r="O193">
        <f t="shared" si="49"/>
        <v>0</v>
      </c>
      <c r="P193">
        <f t="shared" si="52"/>
        <v>0</v>
      </c>
      <c r="Q193">
        <f t="shared" si="48"/>
        <v>0</v>
      </c>
      <c r="R193">
        <f t="shared" si="38"/>
        <v>0</v>
      </c>
      <c r="S193">
        <f t="shared" si="39"/>
        <v>0</v>
      </c>
      <c r="T193">
        <f t="shared" si="40"/>
        <v>0</v>
      </c>
      <c r="U193">
        <f t="shared" si="41"/>
        <v>0</v>
      </c>
      <c r="V193">
        <f t="shared" si="42"/>
        <v>0</v>
      </c>
      <c r="W193">
        <f t="shared" si="43"/>
        <v>0</v>
      </c>
      <c r="X193">
        <f t="shared" si="44"/>
        <v>0</v>
      </c>
      <c r="Y193">
        <f t="shared" si="45"/>
        <v>0</v>
      </c>
      <c r="Z193">
        <f t="shared" si="46"/>
        <v>0</v>
      </c>
      <c r="AB193">
        <v>189</v>
      </c>
      <c r="AC193">
        <f t="shared" si="47"/>
        <v>0</v>
      </c>
      <c r="AD193">
        <f t="shared" si="37"/>
        <v>0</v>
      </c>
    </row>
    <row r="194" spans="3:30" x14ac:dyDescent="0.25">
      <c r="C194" s="3"/>
      <c r="D194" s="31">
        <f>Simulation_output!A192</f>
        <v>1905000</v>
      </c>
      <c r="E194">
        <f>Sheet2!R191</f>
        <v>5</v>
      </c>
      <c r="F194">
        <f>Sheet2!S191</f>
        <v>1</v>
      </c>
      <c r="G194">
        <f>Sheet2!T191</f>
        <v>0</v>
      </c>
      <c r="H194" s="31">
        <f>Simulation_output!E192</f>
        <v>1</v>
      </c>
      <c r="I194" s="31">
        <f>Simulation_output!F192</f>
        <v>0</v>
      </c>
      <c r="J194" s="31">
        <f>Simulation_output!G192</f>
        <v>0</v>
      </c>
      <c r="K194" s="31">
        <f>Simulation_output!H192</f>
        <v>0</v>
      </c>
      <c r="L194">
        <v>1</v>
      </c>
      <c r="M194">
        <f t="shared" si="51"/>
        <v>0</v>
      </c>
      <c r="N194">
        <f t="shared" si="50"/>
        <v>0</v>
      </c>
      <c r="O194">
        <f t="shared" si="49"/>
        <v>0</v>
      </c>
      <c r="P194">
        <f t="shared" si="52"/>
        <v>0</v>
      </c>
      <c r="Q194">
        <f t="shared" si="48"/>
        <v>0</v>
      </c>
      <c r="R194">
        <f t="shared" si="38"/>
        <v>0</v>
      </c>
      <c r="S194">
        <f t="shared" si="39"/>
        <v>0</v>
      </c>
      <c r="T194">
        <f t="shared" si="40"/>
        <v>0</v>
      </c>
      <c r="U194">
        <f t="shared" si="41"/>
        <v>0</v>
      </c>
      <c r="V194">
        <f t="shared" si="42"/>
        <v>0</v>
      </c>
      <c r="W194">
        <f t="shared" si="43"/>
        <v>0</v>
      </c>
      <c r="X194">
        <f t="shared" si="44"/>
        <v>0</v>
      </c>
      <c r="Y194">
        <f t="shared" si="45"/>
        <v>0</v>
      </c>
      <c r="Z194">
        <f t="shared" si="46"/>
        <v>0</v>
      </c>
      <c r="AB194">
        <v>190</v>
      </c>
      <c r="AC194">
        <f t="shared" si="47"/>
        <v>0</v>
      </c>
      <c r="AD194">
        <f t="shared" si="37"/>
        <v>0</v>
      </c>
    </row>
    <row r="195" spans="3:30" x14ac:dyDescent="0.25">
      <c r="C195" s="3"/>
      <c r="D195" s="31">
        <f>Simulation_output!A193</f>
        <v>1915000</v>
      </c>
      <c r="E195">
        <f>Sheet2!R192</f>
        <v>0</v>
      </c>
      <c r="F195">
        <f>Sheet2!S192</f>
        <v>0</v>
      </c>
      <c r="G195">
        <f>Sheet2!T192</f>
        <v>0</v>
      </c>
      <c r="H195" s="31">
        <f>Simulation_output!E193</f>
        <v>1</v>
      </c>
      <c r="I195" s="31">
        <f>Simulation_output!F193</f>
        <v>0</v>
      </c>
      <c r="J195" s="31">
        <f>Simulation_output!G193</f>
        <v>0</v>
      </c>
      <c r="K195" s="31">
        <f>Simulation_output!H193</f>
        <v>0</v>
      </c>
      <c r="L195">
        <v>1</v>
      </c>
      <c r="M195">
        <f t="shared" si="51"/>
        <v>0</v>
      </c>
      <c r="N195">
        <f t="shared" si="50"/>
        <v>0</v>
      </c>
      <c r="O195">
        <f t="shared" si="49"/>
        <v>0</v>
      </c>
      <c r="P195">
        <f t="shared" si="52"/>
        <v>0</v>
      </c>
      <c r="Q195">
        <f t="shared" si="48"/>
        <v>0</v>
      </c>
      <c r="R195">
        <f t="shared" si="38"/>
        <v>0</v>
      </c>
      <c r="S195">
        <f t="shared" si="39"/>
        <v>0</v>
      </c>
      <c r="T195">
        <f t="shared" si="40"/>
        <v>0</v>
      </c>
      <c r="U195">
        <f t="shared" si="41"/>
        <v>0</v>
      </c>
      <c r="V195">
        <f t="shared" si="42"/>
        <v>0</v>
      </c>
      <c r="W195">
        <f t="shared" si="43"/>
        <v>0</v>
      </c>
      <c r="X195">
        <f t="shared" si="44"/>
        <v>0</v>
      </c>
      <c r="Y195">
        <f t="shared" si="45"/>
        <v>0</v>
      </c>
      <c r="Z195">
        <f t="shared" si="46"/>
        <v>0</v>
      </c>
      <c r="AB195">
        <v>191</v>
      </c>
      <c r="AC195">
        <f t="shared" si="47"/>
        <v>0</v>
      </c>
      <c r="AD195">
        <f t="shared" si="37"/>
        <v>0</v>
      </c>
    </row>
    <row r="196" spans="3:30" x14ac:dyDescent="0.25">
      <c r="C196" s="3"/>
      <c r="D196" s="31">
        <f>Simulation_output!A194</f>
        <v>1925000</v>
      </c>
      <c r="E196">
        <f>Sheet2!R193</f>
        <v>25</v>
      </c>
      <c r="F196">
        <f>Sheet2!S193</f>
        <v>1</v>
      </c>
      <c r="G196">
        <f>Sheet2!T193</f>
        <v>0</v>
      </c>
      <c r="H196" s="31">
        <f>Simulation_output!E194</f>
        <v>1</v>
      </c>
      <c r="I196" s="31">
        <f>Simulation_output!F194</f>
        <v>0</v>
      </c>
      <c r="J196" s="31">
        <f>Simulation_output!G194</f>
        <v>0</v>
      </c>
      <c r="K196" s="31">
        <f>Simulation_output!H194</f>
        <v>0</v>
      </c>
      <c r="L196">
        <v>1</v>
      </c>
      <c r="M196">
        <f t="shared" si="51"/>
        <v>0</v>
      </c>
      <c r="N196">
        <f t="shared" si="50"/>
        <v>0</v>
      </c>
      <c r="O196">
        <f t="shared" si="49"/>
        <v>0</v>
      </c>
      <c r="P196">
        <f t="shared" si="52"/>
        <v>0</v>
      </c>
      <c r="Q196">
        <f t="shared" si="48"/>
        <v>0</v>
      </c>
      <c r="R196">
        <f t="shared" si="38"/>
        <v>0</v>
      </c>
      <c r="S196">
        <f t="shared" si="39"/>
        <v>0</v>
      </c>
      <c r="T196">
        <f t="shared" si="40"/>
        <v>0</v>
      </c>
      <c r="U196">
        <f t="shared" si="41"/>
        <v>0</v>
      </c>
      <c r="V196">
        <f t="shared" si="42"/>
        <v>0</v>
      </c>
      <c r="W196">
        <f t="shared" si="43"/>
        <v>0</v>
      </c>
      <c r="X196">
        <f t="shared" si="44"/>
        <v>0</v>
      </c>
      <c r="Y196">
        <f t="shared" si="45"/>
        <v>0</v>
      </c>
      <c r="Z196">
        <f t="shared" si="46"/>
        <v>0</v>
      </c>
      <c r="AB196">
        <v>192</v>
      </c>
      <c r="AC196">
        <f t="shared" si="47"/>
        <v>0</v>
      </c>
      <c r="AD196">
        <f t="shared" si="37"/>
        <v>0</v>
      </c>
    </row>
    <row r="197" spans="3:30" x14ac:dyDescent="0.25">
      <c r="C197" s="3"/>
      <c r="D197" s="31">
        <f>Simulation_output!A195</f>
        <v>1935000</v>
      </c>
      <c r="E197">
        <f>Sheet2!R194</f>
        <v>0</v>
      </c>
      <c r="F197">
        <f>Sheet2!S194</f>
        <v>0</v>
      </c>
      <c r="G197">
        <f>Sheet2!T194</f>
        <v>0</v>
      </c>
      <c r="H197" s="31">
        <f>Simulation_output!E195</f>
        <v>1</v>
      </c>
      <c r="I197" s="31">
        <f>Simulation_output!F195</f>
        <v>0</v>
      </c>
      <c r="J197" s="31">
        <f>Simulation_output!G195</f>
        <v>0</v>
      </c>
      <c r="K197" s="31">
        <f>Simulation_output!H195</f>
        <v>0</v>
      </c>
      <c r="L197">
        <v>1</v>
      </c>
      <c r="M197">
        <f t="shared" si="51"/>
        <v>0</v>
      </c>
      <c r="N197">
        <f t="shared" si="50"/>
        <v>0</v>
      </c>
      <c r="O197">
        <f t="shared" si="49"/>
        <v>0</v>
      </c>
      <c r="P197">
        <f t="shared" si="52"/>
        <v>0</v>
      </c>
      <c r="Q197">
        <f t="shared" si="48"/>
        <v>0</v>
      </c>
      <c r="R197">
        <f t="shared" si="38"/>
        <v>0</v>
      </c>
      <c r="S197">
        <f t="shared" si="39"/>
        <v>0</v>
      </c>
      <c r="T197">
        <f t="shared" si="40"/>
        <v>0</v>
      </c>
      <c r="U197">
        <f t="shared" si="41"/>
        <v>0</v>
      </c>
      <c r="V197">
        <f t="shared" si="42"/>
        <v>0</v>
      </c>
      <c r="W197">
        <f t="shared" si="43"/>
        <v>0</v>
      </c>
      <c r="X197">
        <f t="shared" si="44"/>
        <v>0</v>
      </c>
      <c r="Y197">
        <f t="shared" si="45"/>
        <v>0</v>
      </c>
      <c r="Z197">
        <f t="shared" si="46"/>
        <v>0</v>
      </c>
      <c r="AB197">
        <v>193</v>
      </c>
      <c r="AC197">
        <f t="shared" si="47"/>
        <v>0</v>
      </c>
      <c r="AD197">
        <f t="shared" si="37"/>
        <v>0</v>
      </c>
    </row>
    <row r="198" spans="3:30" x14ac:dyDescent="0.25">
      <c r="C198" s="3"/>
      <c r="D198" s="31">
        <f>Simulation_output!A196</f>
        <v>1945000</v>
      </c>
      <c r="E198">
        <f>Sheet2!R195</f>
        <v>125</v>
      </c>
      <c r="F198">
        <f>Sheet2!S195</f>
        <v>1</v>
      </c>
      <c r="G198">
        <f>Sheet2!T195</f>
        <v>0</v>
      </c>
      <c r="H198" s="31">
        <f>Simulation_output!E196</f>
        <v>1</v>
      </c>
      <c r="I198" s="31">
        <f>Simulation_output!F196</f>
        <v>0</v>
      </c>
      <c r="J198" s="31">
        <f>Simulation_output!G196</f>
        <v>0</v>
      </c>
      <c r="K198" s="31">
        <f>Simulation_output!H196</f>
        <v>0</v>
      </c>
      <c r="L198">
        <v>1</v>
      </c>
      <c r="M198">
        <f t="shared" si="51"/>
        <v>0</v>
      </c>
      <c r="N198">
        <f t="shared" si="50"/>
        <v>0</v>
      </c>
      <c r="O198">
        <f t="shared" si="49"/>
        <v>0</v>
      </c>
      <c r="P198">
        <f t="shared" si="52"/>
        <v>0</v>
      </c>
      <c r="Q198">
        <f t="shared" si="48"/>
        <v>0</v>
      </c>
      <c r="R198">
        <f t="shared" si="38"/>
        <v>0</v>
      </c>
      <c r="S198">
        <f t="shared" si="39"/>
        <v>0</v>
      </c>
      <c r="T198">
        <f t="shared" si="40"/>
        <v>0</v>
      </c>
      <c r="U198">
        <f t="shared" si="41"/>
        <v>0</v>
      </c>
      <c r="V198">
        <f t="shared" si="42"/>
        <v>0</v>
      </c>
      <c r="W198">
        <f t="shared" si="43"/>
        <v>0</v>
      </c>
      <c r="X198">
        <f t="shared" si="44"/>
        <v>0</v>
      </c>
      <c r="Y198">
        <f t="shared" si="45"/>
        <v>0</v>
      </c>
      <c r="Z198">
        <f t="shared" si="46"/>
        <v>0</v>
      </c>
      <c r="AB198">
        <v>194</v>
      </c>
      <c r="AC198">
        <f t="shared" si="47"/>
        <v>0</v>
      </c>
      <c r="AD198">
        <f t="shared" ref="AD198:AD261" si="53">IF(M198="FFFFFFF",AC198,0)</f>
        <v>0</v>
      </c>
    </row>
    <row r="199" spans="3:30" x14ac:dyDescent="0.25">
      <c r="C199" s="3"/>
      <c r="D199" s="31">
        <f>Simulation_output!A197</f>
        <v>1955000</v>
      </c>
      <c r="E199">
        <f>Sheet2!R196</f>
        <v>0</v>
      </c>
      <c r="F199">
        <f>Sheet2!S196</f>
        <v>0</v>
      </c>
      <c r="G199">
        <f>Sheet2!T196</f>
        <v>0</v>
      </c>
      <c r="H199" s="31">
        <f>Simulation_output!E197</f>
        <v>1</v>
      </c>
      <c r="I199" s="31">
        <f>Simulation_output!F197</f>
        <v>0</v>
      </c>
      <c r="J199" s="31">
        <f>Simulation_output!G197</f>
        <v>0</v>
      </c>
      <c r="K199" s="31">
        <f>Simulation_output!H197</f>
        <v>0</v>
      </c>
      <c r="L199">
        <v>1</v>
      </c>
      <c r="M199">
        <f t="shared" si="51"/>
        <v>0</v>
      </c>
      <c r="N199">
        <f t="shared" si="50"/>
        <v>0</v>
      </c>
      <c r="O199">
        <f t="shared" si="49"/>
        <v>0</v>
      </c>
      <c r="P199">
        <f t="shared" si="52"/>
        <v>0</v>
      </c>
      <c r="Q199">
        <f t="shared" si="48"/>
        <v>0</v>
      </c>
      <c r="R199">
        <f t="shared" ref="R199:R262" si="54">IF(K199&gt;0,I191,0)</f>
        <v>0</v>
      </c>
      <c r="S199">
        <f t="shared" ref="S199:S262" si="55">IF(K199&gt;0,I192,0)</f>
        <v>0</v>
      </c>
      <c r="T199">
        <f t="shared" ref="T199:T262" si="56">IF(K199&gt;0,I193,0)</f>
        <v>0</v>
      </c>
      <c r="U199">
        <f t="shared" ref="U199:U262" si="57">IF(K199&gt;0,I194,0)</f>
        <v>0</v>
      </c>
      <c r="V199">
        <f t="shared" ref="V199:V262" si="58">IF(K199&gt;0,I195,0)</f>
        <v>0</v>
      </c>
      <c r="W199">
        <f t="shared" ref="W199:W262" si="59">IF(K199&gt;0,I196,0)</f>
        <v>0</v>
      </c>
      <c r="X199">
        <f t="shared" ref="X199:X262" si="60">IF(K199&gt;0,I197,0)</f>
        <v>0</v>
      </c>
      <c r="Y199">
        <f t="shared" ref="Y199:Y262" si="61">IF(K199&gt;0,I198,0)</f>
        <v>0</v>
      </c>
      <c r="Z199">
        <f t="shared" ref="Z199:Z262" si="62">IF(K199&gt;0,DEC2HEX(I199),0)</f>
        <v>0</v>
      </c>
      <c r="AB199">
        <v>195</v>
      </c>
      <c r="AC199">
        <f t="shared" ref="AC199:AC262" si="63">IF(M199="FFFFFFF",AC198+1,AC198)</f>
        <v>0</v>
      </c>
      <c r="AD199">
        <f t="shared" si="53"/>
        <v>0</v>
      </c>
    </row>
    <row r="200" spans="3:30" x14ac:dyDescent="0.25">
      <c r="C200" s="3"/>
      <c r="D200" s="31">
        <f>Simulation_output!A198</f>
        <v>1965000</v>
      </c>
      <c r="E200">
        <f>Sheet2!R197</f>
        <v>1025</v>
      </c>
      <c r="F200">
        <f>Sheet2!S197</f>
        <v>1</v>
      </c>
      <c r="G200">
        <f>Sheet2!T197</f>
        <v>0</v>
      </c>
      <c r="H200" s="31">
        <f>Simulation_output!E198</f>
        <v>1</v>
      </c>
      <c r="I200" s="31">
        <f>Simulation_output!F198</f>
        <v>0</v>
      </c>
      <c r="J200" s="31">
        <f>Simulation_output!G198</f>
        <v>0</v>
      </c>
      <c r="K200" s="31">
        <f>Simulation_output!H198</f>
        <v>0</v>
      </c>
      <c r="L200">
        <v>1</v>
      </c>
      <c r="M200">
        <f t="shared" si="51"/>
        <v>0</v>
      </c>
      <c r="N200">
        <f t="shared" si="50"/>
        <v>0</v>
      </c>
      <c r="O200">
        <f t="shared" si="49"/>
        <v>0</v>
      </c>
      <c r="P200">
        <f t="shared" si="52"/>
        <v>0</v>
      </c>
      <c r="Q200">
        <f t="shared" si="48"/>
        <v>0</v>
      </c>
      <c r="R200">
        <f t="shared" si="54"/>
        <v>0</v>
      </c>
      <c r="S200">
        <f t="shared" si="55"/>
        <v>0</v>
      </c>
      <c r="T200">
        <f t="shared" si="56"/>
        <v>0</v>
      </c>
      <c r="U200">
        <f t="shared" si="57"/>
        <v>0</v>
      </c>
      <c r="V200">
        <f t="shared" si="58"/>
        <v>0</v>
      </c>
      <c r="W200">
        <f t="shared" si="59"/>
        <v>0</v>
      </c>
      <c r="X200">
        <f t="shared" si="60"/>
        <v>0</v>
      </c>
      <c r="Y200">
        <f t="shared" si="61"/>
        <v>0</v>
      </c>
      <c r="Z200">
        <f t="shared" si="62"/>
        <v>0</v>
      </c>
      <c r="AB200">
        <v>196</v>
      </c>
      <c r="AC200">
        <f t="shared" si="63"/>
        <v>0</v>
      </c>
      <c r="AD200">
        <f t="shared" si="53"/>
        <v>0</v>
      </c>
    </row>
    <row r="201" spans="3:30" x14ac:dyDescent="0.25">
      <c r="C201" s="3"/>
      <c r="D201" s="31">
        <f>Simulation_output!A199</f>
        <v>1975000</v>
      </c>
      <c r="E201">
        <f>Sheet2!R198</f>
        <v>0</v>
      </c>
      <c r="F201">
        <f>Sheet2!S198</f>
        <v>0</v>
      </c>
      <c r="G201">
        <f>Sheet2!T198</f>
        <v>0</v>
      </c>
      <c r="H201" s="31">
        <f>Simulation_output!E199</f>
        <v>1</v>
      </c>
      <c r="I201" s="31">
        <f>Simulation_output!F199</f>
        <v>0</v>
      </c>
      <c r="J201" s="31">
        <f>Simulation_output!G199</f>
        <v>0</v>
      </c>
      <c r="K201" s="31">
        <f>Simulation_output!H199</f>
        <v>0</v>
      </c>
      <c r="L201">
        <v>1</v>
      </c>
      <c r="M201">
        <f t="shared" si="51"/>
        <v>0</v>
      </c>
      <c r="N201">
        <f t="shared" si="50"/>
        <v>0</v>
      </c>
      <c r="O201">
        <f t="shared" si="49"/>
        <v>0</v>
      </c>
      <c r="P201">
        <f t="shared" si="52"/>
        <v>0</v>
      </c>
      <c r="Q201">
        <f t="shared" si="48"/>
        <v>0</v>
      </c>
      <c r="R201">
        <f t="shared" si="54"/>
        <v>0</v>
      </c>
      <c r="S201">
        <f t="shared" si="55"/>
        <v>0</v>
      </c>
      <c r="T201">
        <f t="shared" si="56"/>
        <v>0</v>
      </c>
      <c r="U201">
        <f t="shared" si="57"/>
        <v>0</v>
      </c>
      <c r="V201">
        <f t="shared" si="58"/>
        <v>0</v>
      </c>
      <c r="W201">
        <f t="shared" si="59"/>
        <v>0</v>
      </c>
      <c r="X201">
        <f t="shared" si="60"/>
        <v>0</v>
      </c>
      <c r="Y201">
        <f t="shared" si="61"/>
        <v>0</v>
      </c>
      <c r="Z201">
        <f t="shared" si="62"/>
        <v>0</v>
      </c>
      <c r="AB201">
        <v>197</v>
      </c>
      <c r="AC201">
        <f t="shared" si="63"/>
        <v>0</v>
      </c>
      <c r="AD201">
        <f t="shared" si="53"/>
        <v>0</v>
      </c>
    </row>
    <row r="202" spans="3:30" x14ac:dyDescent="0.25">
      <c r="C202" s="3"/>
      <c r="D202" s="31">
        <f>Simulation_output!A200</f>
        <v>1985000</v>
      </c>
      <c r="E202">
        <f>Sheet2!R199</f>
        <v>10025</v>
      </c>
      <c r="F202">
        <f>Sheet2!S199</f>
        <v>1</v>
      </c>
      <c r="G202">
        <f>Sheet2!T199</f>
        <v>1</v>
      </c>
      <c r="H202" s="31">
        <f>Simulation_output!E200</f>
        <v>1</v>
      </c>
      <c r="I202" s="31">
        <f>Simulation_output!F200</f>
        <v>0</v>
      </c>
      <c r="J202" s="31">
        <f>Simulation_output!G200</f>
        <v>0</v>
      </c>
      <c r="K202" s="31">
        <f>Simulation_output!H200</f>
        <v>0</v>
      </c>
      <c r="L202">
        <v>1</v>
      </c>
      <c r="M202">
        <f t="shared" si="51"/>
        <v>0</v>
      </c>
      <c r="N202">
        <f t="shared" si="50"/>
        <v>0</v>
      </c>
      <c r="O202">
        <f t="shared" si="49"/>
        <v>0</v>
      </c>
      <c r="P202">
        <f t="shared" si="52"/>
        <v>0</v>
      </c>
      <c r="Q202">
        <f t="shared" si="48"/>
        <v>0</v>
      </c>
      <c r="R202">
        <f t="shared" si="54"/>
        <v>0</v>
      </c>
      <c r="S202">
        <f t="shared" si="55"/>
        <v>0</v>
      </c>
      <c r="T202">
        <f t="shared" si="56"/>
        <v>0</v>
      </c>
      <c r="U202">
        <f t="shared" si="57"/>
        <v>0</v>
      </c>
      <c r="V202">
        <f t="shared" si="58"/>
        <v>0</v>
      </c>
      <c r="W202">
        <f t="shared" si="59"/>
        <v>0</v>
      </c>
      <c r="X202">
        <f t="shared" si="60"/>
        <v>0</v>
      </c>
      <c r="Y202">
        <f t="shared" si="61"/>
        <v>0</v>
      </c>
      <c r="Z202">
        <f t="shared" si="62"/>
        <v>0</v>
      </c>
      <c r="AB202">
        <v>198</v>
      </c>
      <c r="AC202">
        <f t="shared" si="63"/>
        <v>0</v>
      </c>
      <c r="AD202">
        <f t="shared" si="53"/>
        <v>0</v>
      </c>
    </row>
    <row r="203" spans="3:30" x14ac:dyDescent="0.25">
      <c r="C203" s="3"/>
      <c r="D203" s="31">
        <f>Simulation_output!A201</f>
        <v>1995000</v>
      </c>
      <c r="E203">
        <f>Sheet2!R200</f>
        <v>0</v>
      </c>
      <c r="F203">
        <f>Sheet2!S200</f>
        <v>0</v>
      </c>
      <c r="G203">
        <f>Sheet2!T200</f>
        <v>0</v>
      </c>
      <c r="H203" s="31">
        <f>Simulation_output!E201</f>
        <v>1</v>
      </c>
      <c r="I203" s="31">
        <f>Simulation_output!F201</f>
        <v>0</v>
      </c>
      <c r="J203" s="31">
        <f>Simulation_output!G201</f>
        <v>0</v>
      </c>
      <c r="K203" s="31">
        <f>Simulation_output!H201</f>
        <v>0</v>
      </c>
      <c r="L203">
        <v>1</v>
      </c>
      <c r="M203">
        <f t="shared" si="51"/>
        <v>0</v>
      </c>
      <c r="N203">
        <f t="shared" si="50"/>
        <v>0</v>
      </c>
      <c r="O203">
        <f t="shared" si="49"/>
        <v>0</v>
      </c>
      <c r="P203">
        <f t="shared" si="52"/>
        <v>0</v>
      </c>
      <c r="Q203">
        <f t="shared" ref="Q203:Q266" si="64">IF(K203&gt;0,I194,0)</f>
        <v>0</v>
      </c>
      <c r="R203">
        <f t="shared" si="54"/>
        <v>0</v>
      </c>
      <c r="S203">
        <f t="shared" si="55"/>
        <v>0</v>
      </c>
      <c r="T203">
        <f t="shared" si="56"/>
        <v>0</v>
      </c>
      <c r="U203">
        <f t="shared" si="57"/>
        <v>0</v>
      </c>
      <c r="V203">
        <f t="shared" si="58"/>
        <v>0</v>
      </c>
      <c r="W203">
        <f t="shared" si="59"/>
        <v>0</v>
      </c>
      <c r="X203">
        <f t="shared" si="60"/>
        <v>0</v>
      </c>
      <c r="Y203">
        <f t="shared" si="61"/>
        <v>0</v>
      </c>
      <c r="Z203">
        <f t="shared" si="62"/>
        <v>0</v>
      </c>
      <c r="AB203">
        <v>199</v>
      </c>
      <c r="AC203">
        <f t="shared" si="63"/>
        <v>0</v>
      </c>
      <c r="AD203">
        <f t="shared" si="53"/>
        <v>0</v>
      </c>
    </row>
    <row r="204" spans="3:30" x14ac:dyDescent="0.25">
      <c r="C204" s="3"/>
      <c r="D204" s="31">
        <f>Simulation_output!A202</f>
        <v>2005000</v>
      </c>
      <c r="E204">
        <f>Sheet2!R201</f>
        <v>0</v>
      </c>
      <c r="F204">
        <f>Sheet2!S201</f>
        <v>1</v>
      </c>
      <c r="G204">
        <f>Sheet2!T201</f>
        <v>0</v>
      </c>
      <c r="H204" s="31">
        <f>Simulation_output!E202</f>
        <v>1</v>
      </c>
      <c r="I204" s="31">
        <f>Simulation_output!F202</f>
        <v>0</v>
      </c>
      <c r="J204" s="31">
        <f>Simulation_output!G202</f>
        <v>0</v>
      </c>
      <c r="K204" s="31">
        <f>Simulation_output!H202</f>
        <v>0</v>
      </c>
      <c r="L204">
        <v>1</v>
      </c>
      <c r="M204">
        <f t="shared" si="51"/>
        <v>0</v>
      </c>
      <c r="N204">
        <f t="shared" si="50"/>
        <v>0</v>
      </c>
      <c r="O204">
        <f t="shared" si="49"/>
        <v>0</v>
      </c>
      <c r="P204">
        <f t="shared" si="52"/>
        <v>0</v>
      </c>
      <c r="Q204">
        <f t="shared" si="64"/>
        <v>0</v>
      </c>
      <c r="R204">
        <f t="shared" si="54"/>
        <v>0</v>
      </c>
      <c r="S204">
        <f t="shared" si="55"/>
        <v>0</v>
      </c>
      <c r="T204">
        <f t="shared" si="56"/>
        <v>0</v>
      </c>
      <c r="U204">
        <f t="shared" si="57"/>
        <v>0</v>
      </c>
      <c r="V204">
        <f t="shared" si="58"/>
        <v>0</v>
      </c>
      <c r="W204">
        <f t="shared" si="59"/>
        <v>0</v>
      </c>
      <c r="X204">
        <f t="shared" si="60"/>
        <v>0</v>
      </c>
      <c r="Y204">
        <f t="shared" si="61"/>
        <v>0</v>
      </c>
      <c r="Z204">
        <f t="shared" si="62"/>
        <v>0</v>
      </c>
      <c r="AB204">
        <v>200</v>
      </c>
      <c r="AC204">
        <f t="shared" si="63"/>
        <v>0</v>
      </c>
      <c r="AD204">
        <f t="shared" si="53"/>
        <v>0</v>
      </c>
    </row>
    <row r="205" spans="3:30" x14ac:dyDescent="0.25">
      <c r="C205" s="3"/>
      <c r="D205" s="31">
        <f>Simulation_output!A203</f>
        <v>2015000</v>
      </c>
      <c r="E205">
        <f>Sheet2!R202</f>
        <v>0</v>
      </c>
      <c r="F205">
        <f>Sheet2!S202</f>
        <v>0</v>
      </c>
      <c r="G205">
        <f>Sheet2!T202</f>
        <v>0</v>
      </c>
      <c r="H205" s="31">
        <f>Simulation_output!E203</f>
        <v>1</v>
      </c>
      <c r="I205" s="31">
        <f>Simulation_output!F203</f>
        <v>0</v>
      </c>
      <c r="J205" s="31">
        <f>Simulation_output!G203</f>
        <v>0</v>
      </c>
      <c r="K205" s="31">
        <f>Simulation_output!H203</f>
        <v>0</v>
      </c>
      <c r="L205">
        <v>1</v>
      </c>
      <c r="M205">
        <f t="shared" si="51"/>
        <v>0</v>
      </c>
      <c r="N205">
        <f t="shared" si="50"/>
        <v>0</v>
      </c>
      <c r="O205">
        <f t="shared" ref="O205:O268" si="65">IF(K205&gt;0,I194,0)</f>
        <v>0</v>
      </c>
      <c r="P205">
        <f t="shared" si="52"/>
        <v>0</v>
      </c>
      <c r="Q205">
        <f t="shared" si="64"/>
        <v>0</v>
      </c>
      <c r="R205">
        <f t="shared" si="54"/>
        <v>0</v>
      </c>
      <c r="S205">
        <f t="shared" si="55"/>
        <v>0</v>
      </c>
      <c r="T205">
        <f t="shared" si="56"/>
        <v>0</v>
      </c>
      <c r="U205">
        <f t="shared" si="57"/>
        <v>0</v>
      </c>
      <c r="V205">
        <f t="shared" si="58"/>
        <v>0</v>
      </c>
      <c r="W205">
        <f t="shared" si="59"/>
        <v>0</v>
      </c>
      <c r="X205">
        <f t="shared" si="60"/>
        <v>0</v>
      </c>
      <c r="Y205">
        <f t="shared" si="61"/>
        <v>0</v>
      </c>
      <c r="Z205">
        <f t="shared" si="62"/>
        <v>0</v>
      </c>
      <c r="AB205">
        <v>201</v>
      </c>
      <c r="AC205">
        <f t="shared" si="63"/>
        <v>0</v>
      </c>
      <c r="AD205">
        <f t="shared" si="53"/>
        <v>0</v>
      </c>
    </row>
    <row r="206" spans="3:30" x14ac:dyDescent="0.25">
      <c r="C206" s="3"/>
      <c r="D206" s="31">
        <f>Simulation_output!A204</f>
        <v>2025000</v>
      </c>
      <c r="E206">
        <f>Sheet2!R203</f>
        <v>5</v>
      </c>
      <c r="F206">
        <f>Sheet2!S203</f>
        <v>1</v>
      </c>
      <c r="G206">
        <f>Sheet2!T203</f>
        <v>0</v>
      </c>
      <c r="H206" s="31">
        <f>Simulation_output!E204</f>
        <v>1</v>
      </c>
      <c r="I206" s="31">
        <f>Simulation_output!F204</f>
        <v>0</v>
      </c>
      <c r="J206" s="31">
        <f>Simulation_output!G204</f>
        <v>0</v>
      </c>
      <c r="K206" s="31">
        <f>Simulation_output!H204</f>
        <v>0</v>
      </c>
      <c r="L206">
        <v>1</v>
      </c>
      <c r="M206">
        <f t="shared" si="51"/>
        <v>0</v>
      </c>
      <c r="N206">
        <f t="shared" ref="N206:N269" si="66">IF(K206&gt;0,I194,0)</f>
        <v>0</v>
      </c>
      <c r="O206">
        <f t="shared" si="65"/>
        <v>0</v>
      </c>
      <c r="P206">
        <f t="shared" si="52"/>
        <v>0</v>
      </c>
      <c r="Q206">
        <f t="shared" si="64"/>
        <v>0</v>
      </c>
      <c r="R206">
        <f t="shared" si="54"/>
        <v>0</v>
      </c>
      <c r="S206">
        <f t="shared" si="55"/>
        <v>0</v>
      </c>
      <c r="T206">
        <f t="shared" si="56"/>
        <v>0</v>
      </c>
      <c r="U206">
        <f t="shared" si="57"/>
        <v>0</v>
      </c>
      <c r="V206">
        <f t="shared" si="58"/>
        <v>0</v>
      </c>
      <c r="W206">
        <f t="shared" si="59"/>
        <v>0</v>
      </c>
      <c r="X206">
        <f t="shared" si="60"/>
        <v>0</v>
      </c>
      <c r="Y206">
        <f t="shared" si="61"/>
        <v>0</v>
      </c>
      <c r="Z206">
        <f t="shared" si="62"/>
        <v>0</v>
      </c>
      <c r="AB206">
        <v>202</v>
      </c>
      <c r="AC206">
        <f t="shared" si="63"/>
        <v>0</v>
      </c>
      <c r="AD206">
        <f t="shared" si="53"/>
        <v>0</v>
      </c>
    </row>
    <row r="207" spans="3:30" x14ac:dyDescent="0.25">
      <c r="C207" s="3"/>
      <c r="D207" s="31">
        <f>Simulation_output!A205</f>
        <v>2035000</v>
      </c>
      <c r="E207">
        <f>Sheet2!R204</f>
        <v>0</v>
      </c>
      <c r="F207">
        <f>Sheet2!S204</f>
        <v>0</v>
      </c>
      <c r="G207">
        <f>Sheet2!T204</f>
        <v>0</v>
      </c>
      <c r="H207" s="31">
        <f>Simulation_output!E205</f>
        <v>1</v>
      </c>
      <c r="I207" s="31">
        <f>Simulation_output!F205</f>
        <v>0</v>
      </c>
      <c r="J207" s="31">
        <f>Simulation_output!G205</f>
        <v>0</v>
      </c>
      <c r="K207" s="31">
        <f>Simulation_output!H205</f>
        <v>0</v>
      </c>
      <c r="L207">
        <v>1</v>
      </c>
      <c r="M207">
        <f t="shared" ref="M207:M270" si="67">IF(K207&gt;0,DEC2HEX(I194),0)</f>
        <v>0</v>
      </c>
      <c r="N207">
        <f t="shared" si="66"/>
        <v>0</v>
      </c>
      <c r="O207">
        <f t="shared" si="65"/>
        <v>0</v>
      </c>
      <c r="P207">
        <f t="shared" ref="P207:P270" si="68">IF(K207&gt;0,I197,0)</f>
        <v>0</v>
      </c>
      <c r="Q207">
        <f t="shared" si="64"/>
        <v>0</v>
      </c>
      <c r="R207">
        <f t="shared" si="54"/>
        <v>0</v>
      </c>
      <c r="S207">
        <f t="shared" si="55"/>
        <v>0</v>
      </c>
      <c r="T207">
        <f t="shared" si="56"/>
        <v>0</v>
      </c>
      <c r="U207">
        <f t="shared" si="57"/>
        <v>0</v>
      </c>
      <c r="V207">
        <f t="shared" si="58"/>
        <v>0</v>
      </c>
      <c r="W207">
        <f t="shared" si="59"/>
        <v>0</v>
      </c>
      <c r="X207">
        <f t="shared" si="60"/>
        <v>0</v>
      </c>
      <c r="Y207">
        <f t="shared" si="61"/>
        <v>0</v>
      </c>
      <c r="Z207">
        <f t="shared" si="62"/>
        <v>0</v>
      </c>
      <c r="AB207">
        <v>203</v>
      </c>
      <c r="AC207">
        <f t="shared" si="63"/>
        <v>0</v>
      </c>
      <c r="AD207">
        <f t="shared" si="53"/>
        <v>0</v>
      </c>
    </row>
    <row r="208" spans="3:30" x14ac:dyDescent="0.25">
      <c r="C208" s="3"/>
      <c r="D208" s="31">
        <f>Simulation_output!A206</f>
        <v>2045000</v>
      </c>
      <c r="E208">
        <f>Sheet2!R205</f>
        <v>26</v>
      </c>
      <c r="F208">
        <f>Sheet2!S205</f>
        <v>1</v>
      </c>
      <c r="G208">
        <f>Sheet2!T205</f>
        <v>0</v>
      </c>
      <c r="H208" s="31">
        <f>Simulation_output!E206</f>
        <v>1</v>
      </c>
      <c r="I208" s="31">
        <f>Simulation_output!F206</f>
        <v>0</v>
      </c>
      <c r="J208" s="31">
        <f>Simulation_output!G206</f>
        <v>0</v>
      </c>
      <c r="K208" s="31">
        <f>Simulation_output!H206</f>
        <v>0</v>
      </c>
      <c r="L208">
        <v>1</v>
      </c>
      <c r="M208">
        <f t="shared" si="67"/>
        <v>0</v>
      </c>
      <c r="N208">
        <f t="shared" si="66"/>
        <v>0</v>
      </c>
      <c r="O208">
        <f t="shared" si="65"/>
        <v>0</v>
      </c>
      <c r="P208">
        <f t="shared" si="68"/>
        <v>0</v>
      </c>
      <c r="Q208">
        <f t="shared" si="64"/>
        <v>0</v>
      </c>
      <c r="R208">
        <f t="shared" si="54"/>
        <v>0</v>
      </c>
      <c r="S208">
        <f t="shared" si="55"/>
        <v>0</v>
      </c>
      <c r="T208">
        <f t="shared" si="56"/>
        <v>0</v>
      </c>
      <c r="U208">
        <f t="shared" si="57"/>
        <v>0</v>
      </c>
      <c r="V208">
        <f t="shared" si="58"/>
        <v>0</v>
      </c>
      <c r="W208">
        <f t="shared" si="59"/>
        <v>0</v>
      </c>
      <c r="X208">
        <f t="shared" si="60"/>
        <v>0</v>
      </c>
      <c r="Y208">
        <f t="shared" si="61"/>
        <v>0</v>
      </c>
      <c r="Z208">
        <f t="shared" si="62"/>
        <v>0</v>
      </c>
      <c r="AB208">
        <v>204</v>
      </c>
      <c r="AC208">
        <f t="shared" si="63"/>
        <v>0</v>
      </c>
      <c r="AD208">
        <f t="shared" si="53"/>
        <v>0</v>
      </c>
    </row>
    <row r="209" spans="3:30" x14ac:dyDescent="0.25">
      <c r="C209" s="3"/>
      <c r="D209" s="31">
        <f>Simulation_output!A207</f>
        <v>2055000</v>
      </c>
      <c r="E209">
        <f>Sheet2!R206</f>
        <v>0</v>
      </c>
      <c r="F209">
        <f>Sheet2!S206</f>
        <v>0</v>
      </c>
      <c r="G209">
        <f>Sheet2!T206</f>
        <v>0</v>
      </c>
      <c r="H209" s="31">
        <f>Simulation_output!E207</f>
        <v>1</v>
      </c>
      <c r="I209" s="31">
        <f>Simulation_output!F207</f>
        <v>0</v>
      </c>
      <c r="J209" s="31">
        <f>Simulation_output!G207</f>
        <v>0</v>
      </c>
      <c r="K209" s="31">
        <f>Simulation_output!H207</f>
        <v>0</v>
      </c>
      <c r="L209">
        <v>1</v>
      </c>
      <c r="M209">
        <f t="shared" si="67"/>
        <v>0</v>
      </c>
      <c r="N209">
        <f t="shared" si="66"/>
        <v>0</v>
      </c>
      <c r="O209">
        <f t="shared" si="65"/>
        <v>0</v>
      </c>
      <c r="P209">
        <f t="shared" si="68"/>
        <v>0</v>
      </c>
      <c r="Q209">
        <f t="shared" si="64"/>
        <v>0</v>
      </c>
      <c r="R209">
        <f t="shared" si="54"/>
        <v>0</v>
      </c>
      <c r="S209">
        <f t="shared" si="55"/>
        <v>0</v>
      </c>
      <c r="T209">
        <f t="shared" si="56"/>
        <v>0</v>
      </c>
      <c r="U209">
        <f t="shared" si="57"/>
        <v>0</v>
      </c>
      <c r="V209">
        <f t="shared" si="58"/>
        <v>0</v>
      </c>
      <c r="W209">
        <f t="shared" si="59"/>
        <v>0</v>
      </c>
      <c r="X209">
        <f t="shared" si="60"/>
        <v>0</v>
      </c>
      <c r="Y209">
        <f t="shared" si="61"/>
        <v>0</v>
      </c>
      <c r="Z209">
        <f t="shared" si="62"/>
        <v>0</v>
      </c>
      <c r="AB209">
        <v>205</v>
      </c>
      <c r="AC209">
        <f t="shared" si="63"/>
        <v>0</v>
      </c>
      <c r="AD209">
        <f t="shared" si="53"/>
        <v>0</v>
      </c>
    </row>
    <row r="210" spans="3:30" x14ac:dyDescent="0.25">
      <c r="C210" s="3"/>
      <c r="D210" s="31">
        <f>Simulation_output!A208</f>
        <v>2065000</v>
      </c>
      <c r="E210">
        <f>Sheet2!R207</f>
        <v>126</v>
      </c>
      <c r="F210">
        <f>Sheet2!S207</f>
        <v>1</v>
      </c>
      <c r="G210">
        <f>Sheet2!T207</f>
        <v>0</v>
      </c>
      <c r="H210" s="31">
        <f>Simulation_output!E208</f>
        <v>1</v>
      </c>
      <c r="I210" s="31">
        <f>Simulation_output!F208</f>
        <v>0</v>
      </c>
      <c r="J210" s="31">
        <f>Simulation_output!G208</f>
        <v>0</v>
      </c>
      <c r="K210" s="31">
        <f>Simulation_output!H208</f>
        <v>0</v>
      </c>
      <c r="L210">
        <v>1</v>
      </c>
      <c r="M210">
        <f t="shared" si="67"/>
        <v>0</v>
      </c>
      <c r="N210">
        <f t="shared" si="66"/>
        <v>0</v>
      </c>
      <c r="O210">
        <f t="shared" si="65"/>
        <v>0</v>
      </c>
      <c r="P210">
        <f t="shared" si="68"/>
        <v>0</v>
      </c>
      <c r="Q210">
        <f t="shared" si="64"/>
        <v>0</v>
      </c>
      <c r="R210">
        <f t="shared" si="54"/>
        <v>0</v>
      </c>
      <c r="S210">
        <f t="shared" si="55"/>
        <v>0</v>
      </c>
      <c r="T210">
        <f t="shared" si="56"/>
        <v>0</v>
      </c>
      <c r="U210">
        <f t="shared" si="57"/>
        <v>0</v>
      </c>
      <c r="V210">
        <f t="shared" si="58"/>
        <v>0</v>
      </c>
      <c r="W210">
        <f t="shared" si="59"/>
        <v>0</v>
      </c>
      <c r="X210">
        <f t="shared" si="60"/>
        <v>0</v>
      </c>
      <c r="Y210">
        <f t="shared" si="61"/>
        <v>0</v>
      </c>
      <c r="Z210">
        <f t="shared" si="62"/>
        <v>0</v>
      </c>
      <c r="AB210">
        <v>206</v>
      </c>
      <c r="AC210">
        <f t="shared" si="63"/>
        <v>0</v>
      </c>
      <c r="AD210">
        <f t="shared" si="53"/>
        <v>0</v>
      </c>
    </row>
    <row r="211" spans="3:30" x14ac:dyDescent="0.25">
      <c r="C211" s="3"/>
      <c r="D211" s="31">
        <f>Simulation_output!A209</f>
        <v>2075000</v>
      </c>
      <c r="E211">
        <f>Sheet2!R208</f>
        <v>0</v>
      </c>
      <c r="F211">
        <f>Sheet2!S208</f>
        <v>0</v>
      </c>
      <c r="G211">
        <f>Sheet2!T208</f>
        <v>0</v>
      </c>
      <c r="H211" s="31">
        <f>Simulation_output!E209</f>
        <v>1</v>
      </c>
      <c r="I211" s="31">
        <f>Simulation_output!F209</f>
        <v>0</v>
      </c>
      <c r="J211" s="31">
        <f>Simulation_output!G209</f>
        <v>0</v>
      </c>
      <c r="K211" s="31">
        <f>Simulation_output!H209</f>
        <v>0</v>
      </c>
      <c r="L211">
        <v>1</v>
      </c>
      <c r="M211">
        <f t="shared" si="67"/>
        <v>0</v>
      </c>
      <c r="N211">
        <f t="shared" si="66"/>
        <v>0</v>
      </c>
      <c r="O211">
        <f t="shared" si="65"/>
        <v>0</v>
      </c>
      <c r="P211">
        <f t="shared" si="68"/>
        <v>0</v>
      </c>
      <c r="Q211">
        <f t="shared" si="64"/>
        <v>0</v>
      </c>
      <c r="R211">
        <f t="shared" si="54"/>
        <v>0</v>
      </c>
      <c r="S211">
        <f t="shared" si="55"/>
        <v>0</v>
      </c>
      <c r="T211">
        <f t="shared" si="56"/>
        <v>0</v>
      </c>
      <c r="U211">
        <f t="shared" si="57"/>
        <v>0</v>
      </c>
      <c r="V211">
        <f t="shared" si="58"/>
        <v>0</v>
      </c>
      <c r="W211">
        <f t="shared" si="59"/>
        <v>0</v>
      </c>
      <c r="X211">
        <f t="shared" si="60"/>
        <v>0</v>
      </c>
      <c r="Y211">
        <f t="shared" si="61"/>
        <v>0</v>
      </c>
      <c r="Z211">
        <f t="shared" si="62"/>
        <v>0</v>
      </c>
      <c r="AB211">
        <v>207</v>
      </c>
      <c r="AC211">
        <f t="shared" si="63"/>
        <v>0</v>
      </c>
      <c r="AD211">
        <f t="shared" si="53"/>
        <v>0</v>
      </c>
    </row>
    <row r="212" spans="3:30" x14ac:dyDescent="0.25">
      <c r="C212" s="3"/>
      <c r="D212" s="31">
        <f>Simulation_output!A210</f>
        <v>2085000</v>
      </c>
      <c r="E212">
        <f>Sheet2!R209</f>
        <v>1026</v>
      </c>
      <c r="F212">
        <f>Sheet2!S209</f>
        <v>1</v>
      </c>
      <c r="G212">
        <f>Sheet2!T209</f>
        <v>0</v>
      </c>
      <c r="H212" s="31">
        <f>Simulation_output!E210</f>
        <v>1</v>
      </c>
      <c r="I212" s="31">
        <f>Simulation_output!F210</f>
        <v>0</v>
      </c>
      <c r="J212" s="31">
        <f>Simulation_output!G210</f>
        <v>0</v>
      </c>
      <c r="K212" s="31">
        <f>Simulation_output!H210</f>
        <v>0</v>
      </c>
      <c r="L212">
        <v>1</v>
      </c>
      <c r="M212">
        <f t="shared" si="67"/>
        <v>0</v>
      </c>
      <c r="N212">
        <f t="shared" si="66"/>
        <v>0</v>
      </c>
      <c r="O212">
        <f t="shared" si="65"/>
        <v>0</v>
      </c>
      <c r="P212">
        <f t="shared" si="68"/>
        <v>0</v>
      </c>
      <c r="Q212">
        <f t="shared" si="64"/>
        <v>0</v>
      </c>
      <c r="R212">
        <f t="shared" si="54"/>
        <v>0</v>
      </c>
      <c r="S212">
        <f t="shared" si="55"/>
        <v>0</v>
      </c>
      <c r="T212">
        <f t="shared" si="56"/>
        <v>0</v>
      </c>
      <c r="U212">
        <f t="shared" si="57"/>
        <v>0</v>
      </c>
      <c r="V212">
        <f t="shared" si="58"/>
        <v>0</v>
      </c>
      <c r="W212">
        <f t="shared" si="59"/>
        <v>0</v>
      </c>
      <c r="X212">
        <f t="shared" si="60"/>
        <v>0</v>
      </c>
      <c r="Y212">
        <f t="shared" si="61"/>
        <v>0</v>
      </c>
      <c r="Z212">
        <f t="shared" si="62"/>
        <v>0</v>
      </c>
      <c r="AB212">
        <v>208</v>
      </c>
      <c r="AC212">
        <f t="shared" si="63"/>
        <v>0</v>
      </c>
      <c r="AD212">
        <f t="shared" si="53"/>
        <v>0</v>
      </c>
    </row>
    <row r="213" spans="3:30" x14ac:dyDescent="0.25">
      <c r="C213" s="3"/>
      <c r="D213" s="31">
        <f>Simulation_output!A211</f>
        <v>2095000</v>
      </c>
      <c r="E213">
        <f>Sheet2!R210</f>
        <v>0</v>
      </c>
      <c r="F213">
        <f>Sheet2!S210</f>
        <v>0</v>
      </c>
      <c r="G213">
        <f>Sheet2!T210</f>
        <v>0</v>
      </c>
      <c r="H213" s="31">
        <f>Simulation_output!E211</f>
        <v>1</v>
      </c>
      <c r="I213" s="31">
        <f>Simulation_output!F211</f>
        <v>0</v>
      </c>
      <c r="J213" s="31">
        <f>Simulation_output!G211</f>
        <v>0</v>
      </c>
      <c r="K213" s="31">
        <f>Simulation_output!H211</f>
        <v>0</v>
      </c>
      <c r="L213">
        <v>1</v>
      </c>
      <c r="M213">
        <f t="shared" si="67"/>
        <v>0</v>
      </c>
      <c r="N213">
        <f t="shared" si="66"/>
        <v>0</v>
      </c>
      <c r="O213">
        <f t="shared" si="65"/>
        <v>0</v>
      </c>
      <c r="P213">
        <f t="shared" si="68"/>
        <v>0</v>
      </c>
      <c r="Q213">
        <f t="shared" si="64"/>
        <v>0</v>
      </c>
      <c r="R213">
        <f t="shared" si="54"/>
        <v>0</v>
      </c>
      <c r="S213">
        <f t="shared" si="55"/>
        <v>0</v>
      </c>
      <c r="T213">
        <f t="shared" si="56"/>
        <v>0</v>
      </c>
      <c r="U213">
        <f t="shared" si="57"/>
        <v>0</v>
      </c>
      <c r="V213">
        <f t="shared" si="58"/>
        <v>0</v>
      </c>
      <c r="W213">
        <f t="shared" si="59"/>
        <v>0</v>
      </c>
      <c r="X213">
        <f t="shared" si="60"/>
        <v>0</v>
      </c>
      <c r="Y213">
        <f t="shared" si="61"/>
        <v>0</v>
      </c>
      <c r="Z213">
        <f t="shared" si="62"/>
        <v>0</v>
      </c>
      <c r="AB213">
        <v>209</v>
      </c>
      <c r="AC213">
        <f t="shared" si="63"/>
        <v>0</v>
      </c>
      <c r="AD213">
        <f t="shared" si="53"/>
        <v>0</v>
      </c>
    </row>
    <row r="214" spans="3:30" x14ac:dyDescent="0.25">
      <c r="C214" s="3"/>
      <c r="D214" s="31">
        <f>Simulation_output!A212</f>
        <v>2105000</v>
      </c>
      <c r="E214">
        <f>Sheet2!R211</f>
        <v>10026</v>
      </c>
      <c r="F214">
        <f>Sheet2!S211</f>
        <v>1</v>
      </c>
      <c r="G214">
        <f>Sheet2!T211</f>
        <v>1</v>
      </c>
      <c r="H214" s="31">
        <f>Simulation_output!E212</f>
        <v>1</v>
      </c>
      <c r="I214" s="31">
        <f>Simulation_output!F212</f>
        <v>0</v>
      </c>
      <c r="J214" s="31">
        <f>Simulation_output!G212</f>
        <v>0</v>
      </c>
      <c r="K214" s="31">
        <f>Simulation_output!H212</f>
        <v>0</v>
      </c>
      <c r="L214">
        <v>1</v>
      </c>
      <c r="M214">
        <f t="shared" si="67"/>
        <v>0</v>
      </c>
      <c r="N214">
        <f t="shared" si="66"/>
        <v>0</v>
      </c>
      <c r="O214">
        <f t="shared" si="65"/>
        <v>0</v>
      </c>
      <c r="P214">
        <f t="shared" si="68"/>
        <v>0</v>
      </c>
      <c r="Q214">
        <f t="shared" si="64"/>
        <v>0</v>
      </c>
      <c r="R214">
        <f t="shared" si="54"/>
        <v>0</v>
      </c>
      <c r="S214">
        <f t="shared" si="55"/>
        <v>0</v>
      </c>
      <c r="T214">
        <f t="shared" si="56"/>
        <v>0</v>
      </c>
      <c r="U214">
        <f t="shared" si="57"/>
        <v>0</v>
      </c>
      <c r="V214">
        <f t="shared" si="58"/>
        <v>0</v>
      </c>
      <c r="W214">
        <f t="shared" si="59"/>
        <v>0</v>
      </c>
      <c r="X214">
        <f t="shared" si="60"/>
        <v>0</v>
      </c>
      <c r="Y214">
        <f t="shared" si="61"/>
        <v>0</v>
      </c>
      <c r="Z214">
        <f t="shared" si="62"/>
        <v>0</v>
      </c>
      <c r="AB214">
        <v>210</v>
      </c>
      <c r="AC214">
        <f t="shared" si="63"/>
        <v>0</v>
      </c>
      <c r="AD214">
        <f t="shared" si="53"/>
        <v>0</v>
      </c>
    </row>
    <row r="215" spans="3:30" x14ac:dyDescent="0.25">
      <c r="C215" s="3"/>
      <c r="D215" s="31">
        <f>Simulation_output!A213</f>
        <v>2115000</v>
      </c>
      <c r="E215">
        <f>Sheet2!R212</f>
        <v>0</v>
      </c>
      <c r="F215">
        <f>Sheet2!S212</f>
        <v>0</v>
      </c>
      <c r="G215">
        <f>Sheet2!T212</f>
        <v>0</v>
      </c>
      <c r="H215" s="31">
        <f>Simulation_output!E213</f>
        <v>1</v>
      </c>
      <c r="I215" s="31">
        <f>Simulation_output!F213</f>
        <v>0</v>
      </c>
      <c r="J215" s="31">
        <f>Simulation_output!G213</f>
        <v>0</v>
      </c>
      <c r="K215" s="31">
        <f>Simulation_output!H213</f>
        <v>0</v>
      </c>
      <c r="L215">
        <v>1</v>
      </c>
      <c r="M215">
        <f t="shared" si="67"/>
        <v>0</v>
      </c>
      <c r="N215">
        <f t="shared" si="66"/>
        <v>0</v>
      </c>
      <c r="O215">
        <f t="shared" si="65"/>
        <v>0</v>
      </c>
      <c r="P215">
        <f t="shared" si="68"/>
        <v>0</v>
      </c>
      <c r="Q215">
        <f t="shared" si="64"/>
        <v>0</v>
      </c>
      <c r="R215">
        <f t="shared" si="54"/>
        <v>0</v>
      </c>
      <c r="S215">
        <f t="shared" si="55"/>
        <v>0</v>
      </c>
      <c r="T215">
        <f t="shared" si="56"/>
        <v>0</v>
      </c>
      <c r="U215">
        <f t="shared" si="57"/>
        <v>0</v>
      </c>
      <c r="V215">
        <f t="shared" si="58"/>
        <v>0</v>
      </c>
      <c r="W215">
        <f t="shared" si="59"/>
        <v>0</v>
      </c>
      <c r="X215">
        <f t="shared" si="60"/>
        <v>0</v>
      </c>
      <c r="Y215">
        <f t="shared" si="61"/>
        <v>0</v>
      </c>
      <c r="Z215">
        <f t="shared" si="62"/>
        <v>0</v>
      </c>
      <c r="AB215">
        <v>211</v>
      </c>
      <c r="AC215">
        <f t="shared" si="63"/>
        <v>0</v>
      </c>
      <c r="AD215">
        <f t="shared" si="53"/>
        <v>0</v>
      </c>
    </row>
    <row r="216" spans="3:30" x14ac:dyDescent="0.25">
      <c r="C216" s="3"/>
      <c r="D216" s="31">
        <f>Simulation_output!A214</f>
        <v>2125000</v>
      </c>
      <c r="E216">
        <f>Sheet2!R213</f>
        <v>0</v>
      </c>
      <c r="F216">
        <f>Sheet2!S213</f>
        <v>1</v>
      </c>
      <c r="G216">
        <f>Sheet2!T213</f>
        <v>0</v>
      </c>
      <c r="H216" s="31">
        <f>Simulation_output!E214</f>
        <v>1</v>
      </c>
      <c r="I216" s="31">
        <f>Simulation_output!F214</f>
        <v>0</v>
      </c>
      <c r="J216" s="31">
        <f>Simulation_output!G214</f>
        <v>0</v>
      </c>
      <c r="K216" s="31">
        <f>Simulation_output!H214</f>
        <v>0</v>
      </c>
      <c r="L216">
        <v>1</v>
      </c>
      <c r="M216">
        <f t="shared" si="67"/>
        <v>0</v>
      </c>
      <c r="N216">
        <f t="shared" si="66"/>
        <v>0</v>
      </c>
      <c r="O216">
        <f t="shared" si="65"/>
        <v>0</v>
      </c>
      <c r="P216">
        <f t="shared" si="68"/>
        <v>0</v>
      </c>
      <c r="Q216">
        <f t="shared" si="64"/>
        <v>0</v>
      </c>
      <c r="R216">
        <f t="shared" si="54"/>
        <v>0</v>
      </c>
      <c r="S216">
        <f t="shared" si="55"/>
        <v>0</v>
      </c>
      <c r="T216">
        <f t="shared" si="56"/>
        <v>0</v>
      </c>
      <c r="U216">
        <f t="shared" si="57"/>
        <v>0</v>
      </c>
      <c r="V216">
        <f t="shared" si="58"/>
        <v>0</v>
      </c>
      <c r="W216">
        <f t="shared" si="59"/>
        <v>0</v>
      </c>
      <c r="X216">
        <f t="shared" si="60"/>
        <v>0</v>
      </c>
      <c r="Y216">
        <f t="shared" si="61"/>
        <v>0</v>
      </c>
      <c r="Z216">
        <f t="shared" si="62"/>
        <v>0</v>
      </c>
      <c r="AB216">
        <v>212</v>
      </c>
      <c r="AC216">
        <f t="shared" si="63"/>
        <v>0</v>
      </c>
      <c r="AD216">
        <f t="shared" si="53"/>
        <v>0</v>
      </c>
    </row>
    <row r="217" spans="3:30" x14ac:dyDescent="0.25">
      <c r="C217" s="3"/>
      <c r="D217" s="31">
        <f>Simulation_output!A215</f>
        <v>2135000</v>
      </c>
      <c r="E217">
        <f>Sheet2!R214</f>
        <v>0</v>
      </c>
      <c r="F217">
        <f>Sheet2!S214</f>
        <v>0</v>
      </c>
      <c r="G217">
        <f>Sheet2!T214</f>
        <v>0</v>
      </c>
      <c r="H217" s="31">
        <f>Simulation_output!E215</f>
        <v>1</v>
      </c>
      <c r="I217" s="31">
        <f>Simulation_output!F215</f>
        <v>0</v>
      </c>
      <c r="J217" s="31">
        <f>Simulation_output!G215</f>
        <v>0</v>
      </c>
      <c r="K217" s="31">
        <f>Simulation_output!H215</f>
        <v>0</v>
      </c>
      <c r="L217">
        <v>1</v>
      </c>
      <c r="M217">
        <f t="shared" si="67"/>
        <v>0</v>
      </c>
      <c r="N217">
        <f t="shared" si="66"/>
        <v>0</v>
      </c>
      <c r="O217">
        <f t="shared" si="65"/>
        <v>0</v>
      </c>
      <c r="P217">
        <f t="shared" si="68"/>
        <v>0</v>
      </c>
      <c r="Q217">
        <f t="shared" si="64"/>
        <v>0</v>
      </c>
      <c r="R217">
        <f t="shared" si="54"/>
        <v>0</v>
      </c>
      <c r="S217">
        <f t="shared" si="55"/>
        <v>0</v>
      </c>
      <c r="T217">
        <f t="shared" si="56"/>
        <v>0</v>
      </c>
      <c r="U217">
        <f t="shared" si="57"/>
        <v>0</v>
      </c>
      <c r="V217">
        <f t="shared" si="58"/>
        <v>0</v>
      </c>
      <c r="W217">
        <f t="shared" si="59"/>
        <v>0</v>
      </c>
      <c r="X217">
        <f t="shared" si="60"/>
        <v>0</v>
      </c>
      <c r="Y217">
        <f t="shared" si="61"/>
        <v>0</v>
      </c>
      <c r="Z217">
        <f t="shared" si="62"/>
        <v>0</v>
      </c>
      <c r="AB217">
        <v>213</v>
      </c>
      <c r="AC217">
        <f t="shared" si="63"/>
        <v>0</v>
      </c>
      <c r="AD217">
        <f t="shared" si="53"/>
        <v>0</v>
      </c>
    </row>
    <row r="218" spans="3:30" x14ac:dyDescent="0.25">
      <c r="C218" s="3"/>
      <c r="D218" s="31">
        <f>Simulation_output!A216</f>
        <v>2145000</v>
      </c>
      <c r="E218">
        <f>Sheet2!R215</f>
        <v>5</v>
      </c>
      <c r="F218">
        <f>Sheet2!S215</f>
        <v>1</v>
      </c>
      <c r="G218">
        <f>Sheet2!T215</f>
        <v>0</v>
      </c>
      <c r="H218" s="31">
        <f>Simulation_output!E216</f>
        <v>1</v>
      </c>
      <c r="I218" s="31">
        <f>Simulation_output!F216</f>
        <v>0</v>
      </c>
      <c r="J218" s="31">
        <f>Simulation_output!G216</f>
        <v>0</v>
      </c>
      <c r="K218" s="31">
        <f>Simulation_output!H216</f>
        <v>0</v>
      </c>
      <c r="L218">
        <v>1</v>
      </c>
      <c r="M218">
        <f t="shared" si="67"/>
        <v>0</v>
      </c>
      <c r="N218">
        <f t="shared" si="66"/>
        <v>0</v>
      </c>
      <c r="O218">
        <f t="shared" si="65"/>
        <v>0</v>
      </c>
      <c r="P218">
        <f t="shared" si="68"/>
        <v>0</v>
      </c>
      <c r="Q218">
        <f t="shared" si="64"/>
        <v>0</v>
      </c>
      <c r="R218">
        <f t="shared" si="54"/>
        <v>0</v>
      </c>
      <c r="S218">
        <f t="shared" si="55"/>
        <v>0</v>
      </c>
      <c r="T218">
        <f t="shared" si="56"/>
        <v>0</v>
      </c>
      <c r="U218">
        <f t="shared" si="57"/>
        <v>0</v>
      </c>
      <c r="V218">
        <f t="shared" si="58"/>
        <v>0</v>
      </c>
      <c r="W218">
        <f t="shared" si="59"/>
        <v>0</v>
      </c>
      <c r="X218">
        <f t="shared" si="60"/>
        <v>0</v>
      </c>
      <c r="Y218">
        <f t="shared" si="61"/>
        <v>0</v>
      </c>
      <c r="Z218">
        <f t="shared" si="62"/>
        <v>0</v>
      </c>
      <c r="AB218">
        <v>214</v>
      </c>
      <c r="AC218">
        <f t="shared" si="63"/>
        <v>0</v>
      </c>
      <c r="AD218">
        <f t="shared" si="53"/>
        <v>0</v>
      </c>
    </row>
    <row r="219" spans="3:30" x14ac:dyDescent="0.25">
      <c r="C219" s="3"/>
      <c r="D219" s="31">
        <f>Simulation_output!A217</f>
        <v>2155000</v>
      </c>
      <c r="E219">
        <f>Sheet2!R216</f>
        <v>0</v>
      </c>
      <c r="F219">
        <f>Sheet2!S216</f>
        <v>0</v>
      </c>
      <c r="G219">
        <f>Sheet2!T216</f>
        <v>0</v>
      </c>
      <c r="H219" s="31">
        <f>Simulation_output!E217</f>
        <v>1</v>
      </c>
      <c r="I219" s="31">
        <f>Simulation_output!F217</f>
        <v>0</v>
      </c>
      <c r="J219" s="31">
        <f>Simulation_output!G217</f>
        <v>0</v>
      </c>
      <c r="K219" s="31">
        <f>Simulation_output!H217</f>
        <v>0</v>
      </c>
      <c r="L219">
        <v>1</v>
      </c>
      <c r="M219">
        <f t="shared" si="67"/>
        <v>0</v>
      </c>
      <c r="N219">
        <f t="shared" si="66"/>
        <v>0</v>
      </c>
      <c r="O219">
        <f t="shared" si="65"/>
        <v>0</v>
      </c>
      <c r="P219">
        <f t="shared" si="68"/>
        <v>0</v>
      </c>
      <c r="Q219">
        <f t="shared" si="64"/>
        <v>0</v>
      </c>
      <c r="R219">
        <f t="shared" si="54"/>
        <v>0</v>
      </c>
      <c r="S219">
        <f t="shared" si="55"/>
        <v>0</v>
      </c>
      <c r="T219">
        <f t="shared" si="56"/>
        <v>0</v>
      </c>
      <c r="U219">
        <f t="shared" si="57"/>
        <v>0</v>
      </c>
      <c r="V219">
        <f t="shared" si="58"/>
        <v>0</v>
      </c>
      <c r="W219">
        <f t="shared" si="59"/>
        <v>0</v>
      </c>
      <c r="X219">
        <f t="shared" si="60"/>
        <v>0</v>
      </c>
      <c r="Y219">
        <f t="shared" si="61"/>
        <v>0</v>
      </c>
      <c r="Z219">
        <f t="shared" si="62"/>
        <v>0</v>
      </c>
      <c r="AB219">
        <v>215</v>
      </c>
      <c r="AC219">
        <f t="shared" si="63"/>
        <v>0</v>
      </c>
      <c r="AD219">
        <f t="shared" si="53"/>
        <v>0</v>
      </c>
    </row>
    <row r="220" spans="3:30" x14ac:dyDescent="0.25">
      <c r="C220" s="3"/>
      <c r="D220" s="31">
        <f>Simulation_output!A218</f>
        <v>2165000</v>
      </c>
      <c r="E220">
        <f>Sheet2!R217</f>
        <v>27</v>
      </c>
      <c r="F220">
        <f>Sheet2!S217</f>
        <v>1</v>
      </c>
      <c r="G220">
        <f>Sheet2!T217</f>
        <v>0</v>
      </c>
      <c r="H220" s="31">
        <f>Simulation_output!E218</f>
        <v>1</v>
      </c>
      <c r="I220" s="31">
        <f>Simulation_output!F218</f>
        <v>0</v>
      </c>
      <c r="J220" s="31">
        <f>Simulation_output!G218</f>
        <v>0</v>
      </c>
      <c r="K220" s="31">
        <f>Simulation_output!H218</f>
        <v>0</v>
      </c>
      <c r="L220">
        <v>1</v>
      </c>
      <c r="M220">
        <f t="shared" si="67"/>
        <v>0</v>
      </c>
      <c r="N220">
        <f t="shared" si="66"/>
        <v>0</v>
      </c>
      <c r="O220">
        <f t="shared" si="65"/>
        <v>0</v>
      </c>
      <c r="P220">
        <f t="shared" si="68"/>
        <v>0</v>
      </c>
      <c r="Q220">
        <f t="shared" si="64"/>
        <v>0</v>
      </c>
      <c r="R220">
        <f t="shared" si="54"/>
        <v>0</v>
      </c>
      <c r="S220">
        <f t="shared" si="55"/>
        <v>0</v>
      </c>
      <c r="T220">
        <f t="shared" si="56"/>
        <v>0</v>
      </c>
      <c r="U220">
        <f t="shared" si="57"/>
        <v>0</v>
      </c>
      <c r="V220">
        <f t="shared" si="58"/>
        <v>0</v>
      </c>
      <c r="W220">
        <f t="shared" si="59"/>
        <v>0</v>
      </c>
      <c r="X220">
        <f t="shared" si="60"/>
        <v>0</v>
      </c>
      <c r="Y220">
        <f t="shared" si="61"/>
        <v>0</v>
      </c>
      <c r="Z220">
        <f t="shared" si="62"/>
        <v>0</v>
      </c>
      <c r="AB220">
        <v>216</v>
      </c>
      <c r="AC220">
        <f t="shared" si="63"/>
        <v>0</v>
      </c>
      <c r="AD220">
        <f t="shared" si="53"/>
        <v>0</v>
      </c>
    </row>
    <row r="221" spans="3:30" x14ac:dyDescent="0.25">
      <c r="C221" s="3"/>
      <c r="D221" s="31">
        <f>Simulation_output!A219</f>
        <v>2175000</v>
      </c>
      <c r="E221">
        <f>Sheet2!R218</f>
        <v>0</v>
      </c>
      <c r="F221">
        <f>Sheet2!S218</f>
        <v>0</v>
      </c>
      <c r="G221">
        <f>Sheet2!T218</f>
        <v>0</v>
      </c>
      <c r="H221" s="31">
        <f>Simulation_output!E219</f>
        <v>1</v>
      </c>
      <c r="I221" s="31">
        <f>Simulation_output!F219</f>
        <v>0</v>
      </c>
      <c r="J221" s="31">
        <f>Simulation_output!G219</f>
        <v>0</v>
      </c>
      <c r="K221" s="31">
        <f>Simulation_output!H219</f>
        <v>0</v>
      </c>
      <c r="L221">
        <v>1</v>
      </c>
      <c r="M221">
        <f t="shared" si="67"/>
        <v>0</v>
      </c>
      <c r="N221">
        <f t="shared" si="66"/>
        <v>0</v>
      </c>
      <c r="O221">
        <f t="shared" si="65"/>
        <v>0</v>
      </c>
      <c r="P221">
        <f t="shared" si="68"/>
        <v>0</v>
      </c>
      <c r="Q221">
        <f t="shared" si="64"/>
        <v>0</v>
      </c>
      <c r="R221">
        <f t="shared" si="54"/>
        <v>0</v>
      </c>
      <c r="S221">
        <f t="shared" si="55"/>
        <v>0</v>
      </c>
      <c r="T221">
        <f t="shared" si="56"/>
        <v>0</v>
      </c>
      <c r="U221">
        <f t="shared" si="57"/>
        <v>0</v>
      </c>
      <c r="V221">
        <f t="shared" si="58"/>
        <v>0</v>
      </c>
      <c r="W221">
        <f t="shared" si="59"/>
        <v>0</v>
      </c>
      <c r="X221">
        <f t="shared" si="60"/>
        <v>0</v>
      </c>
      <c r="Y221">
        <f t="shared" si="61"/>
        <v>0</v>
      </c>
      <c r="Z221">
        <f t="shared" si="62"/>
        <v>0</v>
      </c>
      <c r="AB221">
        <v>217</v>
      </c>
      <c r="AC221">
        <f t="shared" si="63"/>
        <v>0</v>
      </c>
      <c r="AD221">
        <f t="shared" si="53"/>
        <v>0</v>
      </c>
    </row>
    <row r="222" spans="3:30" x14ac:dyDescent="0.25">
      <c r="C222" s="3"/>
      <c r="D222" s="31">
        <f>Simulation_output!A220</f>
        <v>2185000</v>
      </c>
      <c r="E222">
        <f>Sheet2!R219</f>
        <v>127</v>
      </c>
      <c r="F222">
        <f>Sheet2!S219</f>
        <v>1</v>
      </c>
      <c r="G222">
        <f>Sheet2!T219</f>
        <v>0</v>
      </c>
      <c r="H222" s="31">
        <f>Simulation_output!E220</f>
        <v>1</v>
      </c>
      <c r="I222" s="31">
        <f>Simulation_output!F220</f>
        <v>0</v>
      </c>
      <c r="J222" s="31">
        <f>Simulation_output!G220</f>
        <v>0</v>
      </c>
      <c r="K222" s="31">
        <f>Simulation_output!H220</f>
        <v>0</v>
      </c>
      <c r="L222">
        <v>1</v>
      </c>
      <c r="M222">
        <f t="shared" si="67"/>
        <v>0</v>
      </c>
      <c r="N222">
        <f t="shared" si="66"/>
        <v>0</v>
      </c>
      <c r="O222">
        <f t="shared" si="65"/>
        <v>0</v>
      </c>
      <c r="P222">
        <f t="shared" si="68"/>
        <v>0</v>
      </c>
      <c r="Q222">
        <f t="shared" si="64"/>
        <v>0</v>
      </c>
      <c r="R222">
        <f t="shared" si="54"/>
        <v>0</v>
      </c>
      <c r="S222">
        <f t="shared" si="55"/>
        <v>0</v>
      </c>
      <c r="T222">
        <f t="shared" si="56"/>
        <v>0</v>
      </c>
      <c r="U222">
        <f t="shared" si="57"/>
        <v>0</v>
      </c>
      <c r="V222">
        <f t="shared" si="58"/>
        <v>0</v>
      </c>
      <c r="W222">
        <f t="shared" si="59"/>
        <v>0</v>
      </c>
      <c r="X222">
        <f t="shared" si="60"/>
        <v>0</v>
      </c>
      <c r="Y222">
        <f t="shared" si="61"/>
        <v>0</v>
      </c>
      <c r="Z222">
        <f t="shared" si="62"/>
        <v>0</v>
      </c>
      <c r="AB222">
        <v>218</v>
      </c>
      <c r="AC222">
        <f t="shared" si="63"/>
        <v>0</v>
      </c>
      <c r="AD222">
        <f t="shared" si="53"/>
        <v>0</v>
      </c>
    </row>
    <row r="223" spans="3:30" x14ac:dyDescent="0.25">
      <c r="C223" s="3"/>
      <c r="D223" s="31">
        <f>Simulation_output!A221</f>
        <v>2195000</v>
      </c>
      <c r="E223">
        <f>Sheet2!R220</f>
        <v>0</v>
      </c>
      <c r="F223">
        <f>Sheet2!S220</f>
        <v>0</v>
      </c>
      <c r="G223">
        <f>Sheet2!T220</f>
        <v>0</v>
      </c>
      <c r="H223" s="31">
        <f>Simulation_output!E221</f>
        <v>1</v>
      </c>
      <c r="I223" s="31">
        <f>Simulation_output!F221</f>
        <v>0</v>
      </c>
      <c r="J223" s="31">
        <f>Simulation_output!G221</f>
        <v>0</v>
      </c>
      <c r="K223" s="31">
        <f>Simulation_output!H221</f>
        <v>0</v>
      </c>
      <c r="L223">
        <v>1</v>
      </c>
      <c r="M223">
        <f t="shared" si="67"/>
        <v>0</v>
      </c>
      <c r="N223">
        <f t="shared" si="66"/>
        <v>0</v>
      </c>
      <c r="O223">
        <f t="shared" si="65"/>
        <v>0</v>
      </c>
      <c r="P223">
        <f t="shared" si="68"/>
        <v>0</v>
      </c>
      <c r="Q223">
        <f t="shared" si="64"/>
        <v>0</v>
      </c>
      <c r="R223">
        <f t="shared" si="54"/>
        <v>0</v>
      </c>
      <c r="S223">
        <f t="shared" si="55"/>
        <v>0</v>
      </c>
      <c r="T223">
        <f t="shared" si="56"/>
        <v>0</v>
      </c>
      <c r="U223">
        <f t="shared" si="57"/>
        <v>0</v>
      </c>
      <c r="V223">
        <f t="shared" si="58"/>
        <v>0</v>
      </c>
      <c r="W223">
        <f t="shared" si="59"/>
        <v>0</v>
      </c>
      <c r="X223">
        <f t="shared" si="60"/>
        <v>0</v>
      </c>
      <c r="Y223">
        <f t="shared" si="61"/>
        <v>0</v>
      </c>
      <c r="Z223">
        <f t="shared" si="62"/>
        <v>0</v>
      </c>
      <c r="AB223">
        <v>219</v>
      </c>
      <c r="AC223">
        <f t="shared" si="63"/>
        <v>0</v>
      </c>
      <c r="AD223">
        <f t="shared" si="53"/>
        <v>0</v>
      </c>
    </row>
    <row r="224" spans="3:30" x14ac:dyDescent="0.25">
      <c r="C224" s="3"/>
      <c r="D224" s="31">
        <f>Simulation_output!A222</f>
        <v>2205000</v>
      </c>
      <c r="E224">
        <f>Sheet2!R221</f>
        <v>1027</v>
      </c>
      <c r="F224">
        <f>Sheet2!S221</f>
        <v>1</v>
      </c>
      <c r="G224">
        <f>Sheet2!T221</f>
        <v>0</v>
      </c>
      <c r="H224" s="31">
        <f>Simulation_output!E222</f>
        <v>1</v>
      </c>
      <c r="I224" s="31">
        <f>Simulation_output!F222</f>
        <v>0</v>
      </c>
      <c r="J224" s="31">
        <f>Simulation_output!G222</f>
        <v>0</v>
      </c>
      <c r="K224" s="31">
        <f>Simulation_output!H222</f>
        <v>0</v>
      </c>
      <c r="L224">
        <v>1</v>
      </c>
      <c r="M224">
        <f t="shared" si="67"/>
        <v>0</v>
      </c>
      <c r="N224">
        <f t="shared" si="66"/>
        <v>0</v>
      </c>
      <c r="O224">
        <f t="shared" si="65"/>
        <v>0</v>
      </c>
      <c r="P224">
        <f t="shared" si="68"/>
        <v>0</v>
      </c>
      <c r="Q224">
        <f t="shared" si="64"/>
        <v>0</v>
      </c>
      <c r="R224">
        <f t="shared" si="54"/>
        <v>0</v>
      </c>
      <c r="S224">
        <f t="shared" si="55"/>
        <v>0</v>
      </c>
      <c r="T224">
        <f t="shared" si="56"/>
        <v>0</v>
      </c>
      <c r="U224">
        <f t="shared" si="57"/>
        <v>0</v>
      </c>
      <c r="V224">
        <f t="shared" si="58"/>
        <v>0</v>
      </c>
      <c r="W224">
        <f t="shared" si="59"/>
        <v>0</v>
      </c>
      <c r="X224">
        <f t="shared" si="60"/>
        <v>0</v>
      </c>
      <c r="Y224">
        <f t="shared" si="61"/>
        <v>0</v>
      </c>
      <c r="Z224">
        <f t="shared" si="62"/>
        <v>0</v>
      </c>
      <c r="AB224">
        <v>220</v>
      </c>
      <c r="AC224">
        <f t="shared" si="63"/>
        <v>0</v>
      </c>
      <c r="AD224">
        <f t="shared" si="53"/>
        <v>0</v>
      </c>
    </row>
    <row r="225" spans="3:30" x14ac:dyDescent="0.25">
      <c r="C225" s="3"/>
      <c r="D225" s="31">
        <f>Simulation_output!A223</f>
        <v>2215000</v>
      </c>
      <c r="E225">
        <f>Sheet2!R222</f>
        <v>0</v>
      </c>
      <c r="F225">
        <f>Sheet2!S222</f>
        <v>0</v>
      </c>
      <c r="G225">
        <f>Sheet2!T222</f>
        <v>0</v>
      </c>
      <c r="H225" s="31">
        <f>Simulation_output!E223</f>
        <v>1</v>
      </c>
      <c r="I225" s="31">
        <f>Simulation_output!F223</f>
        <v>0</v>
      </c>
      <c r="J225" s="31">
        <f>Simulation_output!G223</f>
        <v>0</v>
      </c>
      <c r="K225" s="31">
        <f>Simulation_output!H223</f>
        <v>0</v>
      </c>
      <c r="L225">
        <v>1</v>
      </c>
      <c r="M225">
        <f t="shared" si="67"/>
        <v>0</v>
      </c>
      <c r="N225">
        <f t="shared" si="66"/>
        <v>0</v>
      </c>
      <c r="O225">
        <f t="shared" si="65"/>
        <v>0</v>
      </c>
      <c r="P225">
        <f t="shared" si="68"/>
        <v>0</v>
      </c>
      <c r="Q225">
        <f t="shared" si="64"/>
        <v>0</v>
      </c>
      <c r="R225">
        <f t="shared" si="54"/>
        <v>0</v>
      </c>
      <c r="S225">
        <f t="shared" si="55"/>
        <v>0</v>
      </c>
      <c r="T225">
        <f t="shared" si="56"/>
        <v>0</v>
      </c>
      <c r="U225">
        <f t="shared" si="57"/>
        <v>0</v>
      </c>
      <c r="V225">
        <f t="shared" si="58"/>
        <v>0</v>
      </c>
      <c r="W225">
        <f t="shared" si="59"/>
        <v>0</v>
      </c>
      <c r="X225">
        <f t="shared" si="60"/>
        <v>0</v>
      </c>
      <c r="Y225">
        <f t="shared" si="61"/>
        <v>0</v>
      </c>
      <c r="Z225">
        <f t="shared" si="62"/>
        <v>0</v>
      </c>
      <c r="AB225">
        <v>221</v>
      </c>
      <c r="AC225">
        <f t="shared" si="63"/>
        <v>0</v>
      </c>
      <c r="AD225">
        <f t="shared" si="53"/>
        <v>0</v>
      </c>
    </row>
    <row r="226" spans="3:30" x14ac:dyDescent="0.25">
      <c r="C226" s="3"/>
      <c r="D226" s="31">
        <f>Simulation_output!A224</f>
        <v>2225000</v>
      </c>
      <c r="E226">
        <f>Sheet2!R223</f>
        <v>10027</v>
      </c>
      <c r="F226">
        <f>Sheet2!S223</f>
        <v>1</v>
      </c>
      <c r="G226">
        <f>Sheet2!T223</f>
        <v>1</v>
      </c>
      <c r="H226" s="31">
        <f>Simulation_output!E224</f>
        <v>1</v>
      </c>
      <c r="I226" s="31">
        <f>Simulation_output!F224</f>
        <v>0</v>
      </c>
      <c r="J226" s="31">
        <f>Simulation_output!G224</f>
        <v>0</v>
      </c>
      <c r="K226" s="31">
        <f>Simulation_output!H224</f>
        <v>0</v>
      </c>
      <c r="L226">
        <v>1</v>
      </c>
      <c r="M226">
        <f t="shared" si="67"/>
        <v>0</v>
      </c>
      <c r="N226">
        <f t="shared" si="66"/>
        <v>0</v>
      </c>
      <c r="O226">
        <f t="shared" si="65"/>
        <v>0</v>
      </c>
      <c r="P226">
        <f t="shared" si="68"/>
        <v>0</v>
      </c>
      <c r="Q226">
        <f t="shared" si="64"/>
        <v>0</v>
      </c>
      <c r="R226">
        <f t="shared" si="54"/>
        <v>0</v>
      </c>
      <c r="S226">
        <f t="shared" si="55"/>
        <v>0</v>
      </c>
      <c r="T226">
        <f t="shared" si="56"/>
        <v>0</v>
      </c>
      <c r="U226">
        <f t="shared" si="57"/>
        <v>0</v>
      </c>
      <c r="V226">
        <f t="shared" si="58"/>
        <v>0</v>
      </c>
      <c r="W226">
        <f t="shared" si="59"/>
        <v>0</v>
      </c>
      <c r="X226">
        <f t="shared" si="60"/>
        <v>0</v>
      </c>
      <c r="Y226">
        <f t="shared" si="61"/>
        <v>0</v>
      </c>
      <c r="Z226">
        <f t="shared" si="62"/>
        <v>0</v>
      </c>
      <c r="AB226">
        <v>222</v>
      </c>
      <c r="AC226">
        <f t="shared" si="63"/>
        <v>0</v>
      </c>
      <c r="AD226">
        <f t="shared" si="53"/>
        <v>0</v>
      </c>
    </row>
    <row r="227" spans="3:30" x14ac:dyDescent="0.25">
      <c r="C227" s="3"/>
      <c r="D227" s="31">
        <f>Simulation_output!A225</f>
        <v>2235000</v>
      </c>
      <c r="E227">
        <f>Sheet2!R224</f>
        <v>0</v>
      </c>
      <c r="F227">
        <f>Sheet2!S224</f>
        <v>0</v>
      </c>
      <c r="G227">
        <f>Sheet2!T224</f>
        <v>0</v>
      </c>
      <c r="H227" s="31">
        <f>Simulation_output!E225</f>
        <v>1</v>
      </c>
      <c r="I227" s="31">
        <f>Simulation_output!F225</f>
        <v>0</v>
      </c>
      <c r="J227" s="31">
        <f>Simulation_output!G225</f>
        <v>0</v>
      </c>
      <c r="K227" s="31">
        <f>Simulation_output!H225</f>
        <v>0</v>
      </c>
      <c r="L227">
        <v>1</v>
      </c>
      <c r="M227">
        <f t="shared" si="67"/>
        <v>0</v>
      </c>
      <c r="N227">
        <f t="shared" si="66"/>
        <v>0</v>
      </c>
      <c r="O227">
        <f t="shared" si="65"/>
        <v>0</v>
      </c>
      <c r="P227">
        <f t="shared" si="68"/>
        <v>0</v>
      </c>
      <c r="Q227">
        <f t="shared" si="64"/>
        <v>0</v>
      </c>
      <c r="R227">
        <f t="shared" si="54"/>
        <v>0</v>
      </c>
      <c r="S227">
        <f t="shared" si="55"/>
        <v>0</v>
      </c>
      <c r="T227">
        <f t="shared" si="56"/>
        <v>0</v>
      </c>
      <c r="U227">
        <f t="shared" si="57"/>
        <v>0</v>
      </c>
      <c r="V227">
        <f t="shared" si="58"/>
        <v>0</v>
      </c>
      <c r="W227">
        <f t="shared" si="59"/>
        <v>0</v>
      </c>
      <c r="X227">
        <f t="shared" si="60"/>
        <v>0</v>
      </c>
      <c r="Y227">
        <f t="shared" si="61"/>
        <v>0</v>
      </c>
      <c r="Z227">
        <f t="shared" si="62"/>
        <v>0</v>
      </c>
      <c r="AB227">
        <v>223</v>
      </c>
      <c r="AC227">
        <f t="shared" si="63"/>
        <v>0</v>
      </c>
      <c r="AD227">
        <f t="shared" si="53"/>
        <v>0</v>
      </c>
    </row>
    <row r="228" spans="3:30" x14ac:dyDescent="0.25">
      <c r="C228" s="3"/>
      <c r="D228" s="31">
        <f>Simulation_output!A226</f>
        <v>2245000</v>
      </c>
      <c r="E228">
        <f>Sheet2!R225</f>
        <v>0</v>
      </c>
      <c r="F228">
        <f>Sheet2!S225</f>
        <v>1</v>
      </c>
      <c r="G228">
        <f>Sheet2!T225</f>
        <v>0</v>
      </c>
      <c r="H228" s="31">
        <f>Simulation_output!E226</f>
        <v>1</v>
      </c>
      <c r="I228" s="31">
        <f>Simulation_output!F226</f>
        <v>0</v>
      </c>
      <c r="J228" s="31">
        <f>Simulation_output!G226</f>
        <v>0</v>
      </c>
      <c r="K228" s="31">
        <f>Simulation_output!H226</f>
        <v>0</v>
      </c>
      <c r="L228">
        <v>1</v>
      </c>
      <c r="M228">
        <f t="shared" si="67"/>
        <v>0</v>
      </c>
      <c r="N228">
        <f t="shared" si="66"/>
        <v>0</v>
      </c>
      <c r="O228">
        <f t="shared" si="65"/>
        <v>0</v>
      </c>
      <c r="P228">
        <f t="shared" si="68"/>
        <v>0</v>
      </c>
      <c r="Q228">
        <f t="shared" si="64"/>
        <v>0</v>
      </c>
      <c r="R228">
        <f t="shared" si="54"/>
        <v>0</v>
      </c>
      <c r="S228">
        <f t="shared" si="55"/>
        <v>0</v>
      </c>
      <c r="T228">
        <f t="shared" si="56"/>
        <v>0</v>
      </c>
      <c r="U228">
        <f t="shared" si="57"/>
        <v>0</v>
      </c>
      <c r="V228">
        <f t="shared" si="58"/>
        <v>0</v>
      </c>
      <c r="W228">
        <f t="shared" si="59"/>
        <v>0</v>
      </c>
      <c r="X228">
        <f t="shared" si="60"/>
        <v>0</v>
      </c>
      <c r="Y228">
        <f t="shared" si="61"/>
        <v>0</v>
      </c>
      <c r="Z228">
        <f t="shared" si="62"/>
        <v>0</v>
      </c>
      <c r="AB228">
        <v>224</v>
      </c>
      <c r="AC228">
        <f t="shared" si="63"/>
        <v>0</v>
      </c>
      <c r="AD228">
        <f t="shared" si="53"/>
        <v>0</v>
      </c>
    </row>
    <row r="229" spans="3:30" x14ac:dyDescent="0.25">
      <c r="C229" s="3"/>
      <c r="D229" s="31">
        <f>Simulation_output!A227</f>
        <v>2255000</v>
      </c>
      <c r="E229">
        <f>Sheet2!R226</f>
        <v>0</v>
      </c>
      <c r="F229">
        <f>Sheet2!S226</f>
        <v>0</v>
      </c>
      <c r="G229">
        <f>Sheet2!T226</f>
        <v>0</v>
      </c>
      <c r="H229" s="31">
        <f>Simulation_output!E227</f>
        <v>1</v>
      </c>
      <c r="I229" s="31">
        <f>Simulation_output!F227</f>
        <v>0</v>
      </c>
      <c r="J229" s="31">
        <f>Simulation_output!G227</f>
        <v>0</v>
      </c>
      <c r="K229" s="31">
        <f>Simulation_output!H227</f>
        <v>0</v>
      </c>
      <c r="L229">
        <v>1</v>
      </c>
      <c r="M229">
        <f t="shared" si="67"/>
        <v>0</v>
      </c>
      <c r="N229">
        <f t="shared" si="66"/>
        <v>0</v>
      </c>
      <c r="O229">
        <f t="shared" si="65"/>
        <v>0</v>
      </c>
      <c r="P229">
        <f t="shared" si="68"/>
        <v>0</v>
      </c>
      <c r="Q229">
        <f t="shared" si="64"/>
        <v>0</v>
      </c>
      <c r="R229">
        <f t="shared" si="54"/>
        <v>0</v>
      </c>
      <c r="S229">
        <f t="shared" si="55"/>
        <v>0</v>
      </c>
      <c r="T229">
        <f t="shared" si="56"/>
        <v>0</v>
      </c>
      <c r="U229">
        <f t="shared" si="57"/>
        <v>0</v>
      </c>
      <c r="V229">
        <f t="shared" si="58"/>
        <v>0</v>
      </c>
      <c r="W229">
        <f t="shared" si="59"/>
        <v>0</v>
      </c>
      <c r="X229">
        <f t="shared" si="60"/>
        <v>0</v>
      </c>
      <c r="Y229">
        <f t="shared" si="61"/>
        <v>0</v>
      </c>
      <c r="Z229">
        <f t="shared" si="62"/>
        <v>0</v>
      </c>
      <c r="AB229">
        <v>225</v>
      </c>
      <c r="AC229">
        <f t="shared" si="63"/>
        <v>0</v>
      </c>
      <c r="AD229">
        <f t="shared" si="53"/>
        <v>0</v>
      </c>
    </row>
    <row r="230" spans="3:30" x14ac:dyDescent="0.25">
      <c r="C230" s="3"/>
      <c r="D230" s="31">
        <f>Simulation_output!A228</f>
        <v>2265000</v>
      </c>
      <c r="E230">
        <f>Sheet2!R227</f>
        <v>5</v>
      </c>
      <c r="F230">
        <f>Sheet2!S227</f>
        <v>1</v>
      </c>
      <c r="G230">
        <f>Sheet2!T227</f>
        <v>0</v>
      </c>
      <c r="H230" s="31">
        <f>Simulation_output!E228</f>
        <v>1</v>
      </c>
      <c r="I230" s="31">
        <f>Simulation_output!F228</f>
        <v>0</v>
      </c>
      <c r="J230" s="31">
        <f>Simulation_output!G228</f>
        <v>0</v>
      </c>
      <c r="K230" s="31">
        <f>Simulation_output!H228</f>
        <v>0</v>
      </c>
      <c r="L230">
        <v>1</v>
      </c>
      <c r="M230">
        <f t="shared" si="67"/>
        <v>0</v>
      </c>
      <c r="N230">
        <f t="shared" si="66"/>
        <v>0</v>
      </c>
      <c r="O230">
        <f t="shared" si="65"/>
        <v>0</v>
      </c>
      <c r="P230">
        <f t="shared" si="68"/>
        <v>0</v>
      </c>
      <c r="Q230">
        <f t="shared" si="64"/>
        <v>0</v>
      </c>
      <c r="R230">
        <f t="shared" si="54"/>
        <v>0</v>
      </c>
      <c r="S230">
        <f t="shared" si="55"/>
        <v>0</v>
      </c>
      <c r="T230">
        <f t="shared" si="56"/>
        <v>0</v>
      </c>
      <c r="U230">
        <f t="shared" si="57"/>
        <v>0</v>
      </c>
      <c r="V230">
        <f t="shared" si="58"/>
        <v>0</v>
      </c>
      <c r="W230">
        <f t="shared" si="59"/>
        <v>0</v>
      </c>
      <c r="X230">
        <f t="shared" si="60"/>
        <v>0</v>
      </c>
      <c r="Y230">
        <f t="shared" si="61"/>
        <v>0</v>
      </c>
      <c r="Z230">
        <f t="shared" si="62"/>
        <v>0</v>
      </c>
      <c r="AB230">
        <v>226</v>
      </c>
      <c r="AC230">
        <f t="shared" si="63"/>
        <v>0</v>
      </c>
      <c r="AD230">
        <f t="shared" si="53"/>
        <v>0</v>
      </c>
    </row>
    <row r="231" spans="3:30" x14ac:dyDescent="0.25">
      <c r="C231" s="3"/>
      <c r="D231" s="31">
        <f>Simulation_output!A229</f>
        <v>2275000</v>
      </c>
      <c r="E231">
        <f>Sheet2!R228</f>
        <v>0</v>
      </c>
      <c r="F231">
        <f>Sheet2!S228</f>
        <v>0</v>
      </c>
      <c r="G231">
        <f>Sheet2!T228</f>
        <v>0</v>
      </c>
      <c r="H231" s="31">
        <f>Simulation_output!E229</f>
        <v>1</v>
      </c>
      <c r="I231" s="31">
        <f>Simulation_output!F229</f>
        <v>0</v>
      </c>
      <c r="J231" s="31">
        <f>Simulation_output!G229</f>
        <v>0</v>
      </c>
      <c r="K231" s="31">
        <f>Simulation_output!H229</f>
        <v>0</v>
      </c>
      <c r="L231">
        <v>1</v>
      </c>
      <c r="M231">
        <f t="shared" si="67"/>
        <v>0</v>
      </c>
      <c r="N231">
        <f t="shared" si="66"/>
        <v>0</v>
      </c>
      <c r="O231">
        <f t="shared" si="65"/>
        <v>0</v>
      </c>
      <c r="P231">
        <f t="shared" si="68"/>
        <v>0</v>
      </c>
      <c r="Q231">
        <f t="shared" si="64"/>
        <v>0</v>
      </c>
      <c r="R231">
        <f t="shared" si="54"/>
        <v>0</v>
      </c>
      <c r="S231">
        <f t="shared" si="55"/>
        <v>0</v>
      </c>
      <c r="T231">
        <f t="shared" si="56"/>
        <v>0</v>
      </c>
      <c r="U231">
        <f t="shared" si="57"/>
        <v>0</v>
      </c>
      <c r="V231">
        <f t="shared" si="58"/>
        <v>0</v>
      </c>
      <c r="W231">
        <f t="shared" si="59"/>
        <v>0</v>
      </c>
      <c r="X231">
        <f t="shared" si="60"/>
        <v>0</v>
      </c>
      <c r="Y231">
        <f t="shared" si="61"/>
        <v>0</v>
      </c>
      <c r="Z231">
        <f t="shared" si="62"/>
        <v>0</v>
      </c>
      <c r="AB231">
        <v>227</v>
      </c>
      <c r="AC231">
        <f t="shared" si="63"/>
        <v>0</v>
      </c>
      <c r="AD231">
        <f t="shared" si="53"/>
        <v>0</v>
      </c>
    </row>
    <row r="232" spans="3:30" x14ac:dyDescent="0.25">
      <c r="C232" s="3"/>
      <c r="D232" s="31">
        <f>Simulation_output!A230</f>
        <v>2285000</v>
      </c>
      <c r="E232">
        <f>Sheet2!R229</f>
        <v>28</v>
      </c>
      <c r="F232">
        <f>Sheet2!S229</f>
        <v>1</v>
      </c>
      <c r="G232">
        <f>Sheet2!T229</f>
        <v>0</v>
      </c>
      <c r="H232" s="31">
        <f>Simulation_output!E230</f>
        <v>1</v>
      </c>
      <c r="I232" s="31">
        <f>Simulation_output!F230</f>
        <v>0</v>
      </c>
      <c r="J232" s="31">
        <f>Simulation_output!G230</f>
        <v>0</v>
      </c>
      <c r="K232" s="31">
        <f>Simulation_output!H230</f>
        <v>0</v>
      </c>
      <c r="L232">
        <v>1</v>
      </c>
      <c r="M232">
        <f t="shared" si="67"/>
        <v>0</v>
      </c>
      <c r="N232">
        <f t="shared" si="66"/>
        <v>0</v>
      </c>
      <c r="O232">
        <f t="shared" si="65"/>
        <v>0</v>
      </c>
      <c r="P232">
        <f t="shared" si="68"/>
        <v>0</v>
      </c>
      <c r="Q232">
        <f t="shared" si="64"/>
        <v>0</v>
      </c>
      <c r="R232">
        <f t="shared" si="54"/>
        <v>0</v>
      </c>
      <c r="S232">
        <f t="shared" si="55"/>
        <v>0</v>
      </c>
      <c r="T232">
        <f t="shared" si="56"/>
        <v>0</v>
      </c>
      <c r="U232">
        <f t="shared" si="57"/>
        <v>0</v>
      </c>
      <c r="V232">
        <f t="shared" si="58"/>
        <v>0</v>
      </c>
      <c r="W232">
        <f t="shared" si="59"/>
        <v>0</v>
      </c>
      <c r="X232">
        <f t="shared" si="60"/>
        <v>0</v>
      </c>
      <c r="Y232">
        <f t="shared" si="61"/>
        <v>0</v>
      </c>
      <c r="Z232">
        <f t="shared" si="62"/>
        <v>0</v>
      </c>
      <c r="AB232">
        <v>228</v>
      </c>
      <c r="AC232">
        <f t="shared" si="63"/>
        <v>0</v>
      </c>
      <c r="AD232">
        <f t="shared" si="53"/>
        <v>0</v>
      </c>
    </row>
    <row r="233" spans="3:30" x14ac:dyDescent="0.25">
      <c r="C233" s="3"/>
      <c r="D233" s="31">
        <f>Simulation_output!A231</f>
        <v>2295000</v>
      </c>
      <c r="E233">
        <f>Sheet2!R230</f>
        <v>0</v>
      </c>
      <c r="F233">
        <f>Sheet2!S230</f>
        <v>0</v>
      </c>
      <c r="G233">
        <f>Sheet2!T230</f>
        <v>0</v>
      </c>
      <c r="H233" s="31">
        <f>Simulation_output!E231</f>
        <v>1</v>
      </c>
      <c r="I233" s="31">
        <f>Simulation_output!F231</f>
        <v>0</v>
      </c>
      <c r="J233" s="31">
        <f>Simulation_output!G231</f>
        <v>0</v>
      </c>
      <c r="K233" s="31">
        <f>Simulation_output!H231</f>
        <v>0</v>
      </c>
      <c r="L233">
        <v>1</v>
      </c>
      <c r="M233">
        <f t="shared" si="67"/>
        <v>0</v>
      </c>
      <c r="N233">
        <f t="shared" si="66"/>
        <v>0</v>
      </c>
      <c r="O233">
        <f t="shared" si="65"/>
        <v>0</v>
      </c>
      <c r="P233">
        <f t="shared" si="68"/>
        <v>0</v>
      </c>
      <c r="Q233">
        <f t="shared" si="64"/>
        <v>0</v>
      </c>
      <c r="R233">
        <f t="shared" si="54"/>
        <v>0</v>
      </c>
      <c r="S233">
        <f t="shared" si="55"/>
        <v>0</v>
      </c>
      <c r="T233">
        <f t="shared" si="56"/>
        <v>0</v>
      </c>
      <c r="U233">
        <f t="shared" si="57"/>
        <v>0</v>
      </c>
      <c r="V233">
        <f t="shared" si="58"/>
        <v>0</v>
      </c>
      <c r="W233">
        <f t="shared" si="59"/>
        <v>0</v>
      </c>
      <c r="X233">
        <f t="shared" si="60"/>
        <v>0</v>
      </c>
      <c r="Y233">
        <f t="shared" si="61"/>
        <v>0</v>
      </c>
      <c r="Z233">
        <f t="shared" si="62"/>
        <v>0</v>
      </c>
      <c r="AB233">
        <v>229</v>
      </c>
      <c r="AC233">
        <f t="shared" si="63"/>
        <v>0</v>
      </c>
      <c r="AD233">
        <f t="shared" si="53"/>
        <v>0</v>
      </c>
    </row>
    <row r="234" spans="3:30" x14ac:dyDescent="0.25">
      <c r="C234" s="3"/>
      <c r="D234" s="31">
        <f>Simulation_output!A232</f>
        <v>2305000</v>
      </c>
      <c r="E234">
        <f>Sheet2!R231</f>
        <v>128</v>
      </c>
      <c r="F234">
        <f>Sheet2!S231</f>
        <v>1</v>
      </c>
      <c r="G234">
        <f>Sheet2!T231</f>
        <v>0</v>
      </c>
      <c r="H234" s="31">
        <f>Simulation_output!E232</f>
        <v>1</v>
      </c>
      <c r="I234" s="31">
        <f>Simulation_output!F232</f>
        <v>0</v>
      </c>
      <c r="J234" s="31">
        <f>Simulation_output!G232</f>
        <v>0</v>
      </c>
      <c r="K234" s="31">
        <f>Simulation_output!H232</f>
        <v>0</v>
      </c>
      <c r="L234">
        <v>1</v>
      </c>
      <c r="M234">
        <f t="shared" si="67"/>
        <v>0</v>
      </c>
      <c r="N234">
        <f t="shared" si="66"/>
        <v>0</v>
      </c>
      <c r="O234">
        <f t="shared" si="65"/>
        <v>0</v>
      </c>
      <c r="P234">
        <f t="shared" si="68"/>
        <v>0</v>
      </c>
      <c r="Q234">
        <f t="shared" si="64"/>
        <v>0</v>
      </c>
      <c r="R234">
        <f t="shared" si="54"/>
        <v>0</v>
      </c>
      <c r="S234">
        <f t="shared" si="55"/>
        <v>0</v>
      </c>
      <c r="T234">
        <f t="shared" si="56"/>
        <v>0</v>
      </c>
      <c r="U234">
        <f t="shared" si="57"/>
        <v>0</v>
      </c>
      <c r="V234">
        <f t="shared" si="58"/>
        <v>0</v>
      </c>
      <c r="W234">
        <f t="shared" si="59"/>
        <v>0</v>
      </c>
      <c r="X234">
        <f t="shared" si="60"/>
        <v>0</v>
      </c>
      <c r="Y234">
        <f t="shared" si="61"/>
        <v>0</v>
      </c>
      <c r="Z234">
        <f t="shared" si="62"/>
        <v>0</v>
      </c>
      <c r="AB234">
        <v>230</v>
      </c>
      <c r="AC234">
        <f t="shared" si="63"/>
        <v>0</v>
      </c>
      <c r="AD234">
        <f t="shared" si="53"/>
        <v>0</v>
      </c>
    </row>
    <row r="235" spans="3:30" x14ac:dyDescent="0.25">
      <c r="C235" s="3"/>
      <c r="D235" s="31">
        <f>Simulation_output!A233</f>
        <v>2315000</v>
      </c>
      <c r="E235">
        <f>Sheet2!R232</f>
        <v>0</v>
      </c>
      <c r="F235">
        <f>Sheet2!S232</f>
        <v>0</v>
      </c>
      <c r="G235">
        <f>Sheet2!T232</f>
        <v>0</v>
      </c>
      <c r="H235" s="31">
        <f>Simulation_output!E233</f>
        <v>1</v>
      </c>
      <c r="I235" s="31">
        <f>Simulation_output!F233</f>
        <v>0</v>
      </c>
      <c r="J235" s="31">
        <f>Simulation_output!G233</f>
        <v>0</v>
      </c>
      <c r="K235" s="31">
        <f>Simulation_output!H233</f>
        <v>0</v>
      </c>
      <c r="L235">
        <v>1</v>
      </c>
      <c r="M235">
        <f t="shared" si="67"/>
        <v>0</v>
      </c>
      <c r="N235">
        <f t="shared" si="66"/>
        <v>0</v>
      </c>
      <c r="O235">
        <f t="shared" si="65"/>
        <v>0</v>
      </c>
      <c r="P235">
        <f t="shared" si="68"/>
        <v>0</v>
      </c>
      <c r="Q235">
        <f t="shared" si="64"/>
        <v>0</v>
      </c>
      <c r="R235">
        <f t="shared" si="54"/>
        <v>0</v>
      </c>
      <c r="S235">
        <f t="shared" si="55"/>
        <v>0</v>
      </c>
      <c r="T235">
        <f t="shared" si="56"/>
        <v>0</v>
      </c>
      <c r="U235">
        <f t="shared" si="57"/>
        <v>0</v>
      </c>
      <c r="V235">
        <f t="shared" si="58"/>
        <v>0</v>
      </c>
      <c r="W235">
        <f t="shared" si="59"/>
        <v>0</v>
      </c>
      <c r="X235">
        <f t="shared" si="60"/>
        <v>0</v>
      </c>
      <c r="Y235">
        <f t="shared" si="61"/>
        <v>0</v>
      </c>
      <c r="Z235">
        <f t="shared" si="62"/>
        <v>0</v>
      </c>
      <c r="AB235">
        <v>231</v>
      </c>
      <c r="AC235">
        <f t="shared" si="63"/>
        <v>0</v>
      </c>
      <c r="AD235">
        <f t="shared" si="53"/>
        <v>0</v>
      </c>
    </row>
    <row r="236" spans="3:30" x14ac:dyDescent="0.25">
      <c r="C236" s="3"/>
      <c r="D236" s="31">
        <f>Simulation_output!A234</f>
        <v>2325000</v>
      </c>
      <c r="E236">
        <f>Sheet2!R233</f>
        <v>1028</v>
      </c>
      <c r="F236">
        <f>Sheet2!S233</f>
        <v>1</v>
      </c>
      <c r="G236">
        <f>Sheet2!T233</f>
        <v>0</v>
      </c>
      <c r="H236" s="31">
        <f>Simulation_output!E234</f>
        <v>1</v>
      </c>
      <c r="I236" s="31">
        <f>Simulation_output!F234</f>
        <v>0</v>
      </c>
      <c r="J236" s="31">
        <f>Simulation_output!G234</f>
        <v>0</v>
      </c>
      <c r="K236" s="31">
        <f>Simulation_output!H234</f>
        <v>0</v>
      </c>
      <c r="L236">
        <v>1</v>
      </c>
      <c r="M236">
        <f t="shared" si="67"/>
        <v>0</v>
      </c>
      <c r="N236">
        <f t="shared" si="66"/>
        <v>0</v>
      </c>
      <c r="O236">
        <f t="shared" si="65"/>
        <v>0</v>
      </c>
      <c r="P236">
        <f t="shared" si="68"/>
        <v>0</v>
      </c>
      <c r="Q236">
        <f t="shared" si="64"/>
        <v>0</v>
      </c>
      <c r="R236">
        <f t="shared" si="54"/>
        <v>0</v>
      </c>
      <c r="S236">
        <f t="shared" si="55"/>
        <v>0</v>
      </c>
      <c r="T236">
        <f t="shared" si="56"/>
        <v>0</v>
      </c>
      <c r="U236">
        <f t="shared" si="57"/>
        <v>0</v>
      </c>
      <c r="V236">
        <f t="shared" si="58"/>
        <v>0</v>
      </c>
      <c r="W236">
        <f t="shared" si="59"/>
        <v>0</v>
      </c>
      <c r="X236">
        <f t="shared" si="60"/>
        <v>0</v>
      </c>
      <c r="Y236">
        <f t="shared" si="61"/>
        <v>0</v>
      </c>
      <c r="Z236">
        <f t="shared" si="62"/>
        <v>0</v>
      </c>
      <c r="AB236">
        <v>232</v>
      </c>
      <c r="AC236">
        <f t="shared" si="63"/>
        <v>0</v>
      </c>
      <c r="AD236">
        <f t="shared" si="53"/>
        <v>0</v>
      </c>
    </row>
    <row r="237" spans="3:30" x14ac:dyDescent="0.25">
      <c r="C237" s="3"/>
      <c r="D237" s="31">
        <f>Simulation_output!A235</f>
        <v>2335000</v>
      </c>
      <c r="E237">
        <f>Sheet2!R234</f>
        <v>0</v>
      </c>
      <c r="F237">
        <f>Sheet2!S234</f>
        <v>0</v>
      </c>
      <c r="G237">
        <f>Sheet2!T234</f>
        <v>0</v>
      </c>
      <c r="H237" s="31">
        <f>Simulation_output!E235</f>
        <v>1</v>
      </c>
      <c r="I237" s="31">
        <f>Simulation_output!F235</f>
        <v>0</v>
      </c>
      <c r="J237" s="31">
        <f>Simulation_output!G235</f>
        <v>0</v>
      </c>
      <c r="K237" s="31">
        <f>Simulation_output!H235</f>
        <v>0</v>
      </c>
      <c r="L237">
        <v>1</v>
      </c>
      <c r="M237">
        <f t="shared" si="67"/>
        <v>0</v>
      </c>
      <c r="N237">
        <f t="shared" si="66"/>
        <v>0</v>
      </c>
      <c r="O237">
        <f t="shared" si="65"/>
        <v>0</v>
      </c>
      <c r="P237">
        <f t="shared" si="68"/>
        <v>0</v>
      </c>
      <c r="Q237">
        <f t="shared" si="64"/>
        <v>0</v>
      </c>
      <c r="R237">
        <f t="shared" si="54"/>
        <v>0</v>
      </c>
      <c r="S237">
        <f t="shared" si="55"/>
        <v>0</v>
      </c>
      <c r="T237">
        <f t="shared" si="56"/>
        <v>0</v>
      </c>
      <c r="U237">
        <f t="shared" si="57"/>
        <v>0</v>
      </c>
      <c r="V237">
        <f t="shared" si="58"/>
        <v>0</v>
      </c>
      <c r="W237">
        <f t="shared" si="59"/>
        <v>0</v>
      </c>
      <c r="X237">
        <f t="shared" si="60"/>
        <v>0</v>
      </c>
      <c r="Y237">
        <f t="shared" si="61"/>
        <v>0</v>
      </c>
      <c r="Z237">
        <f t="shared" si="62"/>
        <v>0</v>
      </c>
      <c r="AB237">
        <v>233</v>
      </c>
      <c r="AC237">
        <f t="shared" si="63"/>
        <v>0</v>
      </c>
      <c r="AD237">
        <f t="shared" si="53"/>
        <v>0</v>
      </c>
    </row>
    <row r="238" spans="3:30" x14ac:dyDescent="0.25">
      <c r="C238" s="3"/>
      <c r="D238" s="31">
        <f>Simulation_output!A236</f>
        <v>2345000</v>
      </c>
      <c r="E238">
        <f>Sheet2!R235</f>
        <v>10028</v>
      </c>
      <c r="F238">
        <f>Sheet2!S235</f>
        <v>1</v>
      </c>
      <c r="G238">
        <f>Sheet2!T235</f>
        <v>1</v>
      </c>
      <c r="H238" s="31">
        <f>Simulation_output!E236</f>
        <v>1</v>
      </c>
      <c r="I238" s="31">
        <f>Simulation_output!F236</f>
        <v>0</v>
      </c>
      <c r="J238" s="31">
        <f>Simulation_output!G236</f>
        <v>0</v>
      </c>
      <c r="K238" s="31">
        <f>Simulation_output!H236</f>
        <v>0</v>
      </c>
      <c r="L238">
        <v>1</v>
      </c>
      <c r="M238">
        <f t="shared" si="67"/>
        <v>0</v>
      </c>
      <c r="N238">
        <f t="shared" si="66"/>
        <v>0</v>
      </c>
      <c r="O238">
        <f t="shared" si="65"/>
        <v>0</v>
      </c>
      <c r="P238">
        <f t="shared" si="68"/>
        <v>0</v>
      </c>
      <c r="Q238">
        <f t="shared" si="64"/>
        <v>0</v>
      </c>
      <c r="R238">
        <f t="shared" si="54"/>
        <v>0</v>
      </c>
      <c r="S238">
        <f t="shared" si="55"/>
        <v>0</v>
      </c>
      <c r="T238">
        <f t="shared" si="56"/>
        <v>0</v>
      </c>
      <c r="U238">
        <f t="shared" si="57"/>
        <v>0</v>
      </c>
      <c r="V238">
        <f t="shared" si="58"/>
        <v>0</v>
      </c>
      <c r="W238">
        <f t="shared" si="59"/>
        <v>0</v>
      </c>
      <c r="X238">
        <f t="shared" si="60"/>
        <v>0</v>
      </c>
      <c r="Y238">
        <f t="shared" si="61"/>
        <v>0</v>
      </c>
      <c r="Z238">
        <f t="shared" si="62"/>
        <v>0</v>
      </c>
      <c r="AB238">
        <v>234</v>
      </c>
      <c r="AC238">
        <f t="shared" si="63"/>
        <v>0</v>
      </c>
      <c r="AD238">
        <f t="shared" si="53"/>
        <v>0</v>
      </c>
    </row>
    <row r="239" spans="3:30" x14ac:dyDescent="0.25">
      <c r="C239" s="3"/>
      <c r="D239" s="31">
        <f>Simulation_output!A237</f>
        <v>2355000</v>
      </c>
      <c r="E239">
        <f>Sheet2!R236</f>
        <v>0</v>
      </c>
      <c r="F239">
        <f>Sheet2!S236</f>
        <v>0</v>
      </c>
      <c r="G239">
        <f>Sheet2!T236</f>
        <v>0</v>
      </c>
      <c r="H239" s="31">
        <f>Simulation_output!E237</f>
        <v>1</v>
      </c>
      <c r="I239" s="31">
        <f>Simulation_output!F237</f>
        <v>0</v>
      </c>
      <c r="J239" s="31">
        <f>Simulation_output!G237</f>
        <v>0</v>
      </c>
      <c r="K239" s="31">
        <f>Simulation_output!H237</f>
        <v>0</v>
      </c>
      <c r="L239">
        <v>1</v>
      </c>
      <c r="M239">
        <f t="shared" si="67"/>
        <v>0</v>
      </c>
      <c r="N239">
        <f t="shared" si="66"/>
        <v>0</v>
      </c>
      <c r="O239">
        <f t="shared" si="65"/>
        <v>0</v>
      </c>
      <c r="P239">
        <f t="shared" si="68"/>
        <v>0</v>
      </c>
      <c r="Q239">
        <f t="shared" si="64"/>
        <v>0</v>
      </c>
      <c r="R239">
        <f t="shared" si="54"/>
        <v>0</v>
      </c>
      <c r="S239">
        <f t="shared" si="55"/>
        <v>0</v>
      </c>
      <c r="T239">
        <f t="shared" si="56"/>
        <v>0</v>
      </c>
      <c r="U239">
        <f t="shared" si="57"/>
        <v>0</v>
      </c>
      <c r="V239">
        <f t="shared" si="58"/>
        <v>0</v>
      </c>
      <c r="W239">
        <f t="shared" si="59"/>
        <v>0</v>
      </c>
      <c r="X239">
        <f t="shared" si="60"/>
        <v>0</v>
      </c>
      <c r="Y239">
        <f t="shared" si="61"/>
        <v>0</v>
      </c>
      <c r="Z239">
        <f t="shared" si="62"/>
        <v>0</v>
      </c>
      <c r="AB239">
        <v>235</v>
      </c>
      <c r="AC239">
        <f t="shared" si="63"/>
        <v>0</v>
      </c>
      <c r="AD239">
        <f t="shared" si="53"/>
        <v>0</v>
      </c>
    </row>
    <row r="240" spans="3:30" x14ac:dyDescent="0.25">
      <c r="C240" s="3"/>
      <c r="D240" s="31">
        <f>Simulation_output!A238</f>
        <v>2365000</v>
      </c>
      <c r="E240">
        <f>Sheet2!R237</f>
        <v>0</v>
      </c>
      <c r="F240">
        <f>Sheet2!S237</f>
        <v>1</v>
      </c>
      <c r="G240">
        <f>Sheet2!T237</f>
        <v>0</v>
      </c>
      <c r="H240" s="31">
        <f>Simulation_output!E238</f>
        <v>1</v>
      </c>
      <c r="I240" s="31">
        <f>Simulation_output!F238</f>
        <v>0</v>
      </c>
      <c r="J240" s="31">
        <f>Simulation_output!G238</f>
        <v>0</v>
      </c>
      <c r="K240" s="31">
        <f>Simulation_output!H238</f>
        <v>0</v>
      </c>
      <c r="L240">
        <v>1</v>
      </c>
      <c r="M240">
        <f t="shared" si="67"/>
        <v>0</v>
      </c>
      <c r="N240">
        <f t="shared" si="66"/>
        <v>0</v>
      </c>
      <c r="O240">
        <f t="shared" si="65"/>
        <v>0</v>
      </c>
      <c r="P240">
        <f t="shared" si="68"/>
        <v>0</v>
      </c>
      <c r="Q240">
        <f t="shared" si="64"/>
        <v>0</v>
      </c>
      <c r="R240">
        <f t="shared" si="54"/>
        <v>0</v>
      </c>
      <c r="S240">
        <f t="shared" si="55"/>
        <v>0</v>
      </c>
      <c r="T240">
        <f t="shared" si="56"/>
        <v>0</v>
      </c>
      <c r="U240">
        <f t="shared" si="57"/>
        <v>0</v>
      </c>
      <c r="V240">
        <f t="shared" si="58"/>
        <v>0</v>
      </c>
      <c r="W240">
        <f t="shared" si="59"/>
        <v>0</v>
      </c>
      <c r="X240">
        <f t="shared" si="60"/>
        <v>0</v>
      </c>
      <c r="Y240">
        <f t="shared" si="61"/>
        <v>0</v>
      </c>
      <c r="Z240">
        <f t="shared" si="62"/>
        <v>0</v>
      </c>
      <c r="AB240">
        <v>236</v>
      </c>
      <c r="AC240">
        <f t="shared" si="63"/>
        <v>0</v>
      </c>
      <c r="AD240">
        <f t="shared" si="53"/>
        <v>0</v>
      </c>
    </row>
    <row r="241" spans="3:30" x14ac:dyDescent="0.25">
      <c r="C241" s="3"/>
      <c r="D241" s="31">
        <f>Simulation_output!A239</f>
        <v>2375000</v>
      </c>
      <c r="E241">
        <f>Sheet2!R238</f>
        <v>0</v>
      </c>
      <c r="F241">
        <f>Sheet2!S238</f>
        <v>0</v>
      </c>
      <c r="G241">
        <f>Sheet2!T238</f>
        <v>0</v>
      </c>
      <c r="H241" s="31">
        <f>Simulation_output!E239</f>
        <v>1</v>
      </c>
      <c r="I241" s="31">
        <f>Simulation_output!F239</f>
        <v>0</v>
      </c>
      <c r="J241" s="31">
        <f>Simulation_output!G239</f>
        <v>0</v>
      </c>
      <c r="K241" s="31">
        <f>Simulation_output!H239</f>
        <v>0</v>
      </c>
      <c r="L241">
        <v>1</v>
      </c>
      <c r="M241">
        <f t="shared" si="67"/>
        <v>0</v>
      </c>
      <c r="N241">
        <f t="shared" si="66"/>
        <v>0</v>
      </c>
      <c r="O241">
        <f t="shared" si="65"/>
        <v>0</v>
      </c>
      <c r="P241">
        <f t="shared" si="68"/>
        <v>0</v>
      </c>
      <c r="Q241">
        <f t="shared" si="64"/>
        <v>0</v>
      </c>
      <c r="R241">
        <f t="shared" si="54"/>
        <v>0</v>
      </c>
      <c r="S241">
        <f t="shared" si="55"/>
        <v>0</v>
      </c>
      <c r="T241">
        <f t="shared" si="56"/>
        <v>0</v>
      </c>
      <c r="U241">
        <f t="shared" si="57"/>
        <v>0</v>
      </c>
      <c r="V241">
        <f t="shared" si="58"/>
        <v>0</v>
      </c>
      <c r="W241">
        <f t="shared" si="59"/>
        <v>0</v>
      </c>
      <c r="X241">
        <f t="shared" si="60"/>
        <v>0</v>
      </c>
      <c r="Y241">
        <f t="shared" si="61"/>
        <v>0</v>
      </c>
      <c r="Z241">
        <f t="shared" si="62"/>
        <v>0</v>
      </c>
      <c r="AB241">
        <v>237</v>
      </c>
      <c r="AC241">
        <f t="shared" si="63"/>
        <v>0</v>
      </c>
      <c r="AD241">
        <f t="shared" si="53"/>
        <v>0</v>
      </c>
    </row>
    <row r="242" spans="3:30" x14ac:dyDescent="0.25">
      <c r="C242" s="3"/>
      <c r="D242" s="31">
        <f>Simulation_output!A240</f>
        <v>2385000</v>
      </c>
      <c r="E242">
        <f>Sheet2!R239</f>
        <v>5</v>
      </c>
      <c r="F242">
        <f>Sheet2!S239</f>
        <v>1</v>
      </c>
      <c r="G242">
        <f>Sheet2!T239</f>
        <v>0</v>
      </c>
      <c r="H242" s="31">
        <f>Simulation_output!E240</f>
        <v>1</v>
      </c>
      <c r="I242" s="31">
        <f>Simulation_output!F240</f>
        <v>0</v>
      </c>
      <c r="J242" s="31">
        <f>Simulation_output!G240</f>
        <v>0</v>
      </c>
      <c r="K242" s="31">
        <f>Simulation_output!H240</f>
        <v>0</v>
      </c>
      <c r="L242">
        <v>1</v>
      </c>
      <c r="M242">
        <f t="shared" si="67"/>
        <v>0</v>
      </c>
      <c r="N242">
        <f t="shared" si="66"/>
        <v>0</v>
      </c>
      <c r="O242">
        <f t="shared" si="65"/>
        <v>0</v>
      </c>
      <c r="P242">
        <f t="shared" si="68"/>
        <v>0</v>
      </c>
      <c r="Q242">
        <f t="shared" si="64"/>
        <v>0</v>
      </c>
      <c r="R242">
        <f t="shared" si="54"/>
        <v>0</v>
      </c>
      <c r="S242">
        <f t="shared" si="55"/>
        <v>0</v>
      </c>
      <c r="T242">
        <f t="shared" si="56"/>
        <v>0</v>
      </c>
      <c r="U242">
        <f t="shared" si="57"/>
        <v>0</v>
      </c>
      <c r="V242">
        <f t="shared" si="58"/>
        <v>0</v>
      </c>
      <c r="W242">
        <f t="shared" si="59"/>
        <v>0</v>
      </c>
      <c r="X242">
        <f t="shared" si="60"/>
        <v>0</v>
      </c>
      <c r="Y242">
        <f t="shared" si="61"/>
        <v>0</v>
      </c>
      <c r="Z242">
        <f t="shared" si="62"/>
        <v>0</v>
      </c>
      <c r="AB242">
        <v>238</v>
      </c>
      <c r="AC242">
        <f t="shared" si="63"/>
        <v>0</v>
      </c>
      <c r="AD242">
        <f t="shared" si="53"/>
        <v>0</v>
      </c>
    </row>
    <row r="243" spans="3:30" x14ac:dyDescent="0.25">
      <c r="C243" s="3"/>
      <c r="D243" s="31">
        <f>Simulation_output!A241</f>
        <v>2395000</v>
      </c>
      <c r="E243">
        <f>Sheet2!R240</f>
        <v>0</v>
      </c>
      <c r="F243">
        <f>Sheet2!S240</f>
        <v>0</v>
      </c>
      <c r="G243">
        <f>Sheet2!T240</f>
        <v>0</v>
      </c>
      <c r="H243" s="31">
        <f>Simulation_output!E241</f>
        <v>1</v>
      </c>
      <c r="I243" s="31">
        <f>Simulation_output!F241</f>
        <v>0</v>
      </c>
      <c r="J243" s="31">
        <f>Simulation_output!G241</f>
        <v>0</v>
      </c>
      <c r="K243" s="31">
        <f>Simulation_output!H241</f>
        <v>0</v>
      </c>
      <c r="L243">
        <v>1</v>
      </c>
      <c r="M243">
        <f t="shared" si="67"/>
        <v>0</v>
      </c>
      <c r="N243">
        <f t="shared" si="66"/>
        <v>0</v>
      </c>
      <c r="O243">
        <f t="shared" si="65"/>
        <v>0</v>
      </c>
      <c r="P243">
        <f t="shared" si="68"/>
        <v>0</v>
      </c>
      <c r="Q243">
        <f t="shared" si="64"/>
        <v>0</v>
      </c>
      <c r="R243">
        <f t="shared" si="54"/>
        <v>0</v>
      </c>
      <c r="S243">
        <f t="shared" si="55"/>
        <v>0</v>
      </c>
      <c r="T243">
        <f t="shared" si="56"/>
        <v>0</v>
      </c>
      <c r="U243">
        <f t="shared" si="57"/>
        <v>0</v>
      </c>
      <c r="V243">
        <f t="shared" si="58"/>
        <v>0</v>
      </c>
      <c r="W243">
        <f t="shared" si="59"/>
        <v>0</v>
      </c>
      <c r="X243">
        <f t="shared" si="60"/>
        <v>0</v>
      </c>
      <c r="Y243">
        <f t="shared" si="61"/>
        <v>0</v>
      </c>
      <c r="Z243">
        <f t="shared" si="62"/>
        <v>0</v>
      </c>
      <c r="AB243">
        <v>239</v>
      </c>
      <c r="AC243">
        <f t="shared" si="63"/>
        <v>0</v>
      </c>
      <c r="AD243">
        <f t="shared" si="53"/>
        <v>0</v>
      </c>
    </row>
    <row r="244" spans="3:30" x14ac:dyDescent="0.25">
      <c r="C244" s="3"/>
      <c r="D244" s="31">
        <f>Simulation_output!A242</f>
        <v>2405000</v>
      </c>
      <c r="E244">
        <f>Sheet2!R241</f>
        <v>29</v>
      </c>
      <c r="F244">
        <f>Sheet2!S241</f>
        <v>1</v>
      </c>
      <c r="G244">
        <f>Sheet2!T241</f>
        <v>0</v>
      </c>
      <c r="H244" s="31">
        <f>Simulation_output!E242</f>
        <v>1</v>
      </c>
      <c r="I244" s="31">
        <f>Simulation_output!F242</f>
        <v>0</v>
      </c>
      <c r="J244" s="31">
        <f>Simulation_output!G242</f>
        <v>0</v>
      </c>
      <c r="K244" s="31">
        <f>Simulation_output!H242</f>
        <v>0</v>
      </c>
      <c r="L244">
        <v>1</v>
      </c>
      <c r="M244">
        <f t="shared" si="67"/>
        <v>0</v>
      </c>
      <c r="N244">
        <f t="shared" si="66"/>
        <v>0</v>
      </c>
      <c r="O244">
        <f t="shared" si="65"/>
        <v>0</v>
      </c>
      <c r="P244">
        <f t="shared" si="68"/>
        <v>0</v>
      </c>
      <c r="Q244">
        <f t="shared" si="64"/>
        <v>0</v>
      </c>
      <c r="R244">
        <f t="shared" si="54"/>
        <v>0</v>
      </c>
      <c r="S244">
        <f t="shared" si="55"/>
        <v>0</v>
      </c>
      <c r="T244">
        <f t="shared" si="56"/>
        <v>0</v>
      </c>
      <c r="U244">
        <f t="shared" si="57"/>
        <v>0</v>
      </c>
      <c r="V244">
        <f t="shared" si="58"/>
        <v>0</v>
      </c>
      <c r="W244">
        <f t="shared" si="59"/>
        <v>0</v>
      </c>
      <c r="X244">
        <f t="shared" si="60"/>
        <v>0</v>
      </c>
      <c r="Y244">
        <f t="shared" si="61"/>
        <v>0</v>
      </c>
      <c r="Z244">
        <f t="shared" si="62"/>
        <v>0</v>
      </c>
      <c r="AB244">
        <v>240</v>
      </c>
      <c r="AC244">
        <f t="shared" si="63"/>
        <v>0</v>
      </c>
      <c r="AD244">
        <f t="shared" si="53"/>
        <v>0</v>
      </c>
    </row>
    <row r="245" spans="3:30" x14ac:dyDescent="0.25">
      <c r="C245" s="3"/>
      <c r="D245" s="31">
        <f>Simulation_output!A243</f>
        <v>2415000</v>
      </c>
      <c r="E245">
        <f>Sheet2!R242</f>
        <v>0</v>
      </c>
      <c r="F245">
        <f>Sheet2!S242</f>
        <v>0</v>
      </c>
      <c r="G245">
        <f>Sheet2!T242</f>
        <v>0</v>
      </c>
      <c r="H245" s="31">
        <f>Simulation_output!E243</f>
        <v>1</v>
      </c>
      <c r="I245" s="31">
        <f>Simulation_output!F243</f>
        <v>0</v>
      </c>
      <c r="J245" s="31">
        <f>Simulation_output!G243</f>
        <v>0</v>
      </c>
      <c r="K245" s="31">
        <f>Simulation_output!H243</f>
        <v>0</v>
      </c>
      <c r="L245">
        <v>1</v>
      </c>
      <c r="M245">
        <f t="shared" si="67"/>
        <v>0</v>
      </c>
      <c r="N245">
        <f t="shared" si="66"/>
        <v>0</v>
      </c>
      <c r="O245">
        <f t="shared" si="65"/>
        <v>0</v>
      </c>
      <c r="P245">
        <f t="shared" si="68"/>
        <v>0</v>
      </c>
      <c r="Q245">
        <f t="shared" si="64"/>
        <v>0</v>
      </c>
      <c r="R245">
        <f t="shared" si="54"/>
        <v>0</v>
      </c>
      <c r="S245">
        <f t="shared" si="55"/>
        <v>0</v>
      </c>
      <c r="T245">
        <f t="shared" si="56"/>
        <v>0</v>
      </c>
      <c r="U245">
        <f t="shared" si="57"/>
        <v>0</v>
      </c>
      <c r="V245">
        <f t="shared" si="58"/>
        <v>0</v>
      </c>
      <c r="W245">
        <f t="shared" si="59"/>
        <v>0</v>
      </c>
      <c r="X245">
        <f t="shared" si="60"/>
        <v>0</v>
      </c>
      <c r="Y245">
        <f t="shared" si="61"/>
        <v>0</v>
      </c>
      <c r="Z245">
        <f t="shared" si="62"/>
        <v>0</v>
      </c>
      <c r="AB245">
        <v>241</v>
      </c>
      <c r="AC245">
        <f t="shared" si="63"/>
        <v>0</v>
      </c>
      <c r="AD245">
        <f t="shared" si="53"/>
        <v>0</v>
      </c>
    </row>
    <row r="246" spans="3:30" x14ac:dyDescent="0.25">
      <c r="C246" s="3"/>
      <c r="D246" s="31">
        <f>Simulation_output!A244</f>
        <v>2425000</v>
      </c>
      <c r="E246">
        <f>Sheet2!R243</f>
        <v>129</v>
      </c>
      <c r="F246">
        <f>Sheet2!S243</f>
        <v>1</v>
      </c>
      <c r="G246">
        <f>Sheet2!T243</f>
        <v>0</v>
      </c>
      <c r="H246" s="31">
        <f>Simulation_output!E244</f>
        <v>1</v>
      </c>
      <c r="I246" s="31">
        <f>Simulation_output!F244</f>
        <v>0</v>
      </c>
      <c r="J246" s="31">
        <f>Simulation_output!G244</f>
        <v>0</v>
      </c>
      <c r="K246" s="31">
        <f>Simulation_output!H244</f>
        <v>0</v>
      </c>
      <c r="L246">
        <v>1</v>
      </c>
      <c r="M246">
        <f t="shared" si="67"/>
        <v>0</v>
      </c>
      <c r="N246">
        <f t="shared" si="66"/>
        <v>0</v>
      </c>
      <c r="O246">
        <f t="shared" si="65"/>
        <v>0</v>
      </c>
      <c r="P246">
        <f t="shared" si="68"/>
        <v>0</v>
      </c>
      <c r="Q246">
        <f t="shared" si="64"/>
        <v>0</v>
      </c>
      <c r="R246">
        <f t="shared" si="54"/>
        <v>0</v>
      </c>
      <c r="S246">
        <f t="shared" si="55"/>
        <v>0</v>
      </c>
      <c r="T246">
        <f t="shared" si="56"/>
        <v>0</v>
      </c>
      <c r="U246">
        <f t="shared" si="57"/>
        <v>0</v>
      </c>
      <c r="V246">
        <f t="shared" si="58"/>
        <v>0</v>
      </c>
      <c r="W246">
        <f t="shared" si="59"/>
        <v>0</v>
      </c>
      <c r="X246">
        <f t="shared" si="60"/>
        <v>0</v>
      </c>
      <c r="Y246">
        <f t="shared" si="61"/>
        <v>0</v>
      </c>
      <c r="Z246">
        <f t="shared" si="62"/>
        <v>0</v>
      </c>
      <c r="AB246">
        <v>242</v>
      </c>
      <c r="AC246">
        <f t="shared" si="63"/>
        <v>0</v>
      </c>
      <c r="AD246">
        <f t="shared" si="53"/>
        <v>0</v>
      </c>
    </row>
    <row r="247" spans="3:30" x14ac:dyDescent="0.25">
      <c r="C247" s="3"/>
      <c r="D247" s="31">
        <f>Simulation_output!A245</f>
        <v>2435000</v>
      </c>
      <c r="E247">
        <f>Sheet2!R244</f>
        <v>0</v>
      </c>
      <c r="F247">
        <f>Sheet2!S244</f>
        <v>0</v>
      </c>
      <c r="G247">
        <f>Sheet2!T244</f>
        <v>0</v>
      </c>
      <c r="H247" s="31">
        <f>Simulation_output!E245</f>
        <v>1</v>
      </c>
      <c r="I247" s="31">
        <f>Simulation_output!F245</f>
        <v>0</v>
      </c>
      <c r="J247" s="31">
        <f>Simulation_output!G245</f>
        <v>0</v>
      </c>
      <c r="K247" s="31">
        <f>Simulation_output!H245</f>
        <v>0</v>
      </c>
      <c r="L247">
        <v>1</v>
      </c>
      <c r="M247">
        <f t="shared" si="67"/>
        <v>0</v>
      </c>
      <c r="N247">
        <f t="shared" si="66"/>
        <v>0</v>
      </c>
      <c r="O247">
        <f t="shared" si="65"/>
        <v>0</v>
      </c>
      <c r="P247">
        <f t="shared" si="68"/>
        <v>0</v>
      </c>
      <c r="Q247">
        <f t="shared" si="64"/>
        <v>0</v>
      </c>
      <c r="R247">
        <f t="shared" si="54"/>
        <v>0</v>
      </c>
      <c r="S247">
        <f t="shared" si="55"/>
        <v>0</v>
      </c>
      <c r="T247">
        <f t="shared" si="56"/>
        <v>0</v>
      </c>
      <c r="U247">
        <f t="shared" si="57"/>
        <v>0</v>
      </c>
      <c r="V247">
        <f t="shared" si="58"/>
        <v>0</v>
      </c>
      <c r="W247">
        <f t="shared" si="59"/>
        <v>0</v>
      </c>
      <c r="X247">
        <f t="shared" si="60"/>
        <v>0</v>
      </c>
      <c r="Y247">
        <f t="shared" si="61"/>
        <v>0</v>
      </c>
      <c r="Z247">
        <f t="shared" si="62"/>
        <v>0</v>
      </c>
      <c r="AB247">
        <v>243</v>
      </c>
      <c r="AC247">
        <f t="shared" si="63"/>
        <v>0</v>
      </c>
      <c r="AD247">
        <f t="shared" si="53"/>
        <v>0</v>
      </c>
    </row>
    <row r="248" spans="3:30" x14ac:dyDescent="0.25">
      <c r="C248" s="3"/>
      <c r="D248" s="31">
        <f>Simulation_output!A246</f>
        <v>2445000</v>
      </c>
      <c r="E248">
        <f>Sheet2!R245</f>
        <v>1029</v>
      </c>
      <c r="F248">
        <f>Sheet2!S245</f>
        <v>1</v>
      </c>
      <c r="G248">
        <f>Sheet2!T245</f>
        <v>0</v>
      </c>
      <c r="H248" s="31">
        <f>Simulation_output!E246</f>
        <v>1</v>
      </c>
      <c r="I248" s="31">
        <f>Simulation_output!F246</f>
        <v>0</v>
      </c>
      <c r="J248" s="31">
        <f>Simulation_output!G246</f>
        <v>0</v>
      </c>
      <c r="K248" s="31">
        <f>Simulation_output!H246</f>
        <v>0</v>
      </c>
      <c r="L248">
        <v>1</v>
      </c>
      <c r="M248">
        <f t="shared" si="67"/>
        <v>0</v>
      </c>
      <c r="N248">
        <f t="shared" si="66"/>
        <v>0</v>
      </c>
      <c r="O248">
        <f t="shared" si="65"/>
        <v>0</v>
      </c>
      <c r="P248">
        <f t="shared" si="68"/>
        <v>0</v>
      </c>
      <c r="Q248">
        <f t="shared" si="64"/>
        <v>0</v>
      </c>
      <c r="R248">
        <f t="shared" si="54"/>
        <v>0</v>
      </c>
      <c r="S248">
        <f t="shared" si="55"/>
        <v>0</v>
      </c>
      <c r="T248">
        <f t="shared" si="56"/>
        <v>0</v>
      </c>
      <c r="U248">
        <f t="shared" si="57"/>
        <v>0</v>
      </c>
      <c r="V248">
        <f t="shared" si="58"/>
        <v>0</v>
      </c>
      <c r="W248">
        <f t="shared" si="59"/>
        <v>0</v>
      </c>
      <c r="X248">
        <f t="shared" si="60"/>
        <v>0</v>
      </c>
      <c r="Y248">
        <f t="shared" si="61"/>
        <v>0</v>
      </c>
      <c r="Z248">
        <f t="shared" si="62"/>
        <v>0</v>
      </c>
      <c r="AB248">
        <v>244</v>
      </c>
      <c r="AC248">
        <f t="shared" si="63"/>
        <v>0</v>
      </c>
      <c r="AD248">
        <f t="shared" si="53"/>
        <v>0</v>
      </c>
    </row>
    <row r="249" spans="3:30" x14ac:dyDescent="0.25">
      <c r="C249" s="3"/>
      <c r="D249" s="31">
        <f>Simulation_output!A247</f>
        <v>2455000</v>
      </c>
      <c r="E249">
        <f>Sheet2!R246</f>
        <v>0</v>
      </c>
      <c r="F249">
        <f>Sheet2!S246</f>
        <v>0</v>
      </c>
      <c r="G249">
        <f>Sheet2!T246</f>
        <v>0</v>
      </c>
      <c r="H249" s="31">
        <f>Simulation_output!E247</f>
        <v>1</v>
      </c>
      <c r="I249" s="31">
        <f>Simulation_output!F247</f>
        <v>0</v>
      </c>
      <c r="J249" s="31">
        <f>Simulation_output!G247</f>
        <v>0</v>
      </c>
      <c r="K249" s="31">
        <f>Simulation_output!H247</f>
        <v>0</v>
      </c>
      <c r="L249">
        <v>1</v>
      </c>
      <c r="M249">
        <f t="shared" si="67"/>
        <v>0</v>
      </c>
      <c r="N249">
        <f t="shared" si="66"/>
        <v>0</v>
      </c>
      <c r="O249">
        <f t="shared" si="65"/>
        <v>0</v>
      </c>
      <c r="P249">
        <f t="shared" si="68"/>
        <v>0</v>
      </c>
      <c r="Q249">
        <f t="shared" si="64"/>
        <v>0</v>
      </c>
      <c r="R249">
        <f t="shared" si="54"/>
        <v>0</v>
      </c>
      <c r="S249">
        <f t="shared" si="55"/>
        <v>0</v>
      </c>
      <c r="T249">
        <f t="shared" si="56"/>
        <v>0</v>
      </c>
      <c r="U249">
        <f t="shared" si="57"/>
        <v>0</v>
      </c>
      <c r="V249">
        <f t="shared" si="58"/>
        <v>0</v>
      </c>
      <c r="W249">
        <f t="shared" si="59"/>
        <v>0</v>
      </c>
      <c r="X249">
        <f t="shared" si="60"/>
        <v>0</v>
      </c>
      <c r="Y249">
        <f t="shared" si="61"/>
        <v>0</v>
      </c>
      <c r="Z249">
        <f t="shared" si="62"/>
        <v>0</v>
      </c>
      <c r="AB249">
        <v>245</v>
      </c>
      <c r="AC249">
        <f t="shared" si="63"/>
        <v>0</v>
      </c>
      <c r="AD249">
        <f t="shared" si="53"/>
        <v>0</v>
      </c>
    </row>
    <row r="250" spans="3:30" x14ac:dyDescent="0.25">
      <c r="C250" s="3"/>
      <c r="D250" s="31">
        <f>Simulation_output!A248</f>
        <v>2465000</v>
      </c>
      <c r="E250">
        <f>Sheet2!R247</f>
        <v>10029</v>
      </c>
      <c r="F250">
        <f>Sheet2!S247</f>
        <v>1</v>
      </c>
      <c r="G250">
        <f>Sheet2!T247</f>
        <v>1</v>
      </c>
      <c r="H250" s="31">
        <f>Simulation_output!E248</f>
        <v>1</v>
      </c>
      <c r="I250" s="31">
        <f>Simulation_output!F248</f>
        <v>0</v>
      </c>
      <c r="J250" s="31">
        <f>Simulation_output!G248</f>
        <v>0</v>
      </c>
      <c r="K250" s="31">
        <f>Simulation_output!H248</f>
        <v>0</v>
      </c>
      <c r="L250">
        <v>1</v>
      </c>
      <c r="M250">
        <f t="shared" si="67"/>
        <v>0</v>
      </c>
      <c r="N250">
        <f t="shared" si="66"/>
        <v>0</v>
      </c>
      <c r="O250">
        <f t="shared" si="65"/>
        <v>0</v>
      </c>
      <c r="P250">
        <f t="shared" si="68"/>
        <v>0</v>
      </c>
      <c r="Q250">
        <f t="shared" si="64"/>
        <v>0</v>
      </c>
      <c r="R250">
        <f t="shared" si="54"/>
        <v>0</v>
      </c>
      <c r="S250">
        <f t="shared" si="55"/>
        <v>0</v>
      </c>
      <c r="T250">
        <f t="shared" si="56"/>
        <v>0</v>
      </c>
      <c r="U250">
        <f t="shared" si="57"/>
        <v>0</v>
      </c>
      <c r="V250">
        <f t="shared" si="58"/>
        <v>0</v>
      </c>
      <c r="W250">
        <f t="shared" si="59"/>
        <v>0</v>
      </c>
      <c r="X250">
        <f t="shared" si="60"/>
        <v>0</v>
      </c>
      <c r="Y250">
        <f t="shared" si="61"/>
        <v>0</v>
      </c>
      <c r="Z250">
        <f t="shared" si="62"/>
        <v>0</v>
      </c>
      <c r="AB250">
        <v>246</v>
      </c>
      <c r="AC250">
        <f t="shared" si="63"/>
        <v>0</v>
      </c>
      <c r="AD250">
        <f t="shared" si="53"/>
        <v>0</v>
      </c>
    </row>
    <row r="251" spans="3:30" x14ac:dyDescent="0.25">
      <c r="C251" s="3"/>
      <c r="D251" s="31">
        <f>Simulation_output!A249</f>
        <v>2475000</v>
      </c>
      <c r="E251">
        <f>Sheet2!R248</f>
        <v>0</v>
      </c>
      <c r="F251">
        <f>Sheet2!S248</f>
        <v>0</v>
      </c>
      <c r="G251">
        <f>Sheet2!T248</f>
        <v>0</v>
      </c>
      <c r="H251" s="31">
        <f>Simulation_output!E249</f>
        <v>1</v>
      </c>
      <c r="I251" s="31">
        <f>Simulation_output!F249</f>
        <v>0</v>
      </c>
      <c r="J251" s="31">
        <f>Simulation_output!G249</f>
        <v>0</v>
      </c>
      <c r="K251" s="31">
        <f>Simulation_output!H249</f>
        <v>0</v>
      </c>
      <c r="L251">
        <v>1</v>
      </c>
      <c r="M251">
        <f t="shared" si="67"/>
        <v>0</v>
      </c>
      <c r="N251">
        <f t="shared" si="66"/>
        <v>0</v>
      </c>
      <c r="O251">
        <f t="shared" si="65"/>
        <v>0</v>
      </c>
      <c r="P251">
        <f t="shared" si="68"/>
        <v>0</v>
      </c>
      <c r="Q251">
        <f t="shared" si="64"/>
        <v>0</v>
      </c>
      <c r="R251">
        <f t="shared" si="54"/>
        <v>0</v>
      </c>
      <c r="S251">
        <f t="shared" si="55"/>
        <v>0</v>
      </c>
      <c r="T251">
        <f t="shared" si="56"/>
        <v>0</v>
      </c>
      <c r="U251">
        <f t="shared" si="57"/>
        <v>0</v>
      </c>
      <c r="V251">
        <f t="shared" si="58"/>
        <v>0</v>
      </c>
      <c r="W251">
        <f t="shared" si="59"/>
        <v>0</v>
      </c>
      <c r="X251">
        <f t="shared" si="60"/>
        <v>0</v>
      </c>
      <c r="Y251">
        <f t="shared" si="61"/>
        <v>0</v>
      </c>
      <c r="Z251">
        <f t="shared" si="62"/>
        <v>0</v>
      </c>
      <c r="AB251">
        <v>247</v>
      </c>
      <c r="AC251">
        <f t="shared" si="63"/>
        <v>0</v>
      </c>
      <c r="AD251">
        <f t="shared" si="53"/>
        <v>0</v>
      </c>
    </row>
    <row r="252" spans="3:30" x14ac:dyDescent="0.25">
      <c r="C252" s="3"/>
      <c r="D252" s="31">
        <f>Simulation_output!A250</f>
        <v>2485000</v>
      </c>
      <c r="E252">
        <f>Sheet2!R249</f>
        <v>0</v>
      </c>
      <c r="F252">
        <f>Sheet2!S249</f>
        <v>1</v>
      </c>
      <c r="G252">
        <f>Sheet2!T249</f>
        <v>0</v>
      </c>
      <c r="H252" s="31">
        <f>Simulation_output!E250</f>
        <v>1</v>
      </c>
      <c r="I252" s="31">
        <f>Simulation_output!F250</f>
        <v>0</v>
      </c>
      <c r="J252" s="31">
        <f>Simulation_output!G250</f>
        <v>0</v>
      </c>
      <c r="K252" s="31">
        <f>Simulation_output!H250</f>
        <v>0</v>
      </c>
      <c r="L252">
        <v>1</v>
      </c>
      <c r="M252">
        <f t="shared" si="67"/>
        <v>0</v>
      </c>
      <c r="N252">
        <f t="shared" si="66"/>
        <v>0</v>
      </c>
      <c r="O252">
        <f t="shared" si="65"/>
        <v>0</v>
      </c>
      <c r="P252">
        <f t="shared" si="68"/>
        <v>0</v>
      </c>
      <c r="Q252">
        <f t="shared" si="64"/>
        <v>0</v>
      </c>
      <c r="R252">
        <f t="shared" si="54"/>
        <v>0</v>
      </c>
      <c r="S252">
        <f t="shared" si="55"/>
        <v>0</v>
      </c>
      <c r="T252">
        <f t="shared" si="56"/>
        <v>0</v>
      </c>
      <c r="U252">
        <f t="shared" si="57"/>
        <v>0</v>
      </c>
      <c r="V252">
        <f t="shared" si="58"/>
        <v>0</v>
      </c>
      <c r="W252">
        <f t="shared" si="59"/>
        <v>0</v>
      </c>
      <c r="X252">
        <f t="shared" si="60"/>
        <v>0</v>
      </c>
      <c r="Y252">
        <f t="shared" si="61"/>
        <v>0</v>
      </c>
      <c r="Z252">
        <f t="shared" si="62"/>
        <v>0</v>
      </c>
      <c r="AB252">
        <v>248</v>
      </c>
      <c r="AC252">
        <f t="shared" si="63"/>
        <v>0</v>
      </c>
      <c r="AD252">
        <f t="shared" si="53"/>
        <v>0</v>
      </c>
    </row>
    <row r="253" spans="3:30" x14ac:dyDescent="0.25">
      <c r="C253" s="3"/>
      <c r="D253" s="31">
        <f>Simulation_output!A251</f>
        <v>2495000</v>
      </c>
      <c r="E253">
        <f>Sheet2!R250</f>
        <v>0</v>
      </c>
      <c r="F253">
        <f>Sheet2!S250</f>
        <v>0</v>
      </c>
      <c r="G253">
        <f>Sheet2!T250</f>
        <v>0</v>
      </c>
      <c r="H253" s="31">
        <f>Simulation_output!E251</f>
        <v>1</v>
      </c>
      <c r="I253" s="31">
        <f>Simulation_output!F251</f>
        <v>0</v>
      </c>
      <c r="J253" s="31">
        <f>Simulation_output!G251</f>
        <v>0</v>
      </c>
      <c r="K253" s="31">
        <f>Simulation_output!H251</f>
        <v>0</v>
      </c>
      <c r="L253">
        <v>1</v>
      </c>
      <c r="M253">
        <f t="shared" si="67"/>
        <v>0</v>
      </c>
      <c r="N253">
        <f t="shared" si="66"/>
        <v>0</v>
      </c>
      <c r="O253">
        <f t="shared" si="65"/>
        <v>0</v>
      </c>
      <c r="P253">
        <f t="shared" si="68"/>
        <v>0</v>
      </c>
      <c r="Q253">
        <f t="shared" si="64"/>
        <v>0</v>
      </c>
      <c r="R253">
        <f t="shared" si="54"/>
        <v>0</v>
      </c>
      <c r="S253">
        <f t="shared" si="55"/>
        <v>0</v>
      </c>
      <c r="T253">
        <f t="shared" si="56"/>
        <v>0</v>
      </c>
      <c r="U253">
        <f t="shared" si="57"/>
        <v>0</v>
      </c>
      <c r="V253">
        <f t="shared" si="58"/>
        <v>0</v>
      </c>
      <c r="W253">
        <f t="shared" si="59"/>
        <v>0</v>
      </c>
      <c r="X253">
        <f t="shared" si="60"/>
        <v>0</v>
      </c>
      <c r="Y253">
        <f t="shared" si="61"/>
        <v>0</v>
      </c>
      <c r="Z253">
        <f t="shared" si="62"/>
        <v>0</v>
      </c>
      <c r="AB253">
        <v>249</v>
      </c>
      <c r="AC253">
        <f t="shared" si="63"/>
        <v>0</v>
      </c>
      <c r="AD253">
        <f t="shared" si="53"/>
        <v>0</v>
      </c>
    </row>
    <row r="254" spans="3:30" x14ac:dyDescent="0.25">
      <c r="C254" s="3"/>
      <c r="D254" s="31">
        <f>Simulation_output!A252</f>
        <v>2505000</v>
      </c>
      <c r="E254">
        <f>Sheet2!R251</f>
        <v>5</v>
      </c>
      <c r="F254">
        <f>Sheet2!S251</f>
        <v>1</v>
      </c>
      <c r="G254">
        <f>Sheet2!T251</f>
        <v>0</v>
      </c>
      <c r="H254" s="31">
        <f>Simulation_output!E252</f>
        <v>1</v>
      </c>
      <c r="I254" s="31">
        <f>Simulation_output!F252</f>
        <v>0</v>
      </c>
      <c r="J254" s="31">
        <f>Simulation_output!G252</f>
        <v>0</v>
      </c>
      <c r="K254" s="31">
        <f>Simulation_output!H252</f>
        <v>0</v>
      </c>
      <c r="L254">
        <v>1</v>
      </c>
      <c r="M254">
        <f t="shared" si="67"/>
        <v>0</v>
      </c>
      <c r="N254">
        <f t="shared" si="66"/>
        <v>0</v>
      </c>
      <c r="O254">
        <f t="shared" si="65"/>
        <v>0</v>
      </c>
      <c r="P254">
        <f t="shared" si="68"/>
        <v>0</v>
      </c>
      <c r="Q254">
        <f t="shared" si="64"/>
        <v>0</v>
      </c>
      <c r="R254">
        <f t="shared" si="54"/>
        <v>0</v>
      </c>
      <c r="S254">
        <f t="shared" si="55"/>
        <v>0</v>
      </c>
      <c r="T254">
        <f t="shared" si="56"/>
        <v>0</v>
      </c>
      <c r="U254">
        <f t="shared" si="57"/>
        <v>0</v>
      </c>
      <c r="V254">
        <f t="shared" si="58"/>
        <v>0</v>
      </c>
      <c r="W254">
        <f t="shared" si="59"/>
        <v>0</v>
      </c>
      <c r="X254">
        <f t="shared" si="60"/>
        <v>0</v>
      </c>
      <c r="Y254">
        <f t="shared" si="61"/>
        <v>0</v>
      </c>
      <c r="Z254">
        <f t="shared" si="62"/>
        <v>0</v>
      </c>
      <c r="AB254">
        <v>250</v>
      </c>
      <c r="AC254">
        <f t="shared" si="63"/>
        <v>0</v>
      </c>
      <c r="AD254">
        <f t="shared" si="53"/>
        <v>0</v>
      </c>
    </row>
    <row r="255" spans="3:30" x14ac:dyDescent="0.25">
      <c r="C255" s="3"/>
      <c r="D255" s="31">
        <f>Simulation_output!A253</f>
        <v>2515000</v>
      </c>
      <c r="E255">
        <f>Sheet2!R252</f>
        <v>0</v>
      </c>
      <c r="F255">
        <f>Sheet2!S252</f>
        <v>0</v>
      </c>
      <c r="G255">
        <f>Sheet2!T252</f>
        <v>0</v>
      </c>
      <c r="H255" s="31">
        <f>Simulation_output!E253</f>
        <v>1</v>
      </c>
      <c r="I255" s="31">
        <f>Simulation_output!F253</f>
        <v>0</v>
      </c>
      <c r="J255" s="31">
        <f>Simulation_output!G253</f>
        <v>0</v>
      </c>
      <c r="K255" s="31">
        <f>Simulation_output!H253</f>
        <v>0</v>
      </c>
      <c r="L255">
        <v>1</v>
      </c>
      <c r="M255">
        <f t="shared" si="67"/>
        <v>0</v>
      </c>
      <c r="N255">
        <f t="shared" si="66"/>
        <v>0</v>
      </c>
      <c r="O255">
        <f t="shared" si="65"/>
        <v>0</v>
      </c>
      <c r="P255">
        <f t="shared" si="68"/>
        <v>0</v>
      </c>
      <c r="Q255">
        <f t="shared" si="64"/>
        <v>0</v>
      </c>
      <c r="R255">
        <f t="shared" si="54"/>
        <v>0</v>
      </c>
      <c r="S255">
        <f t="shared" si="55"/>
        <v>0</v>
      </c>
      <c r="T255">
        <f t="shared" si="56"/>
        <v>0</v>
      </c>
      <c r="U255">
        <f t="shared" si="57"/>
        <v>0</v>
      </c>
      <c r="V255">
        <f t="shared" si="58"/>
        <v>0</v>
      </c>
      <c r="W255">
        <f t="shared" si="59"/>
        <v>0</v>
      </c>
      <c r="X255">
        <f t="shared" si="60"/>
        <v>0</v>
      </c>
      <c r="Y255">
        <f t="shared" si="61"/>
        <v>0</v>
      </c>
      <c r="Z255">
        <f t="shared" si="62"/>
        <v>0</v>
      </c>
      <c r="AB255">
        <v>251</v>
      </c>
      <c r="AC255">
        <f t="shared" si="63"/>
        <v>0</v>
      </c>
      <c r="AD255">
        <f t="shared" si="53"/>
        <v>0</v>
      </c>
    </row>
    <row r="256" spans="3:30" x14ac:dyDescent="0.25">
      <c r="C256" s="3"/>
      <c r="D256" s="31">
        <f>Simulation_output!A254</f>
        <v>2525000</v>
      </c>
      <c r="E256">
        <f>Sheet2!R253</f>
        <v>30</v>
      </c>
      <c r="F256">
        <f>Sheet2!S253</f>
        <v>1</v>
      </c>
      <c r="G256">
        <f>Sheet2!T253</f>
        <v>0</v>
      </c>
      <c r="H256" s="31">
        <f>Simulation_output!E254</f>
        <v>1</v>
      </c>
      <c r="I256" s="31">
        <f>Simulation_output!F254</f>
        <v>0</v>
      </c>
      <c r="J256" s="31">
        <f>Simulation_output!G254</f>
        <v>0</v>
      </c>
      <c r="K256" s="31">
        <f>Simulation_output!H254</f>
        <v>0</v>
      </c>
      <c r="L256">
        <v>1</v>
      </c>
      <c r="M256">
        <f t="shared" si="67"/>
        <v>0</v>
      </c>
      <c r="N256">
        <f t="shared" si="66"/>
        <v>0</v>
      </c>
      <c r="O256">
        <f t="shared" si="65"/>
        <v>0</v>
      </c>
      <c r="P256">
        <f t="shared" si="68"/>
        <v>0</v>
      </c>
      <c r="Q256">
        <f t="shared" si="64"/>
        <v>0</v>
      </c>
      <c r="R256">
        <f t="shared" si="54"/>
        <v>0</v>
      </c>
      <c r="S256">
        <f t="shared" si="55"/>
        <v>0</v>
      </c>
      <c r="T256">
        <f t="shared" si="56"/>
        <v>0</v>
      </c>
      <c r="U256">
        <f t="shared" si="57"/>
        <v>0</v>
      </c>
      <c r="V256">
        <f t="shared" si="58"/>
        <v>0</v>
      </c>
      <c r="W256">
        <f t="shared" si="59"/>
        <v>0</v>
      </c>
      <c r="X256">
        <f t="shared" si="60"/>
        <v>0</v>
      </c>
      <c r="Y256">
        <f t="shared" si="61"/>
        <v>0</v>
      </c>
      <c r="Z256">
        <f t="shared" si="62"/>
        <v>0</v>
      </c>
      <c r="AB256">
        <v>252</v>
      </c>
      <c r="AC256">
        <f t="shared" si="63"/>
        <v>0</v>
      </c>
      <c r="AD256">
        <f t="shared" si="53"/>
        <v>0</v>
      </c>
    </row>
    <row r="257" spans="3:30" x14ac:dyDescent="0.25">
      <c r="C257" s="3"/>
      <c r="D257" s="31">
        <f>Simulation_output!A255</f>
        <v>2535000</v>
      </c>
      <c r="E257">
        <f>Sheet2!R254</f>
        <v>0</v>
      </c>
      <c r="F257">
        <f>Sheet2!S254</f>
        <v>0</v>
      </c>
      <c r="G257">
        <f>Sheet2!T254</f>
        <v>0</v>
      </c>
      <c r="H257" s="31">
        <f>Simulation_output!E255</f>
        <v>1</v>
      </c>
      <c r="I257" s="31">
        <f>Simulation_output!F255</f>
        <v>0</v>
      </c>
      <c r="J257" s="31">
        <f>Simulation_output!G255</f>
        <v>0</v>
      </c>
      <c r="K257" s="31">
        <f>Simulation_output!H255</f>
        <v>0</v>
      </c>
      <c r="L257">
        <v>1</v>
      </c>
      <c r="M257">
        <f t="shared" si="67"/>
        <v>0</v>
      </c>
      <c r="N257">
        <f t="shared" si="66"/>
        <v>0</v>
      </c>
      <c r="O257">
        <f t="shared" si="65"/>
        <v>0</v>
      </c>
      <c r="P257">
        <f t="shared" si="68"/>
        <v>0</v>
      </c>
      <c r="Q257">
        <f t="shared" si="64"/>
        <v>0</v>
      </c>
      <c r="R257">
        <f t="shared" si="54"/>
        <v>0</v>
      </c>
      <c r="S257">
        <f t="shared" si="55"/>
        <v>0</v>
      </c>
      <c r="T257">
        <f t="shared" si="56"/>
        <v>0</v>
      </c>
      <c r="U257">
        <f t="shared" si="57"/>
        <v>0</v>
      </c>
      <c r="V257">
        <f t="shared" si="58"/>
        <v>0</v>
      </c>
      <c r="W257">
        <f t="shared" si="59"/>
        <v>0</v>
      </c>
      <c r="X257">
        <f t="shared" si="60"/>
        <v>0</v>
      </c>
      <c r="Y257">
        <f t="shared" si="61"/>
        <v>0</v>
      </c>
      <c r="Z257">
        <f t="shared" si="62"/>
        <v>0</v>
      </c>
      <c r="AB257">
        <v>253</v>
      </c>
      <c r="AC257">
        <f t="shared" si="63"/>
        <v>0</v>
      </c>
      <c r="AD257">
        <f t="shared" si="53"/>
        <v>0</v>
      </c>
    </row>
    <row r="258" spans="3:30" x14ac:dyDescent="0.25">
      <c r="C258" s="3"/>
      <c r="D258" s="31">
        <f>Simulation_output!A256</f>
        <v>2545000</v>
      </c>
      <c r="E258">
        <f>Sheet2!R255</f>
        <v>130</v>
      </c>
      <c r="F258">
        <f>Sheet2!S255</f>
        <v>1</v>
      </c>
      <c r="G258">
        <f>Sheet2!T255</f>
        <v>0</v>
      </c>
      <c r="H258" s="31">
        <f>Simulation_output!E256</f>
        <v>1</v>
      </c>
      <c r="I258" s="31">
        <f>Simulation_output!F256</f>
        <v>0</v>
      </c>
      <c r="J258" s="31">
        <f>Simulation_output!G256</f>
        <v>0</v>
      </c>
      <c r="K258" s="31">
        <f>Simulation_output!H256</f>
        <v>0</v>
      </c>
      <c r="L258">
        <v>1</v>
      </c>
      <c r="M258">
        <f t="shared" si="67"/>
        <v>0</v>
      </c>
      <c r="N258">
        <f t="shared" si="66"/>
        <v>0</v>
      </c>
      <c r="O258">
        <f t="shared" si="65"/>
        <v>0</v>
      </c>
      <c r="P258">
        <f t="shared" si="68"/>
        <v>0</v>
      </c>
      <c r="Q258">
        <f t="shared" si="64"/>
        <v>0</v>
      </c>
      <c r="R258">
        <f t="shared" si="54"/>
        <v>0</v>
      </c>
      <c r="S258">
        <f t="shared" si="55"/>
        <v>0</v>
      </c>
      <c r="T258">
        <f t="shared" si="56"/>
        <v>0</v>
      </c>
      <c r="U258">
        <f t="shared" si="57"/>
        <v>0</v>
      </c>
      <c r="V258">
        <f t="shared" si="58"/>
        <v>0</v>
      </c>
      <c r="W258">
        <f t="shared" si="59"/>
        <v>0</v>
      </c>
      <c r="X258">
        <f t="shared" si="60"/>
        <v>0</v>
      </c>
      <c r="Y258">
        <f t="shared" si="61"/>
        <v>0</v>
      </c>
      <c r="Z258">
        <f t="shared" si="62"/>
        <v>0</v>
      </c>
      <c r="AB258">
        <v>254</v>
      </c>
      <c r="AC258">
        <f t="shared" si="63"/>
        <v>0</v>
      </c>
      <c r="AD258">
        <f t="shared" si="53"/>
        <v>0</v>
      </c>
    </row>
    <row r="259" spans="3:30" x14ac:dyDescent="0.25">
      <c r="C259" s="3"/>
      <c r="D259" s="31">
        <f>Simulation_output!A257</f>
        <v>2555000</v>
      </c>
      <c r="E259">
        <f>Sheet2!R256</f>
        <v>0</v>
      </c>
      <c r="F259">
        <f>Sheet2!S256</f>
        <v>0</v>
      </c>
      <c r="G259">
        <f>Sheet2!T256</f>
        <v>0</v>
      </c>
      <c r="H259" s="31">
        <f>Simulation_output!E257</f>
        <v>1</v>
      </c>
      <c r="I259" s="31">
        <f>Simulation_output!F257</f>
        <v>0</v>
      </c>
      <c r="J259" s="31">
        <f>Simulation_output!G257</f>
        <v>0</v>
      </c>
      <c r="K259" s="31">
        <f>Simulation_output!H257</f>
        <v>0</v>
      </c>
      <c r="L259">
        <v>1</v>
      </c>
      <c r="M259">
        <f t="shared" si="67"/>
        <v>0</v>
      </c>
      <c r="N259">
        <f t="shared" si="66"/>
        <v>0</v>
      </c>
      <c r="O259">
        <f t="shared" si="65"/>
        <v>0</v>
      </c>
      <c r="P259">
        <f t="shared" si="68"/>
        <v>0</v>
      </c>
      <c r="Q259">
        <f t="shared" si="64"/>
        <v>0</v>
      </c>
      <c r="R259">
        <f t="shared" si="54"/>
        <v>0</v>
      </c>
      <c r="S259">
        <f t="shared" si="55"/>
        <v>0</v>
      </c>
      <c r="T259">
        <f t="shared" si="56"/>
        <v>0</v>
      </c>
      <c r="U259">
        <f t="shared" si="57"/>
        <v>0</v>
      </c>
      <c r="V259">
        <f t="shared" si="58"/>
        <v>0</v>
      </c>
      <c r="W259">
        <f t="shared" si="59"/>
        <v>0</v>
      </c>
      <c r="X259">
        <f t="shared" si="60"/>
        <v>0</v>
      </c>
      <c r="Y259">
        <f t="shared" si="61"/>
        <v>0</v>
      </c>
      <c r="Z259">
        <f t="shared" si="62"/>
        <v>0</v>
      </c>
      <c r="AB259">
        <v>255</v>
      </c>
      <c r="AC259">
        <f t="shared" si="63"/>
        <v>0</v>
      </c>
      <c r="AD259">
        <f t="shared" si="53"/>
        <v>0</v>
      </c>
    </row>
    <row r="260" spans="3:30" x14ac:dyDescent="0.25">
      <c r="C260" s="3"/>
      <c r="D260" s="31">
        <f>Simulation_output!A258</f>
        <v>2565000</v>
      </c>
      <c r="E260">
        <f>Sheet2!R257</f>
        <v>1030</v>
      </c>
      <c r="F260">
        <f>Sheet2!S257</f>
        <v>1</v>
      </c>
      <c r="G260">
        <f>Sheet2!T257</f>
        <v>0</v>
      </c>
      <c r="H260" s="31">
        <f>Simulation_output!E258</f>
        <v>1</v>
      </c>
      <c r="I260" s="31">
        <f>Simulation_output!F258</f>
        <v>0</v>
      </c>
      <c r="J260" s="31">
        <f>Simulation_output!G258</f>
        <v>0</v>
      </c>
      <c r="K260" s="31">
        <f>Simulation_output!H258</f>
        <v>0</v>
      </c>
      <c r="L260">
        <v>1</v>
      </c>
      <c r="M260">
        <f t="shared" si="67"/>
        <v>0</v>
      </c>
      <c r="N260">
        <f t="shared" si="66"/>
        <v>0</v>
      </c>
      <c r="O260">
        <f t="shared" si="65"/>
        <v>0</v>
      </c>
      <c r="P260">
        <f t="shared" si="68"/>
        <v>0</v>
      </c>
      <c r="Q260">
        <f t="shared" si="64"/>
        <v>0</v>
      </c>
      <c r="R260">
        <f t="shared" si="54"/>
        <v>0</v>
      </c>
      <c r="S260">
        <f t="shared" si="55"/>
        <v>0</v>
      </c>
      <c r="T260">
        <f t="shared" si="56"/>
        <v>0</v>
      </c>
      <c r="U260">
        <f t="shared" si="57"/>
        <v>0</v>
      </c>
      <c r="V260">
        <f t="shared" si="58"/>
        <v>0</v>
      </c>
      <c r="W260">
        <f t="shared" si="59"/>
        <v>0</v>
      </c>
      <c r="X260">
        <f t="shared" si="60"/>
        <v>0</v>
      </c>
      <c r="Y260">
        <f t="shared" si="61"/>
        <v>0</v>
      </c>
      <c r="Z260">
        <f t="shared" si="62"/>
        <v>0</v>
      </c>
      <c r="AB260">
        <v>256</v>
      </c>
      <c r="AC260">
        <f t="shared" si="63"/>
        <v>0</v>
      </c>
      <c r="AD260">
        <f t="shared" si="53"/>
        <v>0</v>
      </c>
    </row>
    <row r="261" spans="3:30" x14ac:dyDescent="0.25">
      <c r="C261" s="3"/>
      <c r="D261" s="31">
        <f>Simulation_output!A259</f>
        <v>2575000</v>
      </c>
      <c r="E261">
        <f>Sheet2!R258</f>
        <v>0</v>
      </c>
      <c r="F261">
        <f>Sheet2!S258</f>
        <v>0</v>
      </c>
      <c r="G261">
        <f>Sheet2!T258</f>
        <v>0</v>
      </c>
      <c r="H261" s="31">
        <f>Simulation_output!E259</f>
        <v>1</v>
      </c>
      <c r="I261" s="31">
        <f>Simulation_output!F259</f>
        <v>0</v>
      </c>
      <c r="J261" s="31">
        <f>Simulation_output!G259</f>
        <v>0</v>
      </c>
      <c r="K261" s="31">
        <f>Simulation_output!H259</f>
        <v>0</v>
      </c>
      <c r="L261">
        <v>1</v>
      </c>
      <c r="M261">
        <f t="shared" si="67"/>
        <v>0</v>
      </c>
      <c r="N261">
        <f t="shared" si="66"/>
        <v>0</v>
      </c>
      <c r="O261">
        <f t="shared" si="65"/>
        <v>0</v>
      </c>
      <c r="P261">
        <f t="shared" si="68"/>
        <v>0</v>
      </c>
      <c r="Q261">
        <f t="shared" si="64"/>
        <v>0</v>
      </c>
      <c r="R261">
        <f t="shared" si="54"/>
        <v>0</v>
      </c>
      <c r="S261">
        <f t="shared" si="55"/>
        <v>0</v>
      </c>
      <c r="T261">
        <f t="shared" si="56"/>
        <v>0</v>
      </c>
      <c r="U261">
        <f t="shared" si="57"/>
        <v>0</v>
      </c>
      <c r="V261">
        <f t="shared" si="58"/>
        <v>0</v>
      </c>
      <c r="W261">
        <f t="shared" si="59"/>
        <v>0</v>
      </c>
      <c r="X261">
        <f t="shared" si="60"/>
        <v>0</v>
      </c>
      <c r="Y261">
        <f t="shared" si="61"/>
        <v>0</v>
      </c>
      <c r="Z261">
        <f t="shared" si="62"/>
        <v>0</v>
      </c>
      <c r="AB261">
        <v>257</v>
      </c>
      <c r="AC261">
        <f t="shared" si="63"/>
        <v>0</v>
      </c>
      <c r="AD261">
        <f t="shared" si="53"/>
        <v>0</v>
      </c>
    </row>
    <row r="262" spans="3:30" x14ac:dyDescent="0.25">
      <c r="C262" s="3"/>
      <c r="D262" s="31">
        <f>Simulation_output!A260</f>
        <v>2585000</v>
      </c>
      <c r="E262">
        <f>Sheet2!R259</f>
        <v>10030</v>
      </c>
      <c r="F262">
        <f>Sheet2!S259</f>
        <v>1</v>
      </c>
      <c r="G262">
        <f>Sheet2!T259</f>
        <v>1</v>
      </c>
      <c r="H262" s="31">
        <f>Simulation_output!E260</f>
        <v>1</v>
      </c>
      <c r="I262" s="31">
        <f>Simulation_output!F260</f>
        <v>0</v>
      </c>
      <c r="J262" s="31">
        <f>Simulation_output!G260</f>
        <v>0</v>
      </c>
      <c r="K262" s="31">
        <f>Simulation_output!H260</f>
        <v>0</v>
      </c>
      <c r="L262">
        <v>1</v>
      </c>
      <c r="M262">
        <f t="shared" si="67"/>
        <v>0</v>
      </c>
      <c r="N262">
        <f t="shared" si="66"/>
        <v>0</v>
      </c>
      <c r="O262">
        <f t="shared" si="65"/>
        <v>0</v>
      </c>
      <c r="P262">
        <f t="shared" si="68"/>
        <v>0</v>
      </c>
      <c r="Q262">
        <f t="shared" si="64"/>
        <v>0</v>
      </c>
      <c r="R262">
        <f t="shared" si="54"/>
        <v>0</v>
      </c>
      <c r="S262">
        <f t="shared" si="55"/>
        <v>0</v>
      </c>
      <c r="T262">
        <f t="shared" si="56"/>
        <v>0</v>
      </c>
      <c r="U262">
        <f t="shared" si="57"/>
        <v>0</v>
      </c>
      <c r="V262">
        <f t="shared" si="58"/>
        <v>0</v>
      </c>
      <c r="W262">
        <f t="shared" si="59"/>
        <v>0</v>
      </c>
      <c r="X262">
        <f t="shared" si="60"/>
        <v>0</v>
      </c>
      <c r="Y262">
        <f t="shared" si="61"/>
        <v>0</v>
      </c>
      <c r="Z262">
        <f t="shared" si="62"/>
        <v>0</v>
      </c>
      <c r="AB262">
        <v>258</v>
      </c>
      <c r="AC262">
        <f t="shared" si="63"/>
        <v>0</v>
      </c>
      <c r="AD262">
        <f t="shared" ref="AD262:AD325" si="69">IF(M262="FFFFFFF",AC262,0)</f>
        <v>0</v>
      </c>
    </row>
    <row r="263" spans="3:30" x14ac:dyDescent="0.25">
      <c r="C263" s="3"/>
      <c r="D263" s="31">
        <f>Simulation_output!A261</f>
        <v>2595000</v>
      </c>
      <c r="E263">
        <f>Sheet2!R260</f>
        <v>0</v>
      </c>
      <c r="F263">
        <f>Sheet2!S260</f>
        <v>0</v>
      </c>
      <c r="G263">
        <f>Sheet2!T260</f>
        <v>0</v>
      </c>
      <c r="H263" s="31">
        <f>Simulation_output!E261</f>
        <v>1</v>
      </c>
      <c r="I263" s="31">
        <f>Simulation_output!F261</f>
        <v>0</v>
      </c>
      <c r="J263" s="31">
        <f>Simulation_output!G261</f>
        <v>0</v>
      </c>
      <c r="K263" s="31">
        <f>Simulation_output!H261</f>
        <v>0</v>
      </c>
      <c r="L263">
        <v>1</v>
      </c>
      <c r="M263">
        <f t="shared" si="67"/>
        <v>0</v>
      </c>
      <c r="N263">
        <f t="shared" si="66"/>
        <v>0</v>
      </c>
      <c r="O263">
        <f t="shared" si="65"/>
        <v>0</v>
      </c>
      <c r="P263">
        <f t="shared" si="68"/>
        <v>0</v>
      </c>
      <c r="Q263">
        <f t="shared" si="64"/>
        <v>0</v>
      </c>
      <c r="R263">
        <f t="shared" ref="R263:R326" si="70">IF(K263&gt;0,I255,0)</f>
        <v>0</v>
      </c>
      <c r="S263">
        <f t="shared" ref="S263:S326" si="71">IF(K263&gt;0,I256,0)</f>
        <v>0</v>
      </c>
      <c r="T263">
        <f t="shared" ref="T263:T326" si="72">IF(K263&gt;0,I257,0)</f>
        <v>0</v>
      </c>
      <c r="U263">
        <f t="shared" ref="U263:U326" si="73">IF(K263&gt;0,I258,0)</f>
        <v>0</v>
      </c>
      <c r="V263">
        <f t="shared" ref="V263:V326" si="74">IF(K263&gt;0,I259,0)</f>
        <v>0</v>
      </c>
      <c r="W263">
        <f t="shared" ref="W263:W326" si="75">IF(K263&gt;0,I260,0)</f>
        <v>0</v>
      </c>
      <c r="X263">
        <f t="shared" ref="X263:X326" si="76">IF(K263&gt;0,I261,0)</f>
        <v>0</v>
      </c>
      <c r="Y263">
        <f t="shared" ref="Y263:Y326" si="77">IF(K263&gt;0,I262,0)</f>
        <v>0</v>
      </c>
      <c r="Z263">
        <f t="shared" ref="Z263:Z326" si="78">IF(K263&gt;0,DEC2HEX(I263),0)</f>
        <v>0</v>
      </c>
      <c r="AB263">
        <v>259</v>
      </c>
      <c r="AC263">
        <f t="shared" ref="AC263:AC326" si="79">IF(M263="FFFFFFF",AC262+1,AC262)</f>
        <v>0</v>
      </c>
      <c r="AD263">
        <f t="shared" si="69"/>
        <v>0</v>
      </c>
    </row>
    <row r="264" spans="3:30" x14ac:dyDescent="0.25">
      <c r="C264" s="3"/>
      <c r="D264" s="31">
        <f>Simulation_output!A262</f>
        <v>2605000</v>
      </c>
      <c r="E264">
        <f>Sheet2!R261</f>
        <v>0</v>
      </c>
      <c r="F264">
        <f>Sheet2!S261</f>
        <v>1</v>
      </c>
      <c r="G264">
        <f>Sheet2!T261</f>
        <v>0</v>
      </c>
      <c r="H264" s="31">
        <f>Simulation_output!E262</f>
        <v>1</v>
      </c>
      <c r="I264" s="31">
        <f>Simulation_output!F262</f>
        <v>0</v>
      </c>
      <c r="J264" s="31">
        <f>Simulation_output!G262</f>
        <v>0</v>
      </c>
      <c r="K264" s="31">
        <f>Simulation_output!H262</f>
        <v>0</v>
      </c>
      <c r="L264">
        <v>1</v>
      </c>
      <c r="M264">
        <f t="shared" si="67"/>
        <v>0</v>
      </c>
      <c r="N264">
        <f t="shared" si="66"/>
        <v>0</v>
      </c>
      <c r="O264">
        <f t="shared" si="65"/>
        <v>0</v>
      </c>
      <c r="P264">
        <f t="shared" si="68"/>
        <v>0</v>
      </c>
      <c r="Q264">
        <f t="shared" si="64"/>
        <v>0</v>
      </c>
      <c r="R264">
        <f t="shared" si="70"/>
        <v>0</v>
      </c>
      <c r="S264">
        <f t="shared" si="71"/>
        <v>0</v>
      </c>
      <c r="T264">
        <f t="shared" si="72"/>
        <v>0</v>
      </c>
      <c r="U264">
        <f t="shared" si="73"/>
        <v>0</v>
      </c>
      <c r="V264">
        <f t="shared" si="74"/>
        <v>0</v>
      </c>
      <c r="W264">
        <f t="shared" si="75"/>
        <v>0</v>
      </c>
      <c r="X264">
        <f t="shared" si="76"/>
        <v>0</v>
      </c>
      <c r="Y264">
        <f t="shared" si="77"/>
        <v>0</v>
      </c>
      <c r="Z264">
        <f t="shared" si="78"/>
        <v>0</v>
      </c>
      <c r="AB264">
        <v>260</v>
      </c>
      <c r="AC264">
        <f t="shared" si="79"/>
        <v>0</v>
      </c>
      <c r="AD264">
        <f t="shared" si="69"/>
        <v>0</v>
      </c>
    </row>
    <row r="265" spans="3:30" x14ac:dyDescent="0.25">
      <c r="C265" s="3"/>
      <c r="D265" s="31">
        <f>Simulation_output!A263</f>
        <v>2615000</v>
      </c>
      <c r="E265">
        <f>Sheet2!R262</f>
        <v>0</v>
      </c>
      <c r="F265">
        <f>Sheet2!S262</f>
        <v>0</v>
      </c>
      <c r="G265">
        <f>Sheet2!T262</f>
        <v>0</v>
      </c>
      <c r="H265" s="31">
        <f>Simulation_output!E263</f>
        <v>1</v>
      </c>
      <c r="I265" s="31">
        <f>Simulation_output!F263</f>
        <v>0</v>
      </c>
      <c r="J265" s="31">
        <f>Simulation_output!G263</f>
        <v>0</v>
      </c>
      <c r="K265" s="31">
        <f>Simulation_output!H263</f>
        <v>0</v>
      </c>
      <c r="L265">
        <v>1</v>
      </c>
      <c r="M265">
        <f t="shared" si="67"/>
        <v>0</v>
      </c>
      <c r="N265">
        <f t="shared" si="66"/>
        <v>0</v>
      </c>
      <c r="O265">
        <f t="shared" si="65"/>
        <v>0</v>
      </c>
      <c r="P265">
        <f t="shared" si="68"/>
        <v>0</v>
      </c>
      <c r="Q265">
        <f t="shared" si="64"/>
        <v>0</v>
      </c>
      <c r="R265">
        <f t="shared" si="70"/>
        <v>0</v>
      </c>
      <c r="S265">
        <f t="shared" si="71"/>
        <v>0</v>
      </c>
      <c r="T265">
        <f t="shared" si="72"/>
        <v>0</v>
      </c>
      <c r="U265">
        <f t="shared" si="73"/>
        <v>0</v>
      </c>
      <c r="V265">
        <f t="shared" si="74"/>
        <v>0</v>
      </c>
      <c r="W265">
        <f t="shared" si="75"/>
        <v>0</v>
      </c>
      <c r="X265">
        <f t="shared" si="76"/>
        <v>0</v>
      </c>
      <c r="Y265">
        <f t="shared" si="77"/>
        <v>0</v>
      </c>
      <c r="Z265">
        <f t="shared" si="78"/>
        <v>0</v>
      </c>
      <c r="AB265">
        <v>261</v>
      </c>
      <c r="AC265">
        <f t="shared" si="79"/>
        <v>0</v>
      </c>
      <c r="AD265">
        <f t="shared" si="69"/>
        <v>0</v>
      </c>
    </row>
    <row r="266" spans="3:30" x14ac:dyDescent="0.25">
      <c r="C266" s="3"/>
      <c r="D266" s="31">
        <f>Simulation_output!A264</f>
        <v>2625000</v>
      </c>
      <c r="E266">
        <f>Sheet2!R263</f>
        <v>5</v>
      </c>
      <c r="F266">
        <f>Sheet2!S263</f>
        <v>1</v>
      </c>
      <c r="G266">
        <f>Sheet2!T263</f>
        <v>0</v>
      </c>
      <c r="H266" s="31">
        <f>Simulation_output!E264</f>
        <v>1</v>
      </c>
      <c r="I266" s="31">
        <f>Simulation_output!F264</f>
        <v>0</v>
      </c>
      <c r="J266" s="31">
        <f>Simulation_output!G264</f>
        <v>0</v>
      </c>
      <c r="K266" s="31">
        <f>Simulation_output!H264</f>
        <v>0</v>
      </c>
      <c r="L266">
        <v>1</v>
      </c>
      <c r="M266">
        <f t="shared" si="67"/>
        <v>0</v>
      </c>
      <c r="N266">
        <f t="shared" si="66"/>
        <v>0</v>
      </c>
      <c r="O266">
        <f t="shared" si="65"/>
        <v>0</v>
      </c>
      <c r="P266">
        <f t="shared" si="68"/>
        <v>0</v>
      </c>
      <c r="Q266">
        <f t="shared" si="64"/>
        <v>0</v>
      </c>
      <c r="R266">
        <f t="shared" si="70"/>
        <v>0</v>
      </c>
      <c r="S266">
        <f t="shared" si="71"/>
        <v>0</v>
      </c>
      <c r="T266">
        <f t="shared" si="72"/>
        <v>0</v>
      </c>
      <c r="U266">
        <f t="shared" si="73"/>
        <v>0</v>
      </c>
      <c r="V266">
        <f t="shared" si="74"/>
        <v>0</v>
      </c>
      <c r="W266">
        <f t="shared" si="75"/>
        <v>0</v>
      </c>
      <c r="X266">
        <f t="shared" si="76"/>
        <v>0</v>
      </c>
      <c r="Y266">
        <f t="shared" si="77"/>
        <v>0</v>
      </c>
      <c r="Z266">
        <f t="shared" si="78"/>
        <v>0</v>
      </c>
      <c r="AB266">
        <v>262</v>
      </c>
      <c r="AC266">
        <f t="shared" si="79"/>
        <v>0</v>
      </c>
      <c r="AD266">
        <f t="shared" si="69"/>
        <v>0</v>
      </c>
    </row>
    <row r="267" spans="3:30" x14ac:dyDescent="0.25">
      <c r="C267" s="3"/>
      <c r="D267" s="31">
        <f>Simulation_output!A265</f>
        <v>2635000</v>
      </c>
      <c r="E267">
        <f>Sheet2!R264</f>
        <v>0</v>
      </c>
      <c r="F267">
        <f>Sheet2!S264</f>
        <v>0</v>
      </c>
      <c r="G267">
        <f>Sheet2!T264</f>
        <v>0</v>
      </c>
      <c r="H267" s="31">
        <f>Simulation_output!E265</f>
        <v>1</v>
      </c>
      <c r="I267" s="31">
        <f>Simulation_output!F265</f>
        <v>0</v>
      </c>
      <c r="J267" s="31">
        <f>Simulation_output!G265</f>
        <v>0</v>
      </c>
      <c r="K267" s="31">
        <f>Simulation_output!H265</f>
        <v>0</v>
      </c>
      <c r="L267">
        <v>1</v>
      </c>
      <c r="M267">
        <f t="shared" si="67"/>
        <v>0</v>
      </c>
      <c r="N267">
        <f t="shared" si="66"/>
        <v>0</v>
      </c>
      <c r="O267">
        <f t="shared" si="65"/>
        <v>0</v>
      </c>
      <c r="P267">
        <f t="shared" si="68"/>
        <v>0</v>
      </c>
      <c r="Q267">
        <f t="shared" ref="Q267:Q330" si="80">IF(K267&gt;0,I258,0)</f>
        <v>0</v>
      </c>
      <c r="R267">
        <f t="shared" si="70"/>
        <v>0</v>
      </c>
      <c r="S267">
        <f t="shared" si="71"/>
        <v>0</v>
      </c>
      <c r="T267">
        <f t="shared" si="72"/>
        <v>0</v>
      </c>
      <c r="U267">
        <f t="shared" si="73"/>
        <v>0</v>
      </c>
      <c r="V267">
        <f t="shared" si="74"/>
        <v>0</v>
      </c>
      <c r="W267">
        <f t="shared" si="75"/>
        <v>0</v>
      </c>
      <c r="X267">
        <f t="shared" si="76"/>
        <v>0</v>
      </c>
      <c r="Y267">
        <f t="shared" si="77"/>
        <v>0</v>
      </c>
      <c r="Z267">
        <f t="shared" si="78"/>
        <v>0</v>
      </c>
      <c r="AB267">
        <v>263</v>
      </c>
      <c r="AC267">
        <f t="shared" si="79"/>
        <v>0</v>
      </c>
      <c r="AD267">
        <f t="shared" si="69"/>
        <v>0</v>
      </c>
    </row>
    <row r="268" spans="3:30" x14ac:dyDescent="0.25">
      <c r="C268" s="3"/>
      <c r="D268" s="31">
        <f>Simulation_output!A266</f>
        <v>2645000</v>
      </c>
      <c r="E268">
        <f>Sheet2!R265</f>
        <v>31</v>
      </c>
      <c r="F268">
        <f>Sheet2!S265</f>
        <v>1</v>
      </c>
      <c r="G268">
        <f>Sheet2!T265</f>
        <v>0</v>
      </c>
      <c r="H268" s="31">
        <f>Simulation_output!E266</f>
        <v>1</v>
      </c>
      <c r="I268" s="31">
        <f>Simulation_output!F266</f>
        <v>0</v>
      </c>
      <c r="J268" s="31">
        <f>Simulation_output!G266</f>
        <v>0</v>
      </c>
      <c r="K268" s="31">
        <f>Simulation_output!H266</f>
        <v>0</v>
      </c>
      <c r="L268">
        <v>1</v>
      </c>
      <c r="M268">
        <f t="shared" si="67"/>
        <v>0</v>
      </c>
      <c r="N268">
        <f t="shared" si="66"/>
        <v>0</v>
      </c>
      <c r="O268">
        <f t="shared" si="65"/>
        <v>0</v>
      </c>
      <c r="P268">
        <f t="shared" si="68"/>
        <v>0</v>
      </c>
      <c r="Q268">
        <f t="shared" si="80"/>
        <v>0</v>
      </c>
      <c r="R268">
        <f t="shared" si="70"/>
        <v>0</v>
      </c>
      <c r="S268">
        <f t="shared" si="71"/>
        <v>0</v>
      </c>
      <c r="T268">
        <f t="shared" si="72"/>
        <v>0</v>
      </c>
      <c r="U268">
        <f t="shared" si="73"/>
        <v>0</v>
      </c>
      <c r="V268">
        <f t="shared" si="74"/>
        <v>0</v>
      </c>
      <c r="W268">
        <f t="shared" si="75"/>
        <v>0</v>
      </c>
      <c r="X268">
        <f t="shared" si="76"/>
        <v>0</v>
      </c>
      <c r="Y268">
        <f t="shared" si="77"/>
        <v>0</v>
      </c>
      <c r="Z268">
        <f t="shared" si="78"/>
        <v>0</v>
      </c>
      <c r="AB268">
        <v>264</v>
      </c>
      <c r="AC268">
        <f t="shared" si="79"/>
        <v>0</v>
      </c>
      <c r="AD268">
        <f t="shared" si="69"/>
        <v>0</v>
      </c>
    </row>
    <row r="269" spans="3:30" x14ac:dyDescent="0.25">
      <c r="C269" s="3"/>
      <c r="D269" s="31">
        <f>Simulation_output!A267</f>
        <v>2655000</v>
      </c>
      <c r="E269">
        <f>Sheet2!R266</f>
        <v>0</v>
      </c>
      <c r="F269">
        <f>Sheet2!S266</f>
        <v>0</v>
      </c>
      <c r="G269">
        <f>Sheet2!T266</f>
        <v>0</v>
      </c>
      <c r="H269" s="31">
        <f>Simulation_output!E267</f>
        <v>1</v>
      </c>
      <c r="I269" s="31">
        <f>Simulation_output!F267</f>
        <v>0</v>
      </c>
      <c r="J269" s="31">
        <f>Simulation_output!G267</f>
        <v>0</v>
      </c>
      <c r="K269" s="31">
        <f>Simulation_output!H267</f>
        <v>0</v>
      </c>
      <c r="L269">
        <v>1</v>
      </c>
      <c r="M269">
        <f t="shared" si="67"/>
        <v>0</v>
      </c>
      <c r="N269">
        <f t="shared" si="66"/>
        <v>0</v>
      </c>
      <c r="O269">
        <f t="shared" ref="O269:O332" si="81">IF(K269&gt;0,I258,0)</f>
        <v>0</v>
      </c>
      <c r="P269">
        <f t="shared" si="68"/>
        <v>0</v>
      </c>
      <c r="Q269">
        <f t="shared" si="80"/>
        <v>0</v>
      </c>
      <c r="R269">
        <f t="shared" si="70"/>
        <v>0</v>
      </c>
      <c r="S269">
        <f t="shared" si="71"/>
        <v>0</v>
      </c>
      <c r="T269">
        <f t="shared" si="72"/>
        <v>0</v>
      </c>
      <c r="U269">
        <f t="shared" si="73"/>
        <v>0</v>
      </c>
      <c r="V269">
        <f t="shared" si="74"/>
        <v>0</v>
      </c>
      <c r="W269">
        <f t="shared" si="75"/>
        <v>0</v>
      </c>
      <c r="X269">
        <f t="shared" si="76"/>
        <v>0</v>
      </c>
      <c r="Y269">
        <f t="shared" si="77"/>
        <v>0</v>
      </c>
      <c r="Z269">
        <f t="shared" si="78"/>
        <v>0</v>
      </c>
      <c r="AB269">
        <v>265</v>
      </c>
      <c r="AC269">
        <f t="shared" si="79"/>
        <v>0</v>
      </c>
      <c r="AD269">
        <f t="shared" si="69"/>
        <v>0</v>
      </c>
    </row>
    <row r="270" spans="3:30" x14ac:dyDescent="0.25">
      <c r="C270" s="3"/>
      <c r="D270" s="31">
        <f>Simulation_output!A268</f>
        <v>2665000</v>
      </c>
      <c r="E270">
        <f>Sheet2!R267</f>
        <v>131</v>
      </c>
      <c r="F270">
        <f>Sheet2!S267</f>
        <v>1</v>
      </c>
      <c r="G270">
        <f>Sheet2!T267</f>
        <v>0</v>
      </c>
      <c r="H270" s="31">
        <f>Simulation_output!E268</f>
        <v>1</v>
      </c>
      <c r="I270" s="31">
        <f>Simulation_output!F268</f>
        <v>0</v>
      </c>
      <c r="J270" s="31">
        <f>Simulation_output!G268</f>
        <v>0</v>
      </c>
      <c r="K270" s="31">
        <f>Simulation_output!H268</f>
        <v>0</v>
      </c>
      <c r="L270">
        <v>1</v>
      </c>
      <c r="M270">
        <f t="shared" si="67"/>
        <v>0</v>
      </c>
      <c r="N270">
        <f t="shared" ref="N270:N333" si="82">IF(K270&gt;0,I258,0)</f>
        <v>0</v>
      </c>
      <c r="O270">
        <f t="shared" si="81"/>
        <v>0</v>
      </c>
      <c r="P270">
        <f t="shared" si="68"/>
        <v>0</v>
      </c>
      <c r="Q270">
        <f t="shared" si="80"/>
        <v>0</v>
      </c>
      <c r="R270">
        <f t="shared" si="70"/>
        <v>0</v>
      </c>
      <c r="S270">
        <f t="shared" si="71"/>
        <v>0</v>
      </c>
      <c r="T270">
        <f t="shared" si="72"/>
        <v>0</v>
      </c>
      <c r="U270">
        <f t="shared" si="73"/>
        <v>0</v>
      </c>
      <c r="V270">
        <f t="shared" si="74"/>
        <v>0</v>
      </c>
      <c r="W270">
        <f t="shared" si="75"/>
        <v>0</v>
      </c>
      <c r="X270">
        <f t="shared" si="76"/>
        <v>0</v>
      </c>
      <c r="Y270">
        <f t="shared" si="77"/>
        <v>0</v>
      </c>
      <c r="Z270">
        <f t="shared" si="78"/>
        <v>0</v>
      </c>
      <c r="AB270">
        <v>266</v>
      </c>
      <c r="AC270">
        <f t="shared" si="79"/>
        <v>0</v>
      </c>
      <c r="AD270">
        <f t="shared" si="69"/>
        <v>0</v>
      </c>
    </row>
    <row r="271" spans="3:30" x14ac:dyDescent="0.25">
      <c r="C271" s="3"/>
      <c r="D271" s="31">
        <f>Simulation_output!A269</f>
        <v>2675000</v>
      </c>
      <c r="E271">
        <f>Sheet2!R268</f>
        <v>0</v>
      </c>
      <c r="F271">
        <f>Sheet2!S268</f>
        <v>0</v>
      </c>
      <c r="G271">
        <f>Sheet2!T268</f>
        <v>0</v>
      </c>
      <c r="H271" s="31">
        <f>Simulation_output!E269</f>
        <v>1</v>
      </c>
      <c r="I271" s="31">
        <f>Simulation_output!F269</f>
        <v>0</v>
      </c>
      <c r="J271" s="31">
        <f>Simulation_output!G269</f>
        <v>0</v>
      </c>
      <c r="K271" s="31">
        <f>Simulation_output!H269</f>
        <v>0</v>
      </c>
      <c r="L271">
        <v>1</v>
      </c>
      <c r="M271">
        <f t="shared" ref="M271:M334" si="83">IF(K271&gt;0,DEC2HEX(I258),0)</f>
        <v>0</v>
      </c>
      <c r="N271">
        <f t="shared" si="82"/>
        <v>0</v>
      </c>
      <c r="O271">
        <f t="shared" si="81"/>
        <v>0</v>
      </c>
      <c r="P271">
        <f t="shared" ref="P271:P334" si="84">IF(K271&gt;0,I261,0)</f>
        <v>0</v>
      </c>
      <c r="Q271">
        <f t="shared" si="80"/>
        <v>0</v>
      </c>
      <c r="R271">
        <f t="shared" si="70"/>
        <v>0</v>
      </c>
      <c r="S271">
        <f t="shared" si="71"/>
        <v>0</v>
      </c>
      <c r="T271">
        <f t="shared" si="72"/>
        <v>0</v>
      </c>
      <c r="U271">
        <f t="shared" si="73"/>
        <v>0</v>
      </c>
      <c r="V271">
        <f t="shared" si="74"/>
        <v>0</v>
      </c>
      <c r="W271">
        <f t="shared" si="75"/>
        <v>0</v>
      </c>
      <c r="X271">
        <f t="shared" si="76"/>
        <v>0</v>
      </c>
      <c r="Y271">
        <f t="shared" si="77"/>
        <v>0</v>
      </c>
      <c r="Z271">
        <f t="shared" si="78"/>
        <v>0</v>
      </c>
      <c r="AB271">
        <v>267</v>
      </c>
      <c r="AC271">
        <f t="shared" si="79"/>
        <v>0</v>
      </c>
      <c r="AD271">
        <f t="shared" si="69"/>
        <v>0</v>
      </c>
    </row>
    <row r="272" spans="3:30" x14ac:dyDescent="0.25">
      <c r="C272" s="3"/>
      <c r="D272" s="31">
        <f>Simulation_output!A270</f>
        <v>2685000</v>
      </c>
      <c r="E272">
        <f>Sheet2!R269</f>
        <v>1031</v>
      </c>
      <c r="F272">
        <f>Sheet2!S269</f>
        <v>1</v>
      </c>
      <c r="G272">
        <f>Sheet2!T269</f>
        <v>0</v>
      </c>
      <c r="H272" s="31">
        <f>Simulation_output!E270</f>
        <v>1</v>
      </c>
      <c r="I272" s="31">
        <f>Simulation_output!F270</f>
        <v>0</v>
      </c>
      <c r="J272" s="31">
        <f>Simulation_output!G270</f>
        <v>0</v>
      </c>
      <c r="K272" s="31">
        <f>Simulation_output!H270</f>
        <v>0</v>
      </c>
      <c r="L272">
        <v>1</v>
      </c>
      <c r="M272">
        <f t="shared" si="83"/>
        <v>0</v>
      </c>
      <c r="N272">
        <f t="shared" si="82"/>
        <v>0</v>
      </c>
      <c r="O272">
        <f t="shared" si="81"/>
        <v>0</v>
      </c>
      <c r="P272">
        <f t="shared" si="84"/>
        <v>0</v>
      </c>
      <c r="Q272">
        <f t="shared" si="80"/>
        <v>0</v>
      </c>
      <c r="R272">
        <f t="shared" si="70"/>
        <v>0</v>
      </c>
      <c r="S272">
        <f t="shared" si="71"/>
        <v>0</v>
      </c>
      <c r="T272">
        <f t="shared" si="72"/>
        <v>0</v>
      </c>
      <c r="U272">
        <f t="shared" si="73"/>
        <v>0</v>
      </c>
      <c r="V272">
        <f t="shared" si="74"/>
        <v>0</v>
      </c>
      <c r="W272">
        <f t="shared" si="75"/>
        <v>0</v>
      </c>
      <c r="X272">
        <f t="shared" si="76"/>
        <v>0</v>
      </c>
      <c r="Y272">
        <f t="shared" si="77"/>
        <v>0</v>
      </c>
      <c r="Z272">
        <f t="shared" si="78"/>
        <v>0</v>
      </c>
      <c r="AB272">
        <v>268</v>
      </c>
      <c r="AC272">
        <f t="shared" si="79"/>
        <v>0</v>
      </c>
      <c r="AD272">
        <f t="shared" si="69"/>
        <v>0</v>
      </c>
    </row>
    <row r="273" spans="3:30" x14ac:dyDescent="0.25">
      <c r="C273" s="3"/>
      <c r="D273" s="31">
        <f>Simulation_output!A271</f>
        <v>2695000</v>
      </c>
      <c r="E273">
        <f>Sheet2!R270</f>
        <v>0</v>
      </c>
      <c r="F273">
        <f>Sheet2!S270</f>
        <v>0</v>
      </c>
      <c r="G273">
        <f>Sheet2!T270</f>
        <v>0</v>
      </c>
      <c r="H273" s="31">
        <f>Simulation_output!E271</f>
        <v>1</v>
      </c>
      <c r="I273" s="31">
        <f>Simulation_output!F271</f>
        <v>0</v>
      </c>
      <c r="J273" s="31">
        <f>Simulation_output!G271</f>
        <v>0</v>
      </c>
      <c r="K273" s="31">
        <f>Simulation_output!H271</f>
        <v>0</v>
      </c>
      <c r="L273">
        <v>1</v>
      </c>
      <c r="M273">
        <f t="shared" si="83"/>
        <v>0</v>
      </c>
      <c r="N273">
        <f t="shared" si="82"/>
        <v>0</v>
      </c>
      <c r="O273">
        <f t="shared" si="81"/>
        <v>0</v>
      </c>
      <c r="P273">
        <f t="shared" si="84"/>
        <v>0</v>
      </c>
      <c r="Q273">
        <f t="shared" si="80"/>
        <v>0</v>
      </c>
      <c r="R273">
        <f t="shared" si="70"/>
        <v>0</v>
      </c>
      <c r="S273">
        <f t="shared" si="71"/>
        <v>0</v>
      </c>
      <c r="T273">
        <f t="shared" si="72"/>
        <v>0</v>
      </c>
      <c r="U273">
        <f t="shared" si="73"/>
        <v>0</v>
      </c>
      <c r="V273">
        <f t="shared" si="74"/>
        <v>0</v>
      </c>
      <c r="W273">
        <f t="shared" si="75"/>
        <v>0</v>
      </c>
      <c r="X273">
        <f t="shared" si="76"/>
        <v>0</v>
      </c>
      <c r="Y273">
        <f t="shared" si="77"/>
        <v>0</v>
      </c>
      <c r="Z273">
        <f t="shared" si="78"/>
        <v>0</v>
      </c>
      <c r="AB273">
        <v>269</v>
      </c>
      <c r="AC273">
        <f t="shared" si="79"/>
        <v>0</v>
      </c>
      <c r="AD273">
        <f t="shared" si="69"/>
        <v>0</v>
      </c>
    </row>
    <row r="274" spans="3:30" x14ac:dyDescent="0.25">
      <c r="C274" s="3"/>
      <c r="D274" s="31">
        <f>Simulation_output!A272</f>
        <v>2705000</v>
      </c>
      <c r="E274">
        <f>Sheet2!R271</f>
        <v>10031</v>
      </c>
      <c r="F274">
        <f>Sheet2!S271</f>
        <v>1</v>
      </c>
      <c r="G274">
        <f>Sheet2!T271</f>
        <v>1</v>
      </c>
      <c r="H274" s="31">
        <f>Simulation_output!E272</f>
        <v>1</v>
      </c>
      <c r="I274" s="31">
        <f>Simulation_output!F272</f>
        <v>0</v>
      </c>
      <c r="J274" s="31">
        <f>Simulation_output!G272</f>
        <v>0</v>
      </c>
      <c r="K274" s="31">
        <f>Simulation_output!H272</f>
        <v>0</v>
      </c>
      <c r="L274">
        <v>1</v>
      </c>
      <c r="M274">
        <f t="shared" si="83"/>
        <v>0</v>
      </c>
      <c r="N274">
        <f t="shared" si="82"/>
        <v>0</v>
      </c>
      <c r="O274">
        <f t="shared" si="81"/>
        <v>0</v>
      </c>
      <c r="P274">
        <f t="shared" si="84"/>
        <v>0</v>
      </c>
      <c r="Q274">
        <f t="shared" si="80"/>
        <v>0</v>
      </c>
      <c r="R274">
        <f t="shared" si="70"/>
        <v>0</v>
      </c>
      <c r="S274">
        <f t="shared" si="71"/>
        <v>0</v>
      </c>
      <c r="T274">
        <f t="shared" si="72"/>
        <v>0</v>
      </c>
      <c r="U274">
        <f t="shared" si="73"/>
        <v>0</v>
      </c>
      <c r="V274">
        <f t="shared" si="74"/>
        <v>0</v>
      </c>
      <c r="W274">
        <f t="shared" si="75"/>
        <v>0</v>
      </c>
      <c r="X274">
        <f t="shared" si="76"/>
        <v>0</v>
      </c>
      <c r="Y274">
        <f t="shared" si="77"/>
        <v>0</v>
      </c>
      <c r="Z274">
        <f t="shared" si="78"/>
        <v>0</v>
      </c>
      <c r="AB274">
        <v>270</v>
      </c>
      <c r="AC274">
        <f t="shared" si="79"/>
        <v>0</v>
      </c>
      <c r="AD274">
        <f t="shared" si="69"/>
        <v>0</v>
      </c>
    </row>
    <row r="275" spans="3:30" x14ac:dyDescent="0.25">
      <c r="C275" s="3"/>
      <c r="D275" s="31">
        <f>Simulation_output!A273</f>
        <v>2715000</v>
      </c>
      <c r="E275">
        <f>Sheet2!R272</f>
        <v>0</v>
      </c>
      <c r="F275">
        <f>Sheet2!S272</f>
        <v>0</v>
      </c>
      <c r="G275">
        <f>Sheet2!T272</f>
        <v>0</v>
      </c>
      <c r="H275" s="31">
        <f>Simulation_output!E273</f>
        <v>1</v>
      </c>
      <c r="I275" s="31">
        <f>Simulation_output!F273</f>
        <v>0</v>
      </c>
      <c r="J275" s="31">
        <f>Simulation_output!G273</f>
        <v>0</v>
      </c>
      <c r="K275" s="31">
        <f>Simulation_output!H273</f>
        <v>0</v>
      </c>
      <c r="L275">
        <v>1</v>
      </c>
      <c r="M275">
        <f t="shared" si="83"/>
        <v>0</v>
      </c>
      <c r="N275">
        <f t="shared" si="82"/>
        <v>0</v>
      </c>
      <c r="O275">
        <f t="shared" si="81"/>
        <v>0</v>
      </c>
      <c r="P275">
        <f t="shared" si="84"/>
        <v>0</v>
      </c>
      <c r="Q275">
        <f t="shared" si="80"/>
        <v>0</v>
      </c>
      <c r="R275">
        <f t="shared" si="70"/>
        <v>0</v>
      </c>
      <c r="S275">
        <f t="shared" si="71"/>
        <v>0</v>
      </c>
      <c r="T275">
        <f t="shared" si="72"/>
        <v>0</v>
      </c>
      <c r="U275">
        <f t="shared" si="73"/>
        <v>0</v>
      </c>
      <c r="V275">
        <f t="shared" si="74"/>
        <v>0</v>
      </c>
      <c r="W275">
        <f t="shared" si="75"/>
        <v>0</v>
      </c>
      <c r="X275">
        <f t="shared" si="76"/>
        <v>0</v>
      </c>
      <c r="Y275">
        <f t="shared" si="77"/>
        <v>0</v>
      </c>
      <c r="Z275">
        <f t="shared" si="78"/>
        <v>0</v>
      </c>
      <c r="AB275">
        <v>271</v>
      </c>
      <c r="AC275">
        <f t="shared" si="79"/>
        <v>0</v>
      </c>
      <c r="AD275">
        <f t="shared" si="69"/>
        <v>0</v>
      </c>
    </row>
    <row r="276" spans="3:30" x14ac:dyDescent="0.25">
      <c r="C276" s="3"/>
      <c r="D276" s="31">
        <f>Simulation_output!A274</f>
        <v>2725000</v>
      </c>
      <c r="E276">
        <f>Sheet2!R273</f>
        <v>0</v>
      </c>
      <c r="F276">
        <f>Sheet2!S273</f>
        <v>1</v>
      </c>
      <c r="G276">
        <f>Sheet2!T273</f>
        <v>0</v>
      </c>
      <c r="H276" s="31">
        <f>Simulation_output!E274</f>
        <v>1</v>
      </c>
      <c r="I276" s="31">
        <f>Simulation_output!F274</f>
        <v>0</v>
      </c>
      <c r="J276" s="31">
        <f>Simulation_output!G274</f>
        <v>0</v>
      </c>
      <c r="K276" s="31">
        <f>Simulation_output!H274</f>
        <v>0</v>
      </c>
      <c r="L276">
        <v>1</v>
      </c>
      <c r="M276">
        <f t="shared" si="83"/>
        <v>0</v>
      </c>
      <c r="N276">
        <f t="shared" si="82"/>
        <v>0</v>
      </c>
      <c r="O276">
        <f t="shared" si="81"/>
        <v>0</v>
      </c>
      <c r="P276">
        <f t="shared" si="84"/>
        <v>0</v>
      </c>
      <c r="Q276">
        <f t="shared" si="80"/>
        <v>0</v>
      </c>
      <c r="R276">
        <f t="shared" si="70"/>
        <v>0</v>
      </c>
      <c r="S276">
        <f t="shared" si="71"/>
        <v>0</v>
      </c>
      <c r="T276">
        <f t="shared" si="72"/>
        <v>0</v>
      </c>
      <c r="U276">
        <f t="shared" si="73"/>
        <v>0</v>
      </c>
      <c r="V276">
        <f t="shared" si="74"/>
        <v>0</v>
      </c>
      <c r="W276">
        <f t="shared" si="75"/>
        <v>0</v>
      </c>
      <c r="X276">
        <f t="shared" si="76"/>
        <v>0</v>
      </c>
      <c r="Y276">
        <f t="shared" si="77"/>
        <v>0</v>
      </c>
      <c r="Z276">
        <f t="shared" si="78"/>
        <v>0</v>
      </c>
      <c r="AB276">
        <v>272</v>
      </c>
      <c r="AC276">
        <f t="shared" si="79"/>
        <v>0</v>
      </c>
      <c r="AD276">
        <f t="shared" si="69"/>
        <v>0</v>
      </c>
    </row>
    <row r="277" spans="3:30" x14ac:dyDescent="0.25">
      <c r="C277" s="3"/>
      <c r="D277" s="31">
        <f>Simulation_output!A275</f>
        <v>2735000</v>
      </c>
      <c r="E277">
        <f>Sheet2!R274</f>
        <v>0</v>
      </c>
      <c r="F277">
        <f>Sheet2!S274</f>
        <v>0</v>
      </c>
      <c r="G277">
        <f>Sheet2!T274</f>
        <v>0</v>
      </c>
      <c r="H277" s="31">
        <f>Simulation_output!E275</f>
        <v>1</v>
      </c>
      <c r="I277" s="31">
        <f>Simulation_output!F275</f>
        <v>0</v>
      </c>
      <c r="J277" s="31">
        <f>Simulation_output!G275</f>
        <v>0</v>
      </c>
      <c r="K277" s="31">
        <f>Simulation_output!H275</f>
        <v>0</v>
      </c>
      <c r="L277">
        <v>1</v>
      </c>
      <c r="M277">
        <f t="shared" si="83"/>
        <v>0</v>
      </c>
      <c r="N277">
        <f t="shared" si="82"/>
        <v>0</v>
      </c>
      <c r="O277">
        <f t="shared" si="81"/>
        <v>0</v>
      </c>
      <c r="P277">
        <f t="shared" si="84"/>
        <v>0</v>
      </c>
      <c r="Q277">
        <f t="shared" si="80"/>
        <v>0</v>
      </c>
      <c r="R277">
        <f t="shared" si="70"/>
        <v>0</v>
      </c>
      <c r="S277">
        <f t="shared" si="71"/>
        <v>0</v>
      </c>
      <c r="T277">
        <f t="shared" si="72"/>
        <v>0</v>
      </c>
      <c r="U277">
        <f t="shared" si="73"/>
        <v>0</v>
      </c>
      <c r="V277">
        <f t="shared" si="74"/>
        <v>0</v>
      </c>
      <c r="W277">
        <f t="shared" si="75"/>
        <v>0</v>
      </c>
      <c r="X277">
        <f t="shared" si="76"/>
        <v>0</v>
      </c>
      <c r="Y277">
        <f t="shared" si="77"/>
        <v>0</v>
      </c>
      <c r="Z277">
        <f t="shared" si="78"/>
        <v>0</v>
      </c>
      <c r="AB277">
        <v>273</v>
      </c>
      <c r="AC277">
        <f t="shared" si="79"/>
        <v>0</v>
      </c>
      <c r="AD277">
        <f t="shared" si="69"/>
        <v>0</v>
      </c>
    </row>
    <row r="278" spans="3:30" x14ac:dyDescent="0.25">
      <c r="C278" s="3"/>
      <c r="D278" s="31">
        <f>Simulation_output!A276</f>
        <v>2745000</v>
      </c>
      <c r="E278">
        <f>Sheet2!R275</f>
        <v>5</v>
      </c>
      <c r="F278">
        <f>Sheet2!S275</f>
        <v>1</v>
      </c>
      <c r="G278">
        <f>Sheet2!T275</f>
        <v>0</v>
      </c>
      <c r="H278" s="31">
        <f>Simulation_output!E276</f>
        <v>1</v>
      </c>
      <c r="I278" s="31">
        <f>Simulation_output!F276</f>
        <v>0</v>
      </c>
      <c r="J278" s="31">
        <f>Simulation_output!G276</f>
        <v>0</v>
      </c>
      <c r="K278" s="31">
        <f>Simulation_output!H276</f>
        <v>0</v>
      </c>
      <c r="L278">
        <v>1</v>
      </c>
      <c r="M278">
        <f t="shared" si="83"/>
        <v>0</v>
      </c>
      <c r="N278">
        <f t="shared" si="82"/>
        <v>0</v>
      </c>
      <c r="O278">
        <f t="shared" si="81"/>
        <v>0</v>
      </c>
      <c r="P278">
        <f t="shared" si="84"/>
        <v>0</v>
      </c>
      <c r="Q278">
        <f t="shared" si="80"/>
        <v>0</v>
      </c>
      <c r="R278">
        <f t="shared" si="70"/>
        <v>0</v>
      </c>
      <c r="S278">
        <f t="shared" si="71"/>
        <v>0</v>
      </c>
      <c r="T278">
        <f t="shared" si="72"/>
        <v>0</v>
      </c>
      <c r="U278">
        <f t="shared" si="73"/>
        <v>0</v>
      </c>
      <c r="V278">
        <f t="shared" si="74"/>
        <v>0</v>
      </c>
      <c r="W278">
        <f t="shared" si="75"/>
        <v>0</v>
      </c>
      <c r="X278">
        <f t="shared" si="76"/>
        <v>0</v>
      </c>
      <c r="Y278">
        <f t="shared" si="77"/>
        <v>0</v>
      </c>
      <c r="Z278">
        <f t="shared" si="78"/>
        <v>0</v>
      </c>
      <c r="AB278">
        <v>274</v>
      </c>
      <c r="AC278">
        <f t="shared" si="79"/>
        <v>0</v>
      </c>
      <c r="AD278">
        <f t="shared" si="69"/>
        <v>0</v>
      </c>
    </row>
    <row r="279" spans="3:30" x14ac:dyDescent="0.25">
      <c r="C279" s="3"/>
      <c r="D279" s="31">
        <f>Simulation_output!A277</f>
        <v>2755000</v>
      </c>
      <c r="E279">
        <f>Sheet2!R276</f>
        <v>0</v>
      </c>
      <c r="F279">
        <f>Sheet2!S276</f>
        <v>0</v>
      </c>
      <c r="G279">
        <f>Sheet2!T276</f>
        <v>0</v>
      </c>
      <c r="H279" s="31">
        <f>Simulation_output!E277</f>
        <v>1</v>
      </c>
      <c r="I279" s="31">
        <f>Simulation_output!F277</f>
        <v>0</v>
      </c>
      <c r="J279" s="31">
        <f>Simulation_output!G277</f>
        <v>0</v>
      </c>
      <c r="K279" s="31">
        <f>Simulation_output!H277</f>
        <v>0</v>
      </c>
      <c r="L279">
        <v>1</v>
      </c>
      <c r="M279">
        <f t="shared" si="83"/>
        <v>0</v>
      </c>
      <c r="N279">
        <f t="shared" si="82"/>
        <v>0</v>
      </c>
      <c r="O279">
        <f t="shared" si="81"/>
        <v>0</v>
      </c>
      <c r="P279">
        <f t="shared" si="84"/>
        <v>0</v>
      </c>
      <c r="Q279">
        <f t="shared" si="80"/>
        <v>0</v>
      </c>
      <c r="R279">
        <f t="shared" si="70"/>
        <v>0</v>
      </c>
      <c r="S279">
        <f t="shared" si="71"/>
        <v>0</v>
      </c>
      <c r="T279">
        <f t="shared" si="72"/>
        <v>0</v>
      </c>
      <c r="U279">
        <f t="shared" si="73"/>
        <v>0</v>
      </c>
      <c r="V279">
        <f t="shared" si="74"/>
        <v>0</v>
      </c>
      <c r="W279">
        <f t="shared" si="75"/>
        <v>0</v>
      </c>
      <c r="X279">
        <f t="shared" si="76"/>
        <v>0</v>
      </c>
      <c r="Y279">
        <f t="shared" si="77"/>
        <v>0</v>
      </c>
      <c r="Z279">
        <f t="shared" si="78"/>
        <v>0</v>
      </c>
      <c r="AB279">
        <v>275</v>
      </c>
      <c r="AC279">
        <f t="shared" si="79"/>
        <v>0</v>
      </c>
      <c r="AD279">
        <f t="shared" si="69"/>
        <v>0</v>
      </c>
    </row>
    <row r="280" spans="3:30" x14ac:dyDescent="0.25">
      <c r="C280" s="3"/>
      <c r="D280" s="31">
        <f>Simulation_output!A278</f>
        <v>2765000</v>
      </c>
      <c r="E280">
        <f>Sheet2!R277</f>
        <v>32</v>
      </c>
      <c r="F280">
        <f>Sheet2!S277</f>
        <v>1</v>
      </c>
      <c r="G280">
        <f>Sheet2!T277</f>
        <v>0</v>
      </c>
      <c r="H280" s="31">
        <f>Simulation_output!E278</f>
        <v>1</v>
      </c>
      <c r="I280" s="31">
        <f>Simulation_output!F278</f>
        <v>0</v>
      </c>
      <c r="J280" s="31">
        <f>Simulation_output!G278</f>
        <v>0</v>
      </c>
      <c r="K280" s="31">
        <f>Simulation_output!H278</f>
        <v>0</v>
      </c>
      <c r="L280">
        <v>1</v>
      </c>
      <c r="M280">
        <f t="shared" si="83"/>
        <v>0</v>
      </c>
      <c r="N280">
        <f t="shared" si="82"/>
        <v>0</v>
      </c>
      <c r="O280">
        <f t="shared" si="81"/>
        <v>0</v>
      </c>
      <c r="P280">
        <f t="shared" si="84"/>
        <v>0</v>
      </c>
      <c r="Q280">
        <f t="shared" si="80"/>
        <v>0</v>
      </c>
      <c r="R280">
        <f t="shared" si="70"/>
        <v>0</v>
      </c>
      <c r="S280">
        <f t="shared" si="71"/>
        <v>0</v>
      </c>
      <c r="T280">
        <f t="shared" si="72"/>
        <v>0</v>
      </c>
      <c r="U280">
        <f t="shared" si="73"/>
        <v>0</v>
      </c>
      <c r="V280">
        <f t="shared" si="74"/>
        <v>0</v>
      </c>
      <c r="W280">
        <f t="shared" si="75"/>
        <v>0</v>
      </c>
      <c r="X280">
        <f t="shared" si="76"/>
        <v>0</v>
      </c>
      <c r="Y280">
        <f t="shared" si="77"/>
        <v>0</v>
      </c>
      <c r="Z280">
        <f t="shared" si="78"/>
        <v>0</v>
      </c>
      <c r="AB280">
        <v>276</v>
      </c>
      <c r="AC280">
        <f t="shared" si="79"/>
        <v>0</v>
      </c>
      <c r="AD280">
        <f t="shared" si="69"/>
        <v>0</v>
      </c>
    </row>
    <row r="281" spans="3:30" x14ac:dyDescent="0.25">
      <c r="C281" s="3"/>
      <c r="D281" s="31">
        <f>Simulation_output!A279</f>
        <v>2775000</v>
      </c>
      <c r="E281">
        <f>Sheet2!R278</f>
        <v>0</v>
      </c>
      <c r="F281">
        <f>Sheet2!S278</f>
        <v>0</v>
      </c>
      <c r="G281">
        <f>Sheet2!T278</f>
        <v>0</v>
      </c>
      <c r="H281" s="31">
        <f>Simulation_output!E279</f>
        <v>1</v>
      </c>
      <c r="I281" s="31">
        <f>Simulation_output!F279</f>
        <v>0</v>
      </c>
      <c r="J281" s="31">
        <f>Simulation_output!G279</f>
        <v>0</v>
      </c>
      <c r="K281" s="31">
        <f>Simulation_output!H279</f>
        <v>0</v>
      </c>
      <c r="L281">
        <v>1</v>
      </c>
      <c r="M281">
        <f t="shared" si="83"/>
        <v>0</v>
      </c>
      <c r="N281">
        <f t="shared" si="82"/>
        <v>0</v>
      </c>
      <c r="O281">
        <f t="shared" si="81"/>
        <v>0</v>
      </c>
      <c r="P281">
        <f t="shared" si="84"/>
        <v>0</v>
      </c>
      <c r="Q281">
        <f t="shared" si="80"/>
        <v>0</v>
      </c>
      <c r="R281">
        <f t="shared" si="70"/>
        <v>0</v>
      </c>
      <c r="S281">
        <f t="shared" si="71"/>
        <v>0</v>
      </c>
      <c r="T281">
        <f t="shared" si="72"/>
        <v>0</v>
      </c>
      <c r="U281">
        <f t="shared" si="73"/>
        <v>0</v>
      </c>
      <c r="V281">
        <f t="shared" si="74"/>
        <v>0</v>
      </c>
      <c r="W281">
        <f t="shared" si="75"/>
        <v>0</v>
      </c>
      <c r="X281">
        <f t="shared" si="76"/>
        <v>0</v>
      </c>
      <c r="Y281">
        <f t="shared" si="77"/>
        <v>0</v>
      </c>
      <c r="Z281">
        <f t="shared" si="78"/>
        <v>0</v>
      </c>
      <c r="AB281">
        <v>277</v>
      </c>
      <c r="AC281">
        <f t="shared" si="79"/>
        <v>0</v>
      </c>
      <c r="AD281">
        <f t="shared" si="69"/>
        <v>0</v>
      </c>
    </row>
    <row r="282" spans="3:30" x14ac:dyDescent="0.25">
      <c r="C282" s="3"/>
      <c r="D282" s="31">
        <f>Simulation_output!A280</f>
        <v>2785000</v>
      </c>
      <c r="E282">
        <f>Sheet2!R279</f>
        <v>132</v>
      </c>
      <c r="F282">
        <f>Sheet2!S279</f>
        <v>1</v>
      </c>
      <c r="G282">
        <f>Sheet2!T279</f>
        <v>0</v>
      </c>
      <c r="H282" s="31">
        <f>Simulation_output!E280</f>
        <v>1</v>
      </c>
      <c r="I282" s="31">
        <f>Simulation_output!F280</f>
        <v>0</v>
      </c>
      <c r="J282" s="31">
        <f>Simulation_output!G280</f>
        <v>0</v>
      </c>
      <c r="K282" s="31">
        <f>Simulation_output!H280</f>
        <v>0</v>
      </c>
      <c r="L282">
        <v>1</v>
      </c>
      <c r="M282">
        <f t="shared" si="83"/>
        <v>0</v>
      </c>
      <c r="N282">
        <f t="shared" si="82"/>
        <v>0</v>
      </c>
      <c r="O282">
        <f t="shared" si="81"/>
        <v>0</v>
      </c>
      <c r="P282">
        <f t="shared" si="84"/>
        <v>0</v>
      </c>
      <c r="Q282">
        <f t="shared" si="80"/>
        <v>0</v>
      </c>
      <c r="R282">
        <f t="shared" si="70"/>
        <v>0</v>
      </c>
      <c r="S282">
        <f t="shared" si="71"/>
        <v>0</v>
      </c>
      <c r="T282">
        <f t="shared" si="72"/>
        <v>0</v>
      </c>
      <c r="U282">
        <f t="shared" si="73"/>
        <v>0</v>
      </c>
      <c r="V282">
        <f t="shared" si="74"/>
        <v>0</v>
      </c>
      <c r="W282">
        <f t="shared" si="75"/>
        <v>0</v>
      </c>
      <c r="X282">
        <f t="shared" si="76"/>
        <v>0</v>
      </c>
      <c r="Y282">
        <f t="shared" si="77"/>
        <v>0</v>
      </c>
      <c r="Z282">
        <f t="shared" si="78"/>
        <v>0</v>
      </c>
      <c r="AB282">
        <v>278</v>
      </c>
      <c r="AC282">
        <f t="shared" si="79"/>
        <v>0</v>
      </c>
      <c r="AD282">
        <f t="shared" si="69"/>
        <v>0</v>
      </c>
    </row>
    <row r="283" spans="3:30" x14ac:dyDescent="0.25">
      <c r="C283" s="3"/>
      <c r="D283" s="31">
        <f>Simulation_output!A281</f>
        <v>2795000</v>
      </c>
      <c r="E283">
        <f>Sheet2!R280</f>
        <v>0</v>
      </c>
      <c r="F283">
        <f>Sheet2!S280</f>
        <v>0</v>
      </c>
      <c r="G283">
        <f>Sheet2!T280</f>
        <v>0</v>
      </c>
      <c r="H283" s="31">
        <f>Simulation_output!E281</f>
        <v>1</v>
      </c>
      <c r="I283" s="31">
        <f>Simulation_output!F281</f>
        <v>0</v>
      </c>
      <c r="J283" s="31">
        <f>Simulation_output!G281</f>
        <v>0</v>
      </c>
      <c r="K283" s="31">
        <f>Simulation_output!H281</f>
        <v>0</v>
      </c>
      <c r="L283">
        <v>1</v>
      </c>
      <c r="M283">
        <f t="shared" si="83"/>
        <v>0</v>
      </c>
      <c r="N283">
        <f t="shared" si="82"/>
        <v>0</v>
      </c>
      <c r="O283">
        <f t="shared" si="81"/>
        <v>0</v>
      </c>
      <c r="P283">
        <f t="shared" si="84"/>
        <v>0</v>
      </c>
      <c r="Q283">
        <f t="shared" si="80"/>
        <v>0</v>
      </c>
      <c r="R283">
        <f t="shared" si="70"/>
        <v>0</v>
      </c>
      <c r="S283">
        <f t="shared" si="71"/>
        <v>0</v>
      </c>
      <c r="T283">
        <f t="shared" si="72"/>
        <v>0</v>
      </c>
      <c r="U283">
        <f t="shared" si="73"/>
        <v>0</v>
      </c>
      <c r="V283">
        <f t="shared" si="74"/>
        <v>0</v>
      </c>
      <c r="W283">
        <f t="shared" si="75"/>
        <v>0</v>
      </c>
      <c r="X283">
        <f t="shared" si="76"/>
        <v>0</v>
      </c>
      <c r="Y283">
        <f t="shared" si="77"/>
        <v>0</v>
      </c>
      <c r="Z283">
        <f t="shared" si="78"/>
        <v>0</v>
      </c>
      <c r="AB283">
        <v>279</v>
      </c>
      <c r="AC283">
        <f t="shared" si="79"/>
        <v>0</v>
      </c>
      <c r="AD283">
        <f t="shared" si="69"/>
        <v>0</v>
      </c>
    </row>
    <row r="284" spans="3:30" x14ac:dyDescent="0.25">
      <c r="C284" s="3"/>
      <c r="D284" s="31">
        <f>Simulation_output!A282</f>
        <v>2805000</v>
      </c>
      <c r="E284">
        <f>Sheet2!R281</f>
        <v>1032</v>
      </c>
      <c r="F284">
        <f>Sheet2!S281</f>
        <v>1</v>
      </c>
      <c r="G284">
        <f>Sheet2!T281</f>
        <v>0</v>
      </c>
      <c r="H284" s="31">
        <f>Simulation_output!E282</f>
        <v>1</v>
      </c>
      <c r="I284" s="31">
        <f>Simulation_output!F282</f>
        <v>0</v>
      </c>
      <c r="J284" s="31">
        <f>Simulation_output!G282</f>
        <v>0</v>
      </c>
      <c r="K284" s="31">
        <f>Simulation_output!H282</f>
        <v>0</v>
      </c>
      <c r="L284">
        <v>1</v>
      </c>
      <c r="M284">
        <f t="shared" si="83"/>
        <v>0</v>
      </c>
      <c r="N284">
        <f t="shared" si="82"/>
        <v>0</v>
      </c>
      <c r="O284">
        <f t="shared" si="81"/>
        <v>0</v>
      </c>
      <c r="P284">
        <f t="shared" si="84"/>
        <v>0</v>
      </c>
      <c r="Q284">
        <f t="shared" si="80"/>
        <v>0</v>
      </c>
      <c r="R284">
        <f t="shared" si="70"/>
        <v>0</v>
      </c>
      <c r="S284">
        <f t="shared" si="71"/>
        <v>0</v>
      </c>
      <c r="T284">
        <f t="shared" si="72"/>
        <v>0</v>
      </c>
      <c r="U284">
        <f t="shared" si="73"/>
        <v>0</v>
      </c>
      <c r="V284">
        <f t="shared" si="74"/>
        <v>0</v>
      </c>
      <c r="W284">
        <f t="shared" si="75"/>
        <v>0</v>
      </c>
      <c r="X284">
        <f t="shared" si="76"/>
        <v>0</v>
      </c>
      <c r="Y284">
        <f t="shared" si="77"/>
        <v>0</v>
      </c>
      <c r="Z284">
        <f t="shared" si="78"/>
        <v>0</v>
      </c>
      <c r="AB284">
        <v>280</v>
      </c>
      <c r="AC284">
        <f t="shared" si="79"/>
        <v>0</v>
      </c>
      <c r="AD284">
        <f t="shared" si="69"/>
        <v>0</v>
      </c>
    </row>
    <row r="285" spans="3:30" x14ac:dyDescent="0.25">
      <c r="C285" s="3"/>
      <c r="D285" s="31">
        <f>Simulation_output!A283</f>
        <v>2815000</v>
      </c>
      <c r="E285">
        <f>Sheet2!R282</f>
        <v>0</v>
      </c>
      <c r="F285">
        <f>Sheet2!S282</f>
        <v>0</v>
      </c>
      <c r="G285">
        <f>Sheet2!T282</f>
        <v>0</v>
      </c>
      <c r="H285" s="31">
        <f>Simulation_output!E283</f>
        <v>1</v>
      </c>
      <c r="I285" s="31">
        <f>Simulation_output!F283</f>
        <v>0</v>
      </c>
      <c r="J285" s="31">
        <f>Simulation_output!G283</f>
        <v>0</v>
      </c>
      <c r="K285" s="31">
        <f>Simulation_output!H283</f>
        <v>0</v>
      </c>
      <c r="L285">
        <v>1</v>
      </c>
      <c r="M285">
        <f t="shared" si="83"/>
        <v>0</v>
      </c>
      <c r="N285">
        <f t="shared" si="82"/>
        <v>0</v>
      </c>
      <c r="O285">
        <f t="shared" si="81"/>
        <v>0</v>
      </c>
      <c r="P285">
        <f t="shared" si="84"/>
        <v>0</v>
      </c>
      <c r="Q285">
        <f t="shared" si="80"/>
        <v>0</v>
      </c>
      <c r="R285">
        <f t="shared" si="70"/>
        <v>0</v>
      </c>
      <c r="S285">
        <f t="shared" si="71"/>
        <v>0</v>
      </c>
      <c r="T285">
        <f t="shared" si="72"/>
        <v>0</v>
      </c>
      <c r="U285">
        <f t="shared" si="73"/>
        <v>0</v>
      </c>
      <c r="V285">
        <f t="shared" si="74"/>
        <v>0</v>
      </c>
      <c r="W285">
        <f t="shared" si="75"/>
        <v>0</v>
      </c>
      <c r="X285">
        <f t="shared" si="76"/>
        <v>0</v>
      </c>
      <c r="Y285">
        <f t="shared" si="77"/>
        <v>0</v>
      </c>
      <c r="Z285">
        <f t="shared" si="78"/>
        <v>0</v>
      </c>
      <c r="AB285">
        <v>281</v>
      </c>
      <c r="AC285">
        <f t="shared" si="79"/>
        <v>0</v>
      </c>
      <c r="AD285">
        <f t="shared" si="69"/>
        <v>0</v>
      </c>
    </row>
    <row r="286" spans="3:30" x14ac:dyDescent="0.25">
      <c r="C286" s="3"/>
      <c r="D286" s="31">
        <f>Simulation_output!A284</f>
        <v>2825000</v>
      </c>
      <c r="E286">
        <f>Sheet2!R283</f>
        <v>10032</v>
      </c>
      <c r="F286">
        <f>Sheet2!S283</f>
        <v>1</v>
      </c>
      <c r="G286">
        <f>Sheet2!T283</f>
        <v>1</v>
      </c>
      <c r="H286" s="31">
        <f>Simulation_output!E284</f>
        <v>1</v>
      </c>
      <c r="I286" s="31">
        <f>Simulation_output!F284</f>
        <v>0</v>
      </c>
      <c r="J286" s="31">
        <f>Simulation_output!G284</f>
        <v>0</v>
      </c>
      <c r="K286" s="31">
        <f>Simulation_output!H284</f>
        <v>0</v>
      </c>
      <c r="L286">
        <v>1</v>
      </c>
      <c r="M286">
        <f t="shared" si="83"/>
        <v>0</v>
      </c>
      <c r="N286">
        <f t="shared" si="82"/>
        <v>0</v>
      </c>
      <c r="O286">
        <f t="shared" si="81"/>
        <v>0</v>
      </c>
      <c r="P286">
        <f t="shared" si="84"/>
        <v>0</v>
      </c>
      <c r="Q286">
        <f t="shared" si="80"/>
        <v>0</v>
      </c>
      <c r="R286">
        <f t="shared" si="70"/>
        <v>0</v>
      </c>
      <c r="S286">
        <f t="shared" si="71"/>
        <v>0</v>
      </c>
      <c r="T286">
        <f t="shared" si="72"/>
        <v>0</v>
      </c>
      <c r="U286">
        <f t="shared" si="73"/>
        <v>0</v>
      </c>
      <c r="V286">
        <f t="shared" si="74"/>
        <v>0</v>
      </c>
      <c r="W286">
        <f t="shared" si="75"/>
        <v>0</v>
      </c>
      <c r="X286">
        <f t="shared" si="76"/>
        <v>0</v>
      </c>
      <c r="Y286">
        <f t="shared" si="77"/>
        <v>0</v>
      </c>
      <c r="Z286">
        <f t="shared" si="78"/>
        <v>0</v>
      </c>
      <c r="AB286">
        <v>282</v>
      </c>
      <c r="AC286">
        <f t="shared" si="79"/>
        <v>0</v>
      </c>
      <c r="AD286">
        <f t="shared" si="69"/>
        <v>0</v>
      </c>
    </row>
    <row r="287" spans="3:30" x14ac:dyDescent="0.25">
      <c r="C287" s="3"/>
      <c r="D287" s="31">
        <f>Simulation_output!A285</f>
        <v>2835000</v>
      </c>
      <c r="E287">
        <f>Sheet2!R284</f>
        <v>0</v>
      </c>
      <c r="F287">
        <f>Sheet2!S284</f>
        <v>0</v>
      </c>
      <c r="G287">
        <f>Sheet2!T284</f>
        <v>0</v>
      </c>
      <c r="H287" s="31">
        <f>Simulation_output!E285</f>
        <v>1</v>
      </c>
      <c r="I287" s="31">
        <f>Simulation_output!F285</f>
        <v>0</v>
      </c>
      <c r="J287" s="31">
        <f>Simulation_output!G285</f>
        <v>0</v>
      </c>
      <c r="K287" s="31">
        <f>Simulation_output!H285</f>
        <v>0</v>
      </c>
      <c r="L287">
        <v>1</v>
      </c>
      <c r="M287">
        <f t="shared" si="83"/>
        <v>0</v>
      </c>
      <c r="N287">
        <f t="shared" si="82"/>
        <v>0</v>
      </c>
      <c r="O287">
        <f t="shared" si="81"/>
        <v>0</v>
      </c>
      <c r="P287">
        <f t="shared" si="84"/>
        <v>0</v>
      </c>
      <c r="Q287">
        <f t="shared" si="80"/>
        <v>0</v>
      </c>
      <c r="R287">
        <f t="shared" si="70"/>
        <v>0</v>
      </c>
      <c r="S287">
        <f t="shared" si="71"/>
        <v>0</v>
      </c>
      <c r="T287">
        <f t="shared" si="72"/>
        <v>0</v>
      </c>
      <c r="U287">
        <f t="shared" si="73"/>
        <v>0</v>
      </c>
      <c r="V287">
        <f t="shared" si="74"/>
        <v>0</v>
      </c>
      <c r="W287">
        <f t="shared" si="75"/>
        <v>0</v>
      </c>
      <c r="X287">
        <f t="shared" si="76"/>
        <v>0</v>
      </c>
      <c r="Y287">
        <f t="shared" si="77"/>
        <v>0</v>
      </c>
      <c r="Z287">
        <f t="shared" si="78"/>
        <v>0</v>
      </c>
      <c r="AB287">
        <v>283</v>
      </c>
      <c r="AC287">
        <f t="shared" si="79"/>
        <v>0</v>
      </c>
      <c r="AD287">
        <f t="shared" si="69"/>
        <v>0</v>
      </c>
    </row>
    <row r="288" spans="3:30" x14ac:dyDescent="0.25">
      <c r="C288" s="3"/>
      <c r="D288" s="31">
        <f>Simulation_output!A286</f>
        <v>2845000</v>
      </c>
      <c r="E288">
        <f>Sheet2!R285</f>
        <v>0</v>
      </c>
      <c r="F288">
        <f>Sheet2!S285</f>
        <v>1</v>
      </c>
      <c r="G288">
        <f>Sheet2!T285</f>
        <v>0</v>
      </c>
      <c r="H288" s="31">
        <f>Simulation_output!E286</f>
        <v>1</v>
      </c>
      <c r="I288" s="31">
        <f>Simulation_output!F286</f>
        <v>0</v>
      </c>
      <c r="J288" s="31">
        <f>Simulation_output!G286</f>
        <v>0</v>
      </c>
      <c r="K288" s="31">
        <f>Simulation_output!H286</f>
        <v>0</v>
      </c>
      <c r="L288">
        <v>1</v>
      </c>
      <c r="M288">
        <f t="shared" si="83"/>
        <v>0</v>
      </c>
      <c r="N288">
        <f t="shared" si="82"/>
        <v>0</v>
      </c>
      <c r="O288">
        <f t="shared" si="81"/>
        <v>0</v>
      </c>
      <c r="P288">
        <f t="shared" si="84"/>
        <v>0</v>
      </c>
      <c r="Q288">
        <f t="shared" si="80"/>
        <v>0</v>
      </c>
      <c r="R288">
        <f t="shared" si="70"/>
        <v>0</v>
      </c>
      <c r="S288">
        <f t="shared" si="71"/>
        <v>0</v>
      </c>
      <c r="T288">
        <f t="shared" si="72"/>
        <v>0</v>
      </c>
      <c r="U288">
        <f t="shared" si="73"/>
        <v>0</v>
      </c>
      <c r="V288">
        <f t="shared" si="74"/>
        <v>0</v>
      </c>
      <c r="W288">
        <f t="shared" si="75"/>
        <v>0</v>
      </c>
      <c r="X288">
        <f t="shared" si="76"/>
        <v>0</v>
      </c>
      <c r="Y288">
        <f t="shared" si="77"/>
        <v>0</v>
      </c>
      <c r="Z288">
        <f t="shared" si="78"/>
        <v>0</v>
      </c>
      <c r="AB288">
        <v>284</v>
      </c>
      <c r="AC288">
        <f t="shared" si="79"/>
        <v>0</v>
      </c>
      <c r="AD288">
        <f t="shared" si="69"/>
        <v>0</v>
      </c>
    </row>
    <row r="289" spans="3:30" x14ac:dyDescent="0.25">
      <c r="C289" s="3"/>
      <c r="D289" s="31">
        <f>Simulation_output!A287</f>
        <v>2855000</v>
      </c>
      <c r="E289">
        <f>Sheet2!R286</f>
        <v>0</v>
      </c>
      <c r="F289">
        <f>Sheet2!S286</f>
        <v>0</v>
      </c>
      <c r="G289">
        <f>Sheet2!T286</f>
        <v>0</v>
      </c>
      <c r="H289" s="31">
        <f>Simulation_output!E287</f>
        <v>1</v>
      </c>
      <c r="I289" s="31">
        <f>Simulation_output!F287</f>
        <v>0</v>
      </c>
      <c r="J289" s="31">
        <f>Simulation_output!G287</f>
        <v>0</v>
      </c>
      <c r="K289" s="31">
        <f>Simulation_output!H287</f>
        <v>0</v>
      </c>
      <c r="L289">
        <v>1</v>
      </c>
      <c r="M289">
        <f t="shared" si="83"/>
        <v>0</v>
      </c>
      <c r="N289">
        <f t="shared" si="82"/>
        <v>0</v>
      </c>
      <c r="O289">
        <f t="shared" si="81"/>
        <v>0</v>
      </c>
      <c r="P289">
        <f t="shared" si="84"/>
        <v>0</v>
      </c>
      <c r="Q289">
        <f t="shared" si="80"/>
        <v>0</v>
      </c>
      <c r="R289">
        <f t="shared" si="70"/>
        <v>0</v>
      </c>
      <c r="S289">
        <f t="shared" si="71"/>
        <v>0</v>
      </c>
      <c r="T289">
        <f t="shared" si="72"/>
        <v>0</v>
      </c>
      <c r="U289">
        <f t="shared" si="73"/>
        <v>0</v>
      </c>
      <c r="V289">
        <f t="shared" si="74"/>
        <v>0</v>
      </c>
      <c r="W289">
        <f t="shared" si="75"/>
        <v>0</v>
      </c>
      <c r="X289">
        <f t="shared" si="76"/>
        <v>0</v>
      </c>
      <c r="Y289">
        <f t="shared" si="77"/>
        <v>0</v>
      </c>
      <c r="Z289">
        <f t="shared" si="78"/>
        <v>0</v>
      </c>
      <c r="AB289">
        <v>285</v>
      </c>
      <c r="AC289">
        <f t="shared" si="79"/>
        <v>0</v>
      </c>
      <c r="AD289">
        <f t="shared" si="69"/>
        <v>0</v>
      </c>
    </row>
    <row r="290" spans="3:30" x14ac:dyDescent="0.25">
      <c r="C290" s="3"/>
      <c r="D290" s="31">
        <f>Simulation_output!A288</f>
        <v>2865000</v>
      </c>
      <c r="E290">
        <f>Sheet2!R287</f>
        <v>5</v>
      </c>
      <c r="F290">
        <f>Sheet2!S287</f>
        <v>1</v>
      </c>
      <c r="G290">
        <f>Sheet2!T287</f>
        <v>0</v>
      </c>
      <c r="H290" s="31">
        <f>Simulation_output!E288</f>
        <v>1</v>
      </c>
      <c r="I290" s="31">
        <f>Simulation_output!F288</f>
        <v>0</v>
      </c>
      <c r="J290" s="31">
        <f>Simulation_output!G288</f>
        <v>0</v>
      </c>
      <c r="K290" s="31">
        <f>Simulation_output!H288</f>
        <v>0</v>
      </c>
      <c r="L290">
        <v>1</v>
      </c>
      <c r="M290">
        <f t="shared" si="83"/>
        <v>0</v>
      </c>
      <c r="N290">
        <f t="shared" si="82"/>
        <v>0</v>
      </c>
      <c r="O290">
        <f t="shared" si="81"/>
        <v>0</v>
      </c>
      <c r="P290">
        <f t="shared" si="84"/>
        <v>0</v>
      </c>
      <c r="Q290">
        <f t="shared" si="80"/>
        <v>0</v>
      </c>
      <c r="R290">
        <f t="shared" si="70"/>
        <v>0</v>
      </c>
      <c r="S290">
        <f t="shared" si="71"/>
        <v>0</v>
      </c>
      <c r="T290">
        <f t="shared" si="72"/>
        <v>0</v>
      </c>
      <c r="U290">
        <f t="shared" si="73"/>
        <v>0</v>
      </c>
      <c r="V290">
        <f t="shared" si="74"/>
        <v>0</v>
      </c>
      <c r="W290">
        <f t="shared" si="75"/>
        <v>0</v>
      </c>
      <c r="X290">
        <f t="shared" si="76"/>
        <v>0</v>
      </c>
      <c r="Y290">
        <f t="shared" si="77"/>
        <v>0</v>
      </c>
      <c r="Z290">
        <f t="shared" si="78"/>
        <v>0</v>
      </c>
      <c r="AB290">
        <v>286</v>
      </c>
      <c r="AC290">
        <f t="shared" si="79"/>
        <v>0</v>
      </c>
      <c r="AD290">
        <f t="shared" si="69"/>
        <v>0</v>
      </c>
    </row>
    <row r="291" spans="3:30" x14ac:dyDescent="0.25">
      <c r="C291" s="3"/>
      <c r="D291" s="31">
        <f>Simulation_output!A289</f>
        <v>2875000</v>
      </c>
      <c r="E291">
        <f>Sheet2!R288</f>
        <v>0</v>
      </c>
      <c r="F291">
        <f>Sheet2!S288</f>
        <v>0</v>
      </c>
      <c r="G291">
        <f>Sheet2!T288</f>
        <v>0</v>
      </c>
      <c r="H291" s="31">
        <f>Simulation_output!E289</f>
        <v>1</v>
      </c>
      <c r="I291" s="31">
        <f>Simulation_output!F289</f>
        <v>0</v>
      </c>
      <c r="J291" s="31">
        <f>Simulation_output!G289</f>
        <v>0</v>
      </c>
      <c r="K291" s="31">
        <f>Simulation_output!H289</f>
        <v>0</v>
      </c>
      <c r="L291">
        <v>1</v>
      </c>
      <c r="M291">
        <f t="shared" si="83"/>
        <v>0</v>
      </c>
      <c r="N291">
        <f t="shared" si="82"/>
        <v>0</v>
      </c>
      <c r="O291">
        <f t="shared" si="81"/>
        <v>0</v>
      </c>
      <c r="P291">
        <f t="shared" si="84"/>
        <v>0</v>
      </c>
      <c r="Q291">
        <f t="shared" si="80"/>
        <v>0</v>
      </c>
      <c r="R291">
        <f t="shared" si="70"/>
        <v>0</v>
      </c>
      <c r="S291">
        <f t="shared" si="71"/>
        <v>0</v>
      </c>
      <c r="T291">
        <f t="shared" si="72"/>
        <v>0</v>
      </c>
      <c r="U291">
        <f t="shared" si="73"/>
        <v>0</v>
      </c>
      <c r="V291">
        <f t="shared" si="74"/>
        <v>0</v>
      </c>
      <c r="W291">
        <f t="shared" si="75"/>
        <v>0</v>
      </c>
      <c r="X291">
        <f t="shared" si="76"/>
        <v>0</v>
      </c>
      <c r="Y291">
        <f t="shared" si="77"/>
        <v>0</v>
      </c>
      <c r="Z291">
        <f t="shared" si="78"/>
        <v>0</v>
      </c>
      <c r="AB291">
        <v>287</v>
      </c>
      <c r="AC291">
        <f t="shared" si="79"/>
        <v>0</v>
      </c>
      <c r="AD291">
        <f t="shared" si="69"/>
        <v>0</v>
      </c>
    </row>
    <row r="292" spans="3:30" x14ac:dyDescent="0.25">
      <c r="C292" s="3"/>
      <c r="D292" s="31">
        <f>Simulation_output!A290</f>
        <v>2885000</v>
      </c>
      <c r="E292">
        <f>Sheet2!R289</f>
        <v>33</v>
      </c>
      <c r="F292">
        <f>Sheet2!S289</f>
        <v>1</v>
      </c>
      <c r="G292">
        <f>Sheet2!T289</f>
        <v>0</v>
      </c>
      <c r="H292" s="31">
        <f>Simulation_output!E290</f>
        <v>1</v>
      </c>
      <c r="I292" s="31">
        <f>Simulation_output!F290</f>
        <v>0</v>
      </c>
      <c r="J292" s="31">
        <f>Simulation_output!G290</f>
        <v>0</v>
      </c>
      <c r="K292" s="31">
        <f>Simulation_output!H290</f>
        <v>0</v>
      </c>
      <c r="L292">
        <v>1</v>
      </c>
      <c r="M292">
        <f t="shared" si="83"/>
        <v>0</v>
      </c>
      <c r="N292">
        <f t="shared" si="82"/>
        <v>0</v>
      </c>
      <c r="O292">
        <f t="shared" si="81"/>
        <v>0</v>
      </c>
      <c r="P292">
        <f t="shared" si="84"/>
        <v>0</v>
      </c>
      <c r="Q292">
        <f t="shared" si="80"/>
        <v>0</v>
      </c>
      <c r="R292">
        <f t="shared" si="70"/>
        <v>0</v>
      </c>
      <c r="S292">
        <f t="shared" si="71"/>
        <v>0</v>
      </c>
      <c r="T292">
        <f t="shared" si="72"/>
        <v>0</v>
      </c>
      <c r="U292">
        <f t="shared" si="73"/>
        <v>0</v>
      </c>
      <c r="V292">
        <f t="shared" si="74"/>
        <v>0</v>
      </c>
      <c r="W292">
        <f t="shared" si="75"/>
        <v>0</v>
      </c>
      <c r="X292">
        <f t="shared" si="76"/>
        <v>0</v>
      </c>
      <c r="Y292">
        <f t="shared" si="77"/>
        <v>0</v>
      </c>
      <c r="Z292">
        <f t="shared" si="78"/>
        <v>0</v>
      </c>
      <c r="AB292">
        <v>288</v>
      </c>
      <c r="AC292">
        <f t="shared" si="79"/>
        <v>0</v>
      </c>
      <c r="AD292">
        <f t="shared" si="69"/>
        <v>0</v>
      </c>
    </row>
    <row r="293" spans="3:30" x14ac:dyDescent="0.25">
      <c r="C293" s="3"/>
      <c r="D293" s="31">
        <f>Simulation_output!A291</f>
        <v>2895000</v>
      </c>
      <c r="E293">
        <f>Sheet2!R290</f>
        <v>0</v>
      </c>
      <c r="F293">
        <f>Sheet2!S290</f>
        <v>0</v>
      </c>
      <c r="G293">
        <f>Sheet2!T290</f>
        <v>0</v>
      </c>
      <c r="H293" s="31">
        <f>Simulation_output!E291</f>
        <v>1</v>
      </c>
      <c r="I293" s="31">
        <f>Simulation_output!F291</f>
        <v>0</v>
      </c>
      <c r="J293" s="31">
        <f>Simulation_output!G291</f>
        <v>0</v>
      </c>
      <c r="K293" s="31">
        <f>Simulation_output!H291</f>
        <v>0</v>
      </c>
      <c r="L293">
        <v>1</v>
      </c>
      <c r="M293">
        <f t="shared" si="83"/>
        <v>0</v>
      </c>
      <c r="N293">
        <f t="shared" si="82"/>
        <v>0</v>
      </c>
      <c r="O293">
        <f t="shared" si="81"/>
        <v>0</v>
      </c>
      <c r="P293">
        <f t="shared" si="84"/>
        <v>0</v>
      </c>
      <c r="Q293">
        <f t="shared" si="80"/>
        <v>0</v>
      </c>
      <c r="R293">
        <f t="shared" si="70"/>
        <v>0</v>
      </c>
      <c r="S293">
        <f t="shared" si="71"/>
        <v>0</v>
      </c>
      <c r="T293">
        <f t="shared" si="72"/>
        <v>0</v>
      </c>
      <c r="U293">
        <f t="shared" si="73"/>
        <v>0</v>
      </c>
      <c r="V293">
        <f t="shared" si="74"/>
        <v>0</v>
      </c>
      <c r="W293">
        <f t="shared" si="75"/>
        <v>0</v>
      </c>
      <c r="X293">
        <f t="shared" si="76"/>
        <v>0</v>
      </c>
      <c r="Y293">
        <f t="shared" si="77"/>
        <v>0</v>
      </c>
      <c r="Z293">
        <f t="shared" si="78"/>
        <v>0</v>
      </c>
      <c r="AB293">
        <v>289</v>
      </c>
      <c r="AC293">
        <f t="shared" si="79"/>
        <v>0</v>
      </c>
      <c r="AD293">
        <f t="shared" si="69"/>
        <v>0</v>
      </c>
    </row>
    <row r="294" spans="3:30" x14ac:dyDescent="0.25">
      <c r="C294" s="3"/>
      <c r="D294" s="31">
        <f>Simulation_output!A292</f>
        <v>2905000</v>
      </c>
      <c r="E294">
        <f>Sheet2!R291</f>
        <v>133</v>
      </c>
      <c r="F294">
        <f>Sheet2!S291</f>
        <v>1</v>
      </c>
      <c r="G294">
        <f>Sheet2!T291</f>
        <v>0</v>
      </c>
      <c r="H294" s="31">
        <f>Simulation_output!E292</f>
        <v>1</v>
      </c>
      <c r="I294" s="31">
        <f>Simulation_output!F292</f>
        <v>0</v>
      </c>
      <c r="J294" s="31">
        <f>Simulation_output!G292</f>
        <v>0</v>
      </c>
      <c r="K294" s="31">
        <f>Simulation_output!H292</f>
        <v>0</v>
      </c>
      <c r="L294">
        <v>1</v>
      </c>
      <c r="M294">
        <f t="shared" si="83"/>
        <v>0</v>
      </c>
      <c r="N294">
        <f t="shared" si="82"/>
        <v>0</v>
      </c>
      <c r="O294">
        <f t="shared" si="81"/>
        <v>0</v>
      </c>
      <c r="P294">
        <f t="shared" si="84"/>
        <v>0</v>
      </c>
      <c r="Q294">
        <f t="shared" si="80"/>
        <v>0</v>
      </c>
      <c r="R294">
        <f t="shared" si="70"/>
        <v>0</v>
      </c>
      <c r="S294">
        <f t="shared" si="71"/>
        <v>0</v>
      </c>
      <c r="T294">
        <f t="shared" si="72"/>
        <v>0</v>
      </c>
      <c r="U294">
        <f t="shared" si="73"/>
        <v>0</v>
      </c>
      <c r="V294">
        <f t="shared" si="74"/>
        <v>0</v>
      </c>
      <c r="W294">
        <f t="shared" si="75"/>
        <v>0</v>
      </c>
      <c r="X294">
        <f t="shared" si="76"/>
        <v>0</v>
      </c>
      <c r="Y294">
        <f t="shared" si="77"/>
        <v>0</v>
      </c>
      <c r="Z294">
        <f t="shared" si="78"/>
        <v>0</v>
      </c>
      <c r="AB294">
        <v>290</v>
      </c>
      <c r="AC294">
        <f t="shared" si="79"/>
        <v>0</v>
      </c>
      <c r="AD294">
        <f t="shared" si="69"/>
        <v>0</v>
      </c>
    </row>
    <row r="295" spans="3:30" x14ac:dyDescent="0.25">
      <c r="C295" s="3"/>
      <c r="D295" s="31">
        <f>Simulation_output!A293</f>
        <v>2915000</v>
      </c>
      <c r="E295">
        <f>Sheet2!R292</f>
        <v>0</v>
      </c>
      <c r="F295">
        <f>Sheet2!S292</f>
        <v>0</v>
      </c>
      <c r="G295">
        <f>Sheet2!T292</f>
        <v>0</v>
      </c>
      <c r="H295" s="31">
        <f>Simulation_output!E293</f>
        <v>1</v>
      </c>
      <c r="I295" s="31">
        <f>Simulation_output!F293</f>
        <v>0</v>
      </c>
      <c r="J295" s="31">
        <f>Simulation_output!G293</f>
        <v>0</v>
      </c>
      <c r="K295" s="31">
        <f>Simulation_output!H293</f>
        <v>0</v>
      </c>
      <c r="L295">
        <v>1</v>
      </c>
      <c r="M295">
        <f t="shared" si="83"/>
        <v>0</v>
      </c>
      <c r="N295">
        <f t="shared" si="82"/>
        <v>0</v>
      </c>
      <c r="O295">
        <f t="shared" si="81"/>
        <v>0</v>
      </c>
      <c r="P295">
        <f t="shared" si="84"/>
        <v>0</v>
      </c>
      <c r="Q295">
        <f t="shared" si="80"/>
        <v>0</v>
      </c>
      <c r="R295">
        <f t="shared" si="70"/>
        <v>0</v>
      </c>
      <c r="S295">
        <f t="shared" si="71"/>
        <v>0</v>
      </c>
      <c r="T295">
        <f t="shared" si="72"/>
        <v>0</v>
      </c>
      <c r="U295">
        <f t="shared" si="73"/>
        <v>0</v>
      </c>
      <c r="V295">
        <f t="shared" si="74"/>
        <v>0</v>
      </c>
      <c r="W295">
        <f t="shared" si="75"/>
        <v>0</v>
      </c>
      <c r="X295">
        <f t="shared" si="76"/>
        <v>0</v>
      </c>
      <c r="Y295">
        <f t="shared" si="77"/>
        <v>0</v>
      </c>
      <c r="Z295">
        <f t="shared" si="78"/>
        <v>0</v>
      </c>
      <c r="AB295">
        <v>291</v>
      </c>
      <c r="AC295">
        <f t="shared" si="79"/>
        <v>0</v>
      </c>
      <c r="AD295">
        <f t="shared" si="69"/>
        <v>0</v>
      </c>
    </row>
    <row r="296" spans="3:30" x14ac:dyDescent="0.25">
      <c r="C296" s="3"/>
      <c r="D296" s="31">
        <f>Simulation_output!A294</f>
        <v>2925000</v>
      </c>
      <c r="E296">
        <f>Sheet2!R293</f>
        <v>1033</v>
      </c>
      <c r="F296">
        <f>Sheet2!S293</f>
        <v>1</v>
      </c>
      <c r="G296">
        <f>Sheet2!T293</f>
        <v>0</v>
      </c>
      <c r="H296" s="31">
        <f>Simulation_output!E294</f>
        <v>1</v>
      </c>
      <c r="I296" s="31">
        <f>Simulation_output!F294</f>
        <v>0</v>
      </c>
      <c r="J296" s="31">
        <f>Simulation_output!G294</f>
        <v>0</v>
      </c>
      <c r="K296" s="31">
        <f>Simulation_output!H294</f>
        <v>0</v>
      </c>
      <c r="L296">
        <v>1</v>
      </c>
      <c r="M296">
        <f t="shared" si="83"/>
        <v>0</v>
      </c>
      <c r="N296">
        <f t="shared" si="82"/>
        <v>0</v>
      </c>
      <c r="O296">
        <f t="shared" si="81"/>
        <v>0</v>
      </c>
      <c r="P296">
        <f t="shared" si="84"/>
        <v>0</v>
      </c>
      <c r="Q296">
        <f t="shared" si="80"/>
        <v>0</v>
      </c>
      <c r="R296">
        <f t="shared" si="70"/>
        <v>0</v>
      </c>
      <c r="S296">
        <f t="shared" si="71"/>
        <v>0</v>
      </c>
      <c r="T296">
        <f t="shared" si="72"/>
        <v>0</v>
      </c>
      <c r="U296">
        <f t="shared" si="73"/>
        <v>0</v>
      </c>
      <c r="V296">
        <f t="shared" si="74"/>
        <v>0</v>
      </c>
      <c r="W296">
        <f t="shared" si="75"/>
        <v>0</v>
      </c>
      <c r="X296">
        <f t="shared" si="76"/>
        <v>0</v>
      </c>
      <c r="Y296">
        <f t="shared" si="77"/>
        <v>0</v>
      </c>
      <c r="Z296">
        <f t="shared" si="78"/>
        <v>0</v>
      </c>
      <c r="AB296">
        <v>292</v>
      </c>
      <c r="AC296">
        <f t="shared" si="79"/>
        <v>0</v>
      </c>
      <c r="AD296">
        <f t="shared" si="69"/>
        <v>0</v>
      </c>
    </row>
    <row r="297" spans="3:30" x14ac:dyDescent="0.25">
      <c r="C297" s="3"/>
      <c r="D297" s="31">
        <f>Simulation_output!A295</f>
        <v>2935000</v>
      </c>
      <c r="E297">
        <f>Sheet2!R294</f>
        <v>0</v>
      </c>
      <c r="F297">
        <f>Sheet2!S294</f>
        <v>0</v>
      </c>
      <c r="G297">
        <f>Sheet2!T294</f>
        <v>0</v>
      </c>
      <c r="H297" s="31">
        <f>Simulation_output!E295</f>
        <v>1</v>
      </c>
      <c r="I297" s="31">
        <f>Simulation_output!F295</f>
        <v>0</v>
      </c>
      <c r="J297" s="31">
        <f>Simulation_output!G295</f>
        <v>0</v>
      </c>
      <c r="K297" s="31">
        <f>Simulation_output!H295</f>
        <v>0</v>
      </c>
      <c r="L297">
        <v>1</v>
      </c>
      <c r="M297">
        <f t="shared" si="83"/>
        <v>0</v>
      </c>
      <c r="N297">
        <f t="shared" si="82"/>
        <v>0</v>
      </c>
      <c r="O297">
        <f t="shared" si="81"/>
        <v>0</v>
      </c>
      <c r="P297">
        <f t="shared" si="84"/>
        <v>0</v>
      </c>
      <c r="Q297">
        <f t="shared" si="80"/>
        <v>0</v>
      </c>
      <c r="R297">
        <f t="shared" si="70"/>
        <v>0</v>
      </c>
      <c r="S297">
        <f t="shared" si="71"/>
        <v>0</v>
      </c>
      <c r="T297">
        <f t="shared" si="72"/>
        <v>0</v>
      </c>
      <c r="U297">
        <f t="shared" si="73"/>
        <v>0</v>
      </c>
      <c r="V297">
        <f t="shared" si="74"/>
        <v>0</v>
      </c>
      <c r="W297">
        <f t="shared" si="75"/>
        <v>0</v>
      </c>
      <c r="X297">
        <f t="shared" si="76"/>
        <v>0</v>
      </c>
      <c r="Y297">
        <f t="shared" si="77"/>
        <v>0</v>
      </c>
      <c r="Z297">
        <f t="shared" si="78"/>
        <v>0</v>
      </c>
      <c r="AB297">
        <v>293</v>
      </c>
      <c r="AC297">
        <f t="shared" si="79"/>
        <v>0</v>
      </c>
      <c r="AD297">
        <f t="shared" si="69"/>
        <v>0</v>
      </c>
    </row>
    <row r="298" spans="3:30" x14ac:dyDescent="0.25">
      <c r="C298" s="3"/>
      <c r="D298" s="31">
        <f>Simulation_output!A296</f>
        <v>2945000</v>
      </c>
      <c r="E298">
        <f>Sheet2!R295</f>
        <v>10033</v>
      </c>
      <c r="F298">
        <f>Sheet2!S295</f>
        <v>1</v>
      </c>
      <c r="G298">
        <f>Sheet2!T295</f>
        <v>1</v>
      </c>
      <c r="H298" s="31">
        <f>Simulation_output!E296</f>
        <v>1</v>
      </c>
      <c r="I298" s="31">
        <f>Simulation_output!F296</f>
        <v>0</v>
      </c>
      <c r="J298" s="31">
        <f>Simulation_output!G296</f>
        <v>0</v>
      </c>
      <c r="K298" s="31">
        <f>Simulation_output!H296</f>
        <v>0</v>
      </c>
      <c r="L298">
        <v>1</v>
      </c>
      <c r="M298">
        <f t="shared" si="83"/>
        <v>0</v>
      </c>
      <c r="N298">
        <f t="shared" si="82"/>
        <v>0</v>
      </c>
      <c r="O298">
        <f t="shared" si="81"/>
        <v>0</v>
      </c>
      <c r="P298">
        <f t="shared" si="84"/>
        <v>0</v>
      </c>
      <c r="Q298">
        <f t="shared" si="80"/>
        <v>0</v>
      </c>
      <c r="R298">
        <f t="shared" si="70"/>
        <v>0</v>
      </c>
      <c r="S298">
        <f t="shared" si="71"/>
        <v>0</v>
      </c>
      <c r="T298">
        <f t="shared" si="72"/>
        <v>0</v>
      </c>
      <c r="U298">
        <f t="shared" si="73"/>
        <v>0</v>
      </c>
      <c r="V298">
        <f t="shared" si="74"/>
        <v>0</v>
      </c>
      <c r="W298">
        <f t="shared" si="75"/>
        <v>0</v>
      </c>
      <c r="X298">
        <f t="shared" si="76"/>
        <v>0</v>
      </c>
      <c r="Y298">
        <f t="shared" si="77"/>
        <v>0</v>
      </c>
      <c r="Z298">
        <f t="shared" si="78"/>
        <v>0</v>
      </c>
      <c r="AB298">
        <v>294</v>
      </c>
      <c r="AC298">
        <f t="shared" si="79"/>
        <v>0</v>
      </c>
      <c r="AD298">
        <f t="shared" si="69"/>
        <v>0</v>
      </c>
    </row>
    <row r="299" spans="3:30" x14ac:dyDescent="0.25">
      <c r="C299" s="3"/>
      <c r="D299" s="31">
        <f>Simulation_output!A297</f>
        <v>2955000</v>
      </c>
      <c r="E299">
        <f>Sheet2!R296</f>
        <v>0</v>
      </c>
      <c r="F299">
        <f>Sheet2!S296</f>
        <v>0</v>
      </c>
      <c r="G299">
        <f>Sheet2!T296</f>
        <v>0</v>
      </c>
      <c r="H299" s="31">
        <f>Simulation_output!E297</f>
        <v>1</v>
      </c>
      <c r="I299" s="31">
        <f>Simulation_output!F297</f>
        <v>0</v>
      </c>
      <c r="J299" s="31">
        <f>Simulation_output!G297</f>
        <v>0</v>
      </c>
      <c r="K299" s="31">
        <f>Simulation_output!H297</f>
        <v>0</v>
      </c>
      <c r="L299">
        <v>1</v>
      </c>
      <c r="M299">
        <f t="shared" si="83"/>
        <v>0</v>
      </c>
      <c r="N299">
        <f t="shared" si="82"/>
        <v>0</v>
      </c>
      <c r="O299">
        <f t="shared" si="81"/>
        <v>0</v>
      </c>
      <c r="P299">
        <f t="shared" si="84"/>
        <v>0</v>
      </c>
      <c r="Q299">
        <f t="shared" si="80"/>
        <v>0</v>
      </c>
      <c r="R299">
        <f t="shared" si="70"/>
        <v>0</v>
      </c>
      <c r="S299">
        <f t="shared" si="71"/>
        <v>0</v>
      </c>
      <c r="T299">
        <f t="shared" si="72"/>
        <v>0</v>
      </c>
      <c r="U299">
        <f t="shared" si="73"/>
        <v>0</v>
      </c>
      <c r="V299">
        <f t="shared" si="74"/>
        <v>0</v>
      </c>
      <c r="W299">
        <f t="shared" si="75"/>
        <v>0</v>
      </c>
      <c r="X299">
        <f t="shared" si="76"/>
        <v>0</v>
      </c>
      <c r="Y299">
        <f t="shared" si="77"/>
        <v>0</v>
      </c>
      <c r="Z299">
        <f t="shared" si="78"/>
        <v>0</v>
      </c>
      <c r="AB299">
        <v>295</v>
      </c>
      <c r="AC299">
        <f t="shared" si="79"/>
        <v>0</v>
      </c>
      <c r="AD299">
        <f t="shared" si="69"/>
        <v>0</v>
      </c>
    </row>
    <row r="300" spans="3:30" x14ac:dyDescent="0.25">
      <c r="C300" s="3"/>
      <c r="D300" s="31">
        <f>Simulation_output!A298</f>
        <v>2965000</v>
      </c>
      <c r="E300">
        <f>Sheet2!R297</f>
        <v>0</v>
      </c>
      <c r="F300">
        <f>Sheet2!S297</f>
        <v>1</v>
      </c>
      <c r="G300">
        <f>Sheet2!T297</f>
        <v>0</v>
      </c>
      <c r="H300" s="31">
        <f>Simulation_output!E298</f>
        <v>1</v>
      </c>
      <c r="I300" s="31">
        <f>Simulation_output!F298</f>
        <v>0</v>
      </c>
      <c r="J300" s="31">
        <f>Simulation_output!G298</f>
        <v>0</v>
      </c>
      <c r="K300" s="31">
        <f>Simulation_output!H298</f>
        <v>0</v>
      </c>
      <c r="L300">
        <v>1</v>
      </c>
      <c r="M300">
        <f t="shared" si="83"/>
        <v>0</v>
      </c>
      <c r="N300">
        <f t="shared" si="82"/>
        <v>0</v>
      </c>
      <c r="O300">
        <f t="shared" si="81"/>
        <v>0</v>
      </c>
      <c r="P300">
        <f t="shared" si="84"/>
        <v>0</v>
      </c>
      <c r="Q300">
        <f t="shared" si="80"/>
        <v>0</v>
      </c>
      <c r="R300">
        <f t="shared" si="70"/>
        <v>0</v>
      </c>
      <c r="S300">
        <f t="shared" si="71"/>
        <v>0</v>
      </c>
      <c r="T300">
        <f t="shared" si="72"/>
        <v>0</v>
      </c>
      <c r="U300">
        <f t="shared" si="73"/>
        <v>0</v>
      </c>
      <c r="V300">
        <f t="shared" si="74"/>
        <v>0</v>
      </c>
      <c r="W300">
        <f t="shared" si="75"/>
        <v>0</v>
      </c>
      <c r="X300">
        <f t="shared" si="76"/>
        <v>0</v>
      </c>
      <c r="Y300">
        <f t="shared" si="77"/>
        <v>0</v>
      </c>
      <c r="Z300">
        <f t="shared" si="78"/>
        <v>0</v>
      </c>
      <c r="AB300">
        <v>296</v>
      </c>
      <c r="AC300">
        <f t="shared" si="79"/>
        <v>0</v>
      </c>
      <c r="AD300">
        <f t="shared" si="69"/>
        <v>0</v>
      </c>
    </row>
    <row r="301" spans="3:30" x14ac:dyDescent="0.25">
      <c r="C301" s="3"/>
      <c r="D301" s="31">
        <f>Simulation_output!A299</f>
        <v>2975000</v>
      </c>
      <c r="E301">
        <f>Sheet2!R298</f>
        <v>0</v>
      </c>
      <c r="F301">
        <f>Sheet2!S298</f>
        <v>0</v>
      </c>
      <c r="G301">
        <f>Sheet2!T298</f>
        <v>0</v>
      </c>
      <c r="H301" s="31">
        <f>Simulation_output!E299</f>
        <v>1</v>
      </c>
      <c r="I301" s="31">
        <f>Simulation_output!F299</f>
        <v>0</v>
      </c>
      <c r="J301" s="31">
        <f>Simulation_output!G299</f>
        <v>0</v>
      </c>
      <c r="K301" s="31">
        <f>Simulation_output!H299</f>
        <v>0</v>
      </c>
      <c r="L301">
        <v>1</v>
      </c>
      <c r="M301">
        <f t="shared" si="83"/>
        <v>0</v>
      </c>
      <c r="N301">
        <f t="shared" si="82"/>
        <v>0</v>
      </c>
      <c r="O301">
        <f t="shared" si="81"/>
        <v>0</v>
      </c>
      <c r="P301">
        <f t="shared" si="84"/>
        <v>0</v>
      </c>
      <c r="Q301">
        <f t="shared" si="80"/>
        <v>0</v>
      </c>
      <c r="R301">
        <f t="shared" si="70"/>
        <v>0</v>
      </c>
      <c r="S301">
        <f t="shared" si="71"/>
        <v>0</v>
      </c>
      <c r="T301">
        <f t="shared" si="72"/>
        <v>0</v>
      </c>
      <c r="U301">
        <f t="shared" si="73"/>
        <v>0</v>
      </c>
      <c r="V301">
        <f t="shared" si="74"/>
        <v>0</v>
      </c>
      <c r="W301">
        <f t="shared" si="75"/>
        <v>0</v>
      </c>
      <c r="X301">
        <f t="shared" si="76"/>
        <v>0</v>
      </c>
      <c r="Y301">
        <f t="shared" si="77"/>
        <v>0</v>
      </c>
      <c r="Z301">
        <f t="shared" si="78"/>
        <v>0</v>
      </c>
      <c r="AB301">
        <v>297</v>
      </c>
      <c r="AC301">
        <f t="shared" si="79"/>
        <v>0</v>
      </c>
      <c r="AD301">
        <f t="shared" si="69"/>
        <v>0</v>
      </c>
    </row>
    <row r="302" spans="3:30" x14ac:dyDescent="0.25">
      <c r="C302" s="3"/>
      <c r="D302" s="31">
        <f>Simulation_output!A300</f>
        <v>2985000</v>
      </c>
      <c r="E302">
        <f>Sheet2!R299</f>
        <v>5</v>
      </c>
      <c r="F302">
        <f>Sheet2!S299</f>
        <v>1</v>
      </c>
      <c r="G302">
        <f>Sheet2!T299</f>
        <v>0</v>
      </c>
      <c r="H302" s="31">
        <f>Simulation_output!E300</f>
        <v>1</v>
      </c>
      <c r="I302" s="31">
        <f>Simulation_output!F300</f>
        <v>0</v>
      </c>
      <c r="J302" s="31">
        <f>Simulation_output!G300</f>
        <v>0</v>
      </c>
      <c r="K302" s="31">
        <f>Simulation_output!H300</f>
        <v>0</v>
      </c>
      <c r="L302">
        <v>1</v>
      </c>
      <c r="M302">
        <f t="shared" si="83"/>
        <v>0</v>
      </c>
      <c r="N302">
        <f t="shared" si="82"/>
        <v>0</v>
      </c>
      <c r="O302">
        <f t="shared" si="81"/>
        <v>0</v>
      </c>
      <c r="P302">
        <f t="shared" si="84"/>
        <v>0</v>
      </c>
      <c r="Q302">
        <f t="shared" si="80"/>
        <v>0</v>
      </c>
      <c r="R302">
        <f t="shared" si="70"/>
        <v>0</v>
      </c>
      <c r="S302">
        <f t="shared" si="71"/>
        <v>0</v>
      </c>
      <c r="T302">
        <f t="shared" si="72"/>
        <v>0</v>
      </c>
      <c r="U302">
        <f t="shared" si="73"/>
        <v>0</v>
      </c>
      <c r="V302">
        <f t="shared" si="74"/>
        <v>0</v>
      </c>
      <c r="W302">
        <f t="shared" si="75"/>
        <v>0</v>
      </c>
      <c r="X302">
        <f t="shared" si="76"/>
        <v>0</v>
      </c>
      <c r="Y302">
        <f t="shared" si="77"/>
        <v>0</v>
      </c>
      <c r="Z302">
        <f t="shared" si="78"/>
        <v>0</v>
      </c>
      <c r="AB302">
        <v>298</v>
      </c>
      <c r="AC302">
        <f t="shared" si="79"/>
        <v>0</v>
      </c>
      <c r="AD302">
        <f t="shared" si="69"/>
        <v>0</v>
      </c>
    </row>
    <row r="303" spans="3:30" x14ac:dyDescent="0.25">
      <c r="C303" s="3"/>
      <c r="D303" s="31">
        <f>Simulation_output!A301</f>
        <v>2995000</v>
      </c>
      <c r="E303">
        <f>Sheet2!R300</f>
        <v>0</v>
      </c>
      <c r="F303">
        <f>Sheet2!S300</f>
        <v>0</v>
      </c>
      <c r="G303">
        <f>Sheet2!T300</f>
        <v>0</v>
      </c>
      <c r="H303" s="31">
        <f>Simulation_output!E301</f>
        <v>1</v>
      </c>
      <c r="I303" s="31">
        <f>Simulation_output!F301</f>
        <v>0</v>
      </c>
      <c r="J303" s="31">
        <f>Simulation_output!G301</f>
        <v>0</v>
      </c>
      <c r="K303" s="31">
        <f>Simulation_output!H301</f>
        <v>0</v>
      </c>
      <c r="L303">
        <v>1</v>
      </c>
      <c r="M303">
        <f t="shared" si="83"/>
        <v>0</v>
      </c>
      <c r="N303">
        <f t="shared" si="82"/>
        <v>0</v>
      </c>
      <c r="O303">
        <f t="shared" si="81"/>
        <v>0</v>
      </c>
      <c r="P303">
        <f t="shared" si="84"/>
        <v>0</v>
      </c>
      <c r="Q303">
        <f t="shared" si="80"/>
        <v>0</v>
      </c>
      <c r="R303">
        <f t="shared" si="70"/>
        <v>0</v>
      </c>
      <c r="S303">
        <f t="shared" si="71"/>
        <v>0</v>
      </c>
      <c r="T303">
        <f t="shared" si="72"/>
        <v>0</v>
      </c>
      <c r="U303">
        <f t="shared" si="73"/>
        <v>0</v>
      </c>
      <c r="V303">
        <f t="shared" si="74"/>
        <v>0</v>
      </c>
      <c r="W303">
        <f t="shared" si="75"/>
        <v>0</v>
      </c>
      <c r="X303">
        <f t="shared" si="76"/>
        <v>0</v>
      </c>
      <c r="Y303">
        <f t="shared" si="77"/>
        <v>0</v>
      </c>
      <c r="Z303">
        <f t="shared" si="78"/>
        <v>0</v>
      </c>
      <c r="AB303">
        <v>299</v>
      </c>
      <c r="AC303">
        <f t="shared" si="79"/>
        <v>0</v>
      </c>
      <c r="AD303">
        <f t="shared" si="69"/>
        <v>0</v>
      </c>
    </row>
    <row r="304" spans="3:30" x14ac:dyDescent="0.25">
      <c r="C304" s="3"/>
      <c r="D304" s="31">
        <f>Simulation_output!A302</f>
        <v>3005000</v>
      </c>
      <c r="E304">
        <f>Sheet2!R301</f>
        <v>34</v>
      </c>
      <c r="F304">
        <f>Sheet2!S301</f>
        <v>1</v>
      </c>
      <c r="G304">
        <f>Sheet2!T301</f>
        <v>0</v>
      </c>
      <c r="H304" s="31">
        <f>Simulation_output!E302</f>
        <v>1</v>
      </c>
      <c r="I304" s="31">
        <f>Simulation_output!F302</f>
        <v>0</v>
      </c>
      <c r="J304" s="31">
        <f>Simulation_output!G302</f>
        <v>0</v>
      </c>
      <c r="K304" s="31">
        <f>Simulation_output!H302</f>
        <v>0</v>
      </c>
      <c r="L304">
        <v>1</v>
      </c>
      <c r="M304">
        <f t="shared" si="83"/>
        <v>0</v>
      </c>
      <c r="N304">
        <f t="shared" si="82"/>
        <v>0</v>
      </c>
      <c r="O304">
        <f t="shared" si="81"/>
        <v>0</v>
      </c>
      <c r="P304">
        <f t="shared" si="84"/>
        <v>0</v>
      </c>
      <c r="Q304">
        <f t="shared" si="80"/>
        <v>0</v>
      </c>
      <c r="R304">
        <f t="shared" si="70"/>
        <v>0</v>
      </c>
      <c r="S304">
        <f t="shared" si="71"/>
        <v>0</v>
      </c>
      <c r="T304">
        <f t="shared" si="72"/>
        <v>0</v>
      </c>
      <c r="U304">
        <f t="shared" si="73"/>
        <v>0</v>
      </c>
      <c r="V304">
        <f t="shared" si="74"/>
        <v>0</v>
      </c>
      <c r="W304">
        <f t="shared" si="75"/>
        <v>0</v>
      </c>
      <c r="X304">
        <f t="shared" si="76"/>
        <v>0</v>
      </c>
      <c r="Y304">
        <f t="shared" si="77"/>
        <v>0</v>
      </c>
      <c r="Z304">
        <f t="shared" si="78"/>
        <v>0</v>
      </c>
      <c r="AB304">
        <v>300</v>
      </c>
      <c r="AC304">
        <f t="shared" si="79"/>
        <v>0</v>
      </c>
      <c r="AD304">
        <f t="shared" si="69"/>
        <v>0</v>
      </c>
    </row>
    <row r="305" spans="3:30" x14ac:dyDescent="0.25">
      <c r="C305" s="3"/>
      <c r="D305" s="31">
        <f>Simulation_output!A303</f>
        <v>3015000</v>
      </c>
      <c r="E305">
        <f>Sheet2!R302</f>
        <v>0</v>
      </c>
      <c r="F305">
        <f>Sheet2!S302</f>
        <v>0</v>
      </c>
      <c r="G305">
        <f>Sheet2!T302</f>
        <v>0</v>
      </c>
      <c r="H305" s="31">
        <f>Simulation_output!E303</f>
        <v>1</v>
      </c>
      <c r="I305" s="31">
        <f>Simulation_output!F303</f>
        <v>0</v>
      </c>
      <c r="J305" s="31">
        <f>Simulation_output!G303</f>
        <v>0</v>
      </c>
      <c r="K305" s="31">
        <f>Simulation_output!H303</f>
        <v>0</v>
      </c>
      <c r="L305">
        <v>1</v>
      </c>
      <c r="M305">
        <f t="shared" si="83"/>
        <v>0</v>
      </c>
      <c r="N305">
        <f t="shared" si="82"/>
        <v>0</v>
      </c>
      <c r="O305">
        <f t="shared" si="81"/>
        <v>0</v>
      </c>
      <c r="P305">
        <f t="shared" si="84"/>
        <v>0</v>
      </c>
      <c r="Q305">
        <f t="shared" si="80"/>
        <v>0</v>
      </c>
      <c r="R305">
        <f t="shared" si="70"/>
        <v>0</v>
      </c>
      <c r="S305">
        <f t="shared" si="71"/>
        <v>0</v>
      </c>
      <c r="T305">
        <f t="shared" si="72"/>
        <v>0</v>
      </c>
      <c r="U305">
        <f t="shared" si="73"/>
        <v>0</v>
      </c>
      <c r="V305">
        <f t="shared" si="74"/>
        <v>0</v>
      </c>
      <c r="W305">
        <f t="shared" si="75"/>
        <v>0</v>
      </c>
      <c r="X305">
        <f t="shared" si="76"/>
        <v>0</v>
      </c>
      <c r="Y305">
        <f t="shared" si="77"/>
        <v>0</v>
      </c>
      <c r="Z305">
        <f t="shared" si="78"/>
        <v>0</v>
      </c>
      <c r="AB305">
        <v>301</v>
      </c>
      <c r="AC305">
        <f t="shared" si="79"/>
        <v>0</v>
      </c>
      <c r="AD305">
        <f t="shared" si="69"/>
        <v>0</v>
      </c>
    </row>
    <row r="306" spans="3:30" x14ac:dyDescent="0.25">
      <c r="C306" s="3"/>
      <c r="D306" s="31">
        <f>Simulation_output!A304</f>
        <v>3025000</v>
      </c>
      <c r="E306">
        <f>Sheet2!R303</f>
        <v>134</v>
      </c>
      <c r="F306">
        <f>Sheet2!S303</f>
        <v>1</v>
      </c>
      <c r="G306">
        <f>Sheet2!T303</f>
        <v>0</v>
      </c>
      <c r="H306" s="31">
        <f>Simulation_output!E304</f>
        <v>1</v>
      </c>
      <c r="I306" s="31">
        <f>Simulation_output!F304</f>
        <v>0</v>
      </c>
      <c r="J306" s="31">
        <f>Simulation_output!G304</f>
        <v>0</v>
      </c>
      <c r="K306" s="31">
        <f>Simulation_output!H304</f>
        <v>0</v>
      </c>
      <c r="L306">
        <v>1</v>
      </c>
      <c r="M306">
        <f t="shared" si="83"/>
        <v>0</v>
      </c>
      <c r="N306">
        <f t="shared" si="82"/>
        <v>0</v>
      </c>
      <c r="O306">
        <f t="shared" si="81"/>
        <v>0</v>
      </c>
      <c r="P306">
        <f t="shared" si="84"/>
        <v>0</v>
      </c>
      <c r="Q306">
        <f t="shared" si="80"/>
        <v>0</v>
      </c>
      <c r="R306">
        <f t="shared" si="70"/>
        <v>0</v>
      </c>
      <c r="S306">
        <f t="shared" si="71"/>
        <v>0</v>
      </c>
      <c r="T306">
        <f t="shared" si="72"/>
        <v>0</v>
      </c>
      <c r="U306">
        <f t="shared" si="73"/>
        <v>0</v>
      </c>
      <c r="V306">
        <f t="shared" si="74"/>
        <v>0</v>
      </c>
      <c r="W306">
        <f t="shared" si="75"/>
        <v>0</v>
      </c>
      <c r="X306">
        <f t="shared" si="76"/>
        <v>0</v>
      </c>
      <c r="Y306">
        <f t="shared" si="77"/>
        <v>0</v>
      </c>
      <c r="Z306">
        <f t="shared" si="78"/>
        <v>0</v>
      </c>
      <c r="AB306">
        <v>302</v>
      </c>
      <c r="AC306">
        <f t="shared" si="79"/>
        <v>0</v>
      </c>
      <c r="AD306">
        <f t="shared" si="69"/>
        <v>0</v>
      </c>
    </row>
    <row r="307" spans="3:30" x14ac:dyDescent="0.25">
      <c r="C307" s="3"/>
      <c r="D307" s="31">
        <f>Simulation_output!A305</f>
        <v>3035000</v>
      </c>
      <c r="E307">
        <f>Sheet2!R304</f>
        <v>0</v>
      </c>
      <c r="F307">
        <f>Sheet2!S304</f>
        <v>0</v>
      </c>
      <c r="G307">
        <f>Sheet2!T304</f>
        <v>0</v>
      </c>
      <c r="H307" s="31">
        <f>Simulation_output!E305</f>
        <v>1</v>
      </c>
      <c r="I307" s="31">
        <f>Simulation_output!F305</f>
        <v>0</v>
      </c>
      <c r="J307" s="31">
        <f>Simulation_output!G305</f>
        <v>0</v>
      </c>
      <c r="K307" s="31">
        <f>Simulation_output!H305</f>
        <v>0</v>
      </c>
      <c r="L307">
        <v>1</v>
      </c>
      <c r="M307">
        <f t="shared" si="83"/>
        <v>0</v>
      </c>
      <c r="N307">
        <f t="shared" si="82"/>
        <v>0</v>
      </c>
      <c r="O307">
        <f t="shared" si="81"/>
        <v>0</v>
      </c>
      <c r="P307">
        <f t="shared" si="84"/>
        <v>0</v>
      </c>
      <c r="Q307">
        <f t="shared" si="80"/>
        <v>0</v>
      </c>
      <c r="R307">
        <f t="shared" si="70"/>
        <v>0</v>
      </c>
      <c r="S307">
        <f t="shared" si="71"/>
        <v>0</v>
      </c>
      <c r="T307">
        <f t="shared" si="72"/>
        <v>0</v>
      </c>
      <c r="U307">
        <f t="shared" si="73"/>
        <v>0</v>
      </c>
      <c r="V307">
        <f t="shared" si="74"/>
        <v>0</v>
      </c>
      <c r="W307">
        <f t="shared" si="75"/>
        <v>0</v>
      </c>
      <c r="X307">
        <f t="shared" si="76"/>
        <v>0</v>
      </c>
      <c r="Y307">
        <f t="shared" si="77"/>
        <v>0</v>
      </c>
      <c r="Z307">
        <f t="shared" si="78"/>
        <v>0</v>
      </c>
      <c r="AB307">
        <v>303</v>
      </c>
      <c r="AC307">
        <f t="shared" si="79"/>
        <v>0</v>
      </c>
      <c r="AD307">
        <f t="shared" si="69"/>
        <v>0</v>
      </c>
    </row>
    <row r="308" spans="3:30" x14ac:dyDescent="0.25">
      <c r="C308" s="3"/>
      <c r="D308" s="31">
        <f>Simulation_output!A306</f>
        <v>3045000</v>
      </c>
      <c r="E308">
        <f>Sheet2!R305</f>
        <v>1034</v>
      </c>
      <c r="F308">
        <f>Sheet2!S305</f>
        <v>1</v>
      </c>
      <c r="G308">
        <f>Sheet2!T305</f>
        <v>0</v>
      </c>
      <c r="H308" s="31">
        <f>Simulation_output!E306</f>
        <v>1</v>
      </c>
      <c r="I308" s="31">
        <f>Simulation_output!F306</f>
        <v>0</v>
      </c>
      <c r="J308" s="31">
        <f>Simulation_output!G306</f>
        <v>0</v>
      </c>
      <c r="K308" s="31">
        <f>Simulation_output!H306</f>
        <v>0</v>
      </c>
      <c r="L308">
        <v>1</v>
      </c>
      <c r="M308">
        <f t="shared" si="83"/>
        <v>0</v>
      </c>
      <c r="N308">
        <f t="shared" si="82"/>
        <v>0</v>
      </c>
      <c r="O308">
        <f t="shared" si="81"/>
        <v>0</v>
      </c>
      <c r="P308">
        <f t="shared" si="84"/>
        <v>0</v>
      </c>
      <c r="Q308">
        <f t="shared" si="80"/>
        <v>0</v>
      </c>
      <c r="R308">
        <f t="shared" si="70"/>
        <v>0</v>
      </c>
      <c r="S308">
        <f t="shared" si="71"/>
        <v>0</v>
      </c>
      <c r="T308">
        <f t="shared" si="72"/>
        <v>0</v>
      </c>
      <c r="U308">
        <f t="shared" si="73"/>
        <v>0</v>
      </c>
      <c r="V308">
        <f t="shared" si="74"/>
        <v>0</v>
      </c>
      <c r="W308">
        <f t="shared" si="75"/>
        <v>0</v>
      </c>
      <c r="X308">
        <f t="shared" si="76"/>
        <v>0</v>
      </c>
      <c r="Y308">
        <f t="shared" si="77"/>
        <v>0</v>
      </c>
      <c r="Z308">
        <f t="shared" si="78"/>
        <v>0</v>
      </c>
      <c r="AB308">
        <v>304</v>
      </c>
      <c r="AC308">
        <f t="shared" si="79"/>
        <v>0</v>
      </c>
      <c r="AD308">
        <f t="shared" si="69"/>
        <v>0</v>
      </c>
    </row>
    <row r="309" spans="3:30" x14ac:dyDescent="0.25">
      <c r="C309" s="3"/>
      <c r="D309" s="31">
        <f>Simulation_output!A307</f>
        <v>3055000</v>
      </c>
      <c r="E309">
        <f>Sheet2!R306</f>
        <v>0</v>
      </c>
      <c r="F309">
        <f>Sheet2!S306</f>
        <v>0</v>
      </c>
      <c r="G309">
        <f>Sheet2!T306</f>
        <v>0</v>
      </c>
      <c r="H309" s="31">
        <f>Simulation_output!E307</f>
        <v>1</v>
      </c>
      <c r="I309" s="31">
        <f>Simulation_output!F307</f>
        <v>0</v>
      </c>
      <c r="J309" s="31">
        <f>Simulation_output!G307</f>
        <v>0</v>
      </c>
      <c r="K309" s="31">
        <f>Simulation_output!H307</f>
        <v>0</v>
      </c>
      <c r="L309">
        <v>1</v>
      </c>
      <c r="M309">
        <f t="shared" si="83"/>
        <v>0</v>
      </c>
      <c r="N309">
        <f t="shared" si="82"/>
        <v>0</v>
      </c>
      <c r="O309">
        <f t="shared" si="81"/>
        <v>0</v>
      </c>
      <c r="P309">
        <f t="shared" si="84"/>
        <v>0</v>
      </c>
      <c r="Q309">
        <f t="shared" si="80"/>
        <v>0</v>
      </c>
      <c r="R309">
        <f t="shared" si="70"/>
        <v>0</v>
      </c>
      <c r="S309">
        <f t="shared" si="71"/>
        <v>0</v>
      </c>
      <c r="T309">
        <f t="shared" si="72"/>
        <v>0</v>
      </c>
      <c r="U309">
        <f t="shared" si="73"/>
        <v>0</v>
      </c>
      <c r="V309">
        <f t="shared" si="74"/>
        <v>0</v>
      </c>
      <c r="W309">
        <f t="shared" si="75"/>
        <v>0</v>
      </c>
      <c r="X309">
        <f t="shared" si="76"/>
        <v>0</v>
      </c>
      <c r="Y309">
        <f t="shared" si="77"/>
        <v>0</v>
      </c>
      <c r="Z309">
        <f t="shared" si="78"/>
        <v>0</v>
      </c>
      <c r="AB309">
        <v>305</v>
      </c>
      <c r="AC309">
        <f t="shared" si="79"/>
        <v>0</v>
      </c>
      <c r="AD309">
        <f t="shared" si="69"/>
        <v>0</v>
      </c>
    </row>
    <row r="310" spans="3:30" x14ac:dyDescent="0.25">
      <c r="C310" s="3"/>
      <c r="D310" s="31">
        <f>Simulation_output!A308</f>
        <v>3065000</v>
      </c>
      <c r="E310">
        <f>Sheet2!R307</f>
        <v>10034</v>
      </c>
      <c r="F310">
        <f>Sheet2!S307</f>
        <v>1</v>
      </c>
      <c r="G310">
        <f>Sheet2!T307</f>
        <v>1</v>
      </c>
      <c r="H310" s="31">
        <f>Simulation_output!E308</f>
        <v>1</v>
      </c>
      <c r="I310" s="31">
        <f>Simulation_output!F308</f>
        <v>0</v>
      </c>
      <c r="J310" s="31">
        <f>Simulation_output!G308</f>
        <v>0</v>
      </c>
      <c r="K310" s="31">
        <f>Simulation_output!H308</f>
        <v>0</v>
      </c>
      <c r="L310">
        <v>1</v>
      </c>
      <c r="M310">
        <f t="shared" si="83"/>
        <v>0</v>
      </c>
      <c r="N310">
        <f t="shared" si="82"/>
        <v>0</v>
      </c>
      <c r="O310">
        <f t="shared" si="81"/>
        <v>0</v>
      </c>
      <c r="P310">
        <f t="shared" si="84"/>
        <v>0</v>
      </c>
      <c r="Q310">
        <f t="shared" si="80"/>
        <v>0</v>
      </c>
      <c r="R310">
        <f t="shared" si="70"/>
        <v>0</v>
      </c>
      <c r="S310">
        <f t="shared" si="71"/>
        <v>0</v>
      </c>
      <c r="T310">
        <f t="shared" si="72"/>
        <v>0</v>
      </c>
      <c r="U310">
        <f t="shared" si="73"/>
        <v>0</v>
      </c>
      <c r="V310">
        <f t="shared" si="74"/>
        <v>0</v>
      </c>
      <c r="W310">
        <f t="shared" si="75"/>
        <v>0</v>
      </c>
      <c r="X310">
        <f t="shared" si="76"/>
        <v>0</v>
      </c>
      <c r="Y310">
        <f t="shared" si="77"/>
        <v>0</v>
      </c>
      <c r="Z310">
        <f t="shared" si="78"/>
        <v>0</v>
      </c>
      <c r="AB310">
        <v>306</v>
      </c>
      <c r="AC310">
        <f t="shared" si="79"/>
        <v>0</v>
      </c>
      <c r="AD310">
        <f t="shared" si="69"/>
        <v>0</v>
      </c>
    </row>
    <row r="311" spans="3:30" x14ac:dyDescent="0.25">
      <c r="C311" s="3"/>
      <c r="D311" s="31">
        <f>Simulation_output!A309</f>
        <v>3075000</v>
      </c>
      <c r="E311">
        <f>Sheet2!R308</f>
        <v>0</v>
      </c>
      <c r="F311">
        <f>Sheet2!S308</f>
        <v>0</v>
      </c>
      <c r="G311">
        <f>Sheet2!T308</f>
        <v>0</v>
      </c>
      <c r="H311" s="31">
        <f>Simulation_output!E309</f>
        <v>1</v>
      </c>
      <c r="I311" s="31">
        <f>Simulation_output!F309</f>
        <v>0</v>
      </c>
      <c r="J311" s="31">
        <f>Simulation_output!G309</f>
        <v>0</v>
      </c>
      <c r="K311" s="31">
        <f>Simulation_output!H309</f>
        <v>0</v>
      </c>
      <c r="L311">
        <v>1</v>
      </c>
      <c r="M311">
        <f t="shared" si="83"/>
        <v>0</v>
      </c>
      <c r="N311">
        <f t="shared" si="82"/>
        <v>0</v>
      </c>
      <c r="O311">
        <f t="shared" si="81"/>
        <v>0</v>
      </c>
      <c r="P311">
        <f t="shared" si="84"/>
        <v>0</v>
      </c>
      <c r="Q311">
        <f t="shared" si="80"/>
        <v>0</v>
      </c>
      <c r="R311">
        <f t="shared" si="70"/>
        <v>0</v>
      </c>
      <c r="S311">
        <f t="shared" si="71"/>
        <v>0</v>
      </c>
      <c r="T311">
        <f t="shared" si="72"/>
        <v>0</v>
      </c>
      <c r="U311">
        <f t="shared" si="73"/>
        <v>0</v>
      </c>
      <c r="V311">
        <f t="shared" si="74"/>
        <v>0</v>
      </c>
      <c r="W311">
        <f t="shared" si="75"/>
        <v>0</v>
      </c>
      <c r="X311">
        <f t="shared" si="76"/>
        <v>0</v>
      </c>
      <c r="Y311">
        <f t="shared" si="77"/>
        <v>0</v>
      </c>
      <c r="Z311">
        <f t="shared" si="78"/>
        <v>0</v>
      </c>
      <c r="AB311">
        <v>307</v>
      </c>
      <c r="AC311">
        <f t="shared" si="79"/>
        <v>0</v>
      </c>
      <c r="AD311">
        <f t="shared" si="69"/>
        <v>0</v>
      </c>
    </row>
    <row r="312" spans="3:30" x14ac:dyDescent="0.25">
      <c r="C312" s="3"/>
      <c r="D312" s="31">
        <f>Simulation_output!A310</f>
        <v>3085000</v>
      </c>
      <c r="E312">
        <f>Sheet2!R309</f>
        <v>1</v>
      </c>
      <c r="F312">
        <f>Sheet2!S309</f>
        <v>1</v>
      </c>
      <c r="G312">
        <f>Sheet2!T309</f>
        <v>0</v>
      </c>
      <c r="H312" s="31">
        <f>Simulation_output!E310</f>
        <v>1</v>
      </c>
      <c r="I312" s="31">
        <f>Simulation_output!F310</f>
        <v>0</v>
      </c>
      <c r="J312" s="31">
        <f>Simulation_output!G310</f>
        <v>0</v>
      </c>
      <c r="K312" s="31">
        <f>Simulation_output!H310</f>
        <v>0</v>
      </c>
      <c r="L312">
        <v>1</v>
      </c>
      <c r="M312">
        <f t="shared" si="83"/>
        <v>0</v>
      </c>
      <c r="N312">
        <f t="shared" si="82"/>
        <v>0</v>
      </c>
      <c r="O312">
        <f t="shared" si="81"/>
        <v>0</v>
      </c>
      <c r="P312">
        <f t="shared" si="84"/>
        <v>0</v>
      </c>
      <c r="Q312">
        <f t="shared" si="80"/>
        <v>0</v>
      </c>
      <c r="R312">
        <f t="shared" si="70"/>
        <v>0</v>
      </c>
      <c r="S312">
        <f t="shared" si="71"/>
        <v>0</v>
      </c>
      <c r="T312">
        <f t="shared" si="72"/>
        <v>0</v>
      </c>
      <c r="U312">
        <f t="shared" si="73"/>
        <v>0</v>
      </c>
      <c r="V312">
        <f t="shared" si="74"/>
        <v>0</v>
      </c>
      <c r="W312">
        <f t="shared" si="75"/>
        <v>0</v>
      </c>
      <c r="X312">
        <f t="shared" si="76"/>
        <v>0</v>
      </c>
      <c r="Y312">
        <f t="shared" si="77"/>
        <v>0</v>
      </c>
      <c r="Z312">
        <f t="shared" si="78"/>
        <v>0</v>
      </c>
      <c r="AB312">
        <v>308</v>
      </c>
      <c r="AC312">
        <f t="shared" si="79"/>
        <v>0</v>
      </c>
      <c r="AD312">
        <f t="shared" si="69"/>
        <v>0</v>
      </c>
    </row>
    <row r="313" spans="3:30" x14ac:dyDescent="0.25">
      <c r="C313" s="3"/>
      <c r="D313" s="31">
        <f>Simulation_output!A311</f>
        <v>3095000</v>
      </c>
      <c r="E313">
        <f>Sheet2!R310</f>
        <v>0</v>
      </c>
      <c r="F313">
        <f>Sheet2!S310</f>
        <v>0</v>
      </c>
      <c r="G313">
        <f>Sheet2!T310</f>
        <v>0</v>
      </c>
      <c r="H313" s="31">
        <f>Simulation_output!E311</f>
        <v>1</v>
      </c>
      <c r="I313" s="31">
        <f>Simulation_output!F311</f>
        <v>0</v>
      </c>
      <c r="J313" s="31">
        <f>Simulation_output!G311</f>
        <v>0</v>
      </c>
      <c r="K313" s="31">
        <f>Simulation_output!H311</f>
        <v>0</v>
      </c>
      <c r="L313">
        <v>1</v>
      </c>
      <c r="M313">
        <f t="shared" si="83"/>
        <v>0</v>
      </c>
      <c r="N313">
        <f t="shared" si="82"/>
        <v>0</v>
      </c>
      <c r="O313">
        <f t="shared" si="81"/>
        <v>0</v>
      </c>
      <c r="P313">
        <f t="shared" si="84"/>
        <v>0</v>
      </c>
      <c r="Q313">
        <f t="shared" si="80"/>
        <v>0</v>
      </c>
      <c r="R313">
        <f t="shared" si="70"/>
        <v>0</v>
      </c>
      <c r="S313">
        <f t="shared" si="71"/>
        <v>0</v>
      </c>
      <c r="T313">
        <f t="shared" si="72"/>
        <v>0</v>
      </c>
      <c r="U313">
        <f t="shared" si="73"/>
        <v>0</v>
      </c>
      <c r="V313">
        <f t="shared" si="74"/>
        <v>0</v>
      </c>
      <c r="W313">
        <f t="shared" si="75"/>
        <v>0</v>
      </c>
      <c r="X313">
        <f t="shared" si="76"/>
        <v>0</v>
      </c>
      <c r="Y313">
        <f t="shared" si="77"/>
        <v>0</v>
      </c>
      <c r="Z313">
        <f t="shared" si="78"/>
        <v>0</v>
      </c>
      <c r="AB313">
        <v>309</v>
      </c>
      <c r="AC313">
        <f t="shared" si="79"/>
        <v>0</v>
      </c>
      <c r="AD313">
        <f t="shared" si="69"/>
        <v>0</v>
      </c>
    </row>
    <row r="314" spans="3:30" x14ac:dyDescent="0.25">
      <c r="C314" s="3"/>
      <c r="D314" s="31">
        <f>Simulation_output!A312</f>
        <v>3105000</v>
      </c>
      <c r="E314">
        <f>Sheet2!R311</f>
        <v>5</v>
      </c>
      <c r="F314">
        <f>Sheet2!S311</f>
        <v>1</v>
      </c>
      <c r="G314">
        <f>Sheet2!T311</f>
        <v>0</v>
      </c>
      <c r="H314" s="31">
        <f>Simulation_output!E312</f>
        <v>1</v>
      </c>
      <c r="I314" s="31">
        <f>Simulation_output!F312</f>
        <v>0</v>
      </c>
      <c r="J314" s="31">
        <f>Simulation_output!G312</f>
        <v>0</v>
      </c>
      <c r="K314" s="31">
        <f>Simulation_output!H312</f>
        <v>0</v>
      </c>
      <c r="L314">
        <v>1</v>
      </c>
      <c r="M314">
        <f t="shared" si="83"/>
        <v>0</v>
      </c>
      <c r="N314">
        <f t="shared" si="82"/>
        <v>0</v>
      </c>
      <c r="O314">
        <f t="shared" si="81"/>
        <v>0</v>
      </c>
      <c r="P314">
        <f t="shared" si="84"/>
        <v>0</v>
      </c>
      <c r="Q314">
        <f t="shared" si="80"/>
        <v>0</v>
      </c>
      <c r="R314">
        <f t="shared" si="70"/>
        <v>0</v>
      </c>
      <c r="S314">
        <f t="shared" si="71"/>
        <v>0</v>
      </c>
      <c r="T314">
        <f t="shared" si="72"/>
        <v>0</v>
      </c>
      <c r="U314">
        <f t="shared" si="73"/>
        <v>0</v>
      </c>
      <c r="V314">
        <f t="shared" si="74"/>
        <v>0</v>
      </c>
      <c r="W314">
        <f t="shared" si="75"/>
        <v>0</v>
      </c>
      <c r="X314">
        <f t="shared" si="76"/>
        <v>0</v>
      </c>
      <c r="Y314">
        <f t="shared" si="77"/>
        <v>0</v>
      </c>
      <c r="Z314">
        <f t="shared" si="78"/>
        <v>0</v>
      </c>
      <c r="AB314">
        <v>310</v>
      </c>
      <c r="AC314">
        <f t="shared" si="79"/>
        <v>0</v>
      </c>
      <c r="AD314">
        <f t="shared" si="69"/>
        <v>0</v>
      </c>
    </row>
    <row r="315" spans="3:30" x14ac:dyDescent="0.25">
      <c r="C315" s="3"/>
      <c r="D315" s="31">
        <f>Simulation_output!A313</f>
        <v>3115000</v>
      </c>
      <c r="E315">
        <f>Sheet2!R312</f>
        <v>0</v>
      </c>
      <c r="F315">
        <f>Sheet2!S312</f>
        <v>0</v>
      </c>
      <c r="G315">
        <f>Sheet2!T312</f>
        <v>0</v>
      </c>
      <c r="H315" s="31">
        <f>Simulation_output!E313</f>
        <v>1</v>
      </c>
      <c r="I315" s="31">
        <f>Simulation_output!F313</f>
        <v>0</v>
      </c>
      <c r="J315" s="31">
        <f>Simulation_output!G313</f>
        <v>0</v>
      </c>
      <c r="K315" s="31">
        <f>Simulation_output!H313</f>
        <v>0</v>
      </c>
      <c r="L315">
        <v>1</v>
      </c>
      <c r="M315">
        <f t="shared" si="83"/>
        <v>0</v>
      </c>
      <c r="N315">
        <f t="shared" si="82"/>
        <v>0</v>
      </c>
      <c r="O315">
        <f t="shared" si="81"/>
        <v>0</v>
      </c>
      <c r="P315">
        <f t="shared" si="84"/>
        <v>0</v>
      </c>
      <c r="Q315">
        <f t="shared" si="80"/>
        <v>0</v>
      </c>
      <c r="R315">
        <f t="shared" si="70"/>
        <v>0</v>
      </c>
      <c r="S315">
        <f t="shared" si="71"/>
        <v>0</v>
      </c>
      <c r="T315">
        <f t="shared" si="72"/>
        <v>0</v>
      </c>
      <c r="U315">
        <f t="shared" si="73"/>
        <v>0</v>
      </c>
      <c r="V315">
        <f t="shared" si="74"/>
        <v>0</v>
      </c>
      <c r="W315">
        <f t="shared" si="75"/>
        <v>0</v>
      </c>
      <c r="X315">
        <f t="shared" si="76"/>
        <v>0</v>
      </c>
      <c r="Y315">
        <f t="shared" si="77"/>
        <v>0</v>
      </c>
      <c r="Z315">
        <f t="shared" si="78"/>
        <v>0</v>
      </c>
      <c r="AB315">
        <v>311</v>
      </c>
      <c r="AC315">
        <f t="shared" si="79"/>
        <v>0</v>
      </c>
      <c r="AD315">
        <f t="shared" si="69"/>
        <v>0</v>
      </c>
    </row>
    <row r="316" spans="3:30" x14ac:dyDescent="0.25">
      <c r="C316" s="3"/>
      <c r="D316" s="31">
        <f>Simulation_output!A314</f>
        <v>3125000</v>
      </c>
      <c r="E316">
        <f>Sheet2!R313</f>
        <v>35</v>
      </c>
      <c r="F316">
        <f>Sheet2!S313</f>
        <v>1</v>
      </c>
      <c r="G316">
        <f>Sheet2!T313</f>
        <v>0</v>
      </c>
      <c r="H316" s="31">
        <f>Simulation_output!E314</f>
        <v>1</v>
      </c>
      <c r="I316" s="31">
        <f>Simulation_output!F314</f>
        <v>0</v>
      </c>
      <c r="J316" s="31">
        <f>Simulation_output!G314</f>
        <v>0</v>
      </c>
      <c r="K316" s="31">
        <f>Simulation_output!H314</f>
        <v>0</v>
      </c>
      <c r="L316">
        <v>1</v>
      </c>
      <c r="M316">
        <f t="shared" si="83"/>
        <v>0</v>
      </c>
      <c r="N316">
        <f t="shared" si="82"/>
        <v>0</v>
      </c>
      <c r="O316">
        <f t="shared" si="81"/>
        <v>0</v>
      </c>
      <c r="P316">
        <f t="shared" si="84"/>
        <v>0</v>
      </c>
      <c r="Q316">
        <f t="shared" si="80"/>
        <v>0</v>
      </c>
      <c r="R316">
        <f t="shared" si="70"/>
        <v>0</v>
      </c>
      <c r="S316">
        <f t="shared" si="71"/>
        <v>0</v>
      </c>
      <c r="T316">
        <f t="shared" si="72"/>
        <v>0</v>
      </c>
      <c r="U316">
        <f t="shared" si="73"/>
        <v>0</v>
      </c>
      <c r="V316">
        <f t="shared" si="74"/>
        <v>0</v>
      </c>
      <c r="W316">
        <f t="shared" si="75"/>
        <v>0</v>
      </c>
      <c r="X316">
        <f t="shared" si="76"/>
        <v>0</v>
      </c>
      <c r="Y316">
        <f t="shared" si="77"/>
        <v>0</v>
      </c>
      <c r="Z316">
        <f t="shared" si="78"/>
        <v>0</v>
      </c>
      <c r="AB316">
        <v>312</v>
      </c>
      <c r="AC316">
        <f t="shared" si="79"/>
        <v>0</v>
      </c>
      <c r="AD316">
        <f t="shared" si="69"/>
        <v>0</v>
      </c>
    </row>
    <row r="317" spans="3:30" x14ac:dyDescent="0.25">
      <c r="C317" s="3"/>
      <c r="D317" s="31">
        <f>Simulation_output!A315</f>
        <v>3135000</v>
      </c>
      <c r="E317">
        <f>Sheet2!R314</f>
        <v>0</v>
      </c>
      <c r="F317">
        <f>Sheet2!S314</f>
        <v>0</v>
      </c>
      <c r="G317">
        <f>Sheet2!T314</f>
        <v>0</v>
      </c>
      <c r="H317" s="31">
        <f>Simulation_output!E315</f>
        <v>1</v>
      </c>
      <c r="I317" s="31">
        <f>Simulation_output!F315</f>
        <v>0</v>
      </c>
      <c r="J317" s="31">
        <f>Simulation_output!G315</f>
        <v>0</v>
      </c>
      <c r="K317" s="31">
        <f>Simulation_output!H315</f>
        <v>0</v>
      </c>
      <c r="L317">
        <v>1</v>
      </c>
      <c r="M317">
        <f t="shared" si="83"/>
        <v>0</v>
      </c>
      <c r="N317">
        <f t="shared" si="82"/>
        <v>0</v>
      </c>
      <c r="O317">
        <f t="shared" si="81"/>
        <v>0</v>
      </c>
      <c r="P317">
        <f t="shared" si="84"/>
        <v>0</v>
      </c>
      <c r="Q317">
        <f t="shared" si="80"/>
        <v>0</v>
      </c>
      <c r="R317">
        <f t="shared" si="70"/>
        <v>0</v>
      </c>
      <c r="S317">
        <f t="shared" si="71"/>
        <v>0</v>
      </c>
      <c r="T317">
        <f t="shared" si="72"/>
        <v>0</v>
      </c>
      <c r="U317">
        <f t="shared" si="73"/>
        <v>0</v>
      </c>
      <c r="V317">
        <f t="shared" si="74"/>
        <v>0</v>
      </c>
      <c r="W317">
        <f t="shared" si="75"/>
        <v>0</v>
      </c>
      <c r="X317">
        <f t="shared" si="76"/>
        <v>0</v>
      </c>
      <c r="Y317">
        <f t="shared" si="77"/>
        <v>0</v>
      </c>
      <c r="Z317">
        <f t="shared" si="78"/>
        <v>0</v>
      </c>
      <c r="AB317">
        <v>313</v>
      </c>
      <c r="AC317">
        <f t="shared" si="79"/>
        <v>0</v>
      </c>
      <c r="AD317">
        <f t="shared" si="69"/>
        <v>0</v>
      </c>
    </row>
    <row r="318" spans="3:30" x14ac:dyDescent="0.25">
      <c r="C318" s="3"/>
      <c r="D318" s="31">
        <f>Simulation_output!A316</f>
        <v>3145000</v>
      </c>
      <c r="E318">
        <f>Sheet2!R315</f>
        <v>135</v>
      </c>
      <c r="F318">
        <f>Sheet2!S315</f>
        <v>1</v>
      </c>
      <c r="G318">
        <f>Sheet2!T315</f>
        <v>0</v>
      </c>
      <c r="H318" s="31">
        <f>Simulation_output!E316</f>
        <v>1</v>
      </c>
      <c r="I318" s="31">
        <f>Simulation_output!F316</f>
        <v>0</v>
      </c>
      <c r="J318" s="31">
        <f>Simulation_output!G316</f>
        <v>0</v>
      </c>
      <c r="K318" s="31">
        <f>Simulation_output!H316</f>
        <v>0</v>
      </c>
      <c r="L318">
        <v>1</v>
      </c>
      <c r="M318">
        <f t="shared" si="83"/>
        <v>0</v>
      </c>
      <c r="N318">
        <f t="shared" si="82"/>
        <v>0</v>
      </c>
      <c r="O318">
        <f t="shared" si="81"/>
        <v>0</v>
      </c>
      <c r="P318">
        <f t="shared" si="84"/>
        <v>0</v>
      </c>
      <c r="Q318">
        <f t="shared" si="80"/>
        <v>0</v>
      </c>
      <c r="R318">
        <f t="shared" si="70"/>
        <v>0</v>
      </c>
      <c r="S318">
        <f t="shared" si="71"/>
        <v>0</v>
      </c>
      <c r="T318">
        <f t="shared" si="72"/>
        <v>0</v>
      </c>
      <c r="U318">
        <f t="shared" si="73"/>
        <v>0</v>
      </c>
      <c r="V318">
        <f t="shared" si="74"/>
        <v>0</v>
      </c>
      <c r="W318">
        <f t="shared" si="75"/>
        <v>0</v>
      </c>
      <c r="X318">
        <f t="shared" si="76"/>
        <v>0</v>
      </c>
      <c r="Y318">
        <f t="shared" si="77"/>
        <v>0</v>
      </c>
      <c r="Z318">
        <f t="shared" si="78"/>
        <v>0</v>
      </c>
      <c r="AB318">
        <v>314</v>
      </c>
      <c r="AC318">
        <f t="shared" si="79"/>
        <v>0</v>
      </c>
      <c r="AD318">
        <f t="shared" si="69"/>
        <v>0</v>
      </c>
    </row>
    <row r="319" spans="3:30" x14ac:dyDescent="0.25">
      <c r="C319" s="3"/>
      <c r="D319" s="31">
        <f>Simulation_output!A317</f>
        <v>3155000</v>
      </c>
      <c r="E319">
        <f>Sheet2!R316</f>
        <v>0</v>
      </c>
      <c r="F319">
        <f>Sheet2!S316</f>
        <v>0</v>
      </c>
      <c r="G319">
        <f>Sheet2!T316</f>
        <v>0</v>
      </c>
      <c r="H319" s="31">
        <f>Simulation_output!E317</f>
        <v>1</v>
      </c>
      <c r="I319" s="31">
        <f>Simulation_output!F317</f>
        <v>0</v>
      </c>
      <c r="J319" s="31">
        <f>Simulation_output!G317</f>
        <v>0</v>
      </c>
      <c r="K319" s="31">
        <f>Simulation_output!H317</f>
        <v>0</v>
      </c>
      <c r="L319">
        <v>1</v>
      </c>
      <c r="M319">
        <f t="shared" si="83"/>
        <v>0</v>
      </c>
      <c r="N319">
        <f t="shared" si="82"/>
        <v>0</v>
      </c>
      <c r="O319">
        <f t="shared" si="81"/>
        <v>0</v>
      </c>
      <c r="P319">
        <f t="shared" si="84"/>
        <v>0</v>
      </c>
      <c r="Q319">
        <f t="shared" si="80"/>
        <v>0</v>
      </c>
      <c r="R319">
        <f t="shared" si="70"/>
        <v>0</v>
      </c>
      <c r="S319">
        <f t="shared" si="71"/>
        <v>0</v>
      </c>
      <c r="T319">
        <f t="shared" si="72"/>
        <v>0</v>
      </c>
      <c r="U319">
        <f t="shared" si="73"/>
        <v>0</v>
      </c>
      <c r="V319">
        <f t="shared" si="74"/>
        <v>0</v>
      </c>
      <c r="W319">
        <f t="shared" si="75"/>
        <v>0</v>
      </c>
      <c r="X319">
        <f t="shared" si="76"/>
        <v>0</v>
      </c>
      <c r="Y319">
        <f t="shared" si="77"/>
        <v>0</v>
      </c>
      <c r="Z319">
        <f t="shared" si="78"/>
        <v>0</v>
      </c>
      <c r="AB319">
        <v>315</v>
      </c>
      <c r="AC319">
        <f t="shared" si="79"/>
        <v>0</v>
      </c>
      <c r="AD319">
        <f t="shared" si="69"/>
        <v>0</v>
      </c>
    </row>
    <row r="320" spans="3:30" x14ac:dyDescent="0.25">
      <c r="C320" s="3"/>
      <c r="D320" s="31">
        <f>Simulation_output!A318</f>
        <v>3165000</v>
      </c>
      <c r="E320">
        <f>Sheet2!R317</f>
        <v>1035</v>
      </c>
      <c r="F320">
        <f>Sheet2!S317</f>
        <v>1</v>
      </c>
      <c r="G320">
        <f>Sheet2!T317</f>
        <v>0</v>
      </c>
      <c r="H320" s="31">
        <f>Simulation_output!E318</f>
        <v>1</v>
      </c>
      <c r="I320" s="31">
        <f>Simulation_output!F318</f>
        <v>0</v>
      </c>
      <c r="J320" s="31">
        <f>Simulation_output!G318</f>
        <v>0</v>
      </c>
      <c r="K320" s="31">
        <f>Simulation_output!H318</f>
        <v>0</v>
      </c>
      <c r="L320">
        <v>1</v>
      </c>
      <c r="M320">
        <f t="shared" si="83"/>
        <v>0</v>
      </c>
      <c r="N320">
        <f t="shared" si="82"/>
        <v>0</v>
      </c>
      <c r="O320">
        <f t="shared" si="81"/>
        <v>0</v>
      </c>
      <c r="P320">
        <f t="shared" si="84"/>
        <v>0</v>
      </c>
      <c r="Q320">
        <f t="shared" si="80"/>
        <v>0</v>
      </c>
      <c r="R320">
        <f t="shared" si="70"/>
        <v>0</v>
      </c>
      <c r="S320">
        <f t="shared" si="71"/>
        <v>0</v>
      </c>
      <c r="T320">
        <f t="shared" si="72"/>
        <v>0</v>
      </c>
      <c r="U320">
        <f t="shared" si="73"/>
        <v>0</v>
      </c>
      <c r="V320">
        <f t="shared" si="74"/>
        <v>0</v>
      </c>
      <c r="W320">
        <f t="shared" si="75"/>
        <v>0</v>
      </c>
      <c r="X320">
        <f t="shared" si="76"/>
        <v>0</v>
      </c>
      <c r="Y320">
        <f t="shared" si="77"/>
        <v>0</v>
      </c>
      <c r="Z320">
        <f t="shared" si="78"/>
        <v>0</v>
      </c>
      <c r="AB320">
        <v>316</v>
      </c>
      <c r="AC320">
        <f t="shared" si="79"/>
        <v>0</v>
      </c>
      <c r="AD320">
        <f t="shared" si="69"/>
        <v>0</v>
      </c>
    </row>
    <row r="321" spans="3:30" x14ac:dyDescent="0.25">
      <c r="C321" s="3"/>
      <c r="D321" s="31">
        <f>Simulation_output!A319</f>
        <v>3175000</v>
      </c>
      <c r="E321">
        <f>Sheet2!R318</f>
        <v>0</v>
      </c>
      <c r="F321">
        <f>Sheet2!S318</f>
        <v>0</v>
      </c>
      <c r="G321">
        <f>Sheet2!T318</f>
        <v>0</v>
      </c>
      <c r="H321" s="31">
        <f>Simulation_output!E319</f>
        <v>1</v>
      </c>
      <c r="I321" s="31">
        <f>Simulation_output!F319</f>
        <v>0</v>
      </c>
      <c r="J321" s="31">
        <f>Simulation_output!G319</f>
        <v>0</v>
      </c>
      <c r="K321" s="31">
        <f>Simulation_output!H319</f>
        <v>0</v>
      </c>
      <c r="L321">
        <v>1</v>
      </c>
      <c r="M321">
        <f t="shared" si="83"/>
        <v>0</v>
      </c>
      <c r="N321">
        <f t="shared" si="82"/>
        <v>0</v>
      </c>
      <c r="O321">
        <f t="shared" si="81"/>
        <v>0</v>
      </c>
      <c r="P321">
        <f t="shared" si="84"/>
        <v>0</v>
      </c>
      <c r="Q321">
        <f t="shared" si="80"/>
        <v>0</v>
      </c>
      <c r="R321">
        <f t="shared" si="70"/>
        <v>0</v>
      </c>
      <c r="S321">
        <f t="shared" si="71"/>
        <v>0</v>
      </c>
      <c r="T321">
        <f t="shared" si="72"/>
        <v>0</v>
      </c>
      <c r="U321">
        <f t="shared" si="73"/>
        <v>0</v>
      </c>
      <c r="V321">
        <f t="shared" si="74"/>
        <v>0</v>
      </c>
      <c r="W321">
        <f t="shared" si="75"/>
        <v>0</v>
      </c>
      <c r="X321">
        <f t="shared" si="76"/>
        <v>0</v>
      </c>
      <c r="Y321">
        <f t="shared" si="77"/>
        <v>0</v>
      </c>
      <c r="Z321">
        <f t="shared" si="78"/>
        <v>0</v>
      </c>
      <c r="AB321">
        <v>317</v>
      </c>
      <c r="AC321">
        <f t="shared" si="79"/>
        <v>0</v>
      </c>
      <c r="AD321">
        <f t="shared" si="69"/>
        <v>0</v>
      </c>
    </row>
    <row r="322" spans="3:30" x14ac:dyDescent="0.25">
      <c r="C322" s="3"/>
      <c r="D322" s="31">
        <f>Simulation_output!A320</f>
        <v>3185000</v>
      </c>
      <c r="E322">
        <f>Sheet2!R319</f>
        <v>10035</v>
      </c>
      <c r="F322">
        <f>Sheet2!S319</f>
        <v>1</v>
      </c>
      <c r="G322">
        <f>Sheet2!T319</f>
        <v>1</v>
      </c>
      <c r="H322" s="31">
        <f>Simulation_output!E320</f>
        <v>1</v>
      </c>
      <c r="I322" s="31">
        <f>Simulation_output!F320</f>
        <v>0</v>
      </c>
      <c r="J322" s="31">
        <f>Simulation_output!G320</f>
        <v>0</v>
      </c>
      <c r="K322" s="31">
        <f>Simulation_output!H320</f>
        <v>0</v>
      </c>
      <c r="L322">
        <v>1</v>
      </c>
      <c r="M322">
        <f t="shared" si="83"/>
        <v>0</v>
      </c>
      <c r="N322">
        <f t="shared" si="82"/>
        <v>0</v>
      </c>
      <c r="O322">
        <f t="shared" si="81"/>
        <v>0</v>
      </c>
      <c r="P322">
        <f t="shared" si="84"/>
        <v>0</v>
      </c>
      <c r="Q322">
        <f t="shared" si="80"/>
        <v>0</v>
      </c>
      <c r="R322">
        <f t="shared" si="70"/>
        <v>0</v>
      </c>
      <c r="S322">
        <f t="shared" si="71"/>
        <v>0</v>
      </c>
      <c r="T322">
        <f t="shared" si="72"/>
        <v>0</v>
      </c>
      <c r="U322">
        <f t="shared" si="73"/>
        <v>0</v>
      </c>
      <c r="V322">
        <f t="shared" si="74"/>
        <v>0</v>
      </c>
      <c r="W322">
        <f t="shared" si="75"/>
        <v>0</v>
      </c>
      <c r="X322">
        <f t="shared" si="76"/>
        <v>0</v>
      </c>
      <c r="Y322">
        <f t="shared" si="77"/>
        <v>0</v>
      </c>
      <c r="Z322">
        <f t="shared" si="78"/>
        <v>0</v>
      </c>
      <c r="AB322">
        <v>318</v>
      </c>
      <c r="AC322">
        <f t="shared" si="79"/>
        <v>0</v>
      </c>
      <c r="AD322">
        <f t="shared" si="69"/>
        <v>0</v>
      </c>
    </row>
    <row r="323" spans="3:30" x14ac:dyDescent="0.25">
      <c r="C323" s="3"/>
      <c r="D323" s="31">
        <f>Simulation_output!A321</f>
        <v>3195000</v>
      </c>
      <c r="E323">
        <f>Sheet2!R320</f>
        <v>0</v>
      </c>
      <c r="F323">
        <f>Sheet2!S320</f>
        <v>0</v>
      </c>
      <c r="G323">
        <f>Sheet2!T320</f>
        <v>0</v>
      </c>
      <c r="H323" s="31">
        <f>Simulation_output!E321</f>
        <v>1</v>
      </c>
      <c r="I323" s="31">
        <f>Simulation_output!F321</f>
        <v>0</v>
      </c>
      <c r="J323" s="31">
        <f>Simulation_output!G321</f>
        <v>0</v>
      </c>
      <c r="K323" s="31">
        <f>Simulation_output!H321</f>
        <v>0</v>
      </c>
      <c r="L323">
        <v>1</v>
      </c>
      <c r="M323">
        <f t="shared" si="83"/>
        <v>0</v>
      </c>
      <c r="N323">
        <f t="shared" si="82"/>
        <v>0</v>
      </c>
      <c r="O323">
        <f t="shared" si="81"/>
        <v>0</v>
      </c>
      <c r="P323">
        <f t="shared" si="84"/>
        <v>0</v>
      </c>
      <c r="Q323">
        <f t="shared" si="80"/>
        <v>0</v>
      </c>
      <c r="R323">
        <f t="shared" si="70"/>
        <v>0</v>
      </c>
      <c r="S323">
        <f t="shared" si="71"/>
        <v>0</v>
      </c>
      <c r="T323">
        <f t="shared" si="72"/>
        <v>0</v>
      </c>
      <c r="U323">
        <f t="shared" si="73"/>
        <v>0</v>
      </c>
      <c r="V323">
        <f t="shared" si="74"/>
        <v>0</v>
      </c>
      <c r="W323">
        <f t="shared" si="75"/>
        <v>0</v>
      </c>
      <c r="X323">
        <f t="shared" si="76"/>
        <v>0</v>
      </c>
      <c r="Y323">
        <f t="shared" si="77"/>
        <v>0</v>
      </c>
      <c r="Z323">
        <f t="shared" si="78"/>
        <v>0</v>
      </c>
      <c r="AB323">
        <v>319</v>
      </c>
      <c r="AC323">
        <f t="shared" si="79"/>
        <v>0</v>
      </c>
      <c r="AD323">
        <f t="shared" si="69"/>
        <v>0</v>
      </c>
    </row>
    <row r="324" spans="3:30" x14ac:dyDescent="0.25">
      <c r="C324" s="3"/>
      <c r="D324" s="31">
        <f>Simulation_output!A322</f>
        <v>3205000</v>
      </c>
      <c r="E324">
        <f>Sheet2!R321</f>
        <v>1</v>
      </c>
      <c r="F324">
        <f>Sheet2!S321</f>
        <v>1</v>
      </c>
      <c r="G324">
        <f>Sheet2!T321</f>
        <v>0</v>
      </c>
      <c r="H324" s="31">
        <f>Simulation_output!E322</f>
        <v>1</v>
      </c>
      <c r="I324" s="31">
        <f>Simulation_output!F322</f>
        <v>0</v>
      </c>
      <c r="J324" s="31">
        <f>Simulation_output!G322</f>
        <v>0</v>
      </c>
      <c r="K324" s="31">
        <f>Simulation_output!H322</f>
        <v>0</v>
      </c>
      <c r="L324">
        <v>1</v>
      </c>
      <c r="M324">
        <f t="shared" si="83"/>
        <v>0</v>
      </c>
      <c r="N324">
        <f t="shared" si="82"/>
        <v>0</v>
      </c>
      <c r="O324">
        <f t="shared" si="81"/>
        <v>0</v>
      </c>
      <c r="P324">
        <f t="shared" si="84"/>
        <v>0</v>
      </c>
      <c r="Q324">
        <f t="shared" si="80"/>
        <v>0</v>
      </c>
      <c r="R324">
        <f t="shared" si="70"/>
        <v>0</v>
      </c>
      <c r="S324">
        <f t="shared" si="71"/>
        <v>0</v>
      </c>
      <c r="T324">
        <f t="shared" si="72"/>
        <v>0</v>
      </c>
      <c r="U324">
        <f t="shared" si="73"/>
        <v>0</v>
      </c>
      <c r="V324">
        <f t="shared" si="74"/>
        <v>0</v>
      </c>
      <c r="W324">
        <f t="shared" si="75"/>
        <v>0</v>
      </c>
      <c r="X324">
        <f t="shared" si="76"/>
        <v>0</v>
      </c>
      <c r="Y324">
        <f t="shared" si="77"/>
        <v>0</v>
      </c>
      <c r="Z324">
        <f t="shared" si="78"/>
        <v>0</v>
      </c>
      <c r="AB324">
        <v>320</v>
      </c>
      <c r="AC324">
        <f t="shared" si="79"/>
        <v>0</v>
      </c>
      <c r="AD324">
        <f t="shared" si="69"/>
        <v>0</v>
      </c>
    </row>
    <row r="325" spans="3:30" x14ac:dyDescent="0.25">
      <c r="C325" s="3"/>
      <c r="D325" s="31">
        <f>Simulation_output!A323</f>
        <v>3215000</v>
      </c>
      <c r="E325">
        <f>Sheet2!R322</f>
        <v>0</v>
      </c>
      <c r="F325">
        <f>Sheet2!S322</f>
        <v>0</v>
      </c>
      <c r="G325">
        <f>Sheet2!T322</f>
        <v>0</v>
      </c>
      <c r="H325" s="31">
        <f>Simulation_output!E323</f>
        <v>0</v>
      </c>
      <c r="I325" s="31">
        <f>Simulation_output!F323</f>
        <v>0</v>
      </c>
      <c r="J325" s="31">
        <f>Simulation_output!G323</f>
        <v>0</v>
      </c>
      <c r="K325" s="31">
        <f>Simulation_output!H323</f>
        <v>0</v>
      </c>
      <c r="L325">
        <v>1</v>
      </c>
      <c r="M325">
        <f t="shared" si="83"/>
        <v>0</v>
      </c>
      <c r="N325">
        <f t="shared" si="82"/>
        <v>0</v>
      </c>
      <c r="O325">
        <f t="shared" si="81"/>
        <v>0</v>
      </c>
      <c r="P325">
        <f t="shared" si="84"/>
        <v>0</v>
      </c>
      <c r="Q325">
        <f t="shared" si="80"/>
        <v>0</v>
      </c>
      <c r="R325">
        <f t="shared" si="70"/>
        <v>0</v>
      </c>
      <c r="S325">
        <f t="shared" si="71"/>
        <v>0</v>
      </c>
      <c r="T325">
        <f t="shared" si="72"/>
        <v>0</v>
      </c>
      <c r="U325">
        <f t="shared" si="73"/>
        <v>0</v>
      </c>
      <c r="V325">
        <f t="shared" si="74"/>
        <v>0</v>
      </c>
      <c r="W325">
        <f t="shared" si="75"/>
        <v>0</v>
      </c>
      <c r="X325">
        <f t="shared" si="76"/>
        <v>0</v>
      </c>
      <c r="Y325">
        <f t="shared" si="77"/>
        <v>0</v>
      </c>
      <c r="Z325">
        <f t="shared" si="78"/>
        <v>0</v>
      </c>
      <c r="AB325">
        <v>321</v>
      </c>
      <c r="AC325">
        <f t="shared" si="79"/>
        <v>0</v>
      </c>
      <c r="AD325">
        <f t="shared" si="69"/>
        <v>0</v>
      </c>
    </row>
    <row r="326" spans="3:30" x14ac:dyDescent="0.25">
      <c r="C326" s="3"/>
      <c r="D326" s="31">
        <f>Simulation_output!A324</f>
        <v>3225000</v>
      </c>
      <c r="E326">
        <f>Sheet2!R323</f>
        <v>6</v>
      </c>
      <c r="F326">
        <f>Sheet2!S323</f>
        <v>1</v>
      </c>
      <c r="G326">
        <f>Sheet2!T323</f>
        <v>0</v>
      </c>
      <c r="H326" s="31">
        <f>Simulation_output!E324</f>
        <v>0</v>
      </c>
      <c r="I326" s="31">
        <f>Simulation_output!F324</f>
        <v>0</v>
      </c>
      <c r="J326" s="31">
        <f>Simulation_output!G324</f>
        <v>0</v>
      </c>
      <c r="K326" s="31">
        <f>Simulation_output!H324</f>
        <v>0</v>
      </c>
      <c r="L326">
        <v>1</v>
      </c>
      <c r="M326">
        <f t="shared" si="83"/>
        <v>0</v>
      </c>
      <c r="N326">
        <f t="shared" si="82"/>
        <v>0</v>
      </c>
      <c r="O326">
        <f t="shared" si="81"/>
        <v>0</v>
      </c>
      <c r="P326">
        <f t="shared" si="84"/>
        <v>0</v>
      </c>
      <c r="Q326">
        <f t="shared" si="80"/>
        <v>0</v>
      </c>
      <c r="R326">
        <f t="shared" si="70"/>
        <v>0</v>
      </c>
      <c r="S326">
        <f t="shared" si="71"/>
        <v>0</v>
      </c>
      <c r="T326">
        <f t="shared" si="72"/>
        <v>0</v>
      </c>
      <c r="U326">
        <f t="shared" si="73"/>
        <v>0</v>
      </c>
      <c r="V326">
        <f t="shared" si="74"/>
        <v>0</v>
      </c>
      <c r="W326">
        <f t="shared" si="75"/>
        <v>0</v>
      </c>
      <c r="X326">
        <f t="shared" si="76"/>
        <v>0</v>
      </c>
      <c r="Y326">
        <f t="shared" si="77"/>
        <v>0</v>
      </c>
      <c r="Z326">
        <f t="shared" si="78"/>
        <v>0</v>
      </c>
      <c r="AB326">
        <v>322</v>
      </c>
      <c r="AC326">
        <f t="shared" si="79"/>
        <v>0</v>
      </c>
      <c r="AD326">
        <f t="shared" ref="AD326:AD389" si="85">IF(M326="FFFFFFF",AC326,0)</f>
        <v>0</v>
      </c>
    </row>
    <row r="327" spans="3:30" x14ac:dyDescent="0.25">
      <c r="C327" s="3"/>
      <c r="D327" s="31">
        <f>Simulation_output!A325</f>
        <v>3235000</v>
      </c>
      <c r="E327">
        <f>Sheet2!R324</f>
        <v>0</v>
      </c>
      <c r="F327">
        <f>Sheet2!S324</f>
        <v>0</v>
      </c>
      <c r="G327">
        <f>Sheet2!T324</f>
        <v>0</v>
      </c>
      <c r="H327" s="31">
        <f>Simulation_output!E325</f>
        <v>0</v>
      </c>
      <c r="I327" s="31">
        <f>Simulation_output!F325</f>
        <v>0</v>
      </c>
      <c r="J327" s="31">
        <f>Simulation_output!G325</f>
        <v>0</v>
      </c>
      <c r="K327" s="31">
        <f>Simulation_output!H325</f>
        <v>0</v>
      </c>
      <c r="L327">
        <v>1</v>
      </c>
      <c r="M327">
        <f t="shared" si="83"/>
        <v>0</v>
      </c>
      <c r="N327">
        <f t="shared" si="82"/>
        <v>0</v>
      </c>
      <c r="O327">
        <f t="shared" si="81"/>
        <v>0</v>
      </c>
      <c r="P327">
        <f t="shared" si="84"/>
        <v>0</v>
      </c>
      <c r="Q327">
        <f t="shared" si="80"/>
        <v>0</v>
      </c>
      <c r="R327">
        <f t="shared" ref="R327:R390" si="86">IF(K327&gt;0,I319,0)</f>
        <v>0</v>
      </c>
      <c r="S327">
        <f t="shared" ref="S327:S390" si="87">IF(K327&gt;0,I320,0)</f>
        <v>0</v>
      </c>
      <c r="T327">
        <f t="shared" ref="T327:T390" si="88">IF(K327&gt;0,I321,0)</f>
        <v>0</v>
      </c>
      <c r="U327">
        <f t="shared" ref="U327:U390" si="89">IF(K327&gt;0,I322,0)</f>
        <v>0</v>
      </c>
      <c r="V327">
        <f t="shared" ref="V327:V390" si="90">IF(K327&gt;0,I323,0)</f>
        <v>0</v>
      </c>
      <c r="W327">
        <f t="shared" ref="W327:W390" si="91">IF(K327&gt;0,I324,0)</f>
        <v>0</v>
      </c>
      <c r="X327">
        <f t="shared" ref="X327:X390" si="92">IF(K327&gt;0,I325,0)</f>
        <v>0</v>
      </c>
      <c r="Y327">
        <f t="shared" ref="Y327:Y390" si="93">IF(K327&gt;0,I326,0)</f>
        <v>0</v>
      </c>
      <c r="Z327">
        <f t="shared" ref="Z327:Z390" si="94">IF(K327&gt;0,DEC2HEX(I327),0)</f>
        <v>0</v>
      </c>
      <c r="AB327">
        <v>323</v>
      </c>
      <c r="AC327">
        <f t="shared" ref="AC327:AC390" si="95">IF(M327="FFFFFFF",AC326+1,AC326)</f>
        <v>0</v>
      </c>
      <c r="AD327">
        <f t="shared" si="85"/>
        <v>0</v>
      </c>
    </row>
    <row r="328" spans="3:30" x14ac:dyDescent="0.25">
      <c r="C328" s="3"/>
      <c r="D328" s="31">
        <f>Simulation_output!A326</f>
        <v>3245000</v>
      </c>
      <c r="E328">
        <f>Sheet2!R325</f>
        <v>36</v>
      </c>
      <c r="F328">
        <f>Sheet2!S325</f>
        <v>1</v>
      </c>
      <c r="G328">
        <f>Sheet2!T325</f>
        <v>0</v>
      </c>
      <c r="H328" s="31">
        <f>Simulation_output!E326</f>
        <v>0</v>
      </c>
      <c r="I328" s="31">
        <f>Simulation_output!F326</f>
        <v>0</v>
      </c>
      <c r="J328" s="31">
        <f>Simulation_output!G326</f>
        <v>0</v>
      </c>
      <c r="K328" s="31">
        <f>Simulation_output!H326</f>
        <v>0</v>
      </c>
      <c r="L328">
        <v>1</v>
      </c>
      <c r="M328">
        <f t="shared" si="83"/>
        <v>0</v>
      </c>
      <c r="N328">
        <f t="shared" si="82"/>
        <v>0</v>
      </c>
      <c r="O328">
        <f t="shared" si="81"/>
        <v>0</v>
      </c>
      <c r="P328">
        <f t="shared" si="84"/>
        <v>0</v>
      </c>
      <c r="Q328">
        <f t="shared" si="80"/>
        <v>0</v>
      </c>
      <c r="R328">
        <f t="shared" si="86"/>
        <v>0</v>
      </c>
      <c r="S328">
        <f t="shared" si="87"/>
        <v>0</v>
      </c>
      <c r="T328">
        <f t="shared" si="88"/>
        <v>0</v>
      </c>
      <c r="U328">
        <f t="shared" si="89"/>
        <v>0</v>
      </c>
      <c r="V328">
        <f t="shared" si="90"/>
        <v>0</v>
      </c>
      <c r="W328">
        <f t="shared" si="91"/>
        <v>0</v>
      </c>
      <c r="X328">
        <f t="shared" si="92"/>
        <v>0</v>
      </c>
      <c r="Y328">
        <f t="shared" si="93"/>
        <v>0</v>
      </c>
      <c r="Z328">
        <f t="shared" si="94"/>
        <v>0</v>
      </c>
      <c r="AB328">
        <v>324</v>
      </c>
      <c r="AC328">
        <f t="shared" si="95"/>
        <v>0</v>
      </c>
      <c r="AD328">
        <f t="shared" si="85"/>
        <v>0</v>
      </c>
    </row>
    <row r="329" spans="3:30" x14ac:dyDescent="0.25">
      <c r="C329" s="3"/>
      <c r="D329" s="31">
        <f>Simulation_output!A327</f>
        <v>3255000</v>
      </c>
      <c r="E329">
        <f>Sheet2!R326</f>
        <v>0</v>
      </c>
      <c r="F329">
        <f>Sheet2!S326</f>
        <v>0</v>
      </c>
      <c r="G329">
        <f>Sheet2!T326</f>
        <v>0</v>
      </c>
      <c r="H329" s="31">
        <f>Simulation_output!E327</f>
        <v>0</v>
      </c>
      <c r="I329" s="31">
        <f>Simulation_output!F327</f>
        <v>0</v>
      </c>
      <c r="J329" s="31">
        <f>Simulation_output!G327</f>
        <v>0</v>
      </c>
      <c r="K329" s="31">
        <f>Simulation_output!H327</f>
        <v>0</v>
      </c>
      <c r="L329">
        <v>1</v>
      </c>
      <c r="M329">
        <f t="shared" si="83"/>
        <v>0</v>
      </c>
      <c r="N329">
        <f t="shared" si="82"/>
        <v>0</v>
      </c>
      <c r="O329">
        <f t="shared" si="81"/>
        <v>0</v>
      </c>
      <c r="P329">
        <f t="shared" si="84"/>
        <v>0</v>
      </c>
      <c r="Q329">
        <f t="shared" si="80"/>
        <v>0</v>
      </c>
      <c r="R329">
        <f t="shared" si="86"/>
        <v>0</v>
      </c>
      <c r="S329">
        <f t="shared" si="87"/>
        <v>0</v>
      </c>
      <c r="T329">
        <f t="shared" si="88"/>
        <v>0</v>
      </c>
      <c r="U329">
        <f t="shared" si="89"/>
        <v>0</v>
      </c>
      <c r="V329">
        <f t="shared" si="90"/>
        <v>0</v>
      </c>
      <c r="W329">
        <f t="shared" si="91"/>
        <v>0</v>
      </c>
      <c r="X329">
        <f t="shared" si="92"/>
        <v>0</v>
      </c>
      <c r="Y329">
        <f t="shared" si="93"/>
        <v>0</v>
      </c>
      <c r="Z329">
        <f t="shared" si="94"/>
        <v>0</v>
      </c>
      <c r="AB329">
        <v>325</v>
      </c>
      <c r="AC329">
        <f t="shared" si="95"/>
        <v>0</v>
      </c>
      <c r="AD329">
        <f t="shared" si="85"/>
        <v>0</v>
      </c>
    </row>
    <row r="330" spans="3:30" x14ac:dyDescent="0.25">
      <c r="C330" s="3"/>
      <c r="D330" s="31">
        <f>Simulation_output!A328</f>
        <v>3265000</v>
      </c>
      <c r="E330">
        <f>Sheet2!R327</f>
        <v>136</v>
      </c>
      <c r="F330">
        <f>Sheet2!S327</f>
        <v>1</v>
      </c>
      <c r="G330">
        <f>Sheet2!T327</f>
        <v>0</v>
      </c>
      <c r="H330" s="31">
        <f>Simulation_output!E328</f>
        <v>0</v>
      </c>
      <c r="I330" s="31">
        <f>Simulation_output!F328</f>
        <v>268435455</v>
      </c>
      <c r="J330" s="31">
        <f>Simulation_output!G328</f>
        <v>1</v>
      </c>
      <c r="K330" s="31">
        <f>Simulation_output!H328</f>
        <v>0</v>
      </c>
      <c r="L330">
        <v>1</v>
      </c>
      <c r="M330">
        <f t="shared" si="83"/>
        <v>0</v>
      </c>
      <c r="N330">
        <f t="shared" si="82"/>
        <v>0</v>
      </c>
      <c r="O330">
        <f t="shared" si="81"/>
        <v>0</v>
      </c>
      <c r="P330">
        <f t="shared" si="84"/>
        <v>0</v>
      </c>
      <c r="Q330">
        <f t="shared" si="80"/>
        <v>0</v>
      </c>
      <c r="R330">
        <f t="shared" si="86"/>
        <v>0</v>
      </c>
      <c r="S330">
        <f t="shared" si="87"/>
        <v>0</v>
      </c>
      <c r="T330">
        <f t="shared" si="88"/>
        <v>0</v>
      </c>
      <c r="U330">
        <f t="shared" si="89"/>
        <v>0</v>
      </c>
      <c r="V330">
        <f t="shared" si="90"/>
        <v>0</v>
      </c>
      <c r="W330">
        <f t="shared" si="91"/>
        <v>0</v>
      </c>
      <c r="X330">
        <f t="shared" si="92"/>
        <v>0</v>
      </c>
      <c r="Y330">
        <f t="shared" si="93"/>
        <v>0</v>
      </c>
      <c r="Z330">
        <f t="shared" si="94"/>
        <v>0</v>
      </c>
      <c r="AB330">
        <v>326</v>
      </c>
      <c r="AC330">
        <f t="shared" si="95"/>
        <v>0</v>
      </c>
      <c r="AD330">
        <f t="shared" si="85"/>
        <v>0</v>
      </c>
    </row>
    <row r="331" spans="3:30" x14ac:dyDescent="0.25">
      <c r="C331" s="3"/>
      <c r="D331" s="31">
        <f>Simulation_output!A329</f>
        <v>3275000</v>
      </c>
      <c r="E331">
        <f>Sheet2!R328</f>
        <v>0</v>
      </c>
      <c r="F331">
        <f>Sheet2!S328</f>
        <v>0</v>
      </c>
      <c r="G331">
        <f>Sheet2!T328</f>
        <v>0</v>
      </c>
      <c r="H331" s="31">
        <f>Simulation_output!E329</f>
        <v>0</v>
      </c>
      <c r="I331" s="31">
        <f>Simulation_output!F329</f>
        <v>1</v>
      </c>
      <c r="J331" s="31">
        <f>Simulation_output!G329</f>
        <v>1</v>
      </c>
      <c r="K331" s="31">
        <f>Simulation_output!H329</f>
        <v>0</v>
      </c>
      <c r="L331">
        <v>1</v>
      </c>
      <c r="M331">
        <f t="shared" si="83"/>
        <v>0</v>
      </c>
      <c r="N331">
        <f t="shared" si="82"/>
        <v>0</v>
      </c>
      <c r="O331">
        <f t="shared" si="81"/>
        <v>0</v>
      </c>
      <c r="P331">
        <f t="shared" si="84"/>
        <v>0</v>
      </c>
      <c r="Q331">
        <f t="shared" ref="Q331:Q394" si="96">IF(K331&gt;0,I322,0)</f>
        <v>0</v>
      </c>
      <c r="R331">
        <f t="shared" si="86"/>
        <v>0</v>
      </c>
      <c r="S331">
        <f t="shared" si="87"/>
        <v>0</v>
      </c>
      <c r="T331">
        <f t="shared" si="88"/>
        <v>0</v>
      </c>
      <c r="U331">
        <f t="shared" si="89"/>
        <v>0</v>
      </c>
      <c r="V331">
        <f t="shared" si="90"/>
        <v>0</v>
      </c>
      <c r="W331">
        <f t="shared" si="91"/>
        <v>0</v>
      </c>
      <c r="X331">
        <f t="shared" si="92"/>
        <v>0</v>
      </c>
      <c r="Y331">
        <f t="shared" si="93"/>
        <v>0</v>
      </c>
      <c r="Z331">
        <f t="shared" si="94"/>
        <v>0</v>
      </c>
      <c r="AB331">
        <v>327</v>
      </c>
      <c r="AC331">
        <f t="shared" si="95"/>
        <v>0</v>
      </c>
      <c r="AD331">
        <f t="shared" si="85"/>
        <v>0</v>
      </c>
    </row>
    <row r="332" spans="3:30" x14ac:dyDescent="0.25">
      <c r="C332" s="3"/>
      <c r="D332" s="31">
        <f>Simulation_output!A330</f>
        <v>3285000</v>
      </c>
      <c r="E332">
        <f>Sheet2!R329</f>
        <v>1036</v>
      </c>
      <c r="F332">
        <f>Sheet2!S329</f>
        <v>1</v>
      </c>
      <c r="G332">
        <f>Sheet2!T329</f>
        <v>0</v>
      </c>
      <c r="H332" s="31">
        <f>Simulation_output!E330</f>
        <v>0</v>
      </c>
      <c r="I332" s="31">
        <f>Simulation_output!F330</f>
        <v>11</v>
      </c>
      <c r="J332" s="31">
        <f>Simulation_output!G330</f>
        <v>1</v>
      </c>
      <c r="K332" s="31">
        <f>Simulation_output!H330</f>
        <v>0</v>
      </c>
      <c r="L332">
        <v>1</v>
      </c>
      <c r="M332">
        <f t="shared" si="83"/>
        <v>0</v>
      </c>
      <c r="N332">
        <f t="shared" si="82"/>
        <v>0</v>
      </c>
      <c r="O332">
        <f t="shared" si="81"/>
        <v>0</v>
      </c>
      <c r="P332">
        <f t="shared" si="84"/>
        <v>0</v>
      </c>
      <c r="Q332">
        <f t="shared" si="96"/>
        <v>0</v>
      </c>
      <c r="R332">
        <f t="shared" si="86"/>
        <v>0</v>
      </c>
      <c r="S332">
        <f t="shared" si="87"/>
        <v>0</v>
      </c>
      <c r="T332">
        <f t="shared" si="88"/>
        <v>0</v>
      </c>
      <c r="U332">
        <f t="shared" si="89"/>
        <v>0</v>
      </c>
      <c r="V332">
        <f t="shared" si="90"/>
        <v>0</v>
      </c>
      <c r="W332">
        <f t="shared" si="91"/>
        <v>0</v>
      </c>
      <c r="X332">
        <f t="shared" si="92"/>
        <v>0</v>
      </c>
      <c r="Y332">
        <f t="shared" si="93"/>
        <v>0</v>
      </c>
      <c r="Z332">
        <f t="shared" si="94"/>
        <v>0</v>
      </c>
      <c r="AB332">
        <v>328</v>
      </c>
      <c r="AC332">
        <f t="shared" si="95"/>
        <v>0</v>
      </c>
      <c r="AD332">
        <f t="shared" si="85"/>
        <v>0</v>
      </c>
    </row>
    <row r="333" spans="3:30" x14ac:dyDescent="0.25">
      <c r="C333" s="3"/>
      <c r="D333" s="31">
        <f>Simulation_output!A331</f>
        <v>3295000</v>
      </c>
      <c r="E333">
        <f>Sheet2!R330</f>
        <v>0</v>
      </c>
      <c r="F333">
        <f>Sheet2!S330</f>
        <v>0</v>
      </c>
      <c r="G333">
        <f>Sheet2!T330</f>
        <v>0</v>
      </c>
      <c r="H333" s="31">
        <f>Simulation_output!E331</f>
        <v>0</v>
      </c>
      <c r="I333" s="31">
        <f>Simulation_output!F331</f>
        <v>313</v>
      </c>
      <c r="J333" s="31">
        <f>Simulation_output!G331</f>
        <v>1</v>
      </c>
      <c r="K333" s="31">
        <f>Simulation_output!H331</f>
        <v>0</v>
      </c>
      <c r="L333">
        <v>1</v>
      </c>
      <c r="M333">
        <f t="shared" si="83"/>
        <v>0</v>
      </c>
      <c r="N333">
        <f t="shared" si="82"/>
        <v>0</v>
      </c>
      <c r="O333">
        <f t="shared" ref="O333:O396" si="97">IF(K333&gt;0,I322,0)</f>
        <v>0</v>
      </c>
      <c r="P333">
        <f t="shared" si="84"/>
        <v>0</v>
      </c>
      <c r="Q333">
        <f t="shared" si="96"/>
        <v>0</v>
      </c>
      <c r="R333">
        <f t="shared" si="86"/>
        <v>0</v>
      </c>
      <c r="S333">
        <f t="shared" si="87"/>
        <v>0</v>
      </c>
      <c r="T333">
        <f t="shared" si="88"/>
        <v>0</v>
      </c>
      <c r="U333">
        <f t="shared" si="89"/>
        <v>0</v>
      </c>
      <c r="V333">
        <f t="shared" si="90"/>
        <v>0</v>
      </c>
      <c r="W333">
        <f t="shared" si="91"/>
        <v>0</v>
      </c>
      <c r="X333">
        <f t="shared" si="92"/>
        <v>0</v>
      </c>
      <c r="Y333">
        <f t="shared" si="93"/>
        <v>0</v>
      </c>
      <c r="Z333">
        <f t="shared" si="94"/>
        <v>0</v>
      </c>
      <c r="AB333">
        <v>329</v>
      </c>
      <c r="AC333">
        <f t="shared" si="95"/>
        <v>0</v>
      </c>
      <c r="AD333">
        <f t="shared" si="85"/>
        <v>0</v>
      </c>
    </row>
    <row r="334" spans="3:30" x14ac:dyDescent="0.25">
      <c r="C334" s="3"/>
      <c r="D334" s="31">
        <f>Simulation_output!A332</f>
        <v>3305000</v>
      </c>
      <c r="E334">
        <f>Sheet2!R331</f>
        <v>10036</v>
      </c>
      <c r="F334">
        <f>Sheet2!S331</f>
        <v>1</v>
      </c>
      <c r="G334">
        <f>Sheet2!T331</f>
        <v>1</v>
      </c>
      <c r="H334" s="31">
        <f>Simulation_output!E332</f>
        <v>0</v>
      </c>
      <c r="I334" s="31">
        <f>Simulation_output!F332</f>
        <v>25</v>
      </c>
      <c r="J334" s="31">
        <f>Simulation_output!G332</f>
        <v>1</v>
      </c>
      <c r="K334" s="31">
        <f>Simulation_output!H332</f>
        <v>0</v>
      </c>
      <c r="L334">
        <v>1</v>
      </c>
      <c r="M334">
        <f t="shared" si="83"/>
        <v>0</v>
      </c>
      <c r="N334">
        <f t="shared" ref="N334:N397" si="98">IF(K334&gt;0,I322,0)</f>
        <v>0</v>
      </c>
      <c r="O334">
        <f t="shared" si="97"/>
        <v>0</v>
      </c>
      <c r="P334">
        <f t="shared" si="84"/>
        <v>0</v>
      </c>
      <c r="Q334">
        <f t="shared" si="96"/>
        <v>0</v>
      </c>
      <c r="R334">
        <f t="shared" si="86"/>
        <v>0</v>
      </c>
      <c r="S334">
        <f t="shared" si="87"/>
        <v>0</v>
      </c>
      <c r="T334">
        <f t="shared" si="88"/>
        <v>0</v>
      </c>
      <c r="U334">
        <f t="shared" si="89"/>
        <v>0</v>
      </c>
      <c r="V334">
        <f t="shared" si="90"/>
        <v>0</v>
      </c>
      <c r="W334">
        <f t="shared" si="91"/>
        <v>0</v>
      </c>
      <c r="X334">
        <f t="shared" si="92"/>
        <v>0</v>
      </c>
      <c r="Y334">
        <f t="shared" si="93"/>
        <v>0</v>
      </c>
      <c r="Z334">
        <f t="shared" si="94"/>
        <v>0</v>
      </c>
      <c r="AB334">
        <v>330</v>
      </c>
      <c r="AC334">
        <f t="shared" si="95"/>
        <v>0</v>
      </c>
      <c r="AD334">
        <f t="shared" si="85"/>
        <v>0</v>
      </c>
    </row>
    <row r="335" spans="3:30" x14ac:dyDescent="0.25">
      <c r="C335" s="3"/>
      <c r="D335" s="31">
        <f>Simulation_output!A333</f>
        <v>3315000</v>
      </c>
      <c r="E335">
        <f>Sheet2!R332</f>
        <v>0</v>
      </c>
      <c r="F335">
        <f>Sheet2!S332</f>
        <v>0</v>
      </c>
      <c r="G335">
        <f>Sheet2!T332</f>
        <v>0</v>
      </c>
      <c r="H335" s="31">
        <f>Simulation_output!E333</f>
        <v>0</v>
      </c>
      <c r="I335" s="31">
        <f>Simulation_output!F333</f>
        <v>5</v>
      </c>
      <c r="J335" s="31">
        <f>Simulation_output!G333</f>
        <v>1</v>
      </c>
      <c r="K335" s="31">
        <f>Simulation_output!H333</f>
        <v>0</v>
      </c>
      <c r="L335">
        <v>1</v>
      </c>
      <c r="M335">
        <f t="shared" ref="M335:M398" si="99">IF(K335&gt;0,DEC2HEX(I322),0)</f>
        <v>0</v>
      </c>
      <c r="N335">
        <f t="shared" si="98"/>
        <v>0</v>
      </c>
      <c r="O335">
        <f t="shared" si="97"/>
        <v>0</v>
      </c>
      <c r="P335">
        <f t="shared" ref="P335:P398" si="100">IF(K335&gt;0,I325,0)</f>
        <v>0</v>
      </c>
      <c r="Q335">
        <f t="shared" si="96"/>
        <v>0</v>
      </c>
      <c r="R335">
        <f t="shared" si="86"/>
        <v>0</v>
      </c>
      <c r="S335">
        <f t="shared" si="87"/>
        <v>0</v>
      </c>
      <c r="T335">
        <f t="shared" si="88"/>
        <v>0</v>
      </c>
      <c r="U335">
        <f t="shared" si="89"/>
        <v>0</v>
      </c>
      <c r="V335">
        <f t="shared" si="90"/>
        <v>0</v>
      </c>
      <c r="W335">
        <f t="shared" si="91"/>
        <v>0</v>
      </c>
      <c r="X335">
        <f t="shared" si="92"/>
        <v>0</v>
      </c>
      <c r="Y335">
        <f t="shared" si="93"/>
        <v>0</v>
      </c>
      <c r="Z335">
        <f t="shared" si="94"/>
        <v>0</v>
      </c>
      <c r="AB335">
        <v>331</v>
      </c>
      <c r="AC335">
        <f t="shared" si="95"/>
        <v>0</v>
      </c>
      <c r="AD335">
        <f t="shared" si="85"/>
        <v>0</v>
      </c>
    </row>
    <row r="336" spans="3:30" x14ac:dyDescent="0.25">
      <c r="C336" s="3"/>
      <c r="D336" s="31">
        <f>Simulation_output!A334</f>
        <v>3325000</v>
      </c>
      <c r="E336">
        <f>Sheet2!R333</f>
        <v>1</v>
      </c>
      <c r="F336">
        <f>Sheet2!S333</f>
        <v>1</v>
      </c>
      <c r="G336">
        <f>Sheet2!T333</f>
        <v>0</v>
      </c>
      <c r="H336" s="31">
        <f>Simulation_output!E334</f>
        <v>0</v>
      </c>
      <c r="I336" s="31">
        <f>Simulation_output!F334</f>
        <v>10</v>
      </c>
      <c r="J336" s="31">
        <f>Simulation_output!G334</f>
        <v>1</v>
      </c>
      <c r="K336" s="31">
        <f>Simulation_output!H334</f>
        <v>0</v>
      </c>
      <c r="L336">
        <v>1</v>
      </c>
      <c r="M336">
        <f t="shared" si="99"/>
        <v>0</v>
      </c>
      <c r="N336">
        <f t="shared" si="98"/>
        <v>0</v>
      </c>
      <c r="O336">
        <f t="shared" si="97"/>
        <v>0</v>
      </c>
      <c r="P336">
        <f t="shared" si="100"/>
        <v>0</v>
      </c>
      <c r="Q336">
        <f t="shared" si="96"/>
        <v>0</v>
      </c>
      <c r="R336">
        <f t="shared" si="86"/>
        <v>0</v>
      </c>
      <c r="S336">
        <f t="shared" si="87"/>
        <v>0</v>
      </c>
      <c r="T336">
        <f t="shared" si="88"/>
        <v>0</v>
      </c>
      <c r="U336">
        <f t="shared" si="89"/>
        <v>0</v>
      </c>
      <c r="V336">
        <f t="shared" si="90"/>
        <v>0</v>
      </c>
      <c r="W336">
        <f t="shared" si="91"/>
        <v>0</v>
      </c>
      <c r="X336">
        <f t="shared" si="92"/>
        <v>0</v>
      </c>
      <c r="Y336">
        <f t="shared" si="93"/>
        <v>0</v>
      </c>
      <c r="Z336">
        <f t="shared" si="94"/>
        <v>0</v>
      </c>
      <c r="AB336">
        <v>332</v>
      </c>
      <c r="AC336">
        <f t="shared" si="95"/>
        <v>0</v>
      </c>
      <c r="AD336">
        <f t="shared" si="85"/>
        <v>0</v>
      </c>
    </row>
    <row r="337" spans="3:30" x14ac:dyDescent="0.25">
      <c r="C337" s="3"/>
      <c r="D337" s="31">
        <f>Simulation_output!A335</f>
        <v>3335000</v>
      </c>
      <c r="E337">
        <f>Sheet2!R334</f>
        <v>0</v>
      </c>
      <c r="F337">
        <f>Sheet2!S334</f>
        <v>0</v>
      </c>
      <c r="G337">
        <f>Sheet2!T334</f>
        <v>0</v>
      </c>
      <c r="H337" s="31">
        <f>Simulation_output!E335</f>
        <v>0</v>
      </c>
      <c r="I337" s="31">
        <f>Simulation_output!F335</f>
        <v>110</v>
      </c>
      <c r="J337" s="31">
        <f>Simulation_output!G335</f>
        <v>1</v>
      </c>
      <c r="K337" s="31">
        <f>Simulation_output!H335</f>
        <v>0</v>
      </c>
      <c r="L337">
        <v>1</v>
      </c>
      <c r="M337">
        <f t="shared" si="99"/>
        <v>0</v>
      </c>
      <c r="N337">
        <f t="shared" si="98"/>
        <v>0</v>
      </c>
      <c r="O337">
        <f t="shared" si="97"/>
        <v>0</v>
      </c>
      <c r="P337">
        <f t="shared" si="100"/>
        <v>0</v>
      </c>
      <c r="Q337">
        <f t="shared" si="96"/>
        <v>0</v>
      </c>
      <c r="R337">
        <f t="shared" si="86"/>
        <v>0</v>
      </c>
      <c r="S337">
        <f t="shared" si="87"/>
        <v>0</v>
      </c>
      <c r="T337">
        <f t="shared" si="88"/>
        <v>0</v>
      </c>
      <c r="U337">
        <f t="shared" si="89"/>
        <v>0</v>
      </c>
      <c r="V337">
        <f t="shared" si="90"/>
        <v>0</v>
      </c>
      <c r="W337">
        <f t="shared" si="91"/>
        <v>0</v>
      </c>
      <c r="X337">
        <f t="shared" si="92"/>
        <v>0</v>
      </c>
      <c r="Y337">
        <f t="shared" si="93"/>
        <v>0</v>
      </c>
      <c r="Z337">
        <f t="shared" si="94"/>
        <v>0</v>
      </c>
      <c r="AB337">
        <v>333</v>
      </c>
      <c r="AC337">
        <f t="shared" si="95"/>
        <v>0</v>
      </c>
      <c r="AD337">
        <f t="shared" si="85"/>
        <v>0</v>
      </c>
    </row>
    <row r="338" spans="3:30" x14ac:dyDescent="0.25">
      <c r="C338" s="3"/>
      <c r="D338" s="31">
        <f>Simulation_output!A336</f>
        <v>3345000</v>
      </c>
      <c r="E338">
        <f>Sheet2!R335</f>
        <v>7</v>
      </c>
      <c r="F338">
        <f>Sheet2!S335</f>
        <v>1</v>
      </c>
      <c r="G338">
        <f>Sheet2!T335</f>
        <v>0</v>
      </c>
      <c r="H338" s="31">
        <f>Simulation_output!E336</f>
        <v>0</v>
      </c>
      <c r="I338" s="31">
        <f>Simulation_output!F336</f>
        <v>1010</v>
      </c>
      <c r="J338" s="31">
        <f>Simulation_output!G336</f>
        <v>1</v>
      </c>
      <c r="K338" s="31">
        <f>Simulation_output!H336</f>
        <v>0</v>
      </c>
      <c r="L338">
        <v>1</v>
      </c>
      <c r="M338">
        <f t="shared" si="99"/>
        <v>0</v>
      </c>
      <c r="N338">
        <f t="shared" si="98"/>
        <v>0</v>
      </c>
      <c r="O338">
        <f t="shared" si="97"/>
        <v>0</v>
      </c>
      <c r="P338">
        <f t="shared" si="100"/>
        <v>0</v>
      </c>
      <c r="Q338">
        <f t="shared" si="96"/>
        <v>0</v>
      </c>
      <c r="R338">
        <f t="shared" si="86"/>
        <v>0</v>
      </c>
      <c r="S338">
        <f t="shared" si="87"/>
        <v>0</v>
      </c>
      <c r="T338">
        <f t="shared" si="88"/>
        <v>0</v>
      </c>
      <c r="U338">
        <f t="shared" si="89"/>
        <v>0</v>
      </c>
      <c r="V338">
        <f t="shared" si="90"/>
        <v>0</v>
      </c>
      <c r="W338">
        <f t="shared" si="91"/>
        <v>0</v>
      </c>
      <c r="X338">
        <f t="shared" si="92"/>
        <v>0</v>
      </c>
      <c r="Y338">
        <f t="shared" si="93"/>
        <v>0</v>
      </c>
      <c r="Z338">
        <f t="shared" si="94"/>
        <v>0</v>
      </c>
      <c r="AB338">
        <v>334</v>
      </c>
      <c r="AC338">
        <f t="shared" si="95"/>
        <v>0</v>
      </c>
      <c r="AD338">
        <f t="shared" si="85"/>
        <v>0</v>
      </c>
    </row>
    <row r="339" spans="3:30" x14ac:dyDescent="0.25">
      <c r="C339" s="3"/>
      <c r="D339" s="31">
        <f>Simulation_output!A337</f>
        <v>3355000</v>
      </c>
      <c r="E339">
        <f>Sheet2!R336</f>
        <v>0</v>
      </c>
      <c r="F339">
        <f>Sheet2!S336</f>
        <v>0</v>
      </c>
      <c r="G339">
        <f>Sheet2!T336</f>
        <v>0</v>
      </c>
      <c r="H339" s="31">
        <f>Simulation_output!E337</f>
        <v>0</v>
      </c>
      <c r="I339" s="31">
        <f>Simulation_output!F337</f>
        <v>10010</v>
      </c>
      <c r="J339" s="31">
        <f>Simulation_output!G337</f>
        <v>1</v>
      </c>
      <c r="K339" s="31">
        <f>Simulation_output!H337</f>
        <v>0</v>
      </c>
      <c r="L339">
        <v>1</v>
      </c>
      <c r="M339">
        <f t="shared" si="99"/>
        <v>0</v>
      </c>
      <c r="N339">
        <f t="shared" si="98"/>
        <v>0</v>
      </c>
      <c r="O339">
        <f t="shared" si="97"/>
        <v>0</v>
      </c>
      <c r="P339">
        <f t="shared" si="100"/>
        <v>0</v>
      </c>
      <c r="Q339">
        <f t="shared" si="96"/>
        <v>0</v>
      </c>
      <c r="R339">
        <f t="shared" si="86"/>
        <v>0</v>
      </c>
      <c r="S339">
        <f t="shared" si="87"/>
        <v>0</v>
      </c>
      <c r="T339">
        <f t="shared" si="88"/>
        <v>0</v>
      </c>
      <c r="U339">
        <f t="shared" si="89"/>
        <v>0</v>
      </c>
      <c r="V339">
        <f t="shared" si="90"/>
        <v>0</v>
      </c>
      <c r="W339">
        <f t="shared" si="91"/>
        <v>0</v>
      </c>
      <c r="X339">
        <f t="shared" si="92"/>
        <v>0</v>
      </c>
      <c r="Y339">
        <f t="shared" si="93"/>
        <v>0</v>
      </c>
      <c r="Z339">
        <f t="shared" si="94"/>
        <v>0</v>
      </c>
      <c r="AB339">
        <v>335</v>
      </c>
      <c r="AC339">
        <f t="shared" si="95"/>
        <v>0</v>
      </c>
      <c r="AD339">
        <f t="shared" si="85"/>
        <v>0</v>
      </c>
    </row>
    <row r="340" spans="3:30" x14ac:dyDescent="0.25">
      <c r="C340" s="3"/>
      <c r="D340" s="31">
        <f>Simulation_output!A338</f>
        <v>3365000</v>
      </c>
      <c r="E340">
        <f>Sheet2!R337</f>
        <v>37</v>
      </c>
      <c r="F340">
        <f>Sheet2!S337</f>
        <v>1</v>
      </c>
      <c r="G340">
        <f>Sheet2!T337</f>
        <v>0</v>
      </c>
      <c r="H340" s="31">
        <f>Simulation_output!E338</f>
        <v>0</v>
      </c>
      <c r="I340" s="31">
        <f>Simulation_output!F338</f>
        <v>1120</v>
      </c>
      <c r="J340" s="31">
        <f>Simulation_output!G338</f>
        <v>1</v>
      </c>
      <c r="K340" s="31">
        <f>Simulation_output!H338</f>
        <v>0</v>
      </c>
      <c r="L340">
        <v>1</v>
      </c>
      <c r="M340">
        <f t="shared" si="99"/>
        <v>0</v>
      </c>
      <c r="N340">
        <f t="shared" si="98"/>
        <v>0</v>
      </c>
      <c r="O340">
        <f t="shared" si="97"/>
        <v>0</v>
      </c>
      <c r="P340">
        <f t="shared" si="100"/>
        <v>0</v>
      </c>
      <c r="Q340">
        <f t="shared" si="96"/>
        <v>0</v>
      </c>
      <c r="R340">
        <f t="shared" si="86"/>
        <v>0</v>
      </c>
      <c r="S340">
        <f t="shared" si="87"/>
        <v>0</v>
      </c>
      <c r="T340">
        <f t="shared" si="88"/>
        <v>0</v>
      </c>
      <c r="U340">
        <f t="shared" si="89"/>
        <v>0</v>
      </c>
      <c r="V340">
        <f t="shared" si="90"/>
        <v>0</v>
      </c>
      <c r="W340">
        <f t="shared" si="91"/>
        <v>0</v>
      </c>
      <c r="X340">
        <f t="shared" si="92"/>
        <v>0</v>
      </c>
      <c r="Y340">
        <f t="shared" si="93"/>
        <v>0</v>
      </c>
      <c r="Z340">
        <f t="shared" si="94"/>
        <v>0</v>
      </c>
      <c r="AB340">
        <v>336</v>
      </c>
      <c r="AC340">
        <f t="shared" si="95"/>
        <v>0</v>
      </c>
      <c r="AD340">
        <f t="shared" si="85"/>
        <v>0</v>
      </c>
    </row>
    <row r="341" spans="3:30" x14ac:dyDescent="0.25">
      <c r="C341" s="3"/>
      <c r="D341" s="31">
        <f>Simulation_output!A339</f>
        <v>3375000</v>
      </c>
      <c r="E341">
        <f>Sheet2!R338</f>
        <v>0</v>
      </c>
      <c r="F341">
        <f>Sheet2!S338</f>
        <v>0</v>
      </c>
      <c r="G341">
        <f>Sheet2!T338</f>
        <v>0</v>
      </c>
      <c r="H341" s="31">
        <f>Simulation_output!E339</f>
        <v>0</v>
      </c>
      <c r="I341" s="31">
        <f>Simulation_output!F339</f>
        <v>322</v>
      </c>
      <c r="J341" s="31">
        <f>Simulation_output!G339</f>
        <v>1</v>
      </c>
      <c r="K341" s="31">
        <f>Simulation_output!H339</f>
        <v>0</v>
      </c>
      <c r="L341">
        <v>1</v>
      </c>
      <c r="M341">
        <f t="shared" si="99"/>
        <v>0</v>
      </c>
      <c r="N341">
        <f t="shared" si="98"/>
        <v>0</v>
      </c>
      <c r="O341">
        <f t="shared" si="97"/>
        <v>0</v>
      </c>
      <c r="P341">
        <f t="shared" si="100"/>
        <v>0</v>
      </c>
      <c r="Q341">
        <f t="shared" si="96"/>
        <v>0</v>
      </c>
      <c r="R341">
        <f t="shared" si="86"/>
        <v>0</v>
      </c>
      <c r="S341">
        <f t="shared" si="87"/>
        <v>0</v>
      </c>
      <c r="T341">
        <f t="shared" si="88"/>
        <v>0</v>
      </c>
      <c r="U341">
        <f t="shared" si="89"/>
        <v>0</v>
      </c>
      <c r="V341">
        <f t="shared" si="90"/>
        <v>0</v>
      </c>
      <c r="W341">
        <f t="shared" si="91"/>
        <v>0</v>
      </c>
      <c r="X341">
        <f t="shared" si="92"/>
        <v>0</v>
      </c>
      <c r="Y341">
        <f t="shared" si="93"/>
        <v>0</v>
      </c>
      <c r="Z341">
        <f t="shared" si="94"/>
        <v>0</v>
      </c>
      <c r="AB341">
        <v>337</v>
      </c>
      <c r="AC341">
        <f t="shared" si="95"/>
        <v>0</v>
      </c>
      <c r="AD341">
        <f t="shared" si="85"/>
        <v>0</v>
      </c>
    </row>
    <row r="342" spans="3:30" x14ac:dyDescent="0.25">
      <c r="C342" s="3"/>
      <c r="D342" s="31">
        <f>Simulation_output!A340</f>
        <v>3385000</v>
      </c>
      <c r="E342">
        <f>Sheet2!R339</f>
        <v>137</v>
      </c>
      <c r="F342">
        <f>Sheet2!S339</f>
        <v>1</v>
      </c>
      <c r="G342">
        <f>Sheet2!T339</f>
        <v>0</v>
      </c>
      <c r="H342" s="31">
        <f>Simulation_output!E340</f>
        <v>0</v>
      </c>
      <c r="I342" s="31">
        <f>Simulation_output!F340</f>
        <v>0</v>
      </c>
      <c r="J342" s="31">
        <f>Simulation_output!G340</f>
        <v>1</v>
      </c>
      <c r="K342" s="31">
        <f>Simulation_output!H340</f>
        <v>0</v>
      </c>
      <c r="L342">
        <v>1</v>
      </c>
      <c r="M342">
        <f t="shared" si="99"/>
        <v>0</v>
      </c>
      <c r="N342">
        <f t="shared" si="98"/>
        <v>0</v>
      </c>
      <c r="O342">
        <f t="shared" si="97"/>
        <v>0</v>
      </c>
      <c r="P342">
        <f t="shared" si="100"/>
        <v>0</v>
      </c>
      <c r="Q342">
        <f t="shared" si="96"/>
        <v>0</v>
      </c>
      <c r="R342">
        <f t="shared" si="86"/>
        <v>0</v>
      </c>
      <c r="S342">
        <f t="shared" si="87"/>
        <v>0</v>
      </c>
      <c r="T342">
        <f t="shared" si="88"/>
        <v>0</v>
      </c>
      <c r="U342">
        <f t="shared" si="89"/>
        <v>0</v>
      </c>
      <c r="V342">
        <f t="shared" si="90"/>
        <v>0</v>
      </c>
      <c r="W342">
        <f t="shared" si="91"/>
        <v>0</v>
      </c>
      <c r="X342">
        <f t="shared" si="92"/>
        <v>0</v>
      </c>
      <c r="Y342">
        <f t="shared" si="93"/>
        <v>0</v>
      </c>
      <c r="Z342">
        <f t="shared" si="94"/>
        <v>0</v>
      </c>
      <c r="AB342">
        <v>338</v>
      </c>
      <c r="AC342">
        <f t="shared" si="95"/>
        <v>0</v>
      </c>
      <c r="AD342">
        <f t="shared" si="85"/>
        <v>0</v>
      </c>
    </row>
    <row r="343" spans="3:30" x14ac:dyDescent="0.25">
      <c r="C343" s="3"/>
      <c r="D343" s="31">
        <f>Simulation_output!A341</f>
        <v>3395000</v>
      </c>
      <c r="E343">
        <f>Sheet2!R340</f>
        <v>0</v>
      </c>
      <c r="F343">
        <f>Sheet2!S340</f>
        <v>0</v>
      </c>
      <c r="G343">
        <f>Sheet2!T340</f>
        <v>0</v>
      </c>
      <c r="H343" s="31">
        <f>Simulation_output!E341</f>
        <v>0</v>
      </c>
      <c r="I343" s="31">
        <f>Simulation_output!F341</f>
        <v>268435454</v>
      </c>
      <c r="J343" s="31">
        <f>Simulation_output!G341</f>
        <v>1</v>
      </c>
      <c r="K343" s="31">
        <f>Simulation_output!H341</f>
        <v>1</v>
      </c>
      <c r="L343">
        <v>1</v>
      </c>
      <c r="M343" t="str">
        <f t="shared" si="99"/>
        <v>FFFFFFF</v>
      </c>
      <c r="N343">
        <f t="shared" si="98"/>
        <v>1</v>
      </c>
      <c r="O343">
        <f t="shared" si="97"/>
        <v>11</v>
      </c>
      <c r="P343">
        <f t="shared" si="100"/>
        <v>313</v>
      </c>
      <c r="Q343">
        <f t="shared" si="96"/>
        <v>25</v>
      </c>
      <c r="R343">
        <f t="shared" si="86"/>
        <v>5</v>
      </c>
      <c r="S343">
        <f t="shared" si="87"/>
        <v>10</v>
      </c>
      <c r="T343">
        <f t="shared" si="88"/>
        <v>110</v>
      </c>
      <c r="U343">
        <f t="shared" si="89"/>
        <v>1010</v>
      </c>
      <c r="V343">
        <f t="shared" si="90"/>
        <v>10010</v>
      </c>
      <c r="W343">
        <f t="shared" si="91"/>
        <v>1120</v>
      </c>
      <c r="X343">
        <f t="shared" si="92"/>
        <v>322</v>
      </c>
      <c r="Y343">
        <f t="shared" si="93"/>
        <v>0</v>
      </c>
      <c r="Z343" t="str">
        <f t="shared" si="94"/>
        <v>FFFFFFE</v>
      </c>
      <c r="AB343">
        <v>339</v>
      </c>
      <c r="AC343">
        <f t="shared" si="95"/>
        <v>1</v>
      </c>
      <c r="AD343">
        <f t="shared" si="85"/>
        <v>1</v>
      </c>
    </row>
    <row r="344" spans="3:30" x14ac:dyDescent="0.25">
      <c r="C344" s="3"/>
      <c r="D344" s="31">
        <f>Simulation_output!A342</f>
        <v>3405000</v>
      </c>
      <c r="E344">
        <f>Sheet2!R341</f>
        <v>1037</v>
      </c>
      <c r="F344">
        <f>Sheet2!S341</f>
        <v>1</v>
      </c>
      <c r="G344">
        <f>Sheet2!T341</f>
        <v>0</v>
      </c>
      <c r="H344" s="31">
        <f>Simulation_output!E342</f>
        <v>0</v>
      </c>
      <c r="I344" s="31">
        <f>Simulation_output!F342</f>
        <v>268435455</v>
      </c>
      <c r="J344" s="31">
        <f>Simulation_output!G342</f>
        <v>1</v>
      </c>
      <c r="K344" s="31">
        <f>Simulation_output!H342</f>
        <v>0</v>
      </c>
      <c r="L344">
        <v>1</v>
      </c>
      <c r="M344">
        <f t="shared" si="99"/>
        <v>0</v>
      </c>
      <c r="N344">
        <f t="shared" si="98"/>
        <v>0</v>
      </c>
      <c r="O344">
        <f t="shared" si="97"/>
        <v>0</v>
      </c>
      <c r="P344">
        <f t="shared" si="100"/>
        <v>0</v>
      </c>
      <c r="Q344">
        <f t="shared" si="96"/>
        <v>0</v>
      </c>
      <c r="R344">
        <f t="shared" si="86"/>
        <v>0</v>
      </c>
      <c r="S344">
        <f t="shared" si="87"/>
        <v>0</v>
      </c>
      <c r="T344">
        <f t="shared" si="88"/>
        <v>0</v>
      </c>
      <c r="U344">
        <f t="shared" si="89"/>
        <v>0</v>
      </c>
      <c r="V344">
        <f t="shared" si="90"/>
        <v>0</v>
      </c>
      <c r="W344">
        <f t="shared" si="91"/>
        <v>0</v>
      </c>
      <c r="X344">
        <f t="shared" si="92"/>
        <v>0</v>
      </c>
      <c r="Y344">
        <f t="shared" si="93"/>
        <v>0</v>
      </c>
      <c r="Z344">
        <f t="shared" si="94"/>
        <v>0</v>
      </c>
      <c r="AB344">
        <v>340</v>
      </c>
      <c r="AC344">
        <f t="shared" si="95"/>
        <v>1</v>
      </c>
      <c r="AD344">
        <f t="shared" si="85"/>
        <v>0</v>
      </c>
    </row>
    <row r="345" spans="3:30" x14ac:dyDescent="0.25">
      <c r="C345" s="3"/>
      <c r="D345" s="31">
        <f>Simulation_output!A343</f>
        <v>3415000</v>
      </c>
      <c r="E345">
        <f>Sheet2!R342</f>
        <v>0</v>
      </c>
      <c r="F345">
        <f>Sheet2!S342</f>
        <v>0</v>
      </c>
      <c r="G345">
        <f>Sheet2!T342</f>
        <v>0</v>
      </c>
      <c r="H345" s="31">
        <f>Simulation_output!E343</f>
        <v>0</v>
      </c>
      <c r="I345" s="31">
        <f>Simulation_output!F343</f>
        <v>2</v>
      </c>
      <c r="J345" s="31">
        <f>Simulation_output!G343</f>
        <v>1</v>
      </c>
      <c r="K345" s="31">
        <f>Simulation_output!H343</f>
        <v>0</v>
      </c>
      <c r="L345">
        <v>1</v>
      </c>
      <c r="M345">
        <f t="shared" si="99"/>
        <v>0</v>
      </c>
      <c r="N345">
        <f t="shared" si="98"/>
        <v>0</v>
      </c>
      <c r="O345">
        <f t="shared" si="97"/>
        <v>0</v>
      </c>
      <c r="P345">
        <f t="shared" si="100"/>
        <v>0</v>
      </c>
      <c r="Q345">
        <f t="shared" si="96"/>
        <v>0</v>
      </c>
      <c r="R345">
        <f t="shared" si="86"/>
        <v>0</v>
      </c>
      <c r="S345">
        <f t="shared" si="87"/>
        <v>0</v>
      </c>
      <c r="T345">
        <f t="shared" si="88"/>
        <v>0</v>
      </c>
      <c r="U345">
        <f t="shared" si="89"/>
        <v>0</v>
      </c>
      <c r="V345">
        <f t="shared" si="90"/>
        <v>0</v>
      </c>
      <c r="W345">
        <f t="shared" si="91"/>
        <v>0</v>
      </c>
      <c r="X345">
        <f t="shared" si="92"/>
        <v>0</v>
      </c>
      <c r="Y345">
        <f t="shared" si="93"/>
        <v>0</v>
      </c>
      <c r="Z345">
        <f t="shared" si="94"/>
        <v>0</v>
      </c>
      <c r="AB345">
        <v>341</v>
      </c>
      <c r="AC345">
        <f t="shared" si="95"/>
        <v>1</v>
      </c>
      <c r="AD345">
        <f t="shared" si="85"/>
        <v>0</v>
      </c>
    </row>
    <row r="346" spans="3:30" x14ac:dyDescent="0.25">
      <c r="C346" s="3"/>
      <c r="D346" s="31">
        <f>Simulation_output!A344</f>
        <v>3425000</v>
      </c>
      <c r="E346">
        <f>Sheet2!R343</f>
        <v>10037</v>
      </c>
      <c r="F346">
        <f>Sheet2!S343</f>
        <v>1</v>
      </c>
      <c r="G346">
        <f>Sheet2!T343</f>
        <v>1</v>
      </c>
      <c r="H346" s="31">
        <f>Simulation_output!E344</f>
        <v>0</v>
      </c>
      <c r="I346" s="31">
        <f>Simulation_output!F344</f>
        <v>23</v>
      </c>
      <c r="J346" s="31">
        <f>Simulation_output!G344</f>
        <v>1</v>
      </c>
      <c r="K346" s="31">
        <f>Simulation_output!H344</f>
        <v>0</v>
      </c>
      <c r="L346">
        <v>1</v>
      </c>
      <c r="M346">
        <f t="shared" si="99"/>
        <v>0</v>
      </c>
      <c r="N346">
        <f t="shared" si="98"/>
        <v>0</v>
      </c>
      <c r="O346">
        <f t="shared" si="97"/>
        <v>0</v>
      </c>
      <c r="P346">
        <f t="shared" si="100"/>
        <v>0</v>
      </c>
      <c r="Q346">
        <f t="shared" si="96"/>
        <v>0</v>
      </c>
      <c r="R346">
        <f t="shared" si="86"/>
        <v>0</v>
      </c>
      <c r="S346">
        <f t="shared" si="87"/>
        <v>0</v>
      </c>
      <c r="T346">
        <f t="shared" si="88"/>
        <v>0</v>
      </c>
      <c r="U346">
        <f t="shared" si="89"/>
        <v>0</v>
      </c>
      <c r="V346">
        <f t="shared" si="90"/>
        <v>0</v>
      </c>
      <c r="W346">
        <f t="shared" si="91"/>
        <v>0</v>
      </c>
      <c r="X346">
        <f t="shared" si="92"/>
        <v>0</v>
      </c>
      <c r="Y346">
        <f t="shared" si="93"/>
        <v>0</v>
      </c>
      <c r="Z346">
        <f t="shared" si="94"/>
        <v>0</v>
      </c>
      <c r="AB346">
        <v>342</v>
      </c>
      <c r="AC346">
        <f t="shared" si="95"/>
        <v>1</v>
      </c>
      <c r="AD346">
        <f t="shared" si="85"/>
        <v>0</v>
      </c>
    </row>
    <row r="347" spans="3:30" x14ac:dyDescent="0.25">
      <c r="C347" s="3"/>
      <c r="D347" s="31">
        <f>Simulation_output!A345</f>
        <v>3435000</v>
      </c>
      <c r="E347">
        <f>Sheet2!R344</f>
        <v>0</v>
      </c>
      <c r="F347">
        <f>Sheet2!S344</f>
        <v>0</v>
      </c>
      <c r="G347">
        <f>Sheet2!T344</f>
        <v>0</v>
      </c>
      <c r="H347" s="31">
        <f>Simulation_output!E345</f>
        <v>0</v>
      </c>
      <c r="I347" s="31">
        <f>Simulation_output!F345</f>
        <v>314</v>
      </c>
      <c r="J347" s="31">
        <f>Simulation_output!G345</f>
        <v>1</v>
      </c>
      <c r="K347" s="31">
        <f>Simulation_output!H345</f>
        <v>0</v>
      </c>
      <c r="L347">
        <v>1</v>
      </c>
      <c r="M347">
        <f t="shared" si="99"/>
        <v>0</v>
      </c>
      <c r="N347">
        <f t="shared" si="98"/>
        <v>0</v>
      </c>
      <c r="O347">
        <f t="shared" si="97"/>
        <v>0</v>
      </c>
      <c r="P347">
        <f t="shared" si="100"/>
        <v>0</v>
      </c>
      <c r="Q347">
        <f t="shared" si="96"/>
        <v>0</v>
      </c>
      <c r="R347">
        <f t="shared" si="86"/>
        <v>0</v>
      </c>
      <c r="S347">
        <f t="shared" si="87"/>
        <v>0</v>
      </c>
      <c r="T347">
        <f t="shared" si="88"/>
        <v>0</v>
      </c>
      <c r="U347">
        <f t="shared" si="89"/>
        <v>0</v>
      </c>
      <c r="V347">
        <f t="shared" si="90"/>
        <v>0</v>
      </c>
      <c r="W347">
        <f t="shared" si="91"/>
        <v>0</v>
      </c>
      <c r="X347">
        <f t="shared" si="92"/>
        <v>0</v>
      </c>
      <c r="Y347">
        <f t="shared" si="93"/>
        <v>0</v>
      </c>
      <c r="Z347">
        <f t="shared" si="94"/>
        <v>0</v>
      </c>
      <c r="AB347">
        <v>343</v>
      </c>
      <c r="AC347">
        <f t="shared" si="95"/>
        <v>1</v>
      </c>
      <c r="AD347">
        <f t="shared" si="85"/>
        <v>0</v>
      </c>
    </row>
    <row r="348" spans="3:30" x14ac:dyDescent="0.25">
      <c r="C348" s="3"/>
      <c r="D348" s="31">
        <f>Simulation_output!A346</f>
        <v>3445000</v>
      </c>
      <c r="E348">
        <f>Sheet2!R345</f>
        <v>0</v>
      </c>
      <c r="F348">
        <f>Sheet2!S345</f>
        <v>1</v>
      </c>
      <c r="G348">
        <f>Sheet2!T345</f>
        <v>0</v>
      </c>
      <c r="H348" s="31">
        <f>Simulation_output!E346</f>
        <v>0</v>
      </c>
      <c r="I348" s="31">
        <f>Simulation_output!F346</f>
        <v>25</v>
      </c>
      <c r="J348" s="31">
        <f>Simulation_output!G346</f>
        <v>1</v>
      </c>
      <c r="K348" s="31">
        <f>Simulation_output!H346</f>
        <v>0</v>
      </c>
      <c r="L348">
        <v>1</v>
      </c>
      <c r="M348">
        <f t="shared" si="99"/>
        <v>0</v>
      </c>
      <c r="N348">
        <f t="shared" si="98"/>
        <v>0</v>
      </c>
      <c r="O348">
        <f t="shared" si="97"/>
        <v>0</v>
      </c>
      <c r="P348">
        <f t="shared" si="100"/>
        <v>0</v>
      </c>
      <c r="Q348">
        <f t="shared" si="96"/>
        <v>0</v>
      </c>
      <c r="R348">
        <f t="shared" si="86"/>
        <v>0</v>
      </c>
      <c r="S348">
        <f t="shared" si="87"/>
        <v>0</v>
      </c>
      <c r="T348">
        <f t="shared" si="88"/>
        <v>0</v>
      </c>
      <c r="U348">
        <f t="shared" si="89"/>
        <v>0</v>
      </c>
      <c r="V348">
        <f t="shared" si="90"/>
        <v>0</v>
      </c>
      <c r="W348">
        <f t="shared" si="91"/>
        <v>0</v>
      </c>
      <c r="X348">
        <f t="shared" si="92"/>
        <v>0</v>
      </c>
      <c r="Y348">
        <f t="shared" si="93"/>
        <v>0</v>
      </c>
      <c r="Z348">
        <f t="shared" si="94"/>
        <v>0</v>
      </c>
      <c r="AB348">
        <v>344</v>
      </c>
      <c r="AC348">
        <f t="shared" si="95"/>
        <v>1</v>
      </c>
      <c r="AD348">
        <f t="shared" si="85"/>
        <v>0</v>
      </c>
    </row>
    <row r="349" spans="3:30" x14ac:dyDescent="0.25">
      <c r="C349" s="3"/>
      <c r="D349" s="31">
        <f>Simulation_output!A347</f>
        <v>3455000</v>
      </c>
      <c r="E349">
        <f>Sheet2!R346</f>
        <v>0</v>
      </c>
      <c r="F349">
        <f>Sheet2!S346</f>
        <v>0</v>
      </c>
      <c r="G349">
        <f>Sheet2!T346</f>
        <v>0</v>
      </c>
      <c r="H349" s="31">
        <f>Simulation_output!E347</f>
        <v>0</v>
      </c>
      <c r="I349" s="31">
        <f>Simulation_output!F347</f>
        <v>5</v>
      </c>
      <c r="J349" s="31">
        <f>Simulation_output!G347</f>
        <v>1</v>
      </c>
      <c r="K349" s="31">
        <f>Simulation_output!H347</f>
        <v>0</v>
      </c>
      <c r="L349">
        <v>1</v>
      </c>
      <c r="M349">
        <f t="shared" si="99"/>
        <v>0</v>
      </c>
      <c r="N349">
        <f t="shared" si="98"/>
        <v>0</v>
      </c>
      <c r="O349">
        <f t="shared" si="97"/>
        <v>0</v>
      </c>
      <c r="P349">
        <f t="shared" si="100"/>
        <v>0</v>
      </c>
      <c r="Q349">
        <f t="shared" si="96"/>
        <v>0</v>
      </c>
      <c r="R349">
        <f t="shared" si="86"/>
        <v>0</v>
      </c>
      <c r="S349">
        <f t="shared" si="87"/>
        <v>0</v>
      </c>
      <c r="T349">
        <f t="shared" si="88"/>
        <v>0</v>
      </c>
      <c r="U349">
        <f t="shared" si="89"/>
        <v>0</v>
      </c>
      <c r="V349">
        <f t="shared" si="90"/>
        <v>0</v>
      </c>
      <c r="W349">
        <f t="shared" si="91"/>
        <v>0</v>
      </c>
      <c r="X349">
        <f t="shared" si="92"/>
        <v>0</v>
      </c>
      <c r="Y349">
        <f t="shared" si="93"/>
        <v>0</v>
      </c>
      <c r="Z349">
        <f t="shared" si="94"/>
        <v>0</v>
      </c>
      <c r="AB349">
        <v>345</v>
      </c>
      <c r="AC349">
        <f t="shared" si="95"/>
        <v>1</v>
      </c>
      <c r="AD349">
        <f t="shared" si="85"/>
        <v>0</v>
      </c>
    </row>
    <row r="350" spans="3:30" x14ac:dyDescent="0.25">
      <c r="C350" s="3"/>
      <c r="D350" s="31">
        <f>Simulation_output!A348</f>
        <v>3465000</v>
      </c>
      <c r="E350">
        <f>Sheet2!R347</f>
        <v>8</v>
      </c>
      <c r="F350">
        <f>Sheet2!S347</f>
        <v>1</v>
      </c>
      <c r="G350">
        <f>Sheet2!T347</f>
        <v>0</v>
      </c>
      <c r="H350" s="31">
        <f>Simulation_output!E348</f>
        <v>0</v>
      </c>
      <c r="I350" s="31">
        <f>Simulation_output!F348</f>
        <v>11</v>
      </c>
      <c r="J350" s="31">
        <f>Simulation_output!G348</f>
        <v>1</v>
      </c>
      <c r="K350" s="31">
        <f>Simulation_output!H348</f>
        <v>0</v>
      </c>
      <c r="L350">
        <v>1</v>
      </c>
      <c r="M350">
        <f t="shared" si="99"/>
        <v>0</v>
      </c>
      <c r="N350">
        <f t="shared" si="98"/>
        <v>0</v>
      </c>
      <c r="O350">
        <f t="shared" si="97"/>
        <v>0</v>
      </c>
      <c r="P350">
        <f t="shared" si="100"/>
        <v>0</v>
      </c>
      <c r="Q350">
        <f t="shared" si="96"/>
        <v>0</v>
      </c>
      <c r="R350">
        <f t="shared" si="86"/>
        <v>0</v>
      </c>
      <c r="S350">
        <f t="shared" si="87"/>
        <v>0</v>
      </c>
      <c r="T350">
        <f t="shared" si="88"/>
        <v>0</v>
      </c>
      <c r="U350">
        <f t="shared" si="89"/>
        <v>0</v>
      </c>
      <c r="V350">
        <f t="shared" si="90"/>
        <v>0</v>
      </c>
      <c r="W350">
        <f t="shared" si="91"/>
        <v>0</v>
      </c>
      <c r="X350">
        <f t="shared" si="92"/>
        <v>0</v>
      </c>
      <c r="Y350">
        <f t="shared" si="93"/>
        <v>0</v>
      </c>
      <c r="Z350">
        <f t="shared" si="94"/>
        <v>0</v>
      </c>
      <c r="AB350">
        <v>346</v>
      </c>
      <c r="AC350">
        <f t="shared" si="95"/>
        <v>1</v>
      </c>
      <c r="AD350">
        <f t="shared" si="85"/>
        <v>0</v>
      </c>
    </row>
    <row r="351" spans="3:30" x14ac:dyDescent="0.25">
      <c r="C351" s="3"/>
      <c r="D351" s="31">
        <f>Simulation_output!A349</f>
        <v>3475000</v>
      </c>
      <c r="E351">
        <f>Sheet2!R348</f>
        <v>0</v>
      </c>
      <c r="F351">
        <f>Sheet2!S348</f>
        <v>0</v>
      </c>
      <c r="G351">
        <f>Sheet2!T348</f>
        <v>0</v>
      </c>
      <c r="H351" s="31">
        <f>Simulation_output!E349</f>
        <v>0</v>
      </c>
      <c r="I351" s="31">
        <f>Simulation_output!F349</f>
        <v>111</v>
      </c>
      <c r="J351" s="31">
        <f>Simulation_output!G349</f>
        <v>1</v>
      </c>
      <c r="K351" s="31">
        <f>Simulation_output!H349</f>
        <v>0</v>
      </c>
      <c r="L351">
        <v>1</v>
      </c>
      <c r="M351">
        <f t="shared" si="99"/>
        <v>0</v>
      </c>
      <c r="N351">
        <f t="shared" si="98"/>
        <v>0</v>
      </c>
      <c r="O351">
        <f t="shared" si="97"/>
        <v>0</v>
      </c>
      <c r="P351">
        <f t="shared" si="100"/>
        <v>0</v>
      </c>
      <c r="Q351">
        <f t="shared" si="96"/>
        <v>0</v>
      </c>
      <c r="R351">
        <f t="shared" si="86"/>
        <v>0</v>
      </c>
      <c r="S351">
        <f t="shared" si="87"/>
        <v>0</v>
      </c>
      <c r="T351">
        <f t="shared" si="88"/>
        <v>0</v>
      </c>
      <c r="U351">
        <f t="shared" si="89"/>
        <v>0</v>
      </c>
      <c r="V351">
        <f t="shared" si="90"/>
        <v>0</v>
      </c>
      <c r="W351">
        <f t="shared" si="91"/>
        <v>0</v>
      </c>
      <c r="X351">
        <f t="shared" si="92"/>
        <v>0</v>
      </c>
      <c r="Y351">
        <f t="shared" si="93"/>
        <v>0</v>
      </c>
      <c r="Z351">
        <f t="shared" si="94"/>
        <v>0</v>
      </c>
      <c r="AB351">
        <v>347</v>
      </c>
      <c r="AC351">
        <f t="shared" si="95"/>
        <v>1</v>
      </c>
      <c r="AD351">
        <f t="shared" si="85"/>
        <v>0</v>
      </c>
    </row>
    <row r="352" spans="3:30" x14ac:dyDescent="0.25">
      <c r="C352" s="3"/>
      <c r="D352" s="31">
        <f>Simulation_output!A350</f>
        <v>3485000</v>
      </c>
      <c r="E352">
        <f>Sheet2!R349</f>
        <v>38</v>
      </c>
      <c r="F352">
        <f>Sheet2!S349</f>
        <v>1</v>
      </c>
      <c r="G352">
        <f>Sheet2!T349</f>
        <v>0</v>
      </c>
      <c r="H352" s="31">
        <f>Simulation_output!E350</f>
        <v>1</v>
      </c>
      <c r="I352" s="31">
        <f>Simulation_output!F350</f>
        <v>1011</v>
      </c>
      <c r="J352" s="31">
        <f>Simulation_output!G350</f>
        <v>1</v>
      </c>
      <c r="K352" s="31">
        <f>Simulation_output!H350</f>
        <v>0</v>
      </c>
      <c r="L352">
        <v>1</v>
      </c>
      <c r="M352">
        <f t="shared" si="99"/>
        <v>0</v>
      </c>
      <c r="N352">
        <f t="shared" si="98"/>
        <v>0</v>
      </c>
      <c r="O352">
        <f t="shared" si="97"/>
        <v>0</v>
      </c>
      <c r="P352">
        <f t="shared" si="100"/>
        <v>0</v>
      </c>
      <c r="Q352">
        <f t="shared" si="96"/>
        <v>0</v>
      </c>
      <c r="R352">
        <f t="shared" si="86"/>
        <v>0</v>
      </c>
      <c r="S352">
        <f t="shared" si="87"/>
        <v>0</v>
      </c>
      <c r="T352">
        <f t="shared" si="88"/>
        <v>0</v>
      </c>
      <c r="U352">
        <f t="shared" si="89"/>
        <v>0</v>
      </c>
      <c r="V352">
        <f t="shared" si="90"/>
        <v>0</v>
      </c>
      <c r="W352">
        <f t="shared" si="91"/>
        <v>0</v>
      </c>
      <c r="X352">
        <f t="shared" si="92"/>
        <v>0</v>
      </c>
      <c r="Y352">
        <f t="shared" si="93"/>
        <v>0</v>
      </c>
      <c r="Z352">
        <f t="shared" si="94"/>
        <v>0</v>
      </c>
      <c r="AB352">
        <v>348</v>
      </c>
      <c r="AC352">
        <f t="shared" si="95"/>
        <v>1</v>
      </c>
      <c r="AD352">
        <f t="shared" si="85"/>
        <v>0</v>
      </c>
    </row>
    <row r="353" spans="3:30" x14ac:dyDescent="0.25">
      <c r="C353" s="3"/>
      <c r="D353" s="31">
        <f>Simulation_output!A351</f>
        <v>3495000</v>
      </c>
      <c r="E353">
        <f>Sheet2!R350</f>
        <v>0</v>
      </c>
      <c r="F353">
        <f>Sheet2!S350</f>
        <v>0</v>
      </c>
      <c r="G353">
        <f>Sheet2!T350</f>
        <v>0</v>
      </c>
      <c r="H353" s="31">
        <f>Simulation_output!E351</f>
        <v>1</v>
      </c>
      <c r="I353" s="31">
        <f>Simulation_output!F351</f>
        <v>10011</v>
      </c>
      <c r="J353" s="31">
        <f>Simulation_output!G351</f>
        <v>1</v>
      </c>
      <c r="K353" s="31">
        <f>Simulation_output!H351</f>
        <v>0</v>
      </c>
      <c r="L353">
        <v>1</v>
      </c>
      <c r="M353">
        <f t="shared" si="99"/>
        <v>0</v>
      </c>
      <c r="N353">
        <f t="shared" si="98"/>
        <v>0</v>
      </c>
      <c r="O353">
        <f t="shared" si="97"/>
        <v>0</v>
      </c>
      <c r="P353">
        <f t="shared" si="100"/>
        <v>0</v>
      </c>
      <c r="Q353">
        <f t="shared" si="96"/>
        <v>0</v>
      </c>
      <c r="R353">
        <f t="shared" si="86"/>
        <v>0</v>
      </c>
      <c r="S353">
        <f t="shared" si="87"/>
        <v>0</v>
      </c>
      <c r="T353">
        <f t="shared" si="88"/>
        <v>0</v>
      </c>
      <c r="U353">
        <f t="shared" si="89"/>
        <v>0</v>
      </c>
      <c r="V353">
        <f t="shared" si="90"/>
        <v>0</v>
      </c>
      <c r="W353">
        <f t="shared" si="91"/>
        <v>0</v>
      </c>
      <c r="X353">
        <f t="shared" si="92"/>
        <v>0</v>
      </c>
      <c r="Y353">
        <f t="shared" si="93"/>
        <v>0</v>
      </c>
      <c r="Z353">
        <f t="shared" si="94"/>
        <v>0</v>
      </c>
      <c r="AB353">
        <v>349</v>
      </c>
      <c r="AC353">
        <f t="shared" si="95"/>
        <v>1</v>
      </c>
      <c r="AD353">
        <f t="shared" si="85"/>
        <v>0</v>
      </c>
    </row>
    <row r="354" spans="3:30" x14ac:dyDescent="0.25">
      <c r="C354" s="3"/>
      <c r="D354" s="31">
        <f>Simulation_output!A352</f>
        <v>3505000</v>
      </c>
      <c r="E354">
        <f>Sheet2!R351</f>
        <v>138</v>
      </c>
      <c r="F354">
        <f>Sheet2!S351</f>
        <v>1</v>
      </c>
      <c r="G354">
        <f>Sheet2!T351</f>
        <v>0</v>
      </c>
      <c r="H354" s="31">
        <f>Simulation_output!E352</f>
        <v>1</v>
      </c>
      <c r="I354" s="31">
        <f>Simulation_output!F352</f>
        <v>1120</v>
      </c>
      <c r="J354" s="31">
        <f>Simulation_output!G352</f>
        <v>1</v>
      </c>
      <c r="K354" s="31">
        <f>Simulation_output!H352</f>
        <v>0</v>
      </c>
      <c r="L354">
        <v>1</v>
      </c>
      <c r="M354">
        <f t="shared" si="99"/>
        <v>0</v>
      </c>
      <c r="N354">
        <f t="shared" si="98"/>
        <v>0</v>
      </c>
      <c r="O354">
        <f t="shared" si="97"/>
        <v>0</v>
      </c>
      <c r="P354">
        <f t="shared" si="100"/>
        <v>0</v>
      </c>
      <c r="Q354">
        <f t="shared" si="96"/>
        <v>0</v>
      </c>
      <c r="R354">
        <f t="shared" si="86"/>
        <v>0</v>
      </c>
      <c r="S354">
        <f t="shared" si="87"/>
        <v>0</v>
      </c>
      <c r="T354">
        <f t="shared" si="88"/>
        <v>0</v>
      </c>
      <c r="U354">
        <f t="shared" si="89"/>
        <v>0</v>
      </c>
      <c r="V354">
        <f t="shared" si="90"/>
        <v>0</v>
      </c>
      <c r="W354">
        <f t="shared" si="91"/>
        <v>0</v>
      </c>
      <c r="X354">
        <f t="shared" si="92"/>
        <v>0</v>
      </c>
      <c r="Y354">
        <f t="shared" si="93"/>
        <v>0</v>
      </c>
      <c r="Z354">
        <f t="shared" si="94"/>
        <v>0</v>
      </c>
      <c r="AB354">
        <v>350</v>
      </c>
      <c r="AC354">
        <f t="shared" si="95"/>
        <v>1</v>
      </c>
      <c r="AD354">
        <f t="shared" si="85"/>
        <v>0</v>
      </c>
    </row>
    <row r="355" spans="3:30" x14ac:dyDescent="0.25">
      <c r="C355" s="3"/>
      <c r="D355" s="31">
        <f>Simulation_output!A353</f>
        <v>3515000</v>
      </c>
      <c r="E355">
        <f>Sheet2!R352</f>
        <v>0</v>
      </c>
      <c r="F355">
        <f>Sheet2!S352</f>
        <v>0</v>
      </c>
      <c r="G355">
        <f>Sheet2!T352</f>
        <v>0</v>
      </c>
      <c r="H355" s="31">
        <f>Simulation_output!E353</f>
        <v>1</v>
      </c>
      <c r="I355" s="31">
        <f>Simulation_output!F353</f>
        <v>323</v>
      </c>
      <c r="J355" s="31">
        <f>Simulation_output!G353</f>
        <v>1</v>
      </c>
      <c r="K355" s="31">
        <f>Simulation_output!H353</f>
        <v>0</v>
      </c>
      <c r="L355">
        <v>1</v>
      </c>
      <c r="M355">
        <f t="shared" si="99"/>
        <v>0</v>
      </c>
      <c r="N355">
        <f t="shared" si="98"/>
        <v>0</v>
      </c>
      <c r="O355">
        <f t="shared" si="97"/>
        <v>0</v>
      </c>
      <c r="P355">
        <f t="shared" si="100"/>
        <v>0</v>
      </c>
      <c r="Q355">
        <f t="shared" si="96"/>
        <v>0</v>
      </c>
      <c r="R355">
        <f t="shared" si="86"/>
        <v>0</v>
      </c>
      <c r="S355">
        <f t="shared" si="87"/>
        <v>0</v>
      </c>
      <c r="T355">
        <f t="shared" si="88"/>
        <v>0</v>
      </c>
      <c r="U355">
        <f t="shared" si="89"/>
        <v>0</v>
      </c>
      <c r="V355">
        <f t="shared" si="90"/>
        <v>0</v>
      </c>
      <c r="W355">
        <f t="shared" si="91"/>
        <v>0</v>
      </c>
      <c r="X355">
        <f t="shared" si="92"/>
        <v>0</v>
      </c>
      <c r="Y355">
        <f t="shared" si="93"/>
        <v>0</v>
      </c>
      <c r="Z355">
        <f t="shared" si="94"/>
        <v>0</v>
      </c>
      <c r="AB355">
        <v>351</v>
      </c>
      <c r="AC355">
        <f t="shared" si="95"/>
        <v>1</v>
      </c>
      <c r="AD355">
        <f t="shared" si="85"/>
        <v>0</v>
      </c>
    </row>
    <row r="356" spans="3:30" x14ac:dyDescent="0.25">
      <c r="C356" s="3"/>
      <c r="D356" s="31">
        <f>Simulation_output!A354</f>
        <v>3525000</v>
      </c>
      <c r="E356">
        <f>Sheet2!R353</f>
        <v>1038</v>
      </c>
      <c r="F356">
        <f>Sheet2!S353</f>
        <v>1</v>
      </c>
      <c r="G356">
        <f>Sheet2!T353</f>
        <v>0</v>
      </c>
      <c r="H356" s="31">
        <f>Simulation_output!E354</f>
        <v>1</v>
      </c>
      <c r="I356" s="31">
        <f>Simulation_output!F354</f>
        <v>0</v>
      </c>
      <c r="J356" s="31">
        <f>Simulation_output!G354</f>
        <v>1</v>
      </c>
      <c r="K356" s="31">
        <f>Simulation_output!H354</f>
        <v>0</v>
      </c>
      <c r="L356">
        <v>1</v>
      </c>
      <c r="M356">
        <f t="shared" si="99"/>
        <v>0</v>
      </c>
      <c r="N356">
        <f t="shared" si="98"/>
        <v>0</v>
      </c>
      <c r="O356">
        <f t="shared" si="97"/>
        <v>0</v>
      </c>
      <c r="P356">
        <f t="shared" si="100"/>
        <v>0</v>
      </c>
      <c r="Q356">
        <f t="shared" si="96"/>
        <v>0</v>
      </c>
      <c r="R356">
        <f t="shared" si="86"/>
        <v>0</v>
      </c>
      <c r="S356">
        <f t="shared" si="87"/>
        <v>0</v>
      </c>
      <c r="T356">
        <f t="shared" si="88"/>
        <v>0</v>
      </c>
      <c r="U356">
        <f t="shared" si="89"/>
        <v>0</v>
      </c>
      <c r="V356">
        <f t="shared" si="90"/>
        <v>0</v>
      </c>
      <c r="W356">
        <f t="shared" si="91"/>
        <v>0</v>
      </c>
      <c r="X356">
        <f t="shared" si="92"/>
        <v>0</v>
      </c>
      <c r="Y356">
        <f t="shared" si="93"/>
        <v>0</v>
      </c>
      <c r="Z356">
        <f t="shared" si="94"/>
        <v>0</v>
      </c>
      <c r="AB356">
        <v>352</v>
      </c>
      <c r="AC356">
        <f t="shared" si="95"/>
        <v>1</v>
      </c>
      <c r="AD356">
        <f t="shared" si="85"/>
        <v>0</v>
      </c>
    </row>
    <row r="357" spans="3:30" x14ac:dyDescent="0.25">
      <c r="C357" s="3"/>
      <c r="D357" s="31">
        <f>Simulation_output!A355</f>
        <v>3535000</v>
      </c>
      <c r="E357">
        <f>Sheet2!R354</f>
        <v>0</v>
      </c>
      <c r="F357">
        <f>Sheet2!S354</f>
        <v>0</v>
      </c>
      <c r="G357">
        <f>Sheet2!T354</f>
        <v>0</v>
      </c>
      <c r="H357" s="31">
        <f>Simulation_output!E355</f>
        <v>1</v>
      </c>
      <c r="I357" s="31">
        <f>Simulation_output!F355</f>
        <v>268435454</v>
      </c>
      <c r="J357" s="31">
        <f>Simulation_output!G355</f>
        <v>1</v>
      </c>
      <c r="K357" s="31">
        <f>Simulation_output!H355</f>
        <v>1</v>
      </c>
      <c r="L357">
        <v>1</v>
      </c>
      <c r="M357" t="str">
        <f t="shared" si="99"/>
        <v>FFFFFFF</v>
      </c>
      <c r="N357">
        <f t="shared" si="98"/>
        <v>2</v>
      </c>
      <c r="O357">
        <f t="shared" si="97"/>
        <v>23</v>
      </c>
      <c r="P357">
        <f t="shared" si="100"/>
        <v>314</v>
      </c>
      <c r="Q357">
        <f t="shared" si="96"/>
        <v>25</v>
      </c>
      <c r="R357">
        <f t="shared" si="86"/>
        <v>5</v>
      </c>
      <c r="S357">
        <f t="shared" si="87"/>
        <v>11</v>
      </c>
      <c r="T357">
        <f t="shared" si="88"/>
        <v>111</v>
      </c>
      <c r="U357">
        <f t="shared" si="89"/>
        <v>1011</v>
      </c>
      <c r="V357">
        <f t="shared" si="90"/>
        <v>10011</v>
      </c>
      <c r="W357">
        <f t="shared" si="91"/>
        <v>1120</v>
      </c>
      <c r="X357">
        <f t="shared" si="92"/>
        <v>323</v>
      </c>
      <c r="Y357">
        <f t="shared" si="93"/>
        <v>0</v>
      </c>
      <c r="Z357" t="str">
        <f t="shared" si="94"/>
        <v>FFFFFFE</v>
      </c>
      <c r="AB357">
        <v>353</v>
      </c>
      <c r="AC357">
        <f t="shared" si="95"/>
        <v>2</v>
      </c>
      <c r="AD357">
        <f t="shared" si="85"/>
        <v>2</v>
      </c>
    </row>
    <row r="358" spans="3:30" x14ac:dyDescent="0.25">
      <c r="C358" s="3"/>
      <c r="D358" s="31">
        <f>Simulation_output!A356</f>
        <v>3545000</v>
      </c>
      <c r="E358">
        <f>Sheet2!R355</f>
        <v>10038</v>
      </c>
      <c r="F358">
        <f>Sheet2!S355</f>
        <v>1</v>
      </c>
      <c r="G358">
        <f>Sheet2!T355</f>
        <v>1</v>
      </c>
      <c r="H358" s="31">
        <f>Simulation_output!E356</f>
        <v>1</v>
      </c>
      <c r="I358" s="31">
        <f>Simulation_output!F356</f>
        <v>268435455</v>
      </c>
      <c r="J358" s="31">
        <f>Simulation_output!G356</f>
        <v>1</v>
      </c>
      <c r="K358" s="31">
        <f>Simulation_output!H356</f>
        <v>0</v>
      </c>
      <c r="L358">
        <v>1</v>
      </c>
      <c r="M358">
        <f t="shared" si="99"/>
        <v>0</v>
      </c>
      <c r="N358">
        <f t="shared" si="98"/>
        <v>0</v>
      </c>
      <c r="O358">
        <f t="shared" si="97"/>
        <v>0</v>
      </c>
      <c r="P358">
        <f t="shared" si="100"/>
        <v>0</v>
      </c>
      <c r="Q358">
        <f t="shared" si="96"/>
        <v>0</v>
      </c>
      <c r="R358">
        <f t="shared" si="86"/>
        <v>0</v>
      </c>
      <c r="S358">
        <f t="shared" si="87"/>
        <v>0</v>
      </c>
      <c r="T358">
        <f t="shared" si="88"/>
        <v>0</v>
      </c>
      <c r="U358">
        <f t="shared" si="89"/>
        <v>0</v>
      </c>
      <c r="V358">
        <f t="shared" si="90"/>
        <v>0</v>
      </c>
      <c r="W358">
        <f t="shared" si="91"/>
        <v>0</v>
      </c>
      <c r="X358">
        <f t="shared" si="92"/>
        <v>0</v>
      </c>
      <c r="Y358">
        <f t="shared" si="93"/>
        <v>0</v>
      </c>
      <c r="Z358">
        <f t="shared" si="94"/>
        <v>0</v>
      </c>
      <c r="AB358">
        <v>354</v>
      </c>
      <c r="AC358">
        <f t="shared" si="95"/>
        <v>2</v>
      </c>
      <c r="AD358">
        <f t="shared" si="85"/>
        <v>0</v>
      </c>
    </row>
    <row r="359" spans="3:30" x14ac:dyDescent="0.25">
      <c r="C359" s="3"/>
      <c r="D359" s="31">
        <f>Simulation_output!A357</f>
        <v>3555000</v>
      </c>
      <c r="E359">
        <f>Sheet2!R356</f>
        <v>0</v>
      </c>
      <c r="F359">
        <f>Sheet2!S356</f>
        <v>0</v>
      </c>
      <c r="G359">
        <f>Sheet2!T356</f>
        <v>0</v>
      </c>
      <c r="H359" s="31">
        <f>Simulation_output!E357</f>
        <v>1</v>
      </c>
      <c r="I359" s="31">
        <f>Simulation_output!F357</f>
        <v>3</v>
      </c>
      <c r="J359" s="31">
        <f>Simulation_output!G357</f>
        <v>1</v>
      </c>
      <c r="K359" s="31">
        <f>Simulation_output!H357</f>
        <v>0</v>
      </c>
      <c r="L359">
        <v>1</v>
      </c>
      <c r="M359">
        <f t="shared" si="99"/>
        <v>0</v>
      </c>
      <c r="N359">
        <f t="shared" si="98"/>
        <v>0</v>
      </c>
      <c r="O359">
        <f t="shared" si="97"/>
        <v>0</v>
      </c>
      <c r="P359">
        <f t="shared" si="100"/>
        <v>0</v>
      </c>
      <c r="Q359">
        <f t="shared" si="96"/>
        <v>0</v>
      </c>
      <c r="R359">
        <f t="shared" si="86"/>
        <v>0</v>
      </c>
      <c r="S359">
        <f t="shared" si="87"/>
        <v>0</v>
      </c>
      <c r="T359">
        <f t="shared" si="88"/>
        <v>0</v>
      </c>
      <c r="U359">
        <f t="shared" si="89"/>
        <v>0</v>
      </c>
      <c r="V359">
        <f t="shared" si="90"/>
        <v>0</v>
      </c>
      <c r="W359">
        <f t="shared" si="91"/>
        <v>0</v>
      </c>
      <c r="X359">
        <f t="shared" si="92"/>
        <v>0</v>
      </c>
      <c r="Y359">
        <f t="shared" si="93"/>
        <v>0</v>
      </c>
      <c r="Z359">
        <f t="shared" si="94"/>
        <v>0</v>
      </c>
      <c r="AB359">
        <v>355</v>
      </c>
      <c r="AC359">
        <f t="shared" si="95"/>
        <v>2</v>
      </c>
      <c r="AD359">
        <f t="shared" si="85"/>
        <v>0</v>
      </c>
    </row>
    <row r="360" spans="3:30" x14ac:dyDescent="0.25">
      <c r="C360" s="3"/>
      <c r="D360" s="31">
        <f>Simulation_output!A358</f>
        <v>3565000</v>
      </c>
      <c r="E360">
        <f>Sheet2!R357</f>
        <v>0</v>
      </c>
      <c r="F360">
        <f>Sheet2!S357</f>
        <v>1</v>
      </c>
      <c r="G360">
        <f>Sheet2!T357</f>
        <v>0</v>
      </c>
      <c r="H360" s="31">
        <f>Simulation_output!E358</f>
        <v>1</v>
      </c>
      <c r="I360" s="31">
        <f>Simulation_output!F358</f>
        <v>35</v>
      </c>
      <c r="J360" s="31">
        <f>Simulation_output!G358</f>
        <v>1</v>
      </c>
      <c r="K360" s="31">
        <f>Simulation_output!H358</f>
        <v>0</v>
      </c>
      <c r="L360">
        <v>1</v>
      </c>
      <c r="M360">
        <f t="shared" si="99"/>
        <v>0</v>
      </c>
      <c r="N360">
        <f t="shared" si="98"/>
        <v>0</v>
      </c>
      <c r="O360">
        <f t="shared" si="97"/>
        <v>0</v>
      </c>
      <c r="P360">
        <f t="shared" si="100"/>
        <v>0</v>
      </c>
      <c r="Q360">
        <f t="shared" si="96"/>
        <v>0</v>
      </c>
      <c r="R360">
        <f t="shared" si="86"/>
        <v>0</v>
      </c>
      <c r="S360">
        <f t="shared" si="87"/>
        <v>0</v>
      </c>
      <c r="T360">
        <f t="shared" si="88"/>
        <v>0</v>
      </c>
      <c r="U360">
        <f t="shared" si="89"/>
        <v>0</v>
      </c>
      <c r="V360">
        <f t="shared" si="90"/>
        <v>0</v>
      </c>
      <c r="W360">
        <f t="shared" si="91"/>
        <v>0</v>
      </c>
      <c r="X360">
        <f t="shared" si="92"/>
        <v>0</v>
      </c>
      <c r="Y360">
        <f t="shared" si="93"/>
        <v>0</v>
      </c>
      <c r="Z360">
        <f t="shared" si="94"/>
        <v>0</v>
      </c>
      <c r="AB360">
        <v>356</v>
      </c>
      <c r="AC360">
        <f t="shared" si="95"/>
        <v>2</v>
      </c>
      <c r="AD360">
        <f t="shared" si="85"/>
        <v>0</v>
      </c>
    </row>
    <row r="361" spans="3:30" x14ac:dyDescent="0.25">
      <c r="C361" s="3"/>
      <c r="D361" s="31">
        <f>Simulation_output!A359</f>
        <v>3575000</v>
      </c>
      <c r="E361">
        <f>Sheet2!R358</f>
        <v>0</v>
      </c>
      <c r="F361">
        <f>Sheet2!S358</f>
        <v>0</v>
      </c>
      <c r="G361">
        <f>Sheet2!T358</f>
        <v>0</v>
      </c>
      <c r="H361" s="31">
        <f>Simulation_output!E359</f>
        <v>0</v>
      </c>
      <c r="I361" s="31">
        <f>Simulation_output!F359</f>
        <v>315</v>
      </c>
      <c r="J361" s="31">
        <f>Simulation_output!G359</f>
        <v>1</v>
      </c>
      <c r="K361" s="31">
        <f>Simulation_output!H359</f>
        <v>0</v>
      </c>
      <c r="L361">
        <v>1</v>
      </c>
      <c r="M361">
        <f t="shared" si="99"/>
        <v>0</v>
      </c>
      <c r="N361">
        <f t="shared" si="98"/>
        <v>0</v>
      </c>
      <c r="O361">
        <f t="shared" si="97"/>
        <v>0</v>
      </c>
      <c r="P361">
        <f t="shared" si="100"/>
        <v>0</v>
      </c>
      <c r="Q361">
        <f t="shared" si="96"/>
        <v>0</v>
      </c>
      <c r="R361">
        <f t="shared" si="86"/>
        <v>0</v>
      </c>
      <c r="S361">
        <f t="shared" si="87"/>
        <v>0</v>
      </c>
      <c r="T361">
        <f t="shared" si="88"/>
        <v>0</v>
      </c>
      <c r="U361">
        <f t="shared" si="89"/>
        <v>0</v>
      </c>
      <c r="V361">
        <f t="shared" si="90"/>
        <v>0</v>
      </c>
      <c r="W361">
        <f t="shared" si="91"/>
        <v>0</v>
      </c>
      <c r="X361">
        <f t="shared" si="92"/>
        <v>0</v>
      </c>
      <c r="Y361">
        <f t="shared" si="93"/>
        <v>0</v>
      </c>
      <c r="Z361">
        <f t="shared" si="94"/>
        <v>0</v>
      </c>
      <c r="AB361">
        <v>357</v>
      </c>
      <c r="AC361">
        <f t="shared" si="95"/>
        <v>2</v>
      </c>
      <c r="AD361">
        <f t="shared" si="85"/>
        <v>0</v>
      </c>
    </row>
    <row r="362" spans="3:30" x14ac:dyDescent="0.25">
      <c r="C362" s="3"/>
      <c r="D362" s="31">
        <f>Simulation_output!A360</f>
        <v>3585000</v>
      </c>
      <c r="E362">
        <f>Sheet2!R359</f>
        <v>8</v>
      </c>
      <c r="F362">
        <f>Sheet2!S359</f>
        <v>1</v>
      </c>
      <c r="G362">
        <f>Sheet2!T359</f>
        <v>0</v>
      </c>
      <c r="H362" s="31">
        <f>Simulation_output!E360</f>
        <v>1</v>
      </c>
      <c r="I362" s="31">
        <f>Simulation_output!F360</f>
        <v>25</v>
      </c>
      <c r="J362" s="31">
        <f>Simulation_output!G360</f>
        <v>1</v>
      </c>
      <c r="K362" s="31">
        <f>Simulation_output!H360</f>
        <v>0</v>
      </c>
      <c r="L362">
        <v>1</v>
      </c>
      <c r="M362">
        <f t="shared" si="99"/>
        <v>0</v>
      </c>
      <c r="N362">
        <f t="shared" si="98"/>
        <v>0</v>
      </c>
      <c r="O362">
        <f t="shared" si="97"/>
        <v>0</v>
      </c>
      <c r="P362">
        <f t="shared" si="100"/>
        <v>0</v>
      </c>
      <c r="Q362">
        <f t="shared" si="96"/>
        <v>0</v>
      </c>
      <c r="R362">
        <f t="shared" si="86"/>
        <v>0</v>
      </c>
      <c r="S362">
        <f t="shared" si="87"/>
        <v>0</v>
      </c>
      <c r="T362">
        <f t="shared" si="88"/>
        <v>0</v>
      </c>
      <c r="U362">
        <f t="shared" si="89"/>
        <v>0</v>
      </c>
      <c r="V362">
        <f t="shared" si="90"/>
        <v>0</v>
      </c>
      <c r="W362">
        <f t="shared" si="91"/>
        <v>0</v>
      </c>
      <c r="X362">
        <f t="shared" si="92"/>
        <v>0</v>
      </c>
      <c r="Y362">
        <f t="shared" si="93"/>
        <v>0</v>
      </c>
      <c r="Z362">
        <f t="shared" si="94"/>
        <v>0</v>
      </c>
      <c r="AB362">
        <v>358</v>
      </c>
      <c r="AC362">
        <f t="shared" si="95"/>
        <v>2</v>
      </c>
      <c r="AD362">
        <f t="shared" si="85"/>
        <v>0</v>
      </c>
    </row>
    <row r="363" spans="3:30" x14ac:dyDescent="0.25">
      <c r="C363" s="3"/>
      <c r="D363" s="31">
        <f>Simulation_output!A361</f>
        <v>3595000</v>
      </c>
      <c r="E363">
        <f>Sheet2!R360</f>
        <v>0</v>
      </c>
      <c r="F363">
        <f>Sheet2!S360</f>
        <v>0</v>
      </c>
      <c r="G363">
        <f>Sheet2!T360</f>
        <v>0</v>
      </c>
      <c r="H363" s="31">
        <f>Simulation_output!E361</f>
        <v>1</v>
      </c>
      <c r="I363" s="31">
        <f>Simulation_output!F361</f>
        <v>5</v>
      </c>
      <c r="J363" s="31">
        <f>Simulation_output!G361</f>
        <v>1</v>
      </c>
      <c r="K363" s="31">
        <f>Simulation_output!H361</f>
        <v>0</v>
      </c>
      <c r="L363">
        <v>1</v>
      </c>
      <c r="M363">
        <f t="shared" si="99"/>
        <v>0</v>
      </c>
      <c r="N363">
        <f t="shared" si="98"/>
        <v>0</v>
      </c>
      <c r="O363">
        <f t="shared" si="97"/>
        <v>0</v>
      </c>
      <c r="P363">
        <f t="shared" si="100"/>
        <v>0</v>
      </c>
      <c r="Q363">
        <f t="shared" si="96"/>
        <v>0</v>
      </c>
      <c r="R363">
        <f t="shared" si="86"/>
        <v>0</v>
      </c>
      <c r="S363">
        <f t="shared" si="87"/>
        <v>0</v>
      </c>
      <c r="T363">
        <f t="shared" si="88"/>
        <v>0</v>
      </c>
      <c r="U363">
        <f t="shared" si="89"/>
        <v>0</v>
      </c>
      <c r="V363">
        <f t="shared" si="90"/>
        <v>0</v>
      </c>
      <c r="W363">
        <f t="shared" si="91"/>
        <v>0</v>
      </c>
      <c r="X363">
        <f t="shared" si="92"/>
        <v>0</v>
      </c>
      <c r="Y363">
        <f t="shared" si="93"/>
        <v>0</v>
      </c>
      <c r="Z363">
        <f t="shared" si="94"/>
        <v>0</v>
      </c>
      <c r="AB363">
        <v>359</v>
      </c>
      <c r="AC363">
        <f t="shared" si="95"/>
        <v>2</v>
      </c>
      <c r="AD363">
        <f t="shared" si="85"/>
        <v>0</v>
      </c>
    </row>
    <row r="364" spans="3:30" x14ac:dyDescent="0.25">
      <c r="C364" s="3"/>
      <c r="D364" s="31">
        <f>Simulation_output!A362</f>
        <v>3605000</v>
      </c>
      <c r="E364">
        <f>Sheet2!R361</f>
        <v>39</v>
      </c>
      <c r="F364">
        <f>Sheet2!S361</f>
        <v>1</v>
      </c>
      <c r="G364">
        <f>Sheet2!T361</f>
        <v>0</v>
      </c>
      <c r="H364" s="31">
        <f>Simulation_output!E362</f>
        <v>1</v>
      </c>
      <c r="I364" s="31">
        <f>Simulation_output!F362</f>
        <v>12</v>
      </c>
      <c r="J364" s="31">
        <f>Simulation_output!G362</f>
        <v>1</v>
      </c>
      <c r="K364" s="31">
        <f>Simulation_output!H362</f>
        <v>0</v>
      </c>
      <c r="L364">
        <v>1</v>
      </c>
      <c r="M364">
        <f t="shared" si="99"/>
        <v>0</v>
      </c>
      <c r="N364">
        <f t="shared" si="98"/>
        <v>0</v>
      </c>
      <c r="O364">
        <f t="shared" si="97"/>
        <v>0</v>
      </c>
      <c r="P364">
        <f t="shared" si="100"/>
        <v>0</v>
      </c>
      <c r="Q364">
        <f t="shared" si="96"/>
        <v>0</v>
      </c>
      <c r="R364">
        <f t="shared" si="86"/>
        <v>0</v>
      </c>
      <c r="S364">
        <f t="shared" si="87"/>
        <v>0</v>
      </c>
      <c r="T364">
        <f t="shared" si="88"/>
        <v>0</v>
      </c>
      <c r="U364">
        <f t="shared" si="89"/>
        <v>0</v>
      </c>
      <c r="V364">
        <f t="shared" si="90"/>
        <v>0</v>
      </c>
      <c r="W364">
        <f t="shared" si="91"/>
        <v>0</v>
      </c>
      <c r="X364">
        <f t="shared" si="92"/>
        <v>0</v>
      </c>
      <c r="Y364">
        <f t="shared" si="93"/>
        <v>0</v>
      </c>
      <c r="Z364">
        <f t="shared" si="94"/>
        <v>0</v>
      </c>
      <c r="AB364">
        <v>360</v>
      </c>
      <c r="AC364">
        <f t="shared" si="95"/>
        <v>2</v>
      </c>
      <c r="AD364">
        <f t="shared" si="85"/>
        <v>0</v>
      </c>
    </row>
    <row r="365" spans="3:30" x14ac:dyDescent="0.25">
      <c r="C365" s="3"/>
      <c r="D365" s="31">
        <f>Simulation_output!A363</f>
        <v>3615000</v>
      </c>
      <c r="E365">
        <f>Sheet2!R362</f>
        <v>0</v>
      </c>
      <c r="F365">
        <f>Sheet2!S362</f>
        <v>0</v>
      </c>
      <c r="G365">
        <f>Sheet2!T362</f>
        <v>0</v>
      </c>
      <c r="H365" s="31">
        <f>Simulation_output!E363</f>
        <v>1</v>
      </c>
      <c r="I365" s="31">
        <f>Simulation_output!F363</f>
        <v>112</v>
      </c>
      <c r="J365" s="31">
        <f>Simulation_output!G363</f>
        <v>1</v>
      </c>
      <c r="K365" s="31">
        <f>Simulation_output!H363</f>
        <v>0</v>
      </c>
      <c r="L365">
        <v>1</v>
      </c>
      <c r="M365">
        <f t="shared" si="99"/>
        <v>0</v>
      </c>
      <c r="N365">
        <f t="shared" si="98"/>
        <v>0</v>
      </c>
      <c r="O365">
        <f t="shared" si="97"/>
        <v>0</v>
      </c>
      <c r="P365">
        <f t="shared" si="100"/>
        <v>0</v>
      </c>
      <c r="Q365">
        <f t="shared" si="96"/>
        <v>0</v>
      </c>
      <c r="R365">
        <f t="shared" si="86"/>
        <v>0</v>
      </c>
      <c r="S365">
        <f t="shared" si="87"/>
        <v>0</v>
      </c>
      <c r="T365">
        <f t="shared" si="88"/>
        <v>0</v>
      </c>
      <c r="U365">
        <f t="shared" si="89"/>
        <v>0</v>
      </c>
      <c r="V365">
        <f t="shared" si="90"/>
        <v>0</v>
      </c>
      <c r="W365">
        <f t="shared" si="91"/>
        <v>0</v>
      </c>
      <c r="X365">
        <f t="shared" si="92"/>
        <v>0</v>
      </c>
      <c r="Y365">
        <f t="shared" si="93"/>
        <v>0</v>
      </c>
      <c r="Z365">
        <f t="shared" si="94"/>
        <v>0</v>
      </c>
      <c r="AB365">
        <v>361</v>
      </c>
      <c r="AC365">
        <f t="shared" si="95"/>
        <v>2</v>
      </c>
      <c r="AD365">
        <f t="shared" si="85"/>
        <v>0</v>
      </c>
    </row>
    <row r="366" spans="3:30" x14ac:dyDescent="0.25">
      <c r="C366" s="3"/>
      <c r="D366" s="31">
        <f>Simulation_output!A364</f>
        <v>3625000</v>
      </c>
      <c r="E366">
        <f>Sheet2!R363</f>
        <v>139</v>
      </c>
      <c r="F366">
        <f>Sheet2!S363</f>
        <v>1</v>
      </c>
      <c r="G366">
        <f>Sheet2!T363</f>
        <v>0</v>
      </c>
      <c r="H366" s="31">
        <f>Simulation_output!E364</f>
        <v>1</v>
      </c>
      <c r="I366" s="31">
        <f>Simulation_output!F364</f>
        <v>1012</v>
      </c>
      <c r="J366" s="31">
        <f>Simulation_output!G364</f>
        <v>1</v>
      </c>
      <c r="K366" s="31">
        <f>Simulation_output!H364</f>
        <v>0</v>
      </c>
      <c r="L366">
        <v>1</v>
      </c>
      <c r="M366">
        <f t="shared" si="99"/>
        <v>0</v>
      </c>
      <c r="N366">
        <f t="shared" si="98"/>
        <v>0</v>
      </c>
      <c r="O366">
        <f t="shared" si="97"/>
        <v>0</v>
      </c>
      <c r="P366">
        <f t="shared" si="100"/>
        <v>0</v>
      </c>
      <c r="Q366">
        <f t="shared" si="96"/>
        <v>0</v>
      </c>
      <c r="R366">
        <f t="shared" si="86"/>
        <v>0</v>
      </c>
      <c r="S366">
        <f t="shared" si="87"/>
        <v>0</v>
      </c>
      <c r="T366">
        <f t="shared" si="88"/>
        <v>0</v>
      </c>
      <c r="U366">
        <f t="shared" si="89"/>
        <v>0</v>
      </c>
      <c r="V366">
        <f t="shared" si="90"/>
        <v>0</v>
      </c>
      <c r="W366">
        <f t="shared" si="91"/>
        <v>0</v>
      </c>
      <c r="X366">
        <f t="shared" si="92"/>
        <v>0</v>
      </c>
      <c r="Y366">
        <f t="shared" si="93"/>
        <v>0</v>
      </c>
      <c r="Z366">
        <f t="shared" si="94"/>
        <v>0</v>
      </c>
      <c r="AB366">
        <v>362</v>
      </c>
      <c r="AC366">
        <f t="shared" si="95"/>
        <v>2</v>
      </c>
      <c r="AD366">
        <f t="shared" si="85"/>
        <v>0</v>
      </c>
    </row>
    <row r="367" spans="3:30" x14ac:dyDescent="0.25">
      <c r="C367" s="3"/>
      <c r="D367" s="31">
        <f>Simulation_output!A365</f>
        <v>3635000</v>
      </c>
      <c r="E367">
        <f>Sheet2!R364</f>
        <v>0</v>
      </c>
      <c r="F367">
        <f>Sheet2!S364</f>
        <v>0</v>
      </c>
      <c r="G367">
        <f>Sheet2!T364</f>
        <v>0</v>
      </c>
      <c r="H367" s="31">
        <f>Simulation_output!E365</f>
        <v>1</v>
      </c>
      <c r="I367" s="31">
        <f>Simulation_output!F365</f>
        <v>10012</v>
      </c>
      <c r="J367" s="31">
        <f>Simulation_output!G365</f>
        <v>1</v>
      </c>
      <c r="K367" s="31">
        <f>Simulation_output!H365</f>
        <v>0</v>
      </c>
      <c r="L367">
        <v>1</v>
      </c>
      <c r="M367">
        <f t="shared" si="99"/>
        <v>0</v>
      </c>
      <c r="N367">
        <f t="shared" si="98"/>
        <v>0</v>
      </c>
      <c r="O367">
        <f t="shared" si="97"/>
        <v>0</v>
      </c>
      <c r="P367">
        <f t="shared" si="100"/>
        <v>0</v>
      </c>
      <c r="Q367">
        <f t="shared" si="96"/>
        <v>0</v>
      </c>
      <c r="R367">
        <f t="shared" si="86"/>
        <v>0</v>
      </c>
      <c r="S367">
        <f t="shared" si="87"/>
        <v>0</v>
      </c>
      <c r="T367">
        <f t="shared" si="88"/>
        <v>0</v>
      </c>
      <c r="U367">
        <f t="shared" si="89"/>
        <v>0</v>
      </c>
      <c r="V367">
        <f t="shared" si="90"/>
        <v>0</v>
      </c>
      <c r="W367">
        <f t="shared" si="91"/>
        <v>0</v>
      </c>
      <c r="X367">
        <f t="shared" si="92"/>
        <v>0</v>
      </c>
      <c r="Y367">
        <f t="shared" si="93"/>
        <v>0</v>
      </c>
      <c r="Z367">
        <f t="shared" si="94"/>
        <v>0</v>
      </c>
      <c r="AB367">
        <v>363</v>
      </c>
      <c r="AC367">
        <f t="shared" si="95"/>
        <v>2</v>
      </c>
      <c r="AD367">
        <f t="shared" si="85"/>
        <v>0</v>
      </c>
    </row>
    <row r="368" spans="3:30" x14ac:dyDescent="0.25">
      <c r="C368" s="3"/>
      <c r="D368" s="31">
        <f>Simulation_output!A366</f>
        <v>3645000</v>
      </c>
      <c r="E368">
        <f>Sheet2!R365</f>
        <v>1039</v>
      </c>
      <c r="F368">
        <f>Sheet2!S365</f>
        <v>1</v>
      </c>
      <c r="G368">
        <f>Sheet2!T365</f>
        <v>0</v>
      </c>
      <c r="H368" s="31">
        <f>Simulation_output!E366</f>
        <v>1</v>
      </c>
      <c r="I368" s="31">
        <f>Simulation_output!F366</f>
        <v>1122</v>
      </c>
      <c r="J368" s="31">
        <f>Simulation_output!G366</f>
        <v>1</v>
      </c>
      <c r="K368" s="31">
        <f>Simulation_output!H366</f>
        <v>0</v>
      </c>
      <c r="L368">
        <v>1</v>
      </c>
      <c r="M368">
        <f t="shared" si="99"/>
        <v>0</v>
      </c>
      <c r="N368">
        <f t="shared" si="98"/>
        <v>0</v>
      </c>
      <c r="O368">
        <f t="shared" si="97"/>
        <v>0</v>
      </c>
      <c r="P368">
        <f t="shared" si="100"/>
        <v>0</v>
      </c>
      <c r="Q368">
        <f t="shared" si="96"/>
        <v>0</v>
      </c>
      <c r="R368">
        <f t="shared" si="86"/>
        <v>0</v>
      </c>
      <c r="S368">
        <f t="shared" si="87"/>
        <v>0</v>
      </c>
      <c r="T368">
        <f t="shared" si="88"/>
        <v>0</v>
      </c>
      <c r="U368">
        <f t="shared" si="89"/>
        <v>0</v>
      </c>
      <c r="V368">
        <f t="shared" si="90"/>
        <v>0</v>
      </c>
      <c r="W368">
        <f t="shared" si="91"/>
        <v>0</v>
      </c>
      <c r="X368">
        <f t="shared" si="92"/>
        <v>0</v>
      </c>
      <c r="Y368">
        <f t="shared" si="93"/>
        <v>0</v>
      </c>
      <c r="Z368">
        <f t="shared" si="94"/>
        <v>0</v>
      </c>
      <c r="AB368">
        <v>364</v>
      </c>
      <c r="AC368">
        <f t="shared" si="95"/>
        <v>2</v>
      </c>
      <c r="AD368">
        <f t="shared" si="85"/>
        <v>0</v>
      </c>
    </row>
    <row r="369" spans="4:30" x14ac:dyDescent="0.25">
      <c r="D369" s="31">
        <f>Simulation_output!A367</f>
        <v>3655000</v>
      </c>
      <c r="E369">
        <f>Sheet2!R366</f>
        <v>0</v>
      </c>
      <c r="F369">
        <f>Sheet2!S366</f>
        <v>0</v>
      </c>
      <c r="G369">
        <f>Sheet2!T366</f>
        <v>0</v>
      </c>
      <c r="H369" s="31">
        <f>Simulation_output!E367</f>
        <v>1</v>
      </c>
      <c r="I369" s="31">
        <f>Simulation_output!F367</f>
        <v>324</v>
      </c>
      <c r="J369" s="31">
        <f>Simulation_output!G367</f>
        <v>1</v>
      </c>
      <c r="K369" s="31">
        <f>Simulation_output!H367</f>
        <v>0</v>
      </c>
      <c r="L369">
        <v>1</v>
      </c>
      <c r="M369">
        <f t="shared" si="99"/>
        <v>0</v>
      </c>
      <c r="N369">
        <f t="shared" si="98"/>
        <v>0</v>
      </c>
      <c r="O369">
        <f t="shared" si="97"/>
        <v>0</v>
      </c>
      <c r="P369">
        <f t="shared" si="100"/>
        <v>0</v>
      </c>
      <c r="Q369">
        <f t="shared" si="96"/>
        <v>0</v>
      </c>
      <c r="R369">
        <f t="shared" si="86"/>
        <v>0</v>
      </c>
      <c r="S369">
        <f t="shared" si="87"/>
        <v>0</v>
      </c>
      <c r="T369">
        <f t="shared" si="88"/>
        <v>0</v>
      </c>
      <c r="U369">
        <f t="shared" si="89"/>
        <v>0</v>
      </c>
      <c r="V369">
        <f t="shared" si="90"/>
        <v>0</v>
      </c>
      <c r="W369">
        <f t="shared" si="91"/>
        <v>0</v>
      </c>
      <c r="X369">
        <f t="shared" si="92"/>
        <v>0</v>
      </c>
      <c r="Y369">
        <f t="shared" si="93"/>
        <v>0</v>
      </c>
      <c r="Z369">
        <f t="shared" si="94"/>
        <v>0</v>
      </c>
      <c r="AB369">
        <v>365</v>
      </c>
      <c r="AC369">
        <f t="shared" si="95"/>
        <v>2</v>
      </c>
      <c r="AD369">
        <f t="shared" si="85"/>
        <v>0</v>
      </c>
    </row>
    <row r="370" spans="4:30" x14ac:dyDescent="0.25">
      <c r="D370" s="31">
        <f>Simulation_output!A368</f>
        <v>3665000</v>
      </c>
      <c r="E370">
        <f>Sheet2!R367</f>
        <v>10039</v>
      </c>
      <c r="F370">
        <f>Sheet2!S367</f>
        <v>1</v>
      </c>
      <c r="G370">
        <f>Sheet2!T367</f>
        <v>1</v>
      </c>
      <c r="H370" s="31">
        <f>Simulation_output!E368</f>
        <v>1</v>
      </c>
      <c r="I370" s="31">
        <f>Simulation_output!F368</f>
        <v>0</v>
      </c>
      <c r="J370" s="31">
        <f>Simulation_output!G368</f>
        <v>1</v>
      </c>
      <c r="K370" s="31">
        <f>Simulation_output!H368</f>
        <v>0</v>
      </c>
      <c r="L370">
        <v>1</v>
      </c>
      <c r="M370">
        <f t="shared" si="99"/>
        <v>0</v>
      </c>
      <c r="N370">
        <f t="shared" si="98"/>
        <v>0</v>
      </c>
      <c r="O370">
        <f t="shared" si="97"/>
        <v>0</v>
      </c>
      <c r="P370">
        <f t="shared" si="100"/>
        <v>0</v>
      </c>
      <c r="Q370">
        <f t="shared" si="96"/>
        <v>0</v>
      </c>
      <c r="R370">
        <f t="shared" si="86"/>
        <v>0</v>
      </c>
      <c r="S370">
        <f t="shared" si="87"/>
        <v>0</v>
      </c>
      <c r="T370">
        <f t="shared" si="88"/>
        <v>0</v>
      </c>
      <c r="U370">
        <f t="shared" si="89"/>
        <v>0</v>
      </c>
      <c r="V370">
        <f t="shared" si="90"/>
        <v>0</v>
      </c>
      <c r="W370">
        <f t="shared" si="91"/>
        <v>0</v>
      </c>
      <c r="X370">
        <f t="shared" si="92"/>
        <v>0</v>
      </c>
      <c r="Y370">
        <f t="shared" si="93"/>
        <v>0</v>
      </c>
      <c r="Z370">
        <f t="shared" si="94"/>
        <v>0</v>
      </c>
      <c r="AB370">
        <v>366</v>
      </c>
      <c r="AC370">
        <f t="shared" si="95"/>
        <v>2</v>
      </c>
      <c r="AD370">
        <f t="shared" si="85"/>
        <v>0</v>
      </c>
    </row>
    <row r="371" spans="4:30" x14ac:dyDescent="0.25">
      <c r="D371" s="31">
        <f>Simulation_output!A369</f>
        <v>3675000</v>
      </c>
      <c r="E371">
        <f>Sheet2!R368</f>
        <v>0</v>
      </c>
      <c r="F371">
        <f>Sheet2!S368</f>
        <v>0</v>
      </c>
      <c r="G371">
        <f>Sheet2!T368</f>
        <v>0</v>
      </c>
      <c r="H371" s="31">
        <f>Simulation_output!E369</f>
        <v>1</v>
      </c>
      <c r="I371" s="31">
        <f>Simulation_output!F369</f>
        <v>268435454</v>
      </c>
      <c r="J371" s="31">
        <f>Simulation_output!G369</f>
        <v>1</v>
      </c>
      <c r="K371" s="31">
        <f>Simulation_output!H369</f>
        <v>1</v>
      </c>
      <c r="L371">
        <v>1</v>
      </c>
      <c r="M371" t="str">
        <f t="shared" si="99"/>
        <v>FFFFFFF</v>
      </c>
      <c r="N371">
        <f t="shared" si="98"/>
        <v>3</v>
      </c>
      <c r="O371">
        <f t="shared" si="97"/>
        <v>35</v>
      </c>
      <c r="P371">
        <f t="shared" si="100"/>
        <v>315</v>
      </c>
      <c r="Q371">
        <f t="shared" si="96"/>
        <v>25</v>
      </c>
      <c r="R371">
        <f t="shared" si="86"/>
        <v>5</v>
      </c>
      <c r="S371">
        <f t="shared" si="87"/>
        <v>12</v>
      </c>
      <c r="T371">
        <f t="shared" si="88"/>
        <v>112</v>
      </c>
      <c r="U371">
        <f t="shared" si="89"/>
        <v>1012</v>
      </c>
      <c r="V371">
        <f t="shared" si="90"/>
        <v>10012</v>
      </c>
      <c r="W371">
        <f t="shared" si="91"/>
        <v>1122</v>
      </c>
      <c r="X371">
        <f t="shared" si="92"/>
        <v>324</v>
      </c>
      <c r="Y371">
        <f t="shared" si="93"/>
        <v>0</v>
      </c>
      <c r="Z371" t="str">
        <f t="shared" si="94"/>
        <v>FFFFFFE</v>
      </c>
      <c r="AB371">
        <v>367</v>
      </c>
      <c r="AC371">
        <f t="shared" si="95"/>
        <v>3</v>
      </c>
      <c r="AD371">
        <f t="shared" si="85"/>
        <v>3</v>
      </c>
    </row>
    <row r="372" spans="4:30" x14ac:dyDescent="0.25">
      <c r="D372" s="31">
        <f>Simulation_output!A370</f>
        <v>3685000</v>
      </c>
      <c r="E372">
        <f>Sheet2!R369</f>
        <v>0</v>
      </c>
      <c r="F372">
        <f>Sheet2!S369</f>
        <v>1</v>
      </c>
      <c r="G372">
        <f>Sheet2!T369</f>
        <v>0</v>
      </c>
      <c r="H372" s="31">
        <f>Simulation_output!E370</f>
        <v>1</v>
      </c>
      <c r="I372" s="31">
        <f>Simulation_output!F370</f>
        <v>268435455</v>
      </c>
      <c r="J372" s="31">
        <f>Simulation_output!G370</f>
        <v>1</v>
      </c>
      <c r="K372" s="31">
        <f>Simulation_output!H370</f>
        <v>0</v>
      </c>
      <c r="L372">
        <v>1</v>
      </c>
      <c r="M372">
        <f t="shared" si="99"/>
        <v>0</v>
      </c>
      <c r="N372">
        <f t="shared" si="98"/>
        <v>0</v>
      </c>
      <c r="O372">
        <f t="shared" si="97"/>
        <v>0</v>
      </c>
      <c r="P372">
        <f t="shared" si="100"/>
        <v>0</v>
      </c>
      <c r="Q372">
        <f t="shared" si="96"/>
        <v>0</v>
      </c>
      <c r="R372">
        <f t="shared" si="86"/>
        <v>0</v>
      </c>
      <c r="S372">
        <f t="shared" si="87"/>
        <v>0</v>
      </c>
      <c r="T372">
        <f t="shared" si="88"/>
        <v>0</v>
      </c>
      <c r="U372">
        <f t="shared" si="89"/>
        <v>0</v>
      </c>
      <c r="V372">
        <f t="shared" si="90"/>
        <v>0</v>
      </c>
      <c r="W372">
        <f t="shared" si="91"/>
        <v>0</v>
      </c>
      <c r="X372">
        <f t="shared" si="92"/>
        <v>0</v>
      </c>
      <c r="Y372">
        <f t="shared" si="93"/>
        <v>0</v>
      </c>
      <c r="Z372">
        <f t="shared" si="94"/>
        <v>0</v>
      </c>
      <c r="AB372">
        <v>368</v>
      </c>
      <c r="AC372">
        <f t="shared" si="95"/>
        <v>3</v>
      </c>
      <c r="AD372">
        <f t="shared" si="85"/>
        <v>0</v>
      </c>
    </row>
    <row r="373" spans="4:30" x14ac:dyDescent="0.25">
      <c r="D373" s="31">
        <f>Simulation_output!A371</f>
        <v>3695000</v>
      </c>
      <c r="E373">
        <f>Sheet2!R370</f>
        <v>0</v>
      </c>
      <c r="F373">
        <f>Sheet2!S370</f>
        <v>0</v>
      </c>
      <c r="G373">
        <f>Sheet2!T370</f>
        <v>0</v>
      </c>
      <c r="H373" s="31">
        <f>Simulation_output!E371</f>
        <v>1</v>
      </c>
      <c r="I373" s="31">
        <f>Simulation_output!F371</f>
        <v>4</v>
      </c>
      <c r="J373" s="31">
        <f>Simulation_output!G371</f>
        <v>1</v>
      </c>
      <c r="K373" s="31">
        <f>Simulation_output!H371</f>
        <v>0</v>
      </c>
      <c r="L373">
        <v>1</v>
      </c>
      <c r="M373">
        <f t="shared" si="99"/>
        <v>0</v>
      </c>
      <c r="N373">
        <f t="shared" si="98"/>
        <v>0</v>
      </c>
      <c r="O373">
        <f t="shared" si="97"/>
        <v>0</v>
      </c>
      <c r="P373">
        <f t="shared" si="100"/>
        <v>0</v>
      </c>
      <c r="Q373">
        <f t="shared" si="96"/>
        <v>0</v>
      </c>
      <c r="R373">
        <f t="shared" si="86"/>
        <v>0</v>
      </c>
      <c r="S373">
        <f t="shared" si="87"/>
        <v>0</v>
      </c>
      <c r="T373">
        <f t="shared" si="88"/>
        <v>0</v>
      </c>
      <c r="U373">
        <f t="shared" si="89"/>
        <v>0</v>
      </c>
      <c r="V373">
        <f t="shared" si="90"/>
        <v>0</v>
      </c>
      <c r="W373">
        <f t="shared" si="91"/>
        <v>0</v>
      </c>
      <c r="X373">
        <f t="shared" si="92"/>
        <v>0</v>
      </c>
      <c r="Y373">
        <f t="shared" si="93"/>
        <v>0</v>
      </c>
      <c r="Z373">
        <f t="shared" si="94"/>
        <v>0</v>
      </c>
      <c r="AB373">
        <v>369</v>
      </c>
      <c r="AC373">
        <f t="shared" si="95"/>
        <v>3</v>
      </c>
      <c r="AD373">
        <f t="shared" si="85"/>
        <v>0</v>
      </c>
    </row>
    <row r="374" spans="4:30" x14ac:dyDescent="0.25">
      <c r="D374" s="31">
        <f>Simulation_output!A372</f>
        <v>3705000</v>
      </c>
      <c r="E374">
        <f>Sheet2!R371</f>
        <v>8</v>
      </c>
      <c r="F374">
        <f>Sheet2!S371</f>
        <v>1</v>
      </c>
      <c r="G374">
        <f>Sheet2!T371</f>
        <v>0</v>
      </c>
      <c r="H374" s="31">
        <f>Simulation_output!E372</f>
        <v>1</v>
      </c>
      <c r="I374" s="31">
        <f>Simulation_output!F372</f>
        <v>47</v>
      </c>
      <c r="J374" s="31">
        <f>Simulation_output!G372</f>
        <v>1</v>
      </c>
      <c r="K374" s="31">
        <f>Simulation_output!H372</f>
        <v>0</v>
      </c>
      <c r="L374">
        <v>1</v>
      </c>
      <c r="M374">
        <f t="shared" si="99"/>
        <v>0</v>
      </c>
      <c r="N374">
        <f t="shared" si="98"/>
        <v>0</v>
      </c>
      <c r="O374">
        <f t="shared" si="97"/>
        <v>0</v>
      </c>
      <c r="P374">
        <f t="shared" si="100"/>
        <v>0</v>
      </c>
      <c r="Q374">
        <f t="shared" si="96"/>
        <v>0</v>
      </c>
      <c r="R374">
        <f t="shared" si="86"/>
        <v>0</v>
      </c>
      <c r="S374">
        <f t="shared" si="87"/>
        <v>0</v>
      </c>
      <c r="T374">
        <f t="shared" si="88"/>
        <v>0</v>
      </c>
      <c r="U374">
        <f t="shared" si="89"/>
        <v>0</v>
      </c>
      <c r="V374">
        <f t="shared" si="90"/>
        <v>0</v>
      </c>
      <c r="W374">
        <f t="shared" si="91"/>
        <v>0</v>
      </c>
      <c r="X374">
        <f t="shared" si="92"/>
        <v>0</v>
      </c>
      <c r="Y374">
        <f t="shared" si="93"/>
        <v>0</v>
      </c>
      <c r="Z374">
        <f t="shared" si="94"/>
        <v>0</v>
      </c>
      <c r="AB374">
        <v>370</v>
      </c>
      <c r="AC374">
        <f t="shared" si="95"/>
        <v>3</v>
      </c>
      <c r="AD374">
        <f t="shared" si="85"/>
        <v>0</v>
      </c>
    </row>
    <row r="375" spans="4:30" x14ac:dyDescent="0.25">
      <c r="D375" s="31">
        <f>Simulation_output!A373</f>
        <v>3715000</v>
      </c>
      <c r="E375">
        <f>Sheet2!R372</f>
        <v>0</v>
      </c>
      <c r="F375">
        <f>Sheet2!S372</f>
        <v>0</v>
      </c>
      <c r="G375">
        <f>Sheet2!T372</f>
        <v>0</v>
      </c>
      <c r="H375" s="31">
        <f>Simulation_output!E373</f>
        <v>1</v>
      </c>
      <c r="I375" s="31">
        <f>Simulation_output!F373</f>
        <v>316</v>
      </c>
      <c r="J375" s="31">
        <f>Simulation_output!G373</f>
        <v>1</v>
      </c>
      <c r="K375" s="31">
        <f>Simulation_output!H373</f>
        <v>0</v>
      </c>
      <c r="L375">
        <v>1</v>
      </c>
      <c r="M375">
        <f t="shared" si="99"/>
        <v>0</v>
      </c>
      <c r="N375">
        <f t="shared" si="98"/>
        <v>0</v>
      </c>
      <c r="O375">
        <f t="shared" si="97"/>
        <v>0</v>
      </c>
      <c r="P375">
        <f t="shared" si="100"/>
        <v>0</v>
      </c>
      <c r="Q375">
        <f t="shared" si="96"/>
        <v>0</v>
      </c>
      <c r="R375">
        <f t="shared" si="86"/>
        <v>0</v>
      </c>
      <c r="S375">
        <f t="shared" si="87"/>
        <v>0</v>
      </c>
      <c r="T375">
        <f t="shared" si="88"/>
        <v>0</v>
      </c>
      <c r="U375">
        <f t="shared" si="89"/>
        <v>0</v>
      </c>
      <c r="V375">
        <f t="shared" si="90"/>
        <v>0</v>
      </c>
      <c r="W375">
        <f t="shared" si="91"/>
        <v>0</v>
      </c>
      <c r="X375">
        <f t="shared" si="92"/>
        <v>0</v>
      </c>
      <c r="Y375">
        <f t="shared" si="93"/>
        <v>0</v>
      </c>
      <c r="Z375">
        <f t="shared" si="94"/>
        <v>0</v>
      </c>
      <c r="AB375">
        <v>371</v>
      </c>
      <c r="AC375">
        <f t="shared" si="95"/>
        <v>3</v>
      </c>
      <c r="AD375">
        <f t="shared" si="85"/>
        <v>0</v>
      </c>
    </row>
    <row r="376" spans="4:30" x14ac:dyDescent="0.25">
      <c r="D376" s="31">
        <f>Simulation_output!A374</f>
        <v>3725000</v>
      </c>
      <c r="E376">
        <f>Sheet2!R373</f>
        <v>40</v>
      </c>
      <c r="F376">
        <f>Sheet2!S373</f>
        <v>1</v>
      </c>
      <c r="G376">
        <f>Sheet2!T373</f>
        <v>0</v>
      </c>
      <c r="H376" s="31">
        <f>Simulation_output!E374</f>
        <v>1</v>
      </c>
      <c r="I376" s="31">
        <f>Simulation_output!F374</f>
        <v>25</v>
      </c>
      <c r="J376" s="31">
        <f>Simulation_output!G374</f>
        <v>1</v>
      </c>
      <c r="K376" s="31">
        <f>Simulation_output!H374</f>
        <v>0</v>
      </c>
      <c r="L376">
        <v>1</v>
      </c>
      <c r="M376">
        <f t="shared" si="99"/>
        <v>0</v>
      </c>
      <c r="N376">
        <f t="shared" si="98"/>
        <v>0</v>
      </c>
      <c r="O376">
        <f t="shared" si="97"/>
        <v>0</v>
      </c>
      <c r="P376">
        <f t="shared" si="100"/>
        <v>0</v>
      </c>
      <c r="Q376">
        <f t="shared" si="96"/>
        <v>0</v>
      </c>
      <c r="R376">
        <f t="shared" si="86"/>
        <v>0</v>
      </c>
      <c r="S376">
        <f t="shared" si="87"/>
        <v>0</v>
      </c>
      <c r="T376">
        <f t="shared" si="88"/>
        <v>0</v>
      </c>
      <c r="U376">
        <f t="shared" si="89"/>
        <v>0</v>
      </c>
      <c r="V376">
        <f t="shared" si="90"/>
        <v>0</v>
      </c>
      <c r="W376">
        <f t="shared" si="91"/>
        <v>0</v>
      </c>
      <c r="X376">
        <f t="shared" si="92"/>
        <v>0</v>
      </c>
      <c r="Y376">
        <f t="shared" si="93"/>
        <v>0</v>
      </c>
      <c r="Z376">
        <f t="shared" si="94"/>
        <v>0</v>
      </c>
      <c r="AB376">
        <v>372</v>
      </c>
      <c r="AC376">
        <f t="shared" si="95"/>
        <v>3</v>
      </c>
      <c r="AD376">
        <f t="shared" si="85"/>
        <v>0</v>
      </c>
    </row>
    <row r="377" spans="4:30" x14ac:dyDescent="0.25">
      <c r="D377" s="31">
        <f>Simulation_output!A375</f>
        <v>3735000</v>
      </c>
      <c r="E377">
        <f>Sheet2!R374</f>
        <v>0</v>
      </c>
      <c r="F377">
        <f>Sheet2!S374</f>
        <v>0</v>
      </c>
      <c r="G377">
        <f>Sheet2!T374</f>
        <v>0</v>
      </c>
      <c r="H377" s="31">
        <f>Simulation_output!E375</f>
        <v>1</v>
      </c>
      <c r="I377" s="31">
        <f>Simulation_output!F375</f>
        <v>5</v>
      </c>
      <c r="J377" s="31">
        <f>Simulation_output!G375</f>
        <v>1</v>
      </c>
      <c r="K377" s="31">
        <f>Simulation_output!H375</f>
        <v>0</v>
      </c>
      <c r="L377">
        <v>1</v>
      </c>
      <c r="M377">
        <f t="shared" si="99"/>
        <v>0</v>
      </c>
      <c r="N377">
        <f t="shared" si="98"/>
        <v>0</v>
      </c>
      <c r="O377">
        <f t="shared" si="97"/>
        <v>0</v>
      </c>
      <c r="P377">
        <f t="shared" si="100"/>
        <v>0</v>
      </c>
      <c r="Q377">
        <f t="shared" si="96"/>
        <v>0</v>
      </c>
      <c r="R377">
        <f t="shared" si="86"/>
        <v>0</v>
      </c>
      <c r="S377">
        <f t="shared" si="87"/>
        <v>0</v>
      </c>
      <c r="T377">
        <f t="shared" si="88"/>
        <v>0</v>
      </c>
      <c r="U377">
        <f t="shared" si="89"/>
        <v>0</v>
      </c>
      <c r="V377">
        <f t="shared" si="90"/>
        <v>0</v>
      </c>
      <c r="W377">
        <f t="shared" si="91"/>
        <v>0</v>
      </c>
      <c r="X377">
        <f t="shared" si="92"/>
        <v>0</v>
      </c>
      <c r="Y377">
        <f t="shared" si="93"/>
        <v>0</v>
      </c>
      <c r="Z377">
        <f t="shared" si="94"/>
        <v>0</v>
      </c>
      <c r="AB377">
        <v>373</v>
      </c>
      <c r="AC377">
        <f t="shared" si="95"/>
        <v>3</v>
      </c>
      <c r="AD377">
        <f t="shared" si="85"/>
        <v>0</v>
      </c>
    </row>
    <row r="378" spans="4:30" x14ac:dyDescent="0.25">
      <c r="D378" s="31">
        <f>Simulation_output!A376</f>
        <v>3745000</v>
      </c>
      <c r="E378">
        <f>Sheet2!R375</f>
        <v>140</v>
      </c>
      <c r="F378">
        <f>Sheet2!S375</f>
        <v>1</v>
      </c>
      <c r="G378">
        <f>Sheet2!T375</f>
        <v>0</v>
      </c>
      <c r="H378" s="31">
        <f>Simulation_output!E376</f>
        <v>1</v>
      </c>
      <c r="I378" s="31">
        <f>Simulation_output!F376</f>
        <v>13</v>
      </c>
      <c r="J378" s="31">
        <f>Simulation_output!G376</f>
        <v>1</v>
      </c>
      <c r="K378" s="31">
        <f>Simulation_output!H376</f>
        <v>0</v>
      </c>
      <c r="L378">
        <v>1</v>
      </c>
      <c r="M378">
        <f t="shared" si="99"/>
        <v>0</v>
      </c>
      <c r="N378">
        <f t="shared" si="98"/>
        <v>0</v>
      </c>
      <c r="O378">
        <f t="shared" si="97"/>
        <v>0</v>
      </c>
      <c r="P378">
        <f t="shared" si="100"/>
        <v>0</v>
      </c>
      <c r="Q378">
        <f t="shared" si="96"/>
        <v>0</v>
      </c>
      <c r="R378">
        <f t="shared" si="86"/>
        <v>0</v>
      </c>
      <c r="S378">
        <f t="shared" si="87"/>
        <v>0</v>
      </c>
      <c r="T378">
        <f t="shared" si="88"/>
        <v>0</v>
      </c>
      <c r="U378">
        <f t="shared" si="89"/>
        <v>0</v>
      </c>
      <c r="V378">
        <f t="shared" si="90"/>
        <v>0</v>
      </c>
      <c r="W378">
        <f t="shared" si="91"/>
        <v>0</v>
      </c>
      <c r="X378">
        <f t="shared" si="92"/>
        <v>0</v>
      </c>
      <c r="Y378">
        <f t="shared" si="93"/>
        <v>0</v>
      </c>
      <c r="Z378">
        <f t="shared" si="94"/>
        <v>0</v>
      </c>
      <c r="AB378">
        <v>374</v>
      </c>
      <c r="AC378">
        <f t="shared" si="95"/>
        <v>3</v>
      </c>
      <c r="AD378">
        <f t="shared" si="85"/>
        <v>0</v>
      </c>
    </row>
    <row r="379" spans="4:30" x14ac:dyDescent="0.25">
      <c r="D379" s="31">
        <f>Simulation_output!A377</f>
        <v>3755000</v>
      </c>
      <c r="E379">
        <f>Sheet2!R376</f>
        <v>0</v>
      </c>
      <c r="F379">
        <f>Sheet2!S376</f>
        <v>0</v>
      </c>
      <c r="G379">
        <f>Sheet2!T376</f>
        <v>0</v>
      </c>
      <c r="H379" s="31">
        <f>Simulation_output!E377</f>
        <v>1</v>
      </c>
      <c r="I379" s="31">
        <f>Simulation_output!F377</f>
        <v>113</v>
      </c>
      <c r="J379" s="31">
        <f>Simulation_output!G377</f>
        <v>1</v>
      </c>
      <c r="K379" s="31">
        <f>Simulation_output!H377</f>
        <v>0</v>
      </c>
      <c r="L379">
        <v>1</v>
      </c>
      <c r="M379">
        <f t="shared" si="99"/>
        <v>0</v>
      </c>
      <c r="N379">
        <f t="shared" si="98"/>
        <v>0</v>
      </c>
      <c r="O379">
        <f t="shared" si="97"/>
        <v>0</v>
      </c>
      <c r="P379">
        <f t="shared" si="100"/>
        <v>0</v>
      </c>
      <c r="Q379">
        <f t="shared" si="96"/>
        <v>0</v>
      </c>
      <c r="R379">
        <f t="shared" si="86"/>
        <v>0</v>
      </c>
      <c r="S379">
        <f t="shared" si="87"/>
        <v>0</v>
      </c>
      <c r="T379">
        <f t="shared" si="88"/>
        <v>0</v>
      </c>
      <c r="U379">
        <f t="shared" si="89"/>
        <v>0</v>
      </c>
      <c r="V379">
        <f t="shared" si="90"/>
        <v>0</v>
      </c>
      <c r="W379">
        <f t="shared" si="91"/>
        <v>0</v>
      </c>
      <c r="X379">
        <f t="shared" si="92"/>
        <v>0</v>
      </c>
      <c r="Y379">
        <f t="shared" si="93"/>
        <v>0</v>
      </c>
      <c r="Z379">
        <f t="shared" si="94"/>
        <v>0</v>
      </c>
      <c r="AB379">
        <v>375</v>
      </c>
      <c r="AC379">
        <f t="shared" si="95"/>
        <v>3</v>
      </c>
      <c r="AD379">
        <f t="shared" si="85"/>
        <v>0</v>
      </c>
    </row>
    <row r="380" spans="4:30" x14ac:dyDescent="0.25">
      <c r="D380" s="31">
        <f>Simulation_output!A378</f>
        <v>3765000</v>
      </c>
      <c r="E380">
        <f>Sheet2!R377</f>
        <v>1040</v>
      </c>
      <c r="F380">
        <f>Sheet2!S377</f>
        <v>1</v>
      </c>
      <c r="G380">
        <f>Sheet2!T377</f>
        <v>0</v>
      </c>
      <c r="H380" s="31">
        <f>Simulation_output!E378</f>
        <v>1</v>
      </c>
      <c r="I380" s="31">
        <f>Simulation_output!F378</f>
        <v>1013</v>
      </c>
      <c r="J380" s="31">
        <f>Simulation_output!G378</f>
        <v>1</v>
      </c>
      <c r="K380" s="31">
        <f>Simulation_output!H378</f>
        <v>0</v>
      </c>
      <c r="L380">
        <v>1</v>
      </c>
      <c r="M380">
        <f t="shared" si="99"/>
        <v>0</v>
      </c>
      <c r="N380">
        <f t="shared" si="98"/>
        <v>0</v>
      </c>
      <c r="O380">
        <f t="shared" si="97"/>
        <v>0</v>
      </c>
      <c r="P380">
        <f t="shared" si="100"/>
        <v>0</v>
      </c>
      <c r="Q380">
        <f t="shared" si="96"/>
        <v>0</v>
      </c>
      <c r="R380">
        <f t="shared" si="86"/>
        <v>0</v>
      </c>
      <c r="S380">
        <f t="shared" si="87"/>
        <v>0</v>
      </c>
      <c r="T380">
        <f t="shared" si="88"/>
        <v>0</v>
      </c>
      <c r="U380">
        <f t="shared" si="89"/>
        <v>0</v>
      </c>
      <c r="V380">
        <f t="shared" si="90"/>
        <v>0</v>
      </c>
      <c r="W380">
        <f t="shared" si="91"/>
        <v>0</v>
      </c>
      <c r="X380">
        <f t="shared" si="92"/>
        <v>0</v>
      </c>
      <c r="Y380">
        <f t="shared" si="93"/>
        <v>0</v>
      </c>
      <c r="Z380">
        <f t="shared" si="94"/>
        <v>0</v>
      </c>
      <c r="AB380">
        <v>376</v>
      </c>
      <c r="AC380">
        <f t="shared" si="95"/>
        <v>3</v>
      </c>
      <c r="AD380">
        <f t="shared" si="85"/>
        <v>0</v>
      </c>
    </row>
    <row r="381" spans="4:30" x14ac:dyDescent="0.25">
      <c r="D381" s="31">
        <f>Simulation_output!A379</f>
        <v>3775000</v>
      </c>
      <c r="E381">
        <f>Sheet2!R378</f>
        <v>0</v>
      </c>
      <c r="F381">
        <f>Sheet2!S378</f>
        <v>0</v>
      </c>
      <c r="G381">
        <f>Sheet2!T378</f>
        <v>0</v>
      </c>
      <c r="H381" s="31">
        <f>Simulation_output!E379</f>
        <v>1</v>
      </c>
      <c r="I381" s="31">
        <f>Simulation_output!F379</f>
        <v>10013</v>
      </c>
      <c r="J381" s="31">
        <f>Simulation_output!G379</f>
        <v>1</v>
      </c>
      <c r="K381" s="31">
        <f>Simulation_output!H379</f>
        <v>0</v>
      </c>
      <c r="L381">
        <v>1</v>
      </c>
      <c r="M381">
        <f t="shared" si="99"/>
        <v>0</v>
      </c>
      <c r="N381">
        <f t="shared" si="98"/>
        <v>0</v>
      </c>
      <c r="O381">
        <f t="shared" si="97"/>
        <v>0</v>
      </c>
      <c r="P381">
        <f t="shared" si="100"/>
        <v>0</v>
      </c>
      <c r="Q381">
        <f t="shared" si="96"/>
        <v>0</v>
      </c>
      <c r="R381">
        <f t="shared" si="86"/>
        <v>0</v>
      </c>
      <c r="S381">
        <f t="shared" si="87"/>
        <v>0</v>
      </c>
      <c r="T381">
        <f t="shared" si="88"/>
        <v>0</v>
      </c>
      <c r="U381">
        <f t="shared" si="89"/>
        <v>0</v>
      </c>
      <c r="V381">
        <f t="shared" si="90"/>
        <v>0</v>
      </c>
      <c r="W381">
        <f t="shared" si="91"/>
        <v>0</v>
      </c>
      <c r="X381">
        <f t="shared" si="92"/>
        <v>0</v>
      </c>
      <c r="Y381">
        <f t="shared" si="93"/>
        <v>0</v>
      </c>
      <c r="Z381">
        <f t="shared" si="94"/>
        <v>0</v>
      </c>
      <c r="AB381">
        <v>377</v>
      </c>
      <c r="AC381">
        <f t="shared" si="95"/>
        <v>3</v>
      </c>
      <c r="AD381">
        <f t="shared" si="85"/>
        <v>0</v>
      </c>
    </row>
    <row r="382" spans="4:30" x14ac:dyDescent="0.25">
      <c r="D382" s="31">
        <f>Simulation_output!A380</f>
        <v>3785000</v>
      </c>
      <c r="E382">
        <f>Sheet2!R379</f>
        <v>10040</v>
      </c>
      <c r="F382">
        <f>Sheet2!S379</f>
        <v>1</v>
      </c>
      <c r="G382">
        <f>Sheet2!T379</f>
        <v>1</v>
      </c>
      <c r="H382" s="31">
        <f>Simulation_output!E380</f>
        <v>1</v>
      </c>
      <c r="I382" s="31">
        <f>Simulation_output!F380</f>
        <v>1124</v>
      </c>
      <c r="J382" s="31">
        <f>Simulation_output!G380</f>
        <v>1</v>
      </c>
      <c r="K382" s="31">
        <f>Simulation_output!H380</f>
        <v>0</v>
      </c>
      <c r="L382">
        <v>1</v>
      </c>
      <c r="M382">
        <f t="shared" si="99"/>
        <v>0</v>
      </c>
      <c r="N382">
        <f t="shared" si="98"/>
        <v>0</v>
      </c>
      <c r="O382">
        <f t="shared" si="97"/>
        <v>0</v>
      </c>
      <c r="P382">
        <f t="shared" si="100"/>
        <v>0</v>
      </c>
      <c r="Q382">
        <f t="shared" si="96"/>
        <v>0</v>
      </c>
      <c r="R382">
        <f t="shared" si="86"/>
        <v>0</v>
      </c>
      <c r="S382">
        <f t="shared" si="87"/>
        <v>0</v>
      </c>
      <c r="T382">
        <f t="shared" si="88"/>
        <v>0</v>
      </c>
      <c r="U382">
        <f t="shared" si="89"/>
        <v>0</v>
      </c>
      <c r="V382">
        <f t="shared" si="90"/>
        <v>0</v>
      </c>
      <c r="W382">
        <f t="shared" si="91"/>
        <v>0</v>
      </c>
      <c r="X382">
        <f t="shared" si="92"/>
        <v>0</v>
      </c>
      <c r="Y382">
        <f t="shared" si="93"/>
        <v>0</v>
      </c>
      <c r="Z382">
        <f t="shared" si="94"/>
        <v>0</v>
      </c>
      <c r="AB382">
        <v>378</v>
      </c>
      <c r="AC382">
        <f t="shared" si="95"/>
        <v>3</v>
      </c>
      <c r="AD382">
        <f t="shared" si="85"/>
        <v>0</v>
      </c>
    </row>
    <row r="383" spans="4:30" x14ac:dyDescent="0.25">
      <c r="D383" s="31">
        <f>Simulation_output!A381</f>
        <v>3795000</v>
      </c>
      <c r="E383">
        <f>Sheet2!R380</f>
        <v>0</v>
      </c>
      <c r="F383">
        <f>Sheet2!S380</f>
        <v>0</v>
      </c>
      <c r="G383">
        <f>Sheet2!T380</f>
        <v>0</v>
      </c>
      <c r="H383" s="31">
        <f>Simulation_output!E381</f>
        <v>1</v>
      </c>
      <c r="I383" s="31">
        <f>Simulation_output!F381</f>
        <v>325</v>
      </c>
      <c r="J383" s="31">
        <f>Simulation_output!G381</f>
        <v>1</v>
      </c>
      <c r="K383" s="31">
        <f>Simulation_output!H381</f>
        <v>0</v>
      </c>
      <c r="L383">
        <v>1</v>
      </c>
      <c r="M383">
        <f t="shared" si="99"/>
        <v>0</v>
      </c>
      <c r="N383">
        <f t="shared" si="98"/>
        <v>0</v>
      </c>
      <c r="O383">
        <f t="shared" si="97"/>
        <v>0</v>
      </c>
      <c r="P383">
        <f t="shared" si="100"/>
        <v>0</v>
      </c>
      <c r="Q383">
        <f t="shared" si="96"/>
        <v>0</v>
      </c>
      <c r="R383">
        <f t="shared" si="86"/>
        <v>0</v>
      </c>
      <c r="S383">
        <f t="shared" si="87"/>
        <v>0</v>
      </c>
      <c r="T383">
        <f t="shared" si="88"/>
        <v>0</v>
      </c>
      <c r="U383">
        <f t="shared" si="89"/>
        <v>0</v>
      </c>
      <c r="V383">
        <f t="shared" si="90"/>
        <v>0</v>
      </c>
      <c r="W383">
        <f t="shared" si="91"/>
        <v>0</v>
      </c>
      <c r="X383">
        <f t="shared" si="92"/>
        <v>0</v>
      </c>
      <c r="Y383">
        <f t="shared" si="93"/>
        <v>0</v>
      </c>
      <c r="Z383">
        <f t="shared" si="94"/>
        <v>0</v>
      </c>
      <c r="AB383">
        <v>379</v>
      </c>
      <c r="AC383">
        <f t="shared" si="95"/>
        <v>3</v>
      </c>
      <c r="AD383">
        <f t="shared" si="85"/>
        <v>0</v>
      </c>
    </row>
    <row r="384" spans="4:30" x14ac:dyDescent="0.25">
      <c r="D384" s="31">
        <f>Simulation_output!A382</f>
        <v>3805000</v>
      </c>
      <c r="E384">
        <f>Sheet2!R381</f>
        <v>0</v>
      </c>
      <c r="F384">
        <f>Sheet2!S381</f>
        <v>1</v>
      </c>
      <c r="G384">
        <f>Sheet2!T381</f>
        <v>0</v>
      </c>
      <c r="H384" s="31">
        <f>Simulation_output!E382</f>
        <v>1</v>
      </c>
      <c r="I384" s="31">
        <f>Simulation_output!F382</f>
        <v>0</v>
      </c>
      <c r="J384" s="31">
        <f>Simulation_output!G382</f>
        <v>1</v>
      </c>
      <c r="K384" s="31">
        <f>Simulation_output!H382</f>
        <v>0</v>
      </c>
      <c r="L384">
        <v>1</v>
      </c>
      <c r="M384">
        <f t="shared" si="99"/>
        <v>0</v>
      </c>
      <c r="N384">
        <f t="shared" si="98"/>
        <v>0</v>
      </c>
      <c r="O384">
        <f t="shared" si="97"/>
        <v>0</v>
      </c>
      <c r="P384">
        <f t="shared" si="100"/>
        <v>0</v>
      </c>
      <c r="Q384">
        <f t="shared" si="96"/>
        <v>0</v>
      </c>
      <c r="R384">
        <f t="shared" si="86"/>
        <v>0</v>
      </c>
      <c r="S384">
        <f t="shared" si="87"/>
        <v>0</v>
      </c>
      <c r="T384">
        <f t="shared" si="88"/>
        <v>0</v>
      </c>
      <c r="U384">
        <f t="shared" si="89"/>
        <v>0</v>
      </c>
      <c r="V384">
        <f t="shared" si="90"/>
        <v>0</v>
      </c>
      <c r="W384">
        <f t="shared" si="91"/>
        <v>0</v>
      </c>
      <c r="X384">
        <f t="shared" si="92"/>
        <v>0</v>
      </c>
      <c r="Y384">
        <f t="shared" si="93"/>
        <v>0</v>
      </c>
      <c r="Z384">
        <f t="shared" si="94"/>
        <v>0</v>
      </c>
      <c r="AB384">
        <v>380</v>
      </c>
      <c r="AC384">
        <f t="shared" si="95"/>
        <v>3</v>
      </c>
      <c r="AD384">
        <f t="shared" si="85"/>
        <v>0</v>
      </c>
    </row>
    <row r="385" spans="4:30" x14ac:dyDescent="0.25">
      <c r="D385" s="31">
        <f>Simulation_output!A383</f>
        <v>3815000</v>
      </c>
      <c r="E385">
        <f>Sheet2!R382</f>
        <v>0</v>
      </c>
      <c r="F385">
        <f>Sheet2!S382</f>
        <v>0</v>
      </c>
      <c r="G385">
        <f>Sheet2!T382</f>
        <v>0</v>
      </c>
      <c r="H385" s="31">
        <f>Simulation_output!E383</f>
        <v>1</v>
      </c>
      <c r="I385" s="31">
        <f>Simulation_output!F383</f>
        <v>268435454</v>
      </c>
      <c r="J385" s="31">
        <f>Simulation_output!G383</f>
        <v>1</v>
      </c>
      <c r="K385" s="31">
        <f>Simulation_output!H383</f>
        <v>1</v>
      </c>
      <c r="L385">
        <v>1</v>
      </c>
      <c r="M385" t="str">
        <f t="shared" si="99"/>
        <v>FFFFFFF</v>
      </c>
      <c r="N385">
        <f t="shared" si="98"/>
        <v>4</v>
      </c>
      <c r="O385">
        <f t="shared" si="97"/>
        <v>47</v>
      </c>
      <c r="P385">
        <f t="shared" si="100"/>
        <v>316</v>
      </c>
      <c r="Q385">
        <f t="shared" si="96"/>
        <v>25</v>
      </c>
      <c r="R385">
        <f t="shared" si="86"/>
        <v>5</v>
      </c>
      <c r="S385">
        <f t="shared" si="87"/>
        <v>13</v>
      </c>
      <c r="T385">
        <f t="shared" si="88"/>
        <v>113</v>
      </c>
      <c r="U385">
        <f t="shared" si="89"/>
        <v>1013</v>
      </c>
      <c r="V385">
        <f t="shared" si="90"/>
        <v>10013</v>
      </c>
      <c r="W385">
        <f t="shared" si="91"/>
        <v>1124</v>
      </c>
      <c r="X385">
        <f t="shared" si="92"/>
        <v>325</v>
      </c>
      <c r="Y385">
        <f t="shared" si="93"/>
        <v>0</v>
      </c>
      <c r="Z385" t="str">
        <f t="shared" si="94"/>
        <v>FFFFFFE</v>
      </c>
      <c r="AB385">
        <v>381</v>
      </c>
      <c r="AC385">
        <f t="shared" si="95"/>
        <v>4</v>
      </c>
      <c r="AD385">
        <f t="shared" si="85"/>
        <v>4</v>
      </c>
    </row>
    <row r="386" spans="4:30" x14ac:dyDescent="0.25">
      <c r="D386" s="31">
        <f>Simulation_output!A384</f>
        <v>3825000</v>
      </c>
      <c r="E386">
        <f>Sheet2!R383</f>
        <v>8</v>
      </c>
      <c r="F386">
        <f>Sheet2!S383</f>
        <v>1</v>
      </c>
      <c r="G386">
        <f>Sheet2!T383</f>
        <v>0</v>
      </c>
      <c r="H386" s="31">
        <f>Simulation_output!E384</f>
        <v>1</v>
      </c>
      <c r="I386" s="31">
        <f>Simulation_output!F384</f>
        <v>268435455</v>
      </c>
      <c r="J386" s="31">
        <f>Simulation_output!G384</f>
        <v>1</v>
      </c>
      <c r="K386" s="31">
        <f>Simulation_output!H384</f>
        <v>0</v>
      </c>
      <c r="L386">
        <v>1</v>
      </c>
      <c r="M386">
        <f t="shared" si="99"/>
        <v>0</v>
      </c>
      <c r="N386">
        <f t="shared" si="98"/>
        <v>0</v>
      </c>
      <c r="O386">
        <f t="shared" si="97"/>
        <v>0</v>
      </c>
      <c r="P386">
        <f t="shared" si="100"/>
        <v>0</v>
      </c>
      <c r="Q386">
        <f t="shared" si="96"/>
        <v>0</v>
      </c>
      <c r="R386">
        <f t="shared" si="86"/>
        <v>0</v>
      </c>
      <c r="S386">
        <f t="shared" si="87"/>
        <v>0</v>
      </c>
      <c r="T386">
        <f t="shared" si="88"/>
        <v>0</v>
      </c>
      <c r="U386">
        <f t="shared" si="89"/>
        <v>0</v>
      </c>
      <c r="V386">
        <f t="shared" si="90"/>
        <v>0</v>
      </c>
      <c r="W386">
        <f t="shared" si="91"/>
        <v>0</v>
      </c>
      <c r="X386">
        <f t="shared" si="92"/>
        <v>0</v>
      </c>
      <c r="Y386">
        <f t="shared" si="93"/>
        <v>0</v>
      </c>
      <c r="Z386">
        <f t="shared" si="94"/>
        <v>0</v>
      </c>
      <c r="AB386">
        <v>382</v>
      </c>
      <c r="AC386">
        <f t="shared" si="95"/>
        <v>4</v>
      </c>
      <c r="AD386">
        <f t="shared" si="85"/>
        <v>0</v>
      </c>
    </row>
    <row r="387" spans="4:30" x14ac:dyDescent="0.25">
      <c r="D387" s="31">
        <f>Simulation_output!A385</f>
        <v>3835000</v>
      </c>
      <c r="E387">
        <f>Sheet2!R384</f>
        <v>0</v>
      </c>
      <c r="F387">
        <f>Sheet2!S384</f>
        <v>0</v>
      </c>
      <c r="G387">
        <f>Sheet2!T384</f>
        <v>0</v>
      </c>
      <c r="H387" s="31">
        <f>Simulation_output!E385</f>
        <v>1</v>
      </c>
      <c r="I387" s="31">
        <f>Simulation_output!F385</f>
        <v>5</v>
      </c>
      <c r="J387" s="31">
        <f>Simulation_output!G385</f>
        <v>1</v>
      </c>
      <c r="K387" s="31">
        <f>Simulation_output!H385</f>
        <v>0</v>
      </c>
      <c r="L387">
        <v>1</v>
      </c>
      <c r="M387">
        <f t="shared" si="99"/>
        <v>0</v>
      </c>
      <c r="N387">
        <f t="shared" si="98"/>
        <v>0</v>
      </c>
      <c r="O387">
        <f t="shared" si="97"/>
        <v>0</v>
      </c>
      <c r="P387">
        <f t="shared" si="100"/>
        <v>0</v>
      </c>
      <c r="Q387">
        <f t="shared" si="96"/>
        <v>0</v>
      </c>
      <c r="R387">
        <f t="shared" si="86"/>
        <v>0</v>
      </c>
      <c r="S387">
        <f t="shared" si="87"/>
        <v>0</v>
      </c>
      <c r="T387">
        <f t="shared" si="88"/>
        <v>0</v>
      </c>
      <c r="U387">
        <f t="shared" si="89"/>
        <v>0</v>
      </c>
      <c r="V387">
        <f t="shared" si="90"/>
        <v>0</v>
      </c>
      <c r="W387">
        <f t="shared" si="91"/>
        <v>0</v>
      </c>
      <c r="X387">
        <f t="shared" si="92"/>
        <v>0</v>
      </c>
      <c r="Y387">
        <f t="shared" si="93"/>
        <v>0</v>
      </c>
      <c r="Z387">
        <f t="shared" si="94"/>
        <v>0</v>
      </c>
      <c r="AB387">
        <v>383</v>
      </c>
      <c r="AC387">
        <f t="shared" si="95"/>
        <v>4</v>
      </c>
      <c r="AD387">
        <f t="shared" si="85"/>
        <v>0</v>
      </c>
    </row>
    <row r="388" spans="4:30" x14ac:dyDescent="0.25">
      <c r="D388" s="31">
        <f>Simulation_output!A386</f>
        <v>3845000</v>
      </c>
      <c r="E388">
        <f>Sheet2!R385</f>
        <v>41</v>
      </c>
      <c r="F388">
        <f>Sheet2!S385</f>
        <v>1</v>
      </c>
      <c r="G388">
        <f>Sheet2!T385</f>
        <v>0</v>
      </c>
      <c r="H388" s="31">
        <f>Simulation_output!E386</f>
        <v>1</v>
      </c>
      <c r="I388" s="31">
        <f>Simulation_output!F386</f>
        <v>59</v>
      </c>
      <c r="J388" s="31">
        <f>Simulation_output!G386</f>
        <v>1</v>
      </c>
      <c r="K388" s="31">
        <f>Simulation_output!H386</f>
        <v>0</v>
      </c>
      <c r="L388">
        <v>1</v>
      </c>
      <c r="M388">
        <f t="shared" si="99"/>
        <v>0</v>
      </c>
      <c r="N388">
        <f t="shared" si="98"/>
        <v>0</v>
      </c>
      <c r="O388">
        <f t="shared" si="97"/>
        <v>0</v>
      </c>
      <c r="P388">
        <f t="shared" si="100"/>
        <v>0</v>
      </c>
      <c r="Q388">
        <f t="shared" si="96"/>
        <v>0</v>
      </c>
      <c r="R388">
        <f t="shared" si="86"/>
        <v>0</v>
      </c>
      <c r="S388">
        <f t="shared" si="87"/>
        <v>0</v>
      </c>
      <c r="T388">
        <f t="shared" si="88"/>
        <v>0</v>
      </c>
      <c r="U388">
        <f t="shared" si="89"/>
        <v>0</v>
      </c>
      <c r="V388">
        <f t="shared" si="90"/>
        <v>0</v>
      </c>
      <c r="W388">
        <f t="shared" si="91"/>
        <v>0</v>
      </c>
      <c r="X388">
        <f t="shared" si="92"/>
        <v>0</v>
      </c>
      <c r="Y388">
        <f t="shared" si="93"/>
        <v>0</v>
      </c>
      <c r="Z388">
        <f t="shared" si="94"/>
        <v>0</v>
      </c>
      <c r="AB388">
        <v>384</v>
      </c>
      <c r="AC388">
        <f t="shared" si="95"/>
        <v>4</v>
      </c>
      <c r="AD388">
        <f t="shared" si="85"/>
        <v>0</v>
      </c>
    </row>
    <row r="389" spans="4:30" x14ac:dyDescent="0.25">
      <c r="D389" s="31">
        <f>Simulation_output!A387</f>
        <v>3855000</v>
      </c>
      <c r="E389">
        <f>Sheet2!R386</f>
        <v>0</v>
      </c>
      <c r="F389">
        <f>Sheet2!S386</f>
        <v>0</v>
      </c>
      <c r="G389">
        <f>Sheet2!T386</f>
        <v>0</v>
      </c>
      <c r="H389" s="31">
        <f>Simulation_output!E387</f>
        <v>1</v>
      </c>
      <c r="I389" s="31">
        <f>Simulation_output!F387</f>
        <v>317</v>
      </c>
      <c r="J389" s="31">
        <f>Simulation_output!G387</f>
        <v>1</v>
      </c>
      <c r="K389" s="31">
        <f>Simulation_output!H387</f>
        <v>0</v>
      </c>
      <c r="L389">
        <v>1</v>
      </c>
      <c r="M389">
        <f t="shared" si="99"/>
        <v>0</v>
      </c>
      <c r="N389">
        <f t="shared" si="98"/>
        <v>0</v>
      </c>
      <c r="O389">
        <f t="shared" si="97"/>
        <v>0</v>
      </c>
      <c r="P389">
        <f t="shared" si="100"/>
        <v>0</v>
      </c>
      <c r="Q389">
        <f t="shared" si="96"/>
        <v>0</v>
      </c>
      <c r="R389">
        <f t="shared" si="86"/>
        <v>0</v>
      </c>
      <c r="S389">
        <f t="shared" si="87"/>
        <v>0</v>
      </c>
      <c r="T389">
        <f t="shared" si="88"/>
        <v>0</v>
      </c>
      <c r="U389">
        <f t="shared" si="89"/>
        <v>0</v>
      </c>
      <c r="V389">
        <f t="shared" si="90"/>
        <v>0</v>
      </c>
      <c r="W389">
        <f t="shared" si="91"/>
        <v>0</v>
      </c>
      <c r="X389">
        <f t="shared" si="92"/>
        <v>0</v>
      </c>
      <c r="Y389">
        <f t="shared" si="93"/>
        <v>0</v>
      </c>
      <c r="Z389">
        <f t="shared" si="94"/>
        <v>0</v>
      </c>
      <c r="AB389">
        <v>385</v>
      </c>
      <c r="AC389">
        <f t="shared" si="95"/>
        <v>4</v>
      </c>
      <c r="AD389">
        <f t="shared" si="85"/>
        <v>0</v>
      </c>
    </row>
    <row r="390" spans="4:30" x14ac:dyDescent="0.25">
      <c r="D390" s="31">
        <f>Simulation_output!A388</f>
        <v>3865000</v>
      </c>
      <c r="E390">
        <f>Sheet2!R387</f>
        <v>141</v>
      </c>
      <c r="F390">
        <f>Sheet2!S387</f>
        <v>1</v>
      </c>
      <c r="G390">
        <f>Sheet2!T387</f>
        <v>0</v>
      </c>
      <c r="H390" s="31">
        <f>Simulation_output!E388</f>
        <v>1</v>
      </c>
      <c r="I390" s="31">
        <f>Simulation_output!F388</f>
        <v>25</v>
      </c>
      <c r="J390" s="31">
        <f>Simulation_output!G388</f>
        <v>1</v>
      </c>
      <c r="K390" s="31">
        <f>Simulation_output!H388</f>
        <v>0</v>
      </c>
      <c r="L390">
        <v>1</v>
      </c>
      <c r="M390">
        <f t="shared" si="99"/>
        <v>0</v>
      </c>
      <c r="N390">
        <f t="shared" si="98"/>
        <v>0</v>
      </c>
      <c r="O390">
        <f t="shared" si="97"/>
        <v>0</v>
      </c>
      <c r="P390">
        <f t="shared" si="100"/>
        <v>0</v>
      </c>
      <c r="Q390">
        <f t="shared" si="96"/>
        <v>0</v>
      </c>
      <c r="R390">
        <f t="shared" si="86"/>
        <v>0</v>
      </c>
      <c r="S390">
        <f t="shared" si="87"/>
        <v>0</v>
      </c>
      <c r="T390">
        <f t="shared" si="88"/>
        <v>0</v>
      </c>
      <c r="U390">
        <f t="shared" si="89"/>
        <v>0</v>
      </c>
      <c r="V390">
        <f t="shared" si="90"/>
        <v>0</v>
      </c>
      <c r="W390">
        <f t="shared" si="91"/>
        <v>0</v>
      </c>
      <c r="X390">
        <f t="shared" si="92"/>
        <v>0</v>
      </c>
      <c r="Y390">
        <f t="shared" si="93"/>
        <v>0</v>
      </c>
      <c r="Z390">
        <f t="shared" si="94"/>
        <v>0</v>
      </c>
      <c r="AB390">
        <v>386</v>
      </c>
      <c r="AC390">
        <f t="shared" si="95"/>
        <v>4</v>
      </c>
      <c r="AD390">
        <f t="shared" ref="AD390:AD453" si="101">IF(M390="FFFFFFF",AC390,0)</f>
        <v>0</v>
      </c>
    </row>
    <row r="391" spans="4:30" x14ac:dyDescent="0.25">
      <c r="D391" s="31">
        <f>Simulation_output!A389</f>
        <v>3875000</v>
      </c>
      <c r="E391">
        <f>Sheet2!R388</f>
        <v>0</v>
      </c>
      <c r="F391">
        <f>Sheet2!S388</f>
        <v>0</v>
      </c>
      <c r="G391">
        <f>Sheet2!T388</f>
        <v>0</v>
      </c>
      <c r="H391" s="31">
        <f>Simulation_output!E389</f>
        <v>1</v>
      </c>
      <c r="I391" s="31">
        <f>Simulation_output!F389</f>
        <v>5</v>
      </c>
      <c r="J391" s="31">
        <f>Simulation_output!G389</f>
        <v>1</v>
      </c>
      <c r="K391" s="31">
        <f>Simulation_output!H389</f>
        <v>0</v>
      </c>
      <c r="L391">
        <v>1</v>
      </c>
      <c r="M391">
        <f t="shared" si="99"/>
        <v>0</v>
      </c>
      <c r="N391">
        <f t="shared" si="98"/>
        <v>0</v>
      </c>
      <c r="O391">
        <f t="shared" si="97"/>
        <v>0</v>
      </c>
      <c r="P391">
        <f t="shared" si="100"/>
        <v>0</v>
      </c>
      <c r="Q391">
        <f t="shared" si="96"/>
        <v>0</v>
      </c>
      <c r="R391">
        <f t="shared" ref="R391:R454" si="102">IF(K391&gt;0,I383,0)</f>
        <v>0</v>
      </c>
      <c r="S391">
        <f t="shared" ref="S391:S454" si="103">IF(K391&gt;0,I384,0)</f>
        <v>0</v>
      </c>
      <c r="T391">
        <f t="shared" ref="T391:T454" si="104">IF(K391&gt;0,I385,0)</f>
        <v>0</v>
      </c>
      <c r="U391">
        <f t="shared" ref="U391:U454" si="105">IF(K391&gt;0,I386,0)</f>
        <v>0</v>
      </c>
      <c r="V391">
        <f t="shared" ref="V391:V454" si="106">IF(K391&gt;0,I387,0)</f>
        <v>0</v>
      </c>
      <c r="W391">
        <f t="shared" ref="W391:W454" si="107">IF(K391&gt;0,I388,0)</f>
        <v>0</v>
      </c>
      <c r="X391">
        <f t="shared" ref="X391:X454" si="108">IF(K391&gt;0,I389,0)</f>
        <v>0</v>
      </c>
      <c r="Y391">
        <f t="shared" ref="Y391:Y454" si="109">IF(K391&gt;0,I390,0)</f>
        <v>0</v>
      </c>
      <c r="Z391">
        <f t="shared" ref="Z391:Z454" si="110">IF(K391&gt;0,DEC2HEX(I391),0)</f>
        <v>0</v>
      </c>
      <c r="AB391">
        <v>387</v>
      </c>
      <c r="AC391">
        <f t="shared" ref="AC391:AC454" si="111">IF(M391="FFFFFFF",AC390+1,AC390)</f>
        <v>4</v>
      </c>
      <c r="AD391">
        <f t="shared" si="101"/>
        <v>0</v>
      </c>
    </row>
    <row r="392" spans="4:30" x14ac:dyDescent="0.25">
      <c r="D392" s="31">
        <f>Simulation_output!A390</f>
        <v>3885000</v>
      </c>
      <c r="E392">
        <f>Sheet2!R389</f>
        <v>1041</v>
      </c>
      <c r="F392">
        <f>Sheet2!S389</f>
        <v>1</v>
      </c>
      <c r="G392">
        <f>Sheet2!T389</f>
        <v>0</v>
      </c>
      <c r="H392" s="31">
        <f>Simulation_output!E390</f>
        <v>1</v>
      </c>
      <c r="I392" s="31">
        <f>Simulation_output!F390</f>
        <v>14</v>
      </c>
      <c r="J392" s="31">
        <f>Simulation_output!G390</f>
        <v>1</v>
      </c>
      <c r="K392" s="31">
        <f>Simulation_output!H390</f>
        <v>0</v>
      </c>
      <c r="L392">
        <v>1</v>
      </c>
      <c r="M392">
        <f t="shared" si="99"/>
        <v>0</v>
      </c>
      <c r="N392">
        <f t="shared" si="98"/>
        <v>0</v>
      </c>
      <c r="O392">
        <f t="shared" si="97"/>
        <v>0</v>
      </c>
      <c r="P392">
        <f t="shared" si="100"/>
        <v>0</v>
      </c>
      <c r="Q392">
        <f t="shared" si="96"/>
        <v>0</v>
      </c>
      <c r="R392">
        <f t="shared" si="102"/>
        <v>0</v>
      </c>
      <c r="S392">
        <f t="shared" si="103"/>
        <v>0</v>
      </c>
      <c r="T392">
        <f t="shared" si="104"/>
        <v>0</v>
      </c>
      <c r="U392">
        <f t="shared" si="105"/>
        <v>0</v>
      </c>
      <c r="V392">
        <f t="shared" si="106"/>
        <v>0</v>
      </c>
      <c r="W392">
        <f t="shared" si="107"/>
        <v>0</v>
      </c>
      <c r="X392">
        <f t="shared" si="108"/>
        <v>0</v>
      </c>
      <c r="Y392">
        <f t="shared" si="109"/>
        <v>0</v>
      </c>
      <c r="Z392">
        <f t="shared" si="110"/>
        <v>0</v>
      </c>
      <c r="AB392">
        <v>388</v>
      </c>
      <c r="AC392">
        <f t="shared" si="111"/>
        <v>4</v>
      </c>
      <c r="AD392">
        <f t="shared" si="101"/>
        <v>0</v>
      </c>
    </row>
    <row r="393" spans="4:30" x14ac:dyDescent="0.25">
      <c r="D393" s="31">
        <f>Simulation_output!A391</f>
        <v>3895000</v>
      </c>
      <c r="E393">
        <f>Sheet2!R390</f>
        <v>0</v>
      </c>
      <c r="F393">
        <f>Sheet2!S390</f>
        <v>0</v>
      </c>
      <c r="G393">
        <f>Sheet2!T390</f>
        <v>0</v>
      </c>
      <c r="H393" s="31">
        <f>Simulation_output!E391</f>
        <v>1</v>
      </c>
      <c r="I393" s="31">
        <f>Simulation_output!F391</f>
        <v>114</v>
      </c>
      <c r="J393" s="31">
        <f>Simulation_output!G391</f>
        <v>1</v>
      </c>
      <c r="K393" s="31">
        <f>Simulation_output!H391</f>
        <v>0</v>
      </c>
      <c r="L393">
        <v>1</v>
      </c>
      <c r="M393">
        <f t="shared" si="99"/>
        <v>0</v>
      </c>
      <c r="N393">
        <f t="shared" si="98"/>
        <v>0</v>
      </c>
      <c r="O393">
        <f t="shared" si="97"/>
        <v>0</v>
      </c>
      <c r="P393">
        <f t="shared" si="100"/>
        <v>0</v>
      </c>
      <c r="Q393">
        <f t="shared" si="96"/>
        <v>0</v>
      </c>
      <c r="R393">
        <f t="shared" si="102"/>
        <v>0</v>
      </c>
      <c r="S393">
        <f t="shared" si="103"/>
        <v>0</v>
      </c>
      <c r="T393">
        <f t="shared" si="104"/>
        <v>0</v>
      </c>
      <c r="U393">
        <f t="shared" si="105"/>
        <v>0</v>
      </c>
      <c r="V393">
        <f t="shared" si="106"/>
        <v>0</v>
      </c>
      <c r="W393">
        <f t="shared" si="107"/>
        <v>0</v>
      </c>
      <c r="X393">
        <f t="shared" si="108"/>
        <v>0</v>
      </c>
      <c r="Y393">
        <f t="shared" si="109"/>
        <v>0</v>
      </c>
      <c r="Z393">
        <f t="shared" si="110"/>
        <v>0</v>
      </c>
      <c r="AB393">
        <v>389</v>
      </c>
      <c r="AC393">
        <f t="shared" si="111"/>
        <v>4</v>
      </c>
      <c r="AD393">
        <f t="shared" si="101"/>
        <v>0</v>
      </c>
    </row>
    <row r="394" spans="4:30" x14ac:dyDescent="0.25">
      <c r="D394" s="31">
        <f>Simulation_output!A392</f>
        <v>3905000</v>
      </c>
      <c r="E394">
        <f>Sheet2!R391</f>
        <v>10041</v>
      </c>
      <c r="F394">
        <f>Sheet2!S391</f>
        <v>1</v>
      </c>
      <c r="G394">
        <f>Sheet2!T391</f>
        <v>1</v>
      </c>
      <c r="H394" s="31">
        <f>Simulation_output!E392</f>
        <v>1</v>
      </c>
      <c r="I394" s="31">
        <f>Simulation_output!F392</f>
        <v>1014</v>
      </c>
      <c r="J394" s="31">
        <f>Simulation_output!G392</f>
        <v>1</v>
      </c>
      <c r="K394" s="31">
        <f>Simulation_output!H392</f>
        <v>0</v>
      </c>
      <c r="L394">
        <v>1</v>
      </c>
      <c r="M394">
        <f t="shared" si="99"/>
        <v>0</v>
      </c>
      <c r="N394">
        <f t="shared" si="98"/>
        <v>0</v>
      </c>
      <c r="O394">
        <f t="shared" si="97"/>
        <v>0</v>
      </c>
      <c r="P394">
        <f t="shared" si="100"/>
        <v>0</v>
      </c>
      <c r="Q394">
        <f t="shared" si="96"/>
        <v>0</v>
      </c>
      <c r="R394">
        <f t="shared" si="102"/>
        <v>0</v>
      </c>
      <c r="S394">
        <f t="shared" si="103"/>
        <v>0</v>
      </c>
      <c r="T394">
        <f t="shared" si="104"/>
        <v>0</v>
      </c>
      <c r="U394">
        <f t="shared" si="105"/>
        <v>0</v>
      </c>
      <c r="V394">
        <f t="shared" si="106"/>
        <v>0</v>
      </c>
      <c r="W394">
        <f t="shared" si="107"/>
        <v>0</v>
      </c>
      <c r="X394">
        <f t="shared" si="108"/>
        <v>0</v>
      </c>
      <c r="Y394">
        <f t="shared" si="109"/>
        <v>0</v>
      </c>
      <c r="Z394">
        <f t="shared" si="110"/>
        <v>0</v>
      </c>
      <c r="AB394">
        <v>390</v>
      </c>
      <c r="AC394">
        <f t="shared" si="111"/>
        <v>4</v>
      </c>
      <c r="AD394">
        <f t="shared" si="101"/>
        <v>0</v>
      </c>
    </row>
    <row r="395" spans="4:30" x14ac:dyDescent="0.25">
      <c r="D395" s="31">
        <f>Simulation_output!A393</f>
        <v>3915000</v>
      </c>
      <c r="E395">
        <f>Sheet2!R392</f>
        <v>0</v>
      </c>
      <c r="F395">
        <f>Sheet2!S392</f>
        <v>0</v>
      </c>
      <c r="G395">
        <f>Sheet2!T392</f>
        <v>0</v>
      </c>
      <c r="H395" s="31">
        <f>Simulation_output!E393</f>
        <v>1</v>
      </c>
      <c r="I395" s="31">
        <f>Simulation_output!F393</f>
        <v>10014</v>
      </c>
      <c r="J395" s="31">
        <f>Simulation_output!G393</f>
        <v>1</v>
      </c>
      <c r="K395" s="31">
        <f>Simulation_output!H393</f>
        <v>0</v>
      </c>
      <c r="L395">
        <v>1</v>
      </c>
      <c r="M395">
        <f t="shared" si="99"/>
        <v>0</v>
      </c>
      <c r="N395">
        <f t="shared" si="98"/>
        <v>0</v>
      </c>
      <c r="O395">
        <f t="shared" si="97"/>
        <v>0</v>
      </c>
      <c r="P395">
        <f t="shared" si="100"/>
        <v>0</v>
      </c>
      <c r="Q395">
        <f t="shared" ref="Q395:Q458" si="112">IF(K395&gt;0,I386,0)</f>
        <v>0</v>
      </c>
      <c r="R395">
        <f t="shared" si="102"/>
        <v>0</v>
      </c>
      <c r="S395">
        <f t="shared" si="103"/>
        <v>0</v>
      </c>
      <c r="T395">
        <f t="shared" si="104"/>
        <v>0</v>
      </c>
      <c r="U395">
        <f t="shared" si="105"/>
        <v>0</v>
      </c>
      <c r="V395">
        <f t="shared" si="106"/>
        <v>0</v>
      </c>
      <c r="W395">
        <f t="shared" si="107"/>
        <v>0</v>
      </c>
      <c r="X395">
        <f t="shared" si="108"/>
        <v>0</v>
      </c>
      <c r="Y395">
        <f t="shared" si="109"/>
        <v>0</v>
      </c>
      <c r="Z395">
        <f t="shared" si="110"/>
        <v>0</v>
      </c>
      <c r="AB395">
        <v>391</v>
      </c>
      <c r="AC395">
        <f t="shared" si="111"/>
        <v>4</v>
      </c>
      <c r="AD395">
        <f t="shared" si="101"/>
        <v>0</v>
      </c>
    </row>
    <row r="396" spans="4:30" x14ac:dyDescent="0.25">
      <c r="D396" s="31">
        <f>Simulation_output!A394</f>
        <v>3925000</v>
      </c>
      <c r="E396">
        <f>Sheet2!R393</f>
        <v>0</v>
      </c>
      <c r="F396">
        <f>Sheet2!S393</f>
        <v>1</v>
      </c>
      <c r="G396">
        <f>Sheet2!T393</f>
        <v>0</v>
      </c>
      <c r="H396" s="31">
        <f>Simulation_output!E394</f>
        <v>1</v>
      </c>
      <c r="I396" s="31">
        <f>Simulation_output!F394</f>
        <v>1126</v>
      </c>
      <c r="J396" s="31">
        <f>Simulation_output!G394</f>
        <v>1</v>
      </c>
      <c r="K396" s="31">
        <f>Simulation_output!H394</f>
        <v>0</v>
      </c>
      <c r="L396">
        <v>1</v>
      </c>
      <c r="M396">
        <f t="shared" si="99"/>
        <v>0</v>
      </c>
      <c r="N396">
        <f t="shared" si="98"/>
        <v>0</v>
      </c>
      <c r="O396">
        <f t="shared" si="97"/>
        <v>0</v>
      </c>
      <c r="P396">
        <f t="shared" si="100"/>
        <v>0</v>
      </c>
      <c r="Q396">
        <f t="shared" si="112"/>
        <v>0</v>
      </c>
      <c r="R396">
        <f t="shared" si="102"/>
        <v>0</v>
      </c>
      <c r="S396">
        <f t="shared" si="103"/>
        <v>0</v>
      </c>
      <c r="T396">
        <f t="shared" si="104"/>
        <v>0</v>
      </c>
      <c r="U396">
        <f t="shared" si="105"/>
        <v>0</v>
      </c>
      <c r="V396">
        <f t="shared" si="106"/>
        <v>0</v>
      </c>
      <c r="W396">
        <f t="shared" si="107"/>
        <v>0</v>
      </c>
      <c r="X396">
        <f t="shared" si="108"/>
        <v>0</v>
      </c>
      <c r="Y396">
        <f t="shared" si="109"/>
        <v>0</v>
      </c>
      <c r="Z396">
        <f t="shared" si="110"/>
        <v>0</v>
      </c>
      <c r="AB396">
        <v>392</v>
      </c>
      <c r="AC396">
        <f t="shared" si="111"/>
        <v>4</v>
      </c>
      <c r="AD396">
        <f t="shared" si="101"/>
        <v>0</v>
      </c>
    </row>
    <row r="397" spans="4:30" x14ac:dyDescent="0.25">
      <c r="D397" s="31">
        <f>Simulation_output!A395</f>
        <v>3935000</v>
      </c>
      <c r="E397">
        <f>Sheet2!R394</f>
        <v>0</v>
      </c>
      <c r="F397">
        <f>Sheet2!S394</f>
        <v>0</v>
      </c>
      <c r="G397">
        <f>Sheet2!T394</f>
        <v>0</v>
      </c>
      <c r="H397" s="31">
        <f>Simulation_output!E395</f>
        <v>1</v>
      </c>
      <c r="I397" s="31">
        <f>Simulation_output!F395</f>
        <v>326</v>
      </c>
      <c r="J397" s="31">
        <f>Simulation_output!G395</f>
        <v>1</v>
      </c>
      <c r="K397" s="31">
        <f>Simulation_output!H395</f>
        <v>0</v>
      </c>
      <c r="L397">
        <v>1</v>
      </c>
      <c r="M397">
        <f t="shared" si="99"/>
        <v>0</v>
      </c>
      <c r="N397">
        <f t="shared" si="98"/>
        <v>0</v>
      </c>
      <c r="O397">
        <f t="shared" ref="O397:O460" si="113">IF(K397&gt;0,I386,0)</f>
        <v>0</v>
      </c>
      <c r="P397">
        <f t="shared" si="100"/>
        <v>0</v>
      </c>
      <c r="Q397">
        <f t="shared" si="112"/>
        <v>0</v>
      </c>
      <c r="R397">
        <f t="shared" si="102"/>
        <v>0</v>
      </c>
      <c r="S397">
        <f t="shared" si="103"/>
        <v>0</v>
      </c>
      <c r="T397">
        <f t="shared" si="104"/>
        <v>0</v>
      </c>
      <c r="U397">
        <f t="shared" si="105"/>
        <v>0</v>
      </c>
      <c r="V397">
        <f t="shared" si="106"/>
        <v>0</v>
      </c>
      <c r="W397">
        <f t="shared" si="107"/>
        <v>0</v>
      </c>
      <c r="X397">
        <f t="shared" si="108"/>
        <v>0</v>
      </c>
      <c r="Y397">
        <f t="shared" si="109"/>
        <v>0</v>
      </c>
      <c r="Z397">
        <f t="shared" si="110"/>
        <v>0</v>
      </c>
      <c r="AB397">
        <v>393</v>
      </c>
      <c r="AC397">
        <f t="shared" si="111"/>
        <v>4</v>
      </c>
      <c r="AD397">
        <f t="shared" si="101"/>
        <v>0</v>
      </c>
    </row>
    <row r="398" spans="4:30" x14ac:dyDescent="0.25">
      <c r="D398" s="31">
        <f>Simulation_output!A396</f>
        <v>3945000</v>
      </c>
      <c r="E398">
        <f>Sheet2!R395</f>
        <v>8</v>
      </c>
      <c r="F398">
        <f>Sheet2!S395</f>
        <v>1</v>
      </c>
      <c r="G398">
        <f>Sheet2!T395</f>
        <v>0</v>
      </c>
      <c r="H398" s="31">
        <f>Simulation_output!E396</f>
        <v>1</v>
      </c>
      <c r="I398" s="31">
        <f>Simulation_output!F396</f>
        <v>0</v>
      </c>
      <c r="J398" s="31">
        <f>Simulation_output!G396</f>
        <v>1</v>
      </c>
      <c r="K398" s="31">
        <f>Simulation_output!H396</f>
        <v>0</v>
      </c>
      <c r="L398">
        <v>1</v>
      </c>
      <c r="M398">
        <f t="shared" si="99"/>
        <v>0</v>
      </c>
      <c r="N398">
        <f t="shared" ref="N398:N461" si="114">IF(K398&gt;0,I386,0)</f>
        <v>0</v>
      </c>
      <c r="O398">
        <f t="shared" si="113"/>
        <v>0</v>
      </c>
      <c r="P398">
        <f t="shared" si="100"/>
        <v>0</v>
      </c>
      <c r="Q398">
        <f t="shared" si="112"/>
        <v>0</v>
      </c>
      <c r="R398">
        <f t="shared" si="102"/>
        <v>0</v>
      </c>
      <c r="S398">
        <f t="shared" si="103"/>
        <v>0</v>
      </c>
      <c r="T398">
        <f t="shared" si="104"/>
        <v>0</v>
      </c>
      <c r="U398">
        <f t="shared" si="105"/>
        <v>0</v>
      </c>
      <c r="V398">
        <f t="shared" si="106"/>
        <v>0</v>
      </c>
      <c r="W398">
        <f t="shared" si="107"/>
        <v>0</v>
      </c>
      <c r="X398">
        <f t="shared" si="108"/>
        <v>0</v>
      </c>
      <c r="Y398">
        <f t="shared" si="109"/>
        <v>0</v>
      </c>
      <c r="Z398">
        <f t="shared" si="110"/>
        <v>0</v>
      </c>
      <c r="AB398">
        <v>394</v>
      </c>
      <c r="AC398">
        <f t="shared" si="111"/>
        <v>4</v>
      </c>
      <c r="AD398">
        <f t="shared" si="101"/>
        <v>0</v>
      </c>
    </row>
    <row r="399" spans="4:30" x14ac:dyDescent="0.25">
      <c r="D399" s="31">
        <f>Simulation_output!A397</f>
        <v>3955000</v>
      </c>
      <c r="E399">
        <f>Sheet2!R396</f>
        <v>0</v>
      </c>
      <c r="F399">
        <f>Sheet2!S396</f>
        <v>0</v>
      </c>
      <c r="G399">
        <f>Sheet2!T396</f>
        <v>0</v>
      </c>
      <c r="H399" s="31">
        <f>Simulation_output!E397</f>
        <v>1</v>
      </c>
      <c r="I399" s="31">
        <f>Simulation_output!F397</f>
        <v>268435454</v>
      </c>
      <c r="J399" s="31">
        <f>Simulation_output!G397</f>
        <v>1</v>
      </c>
      <c r="K399" s="31">
        <f>Simulation_output!H397</f>
        <v>1</v>
      </c>
      <c r="L399">
        <v>1</v>
      </c>
      <c r="M399" t="str">
        <f t="shared" ref="M399:M462" si="115">IF(K399&gt;0,DEC2HEX(I386),0)</f>
        <v>FFFFFFF</v>
      </c>
      <c r="N399">
        <f t="shared" si="114"/>
        <v>5</v>
      </c>
      <c r="O399">
        <f t="shared" si="113"/>
        <v>59</v>
      </c>
      <c r="P399">
        <f t="shared" ref="P399:P462" si="116">IF(K399&gt;0,I389,0)</f>
        <v>317</v>
      </c>
      <c r="Q399">
        <f t="shared" si="112"/>
        <v>25</v>
      </c>
      <c r="R399">
        <f t="shared" si="102"/>
        <v>5</v>
      </c>
      <c r="S399">
        <f t="shared" si="103"/>
        <v>14</v>
      </c>
      <c r="T399">
        <f t="shared" si="104"/>
        <v>114</v>
      </c>
      <c r="U399">
        <f t="shared" si="105"/>
        <v>1014</v>
      </c>
      <c r="V399">
        <f t="shared" si="106"/>
        <v>10014</v>
      </c>
      <c r="W399">
        <f t="shared" si="107"/>
        <v>1126</v>
      </c>
      <c r="X399">
        <f t="shared" si="108"/>
        <v>326</v>
      </c>
      <c r="Y399">
        <f t="shared" si="109"/>
        <v>0</v>
      </c>
      <c r="Z399" t="str">
        <f t="shared" si="110"/>
        <v>FFFFFFE</v>
      </c>
      <c r="AB399">
        <v>395</v>
      </c>
      <c r="AC399">
        <f t="shared" si="111"/>
        <v>5</v>
      </c>
      <c r="AD399">
        <f t="shared" si="101"/>
        <v>5</v>
      </c>
    </row>
    <row r="400" spans="4:30" x14ac:dyDescent="0.25">
      <c r="D400" s="31">
        <f>Simulation_output!A398</f>
        <v>3965000</v>
      </c>
      <c r="E400">
        <f>Sheet2!R397</f>
        <v>42</v>
      </c>
      <c r="F400">
        <f>Sheet2!S397</f>
        <v>1</v>
      </c>
      <c r="G400">
        <f>Sheet2!T397</f>
        <v>0</v>
      </c>
      <c r="H400" s="31">
        <f>Simulation_output!E398</f>
        <v>1</v>
      </c>
      <c r="I400" s="31">
        <f>Simulation_output!F398</f>
        <v>268435455</v>
      </c>
      <c r="J400" s="31">
        <f>Simulation_output!G398</f>
        <v>1</v>
      </c>
      <c r="K400" s="31">
        <f>Simulation_output!H398</f>
        <v>0</v>
      </c>
      <c r="L400">
        <v>1</v>
      </c>
      <c r="M400">
        <f t="shared" si="115"/>
        <v>0</v>
      </c>
      <c r="N400">
        <f t="shared" si="114"/>
        <v>0</v>
      </c>
      <c r="O400">
        <f t="shared" si="113"/>
        <v>0</v>
      </c>
      <c r="P400">
        <f t="shared" si="116"/>
        <v>0</v>
      </c>
      <c r="Q400">
        <f t="shared" si="112"/>
        <v>0</v>
      </c>
      <c r="R400">
        <f t="shared" si="102"/>
        <v>0</v>
      </c>
      <c r="S400">
        <f t="shared" si="103"/>
        <v>0</v>
      </c>
      <c r="T400">
        <f t="shared" si="104"/>
        <v>0</v>
      </c>
      <c r="U400">
        <f t="shared" si="105"/>
        <v>0</v>
      </c>
      <c r="V400">
        <f t="shared" si="106"/>
        <v>0</v>
      </c>
      <c r="W400">
        <f t="shared" si="107"/>
        <v>0</v>
      </c>
      <c r="X400">
        <f t="shared" si="108"/>
        <v>0</v>
      </c>
      <c r="Y400">
        <f t="shared" si="109"/>
        <v>0</v>
      </c>
      <c r="Z400">
        <f t="shared" si="110"/>
        <v>0</v>
      </c>
      <c r="AB400">
        <v>396</v>
      </c>
      <c r="AC400">
        <f t="shared" si="111"/>
        <v>5</v>
      </c>
      <c r="AD400">
        <f t="shared" si="101"/>
        <v>0</v>
      </c>
    </row>
    <row r="401" spans="4:30" x14ac:dyDescent="0.25">
      <c r="D401" s="31">
        <f>Simulation_output!A399</f>
        <v>3975000</v>
      </c>
      <c r="E401">
        <f>Sheet2!R398</f>
        <v>0</v>
      </c>
      <c r="F401">
        <f>Sheet2!S398</f>
        <v>0</v>
      </c>
      <c r="G401">
        <f>Sheet2!T398</f>
        <v>0</v>
      </c>
      <c r="H401" s="31">
        <f>Simulation_output!E399</f>
        <v>1</v>
      </c>
      <c r="I401" s="31">
        <f>Simulation_output!F399</f>
        <v>6</v>
      </c>
      <c r="J401" s="31">
        <f>Simulation_output!G399</f>
        <v>1</v>
      </c>
      <c r="K401" s="31">
        <f>Simulation_output!H399</f>
        <v>0</v>
      </c>
      <c r="L401">
        <v>1</v>
      </c>
      <c r="M401">
        <f t="shared" si="115"/>
        <v>0</v>
      </c>
      <c r="N401">
        <f t="shared" si="114"/>
        <v>0</v>
      </c>
      <c r="O401">
        <f t="shared" si="113"/>
        <v>0</v>
      </c>
      <c r="P401">
        <f t="shared" si="116"/>
        <v>0</v>
      </c>
      <c r="Q401">
        <f t="shared" si="112"/>
        <v>0</v>
      </c>
      <c r="R401">
        <f t="shared" si="102"/>
        <v>0</v>
      </c>
      <c r="S401">
        <f t="shared" si="103"/>
        <v>0</v>
      </c>
      <c r="T401">
        <f t="shared" si="104"/>
        <v>0</v>
      </c>
      <c r="U401">
        <f t="shared" si="105"/>
        <v>0</v>
      </c>
      <c r="V401">
        <f t="shared" si="106"/>
        <v>0</v>
      </c>
      <c r="W401">
        <f t="shared" si="107"/>
        <v>0</v>
      </c>
      <c r="X401">
        <f t="shared" si="108"/>
        <v>0</v>
      </c>
      <c r="Y401">
        <f t="shared" si="109"/>
        <v>0</v>
      </c>
      <c r="Z401">
        <f t="shared" si="110"/>
        <v>0</v>
      </c>
      <c r="AB401">
        <v>397</v>
      </c>
      <c r="AC401">
        <f t="shared" si="111"/>
        <v>5</v>
      </c>
      <c r="AD401">
        <f t="shared" si="101"/>
        <v>0</v>
      </c>
    </row>
    <row r="402" spans="4:30" x14ac:dyDescent="0.25">
      <c r="D402" s="31">
        <f>Simulation_output!A400</f>
        <v>3985000</v>
      </c>
      <c r="E402">
        <f>Sheet2!R399</f>
        <v>142</v>
      </c>
      <c r="F402">
        <f>Sheet2!S399</f>
        <v>1</v>
      </c>
      <c r="G402">
        <f>Sheet2!T399</f>
        <v>0</v>
      </c>
      <c r="H402" s="31">
        <f>Simulation_output!E400</f>
        <v>1</v>
      </c>
      <c r="I402" s="31">
        <f>Simulation_output!F400</f>
        <v>71</v>
      </c>
      <c r="J402" s="31">
        <f>Simulation_output!G400</f>
        <v>1</v>
      </c>
      <c r="K402" s="31">
        <f>Simulation_output!H400</f>
        <v>0</v>
      </c>
      <c r="L402">
        <v>1</v>
      </c>
      <c r="M402">
        <f t="shared" si="115"/>
        <v>0</v>
      </c>
      <c r="N402">
        <f t="shared" si="114"/>
        <v>0</v>
      </c>
      <c r="O402">
        <f t="shared" si="113"/>
        <v>0</v>
      </c>
      <c r="P402">
        <f t="shared" si="116"/>
        <v>0</v>
      </c>
      <c r="Q402">
        <f t="shared" si="112"/>
        <v>0</v>
      </c>
      <c r="R402">
        <f t="shared" si="102"/>
        <v>0</v>
      </c>
      <c r="S402">
        <f t="shared" si="103"/>
        <v>0</v>
      </c>
      <c r="T402">
        <f t="shared" si="104"/>
        <v>0</v>
      </c>
      <c r="U402">
        <f t="shared" si="105"/>
        <v>0</v>
      </c>
      <c r="V402">
        <f t="shared" si="106"/>
        <v>0</v>
      </c>
      <c r="W402">
        <f t="shared" si="107"/>
        <v>0</v>
      </c>
      <c r="X402">
        <f t="shared" si="108"/>
        <v>0</v>
      </c>
      <c r="Y402">
        <f t="shared" si="109"/>
        <v>0</v>
      </c>
      <c r="Z402">
        <f t="shared" si="110"/>
        <v>0</v>
      </c>
      <c r="AB402">
        <v>398</v>
      </c>
      <c r="AC402">
        <f t="shared" si="111"/>
        <v>5</v>
      </c>
      <c r="AD402">
        <f t="shared" si="101"/>
        <v>0</v>
      </c>
    </row>
    <row r="403" spans="4:30" x14ac:dyDescent="0.25">
      <c r="D403" s="31">
        <f>Simulation_output!A401</f>
        <v>3995000</v>
      </c>
      <c r="E403">
        <f>Sheet2!R400</f>
        <v>0</v>
      </c>
      <c r="F403">
        <f>Sheet2!S400</f>
        <v>0</v>
      </c>
      <c r="G403">
        <f>Sheet2!T400</f>
        <v>0</v>
      </c>
      <c r="H403" s="31">
        <f>Simulation_output!E401</f>
        <v>1</v>
      </c>
      <c r="I403" s="31">
        <f>Simulation_output!F401</f>
        <v>318</v>
      </c>
      <c r="J403" s="31">
        <f>Simulation_output!G401</f>
        <v>1</v>
      </c>
      <c r="K403" s="31">
        <f>Simulation_output!H401</f>
        <v>0</v>
      </c>
      <c r="L403">
        <v>1</v>
      </c>
      <c r="M403">
        <f t="shared" si="115"/>
        <v>0</v>
      </c>
      <c r="N403">
        <f t="shared" si="114"/>
        <v>0</v>
      </c>
      <c r="O403">
        <f t="shared" si="113"/>
        <v>0</v>
      </c>
      <c r="P403">
        <f t="shared" si="116"/>
        <v>0</v>
      </c>
      <c r="Q403">
        <f t="shared" si="112"/>
        <v>0</v>
      </c>
      <c r="R403">
        <f t="shared" si="102"/>
        <v>0</v>
      </c>
      <c r="S403">
        <f t="shared" si="103"/>
        <v>0</v>
      </c>
      <c r="T403">
        <f t="shared" si="104"/>
        <v>0</v>
      </c>
      <c r="U403">
        <f t="shared" si="105"/>
        <v>0</v>
      </c>
      <c r="V403">
        <f t="shared" si="106"/>
        <v>0</v>
      </c>
      <c r="W403">
        <f t="shared" si="107"/>
        <v>0</v>
      </c>
      <c r="X403">
        <f t="shared" si="108"/>
        <v>0</v>
      </c>
      <c r="Y403">
        <f t="shared" si="109"/>
        <v>0</v>
      </c>
      <c r="Z403">
        <f t="shared" si="110"/>
        <v>0</v>
      </c>
      <c r="AB403">
        <v>399</v>
      </c>
      <c r="AC403">
        <f t="shared" si="111"/>
        <v>5</v>
      </c>
      <c r="AD403">
        <f t="shared" si="101"/>
        <v>0</v>
      </c>
    </row>
    <row r="404" spans="4:30" x14ac:dyDescent="0.25">
      <c r="D404" s="31">
        <f>Simulation_output!A402</f>
        <v>4005000</v>
      </c>
      <c r="E404">
        <f>Sheet2!R401</f>
        <v>1042</v>
      </c>
      <c r="F404">
        <f>Sheet2!S401</f>
        <v>1</v>
      </c>
      <c r="G404">
        <f>Sheet2!T401</f>
        <v>0</v>
      </c>
      <c r="H404" s="31">
        <f>Simulation_output!E402</f>
        <v>1</v>
      </c>
      <c r="I404" s="31">
        <f>Simulation_output!F402</f>
        <v>25</v>
      </c>
      <c r="J404" s="31">
        <f>Simulation_output!G402</f>
        <v>1</v>
      </c>
      <c r="K404" s="31">
        <f>Simulation_output!H402</f>
        <v>0</v>
      </c>
      <c r="L404">
        <v>1</v>
      </c>
      <c r="M404">
        <f t="shared" si="115"/>
        <v>0</v>
      </c>
      <c r="N404">
        <f t="shared" si="114"/>
        <v>0</v>
      </c>
      <c r="O404">
        <f t="shared" si="113"/>
        <v>0</v>
      </c>
      <c r="P404">
        <f t="shared" si="116"/>
        <v>0</v>
      </c>
      <c r="Q404">
        <f t="shared" si="112"/>
        <v>0</v>
      </c>
      <c r="R404">
        <f t="shared" si="102"/>
        <v>0</v>
      </c>
      <c r="S404">
        <f t="shared" si="103"/>
        <v>0</v>
      </c>
      <c r="T404">
        <f t="shared" si="104"/>
        <v>0</v>
      </c>
      <c r="U404">
        <f t="shared" si="105"/>
        <v>0</v>
      </c>
      <c r="V404">
        <f t="shared" si="106"/>
        <v>0</v>
      </c>
      <c r="W404">
        <f t="shared" si="107"/>
        <v>0</v>
      </c>
      <c r="X404">
        <f t="shared" si="108"/>
        <v>0</v>
      </c>
      <c r="Y404">
        <f t="shared" si="109"/>
        <v>0</v>
      </c>
      <c r="Z404">
        <f t="shared" si="110"/>
        <v>0</v>
      </c>
      <c r="AB404">
        <v>400</v>
      </c>
      <c r="AC404">
        <f t="shared" si="111"/>
        <v>5</v>
      </c>
      <c r="AD404">
        <f t="shared" si="101"/>
        <v>0</v>
      </c>
    </row>
    <row r="405" spans="4:30" x14ac:dyDescent="0.25">
      <c r="D405" s="31">
        <f>Simulation_output!A403</f>
        <v>4015000</v>
      </c>
      <c r="E405">
        <f>Sheet2!R402</f>
        <v>0</v>
      </c>
      <c r="F405">
        <f>Sheet2!S402</f>
        <v>0</v>
      </c>
      <c r="G405">
        <f>Sheet2!T402</f>
        <v>0</v>
      </c>
      <c r="H405" s="31">
        <f>Simulation_output!E403</f>
        <v>1</v>
      </c>
      <c r="I405" s="31">
        <f>Simulation_output!F403</f>
        <v>5</v>
      </c>
      <c r="J405" s="31">
        <f>Simulation_output!G403</f>
        <v>1</v>
      </c>
      <c r="K405" s="31">
        <f>Simulation_output!H403</f>
        <v>0</v>
      </c>
      <c r="L405">
        <v>1</v>
      </c>
      <c r="M405">
        <f t="shared" si="115"/>
        <v>0</v>
      </c>
      <c r="N405">
        <f t="shared" si="114"/>
        <v>0</v>
      </c>
      <c r="O405">
        <f t="shared" si="113"/>
        <v>0</v>
      </c>
      <c r="P405">
        <f t="shared" si="116"/>
        <v>0</v>
      </c>
      <c r="Q405">
        <f t="shared" si="112"/>
        <v>0</v>
      </c>
      <c r="R405">
        <f t="shared" si="102"/>
        <v>0</v>
      </c>
      <c r="S405">
        <f t="shared" si="103"/>
        <v>0</v>
      </c>
      <c r="T405">
        <f t="shared" si="104"/>
        <v>0</v>
      </c>
      <c r="U405">
        <f t="shared" si="105"/>
        <v>0</v>
      </c>
      <c r="V405">
        <f t="shared" si="106"/>
        <v>0</v>
      </c>
      <c r="W405">
        <f t="shared" si="107"/>
        <v>0</v>
      </c>
      <c r="X405">
        <f t="shared" si="108"/>
        <v>0</v>
      </c>
      <c r="Y405">
        <f t="shared" si="109"/>
        <v>0</v>
      </c>
      <c r="Z405">
        <f t="shared" si="110"/>
        <v>0</v>
      </c>
      <c r="AB405">
        <v>401</v>
      </c>
      <c r="AC405">
        <f t="shared" si="111"/>
        <v>5</v>
      </c>
      <c r="AD405">
        <f t="shared" si="101"/>
        <v>0</v>
      </c>
    </row>
    <row r="406" spans="4:30" x14ac:dyDescent="0.25">
      <c r="D406" s="31">
        <f>Simulation_output!A404</f>
        <v>4025000</v>
      </c>
      <c r="E406">
        <f>Sheet2!R403</f>
        <v>10042</v>
      </c>
      <c r="F406">
        <f>Sheet2!S403</f>
        <v>1</v>
      </c>
      <c r="G406">
        <f>Sheet2!T403</f>
        <v>1</v>
      </c>
      <c r="H406" s="31">
        <f>Simulation_output!E404</f>
        <v>1</v>
      </c>
      <c r="I406" s="31">
        <f>Simulation_output!F404</f>
        <v>15</v>
      </c>
      <c r="J406" s="31">
        <f>Simulation_output!G404</f>
        <v>1</v>
      </c>
      <c r="K406" s="31">
        <f>Simulation_output!H404</f>
        <v>0</v>
      </c>
      <c r="L406">
        <v>1</v>
      </c>
      <c r="M406">
        <f t="shared" si="115"/>
        <v>0</v>
      </c>
      <c r="N406">
        <f t="shared" si="114"/>
        <v>0</v>
      </c>
      <c r="O406">
        <f t="shared" si="113"/>
        <v>0</v>
      </c>
      <c r="P406">
        <f t="shared" si="116"/>
        <v>0</v>
      </c>
      <c r="Q406">
        <f t="shared" si="112"/>
        <v>0</v>
      </c>
      <c r="R406">
        <f t="shared" si="102"/>
        <v>0</v>
      </c>
      <c r="S406">
        <f t="shared" si="103"/>
        <v>0</v>
      </c>
      <c r="T406">
        <f t="shared" si="104"/>
        <v>0</v>
      </c>
      <c r="U406">
        <f t="shared" si="105"/>
        <v>0</v>
      </c>
      <c r="V406">
        <f t="shared" si="106"/>
        <v>0</v>
      </c>
      <c r="W406">
        <f t="shared" si="107"/>
        <v>0</v>
      </c>
      <c r="X406">
        <f t="shared" si="108"/>
        <v>0</v>
      </c>
      <c r="Y406">
        <f t="shared" si="109"/>
        <v>0</v>
      </c>
      <c r="Z406">
        <f t="shared" si="110"/>
        <v>0</v>
      </c>
      <c r="AB406">
        <v>402</v>
      </c>
      <c r="AC406">
        <f t="shared" si="111"/>
        <v>5</v>
      </c>
      <c r="AD406">
        <f t="shared" si="101"/>
        <v>0</v>
      </c>
    </row>
    <row r="407" spans="4:30" x14ac:dyDescent="0.25">
      <c r="D407" s="31">
        <f>Simulation_output!A405</f>
        <v>4035000</v>
      </c>
      <c r="E407">
        <f>Sheet2!R404</f>
        <v>0</v>
      </c>
      <c r="F407">
        <f>Sheet2!S404</f>
        <v>0</v>
      </c>
      <c r="G407">
        <f>Sheet2!T404</f>
        <v>0</v>
      </c>
      <c r="H407" s="31">
        <f>Simulation_output!E405</f>
        <v>1</v>
      </c>
      <c r="I407" s="31">
        <f>Simulation_output!F405</f>
        <v>115</v>
      </c>
      <c r="J407" s="31">
        <f>Simulation_output!G405</f>
        <v>1</v>
      </c>
      <c r="K407" s="31">
        <f>Simulation_output!H405</f>
        <v>0</v>
      </c>
      <c r="L407">
        <v>1</v>
      </c>
      <c r="M407">
        <f t="shared" si="115"/>
        <v>0</v>
      </c>
      <c r="N407">
        <f t="shared" si="114"/>
        <v>0</v>
      </c>
      <c r="O407">
        <f t="shared" si="113"/>
        <v>0</v>
      </c>
      <c r="P407">
        <f t="shared" si="116"/>
        <v>0</v>
      </c>
      <c r="Q407">
        <f t="shared" si="112"/>
        <v>0</v>
      </c>
      <c r="R407">
        <f t="shared" si="102"/>
        <v>0</v>
      </c>
      <c r="S407">
        <f t="shared" si="103"/>
        <v>0</v>
      </c>
      <c r="T407">
        <f t="shared" si="104"/>
        <v>0</v>
      </c>
      <c r="U407">
        <f t="shared" si="105"/>
        <v>0</v>
      </c>
      <c r="V407">
        <f t="shared" si="106"/>
        <v>0</v>
      </c>
      <c r="W407">
        <f t="shared" si="107"/>
        <v>0</v>
      </c>
      <c r="X407">
        <f t="shared" si="108"/>
        <v>0</v>
      </c>
      <c r="Y407">
        <f t="shared" si="109"/>
        <v>0</v>
      </c>
      <c r="Z407">
        <f t="shared" si="110"/>
        <v>0</v>
      </c>
      <c r="AB407">
        <v>403</v>
      </c>
      <c r="AC407">
        <f t="shared" si="111"/>
        <v>5</v>
      </c>
      <c r="AD407">
        <f t="shared" si="101"/>
        <v>0</v>
      </c>
    </row>
    <row r="408" spans="4:30" x14ac:dyDescent="0.25">
      <c r="D408" s="31">
        <f>Simulation_output!A406</f>
        <v>4045000</v>
      </c>
      <c r="E408">
        <f>Sheet2!R405</f>
        <v>0</v>
      </c>
      <c r="F408">
        <f>Sheet2!S405</f>
        <v>1</v>
      </c>
      <c r="G408">
        <f>Sheet2!T405</f>
        <v>0</v>
      </c>
      <c r="H408" s="31">
        <f>Simulation_output!E406</f>
        <v>1</v>
      </c>
      <c r="I408" s="31">
        <f>Simulation_output!F406</f>
        <v>1015</v>
      </c>
      <c r="J408" s="31">
        <f>Simulation_output!G406</f>
        <v>1</v>
      </c>
      <c r="K408" s="31">
        <f>Simulation_output!H406</f>
        <v>0</v>
      </c>
      <c r="L408">
        <v>1</v>
      </c>
      <c r="M408">
        <f t="shared" si="115"/>
        <v>0</v>
      </c>
      <c r="N408">
        <f t="shared" si="114"/>
        <v>0</v>
      </c>
      <c r="O408">
        <f t="shared" si="113"/>
        <v>0</v>
      </c>
      <c r="P408">
        <f t="shared" si="116"/>
        <v>0</v>
      </c>
      <c r="Q408">
        <f t="shared" si="112"/>
        <v>0</v>
      </c>
      <c r="R408">
        <f t="shared" si="102"/>
        <v>0</v>
      </c>
      <c r="S408">
        <f t="shared" si="103"/>
        <v>0</v>
      </c>
      <c r="T408">
        <f t="shared" si="104"/>
        <v>0</v>
      </c>
      <c r="U408">
        <f t="shared" si="105"/>
        <v>0</v>
      </c>
      <c r="V408">
        <f t="shared" si="106"/>
        <v>0</v>
      </c>
      <c r="W408">
        <f t="shared" si="107"/>
        <v>0</v>
      </c>
      <c r="X408">
        <f t="shared" si="108"/>
        <v>0</v>
      </c>
      <c r="Y408">
        <f t="shared" si="109"/>
        <v>0</v>
      </c>
      <c r="Z408">
        <f t="shared" si="110"/>
        <v>0</v>
      </c>
      <c r="AB408">
        <v>404</v>
      </c>
      <c r="AC408">
        <f t="shared" si="111"/>
        <v>5</v>
      </c>
      <c r="AD408">
        <f t="shared" si="101"/>
        <v>0</v>
      </c>
    </row>
    <row r="409" spans="4:30" x14ac:dyDescent="0.25">
      <c r="D409" s="31">
        <f>Simulation_output!A407</f>
        <v>4055000</v>
      </c>
      <c r="E409">
        <f>Sheet2!R406</f>
        <v>0</v>
      </c>
      <c r="F409">
        <f>Sheet2!S406</f>
        <v>0</v>
      </c>
      <c r="G409">
        <f>Sheet2!T406</f>
        <v>0</v>
      </c>
      <c r="H409" s="31">
        <f>Simulation_output!E407</f>
        <v>1</v>
      </c>
      <c r="I409" s="31">
        <f>Simulation_output!F407</f>
        <v>10015</v>
      </c>
      <c r="J409" s="31">
        <f>Simulation_output!G407</f>
        <v>1</v>
      </c>
      <c r="K409" s="31">
        <f>Simulation_output!H407</f>
        <v>0</v>
      </c>
      <c r="L409">
        <v>1</v>
      </c>
      <c r="M409">
        <f t="shared" si="115"/>
        <v>0</v>
      </c>
      <c r="N409">
        <f t="shared" si="114"/>
        <v>0</v>
      </c>
      <c r="O409">
        <f t="shared" si="113"/>
        <v>0</v>
      </c>
      <c r="P409">
        <f t="shared" si="116"/>
        <v>0</v>
      </c>
      <c r="Q409">
        <f t="shared" si="112"/>
        <v>0</v>
      </c>
      <c r="R409">
        <f t="shared" si="102"/>
        <v>0</v>
      </c>
      <c r="S409">
        <f t="shared" si="103"/>
        <v>0</v>
      </c>
      <c r="T409">
        <f t="shared" si="104"/>
        <v>0</v>
      </c>
      <c r="U409">
        <f t="shared" si="105"/>
        <v>0</v>
      </c>
      <c r="V409">
        <f t="shared" si="106"/>
        <v>0</v>
      </c>
      <c r="W409">
        <f t="shared" si="107"/>
        <v>0</v>
      </c>
      <c r="X409">
        <f t="shared" si="108"/>
        <v>0</v>
      </c>
      <c r="Y409">
        <f t="shared" si="109"/>
        <v>0</v>
      </c>
      <c r="Z409">
        <f t="shared" si="110"/>
        <v>0</v>
      </c>
      <c r="AB409">
        <v>405</v>
      </c>
      <c r="AC409">
        <f t="shared" si="111"/>
        <v>5</v>
      </c>
      <c r="AD409">
        <f t="shared" si="101"/>
        <v>0</v>
      </c>
    </row>
    <row r="410" spans="4:30" x14ac:dyDescent="0.25">
      <c r="D410" s="31">
        <f>Simulation_output!A408</f>
        <v>4065000</v>
      </c>
      <c r="E410">
        <f>Sheet2!R407</f>
        <v>8</v>
      </c>
      <c r="F410">
        <f>Sheet2!S407</f>
        <v>1</v>
      </c>
      <c r="G410">
        <f>Sheet2!T407</f>
        <v>0</v>
      </c>
      <c r="H410" s="31">
        <f>Simulation_output!E408</f>
        <v>1</v>
      </c>
      <c r="I410" s="31">
        <f>Simulation_output!F408</f>
        <v>1128</v>
      </c>
      <c r="J410" s="31">
        <f>Simulation_output!G408</f>
        <v>1</v>
      </c>
      <c r="K410" s="31">
        <f>Simulation_output!H408</f>
        <v>0</v>
      </c>
      <c r="L410">
        <v>1</v>
      </c>
      <c r="M410">
        <f t="shared" si="115"/>
        <v>0</v>
      </c>
      <c r="N410">
        <f t="shared" si="114"/>
        <v>0</v>
      </c>
      <c r="O410">
        <f t="shared" si="113"/>
        <v>0</v>
      </c>
      <c r="P410">
        <f t="shared" si="116"/>
        <v>0</v>
      </c>
      <c r="Q410">
        <f t="shared" si="112"/>
        <v>0</v>
      </c>
      <c r="R410">
        <f t="shared" si="102"/>
        <v>0</v>
      </c>
      <c r="S410">
        <f t="shared" si="103"/>
        <v>0</v>
      </c>
      <c r="T410">
        <f t="shared" si="104"/>
        <v>0</v>
      </c>
      <c r="U410">
        <f t="shared" si="105"/>
        <v>0</v>
      </c>
      <c r="V410">
        <f t="shared" si="106"/>
        <v>0</v>
      </c>
      <c r="W410">
        <f t="shared" si="107"/>
        <v>0</v>
      </c>
      <c r="X410">
        <f t="shared" si="108"/>
        <v>0</v>
      </c>
      <c r="Y410">
        <f t="shared" si="109"/>
        <v>0</v>
      </c>
      <c r="Z410">
        <f t="shared" si="110"/>
        <v>0</v>
      </c>
      <c r="AB410">
        <v>406</v>
      </c>
      <c r="AC410">
        <f t="shared" si="111"/>
        <v>5</v>
      </c>
      <c r="AD410">
        <f t="shared" si="101"/>
        <v>0</v>
      </c>
    </row>
    <row r="411" spans="4:30" x14ac:dyDescent="0.25">
      <c r="D411" s="31">
        <f>Simulation_output!A409</f>
        <v>4075000</v>
      </c>
      <c r="E411">
        <f>Sheet2!R408</f>
        <v>0</v>
      </c>
      <c r="F411">
        <f>Sheet2!S408</f>
        <v>0</v>
      </c>
      <c r="G411">
        <f>Sheet2!T408</f>
        <v>0</v>
      </c>
      <c r="H411" s="31">
        <f>Simulation_output!E409</f>
        <v>1</v>
      </c>
      <c r="I411" s="31">
        <f>Simulation_output!F409</f>
        <v>327</v>
      </c>
      <c r="J411" s="31">
        <f>Simulation_output!G409</f>
        <v>1</v>
      </c>
      <c r="K411" s="31">
        <f>Simulation_output!H409</f>
        <v>0</v>
      </c>
      <c r="L411">
        <v>1</v>
      </c>
      <c r="M411">
        <f t="shared" si="115"/>
        <v>0</v>
      </c>
      <c r="N411">
        <f t="shared" si="114"/>
        <v>0</v>
      </c>
      <c r="O411">
        <f t="shared" si="113"/>
        <v>0</v>
      </c>
      <c r="P411">
        <f t="shared" si="116"/>
        <v>0</v>
      </c>
      <c r="Q411">
        <f t="shared" si="112"/>
        <v>0</v>
      </c>
      <c r="R411">
        <f t="shared" si="102"/>
        <v>0</v>
      </c>
      <c r="S411">
        <f t="shared" si="103"/>
        <v>0</v>
      </c>
      <c r="T411">
        <f t="shared" si="104"/>
        <v>0</v>
      </c>
      <c r="U411">
        <f t="shared" si="105"/>
        <v>0</v>
      </c>
      <c r="V411">
        <f t="shared" si="106"/>
        <v>0</v>
      </c>
      <c r="W411">
        <f t="shared" si="107"/>
        <v>0</v>
      </c>
      <c r="X411">
        <f t="shared" si="108"/>
        <v>0</v>
      </c>
      <c r="Y411">
        <f t="shared" si="109"/>
        <v>0</v>
      </c>
      <c r="Z411">
        <f t="shared" si="110"/>
        <v>0</v>
      </c>
      <c r="AB411">
        <v>407</v>
      </c>
      <c r="AC411">
        <f t="shared" si="111"/>
        <v>5</v>
      </c>
      <c r="AD411">
        <f t="shared" si="101"/>
        <v>0</v>
      </c>
    </row>
    <row r="412" spans="4:30" x14ac:dyDescent="0.25">
      <c r="D412" s="31">
        <f>Simulation_output!A410</f>
        <v>4085000</v>
      </c>
      <c r="E412">
        <f>Sheet2!R409</f>
        <v>43</v>
      </c>
      <c r="F412">
        <f>Sheet2!S409</f>
        <v>1</v>
      </c>
      <c r="G412">
        <f>Sheet2!T409</f>
        <v>0</v>
      </c>
      <c r="H412" s="31">
        <f>Simulation_output!E410</f>
        <v>1</v>
      </c>
      <c r="I412" s="31">
        <f>Simulation_output!F410</f>
        <v>0</v>
      </c>
      <c r="J412" s="31">
        <f>Simulation_output!G410</f>
        <v>1</v>
      </c>
      <c r="K412" s="31">
        <f>Simulation_output!H410</f>
        <v>0</v>
      </c>
      <c r="L412">
        <v>1</v>
      </c>
      <c r="M412">
        <f t="shared" si="115"/>
        <v>0</v>
      </c>
      <c r="N412">
        <f t="shared" si="114"/>
        <v>0</v>
      </c>
      <c r="O412">
        <f t="shared" si="113"/>
        <v>0</v>
      </c>
      <c r="P412">
        <f t="shared" si="116"/>
        <v>0</v>
      </c>
      <c r="Q412">
        <f t="shared" si="112"/>
        <v>0</v>
      </c>
      <c r="R412">
        <f t="shared" si="102"/>
        <v>0</v>
      </c>
      <c r="S412">
        <f t="shared" si="103"/>
        <v>0</v>
      </c>
      <c r="T412">
        <f t="shared" si="104"/>
        <v>0</v>
      </c>
      <c r="U412">
        <f t="shared" si="105"/>
        <v>0</v>
      </c>
      <c r="V412">
        <f t="shared" si="106"/>
        <v>0</v>
      </c>
      <c r="W412">
        <f t="shared" si="107"/>
        <v>0</v>
      </c>
      <c r="X412">
        <f t="shared" si="108"/>
        <v>0</v>
      </c>
      <c r="Y412">
        <f t="shared" si="109"/>
        <v>0</v>
      </c>
      <c r="Z412">
        <f t="shared" si="110"/>
        <v>0</v>
      </c>
      <c r="AB412">
        <v>408</v>
      </c>
      <c r="AC412">
        <f t="shared" si="111"/>
        <v>5</v>
      </c>
      <c r="AD412">
        <f t="shared" si="101"/>
        <v>0</v>
      </c>
    </row>
    <row r="413" spans="4:30" x14ac:dyDescent="0.25">
      <c r="D413" s="31">
        <f>Simulation_output!A411</f>
        <v>4095000</v>
      </c>
      <c r="E413">
        <f>Sheet2!R410</f>
        <v>0</v>
      </c>
      <c r="F413">
        <f>Sheet2!S410</f>
        <v>0</v>
      </c>
      <c r="G413">
        <f>Sheet2!T410</f>
        <v>0</v>
      </c>
      <c r="H413" s="31">
        <f>Simulation_output!E411</f>
        <v>1</v>
      </c>
      <c r="I413" s="31">
        <f>Simulation_output!F411</f>
        <v>268435454</v>
      </c>
      <c r="J413" s="31">
        <f>Simulation_output!G411</f>
        <v>1</v>
      </c>
      <c r="K413" s="31">
        <f>Simulation_output!H411</f>
        <v>1</v>
      </c>
      <c r="L413">
        <v>1</v>
      </c>
      <c r="M413" t="str">
        <f t="shared" si="115"/>
        <v>FFFFFFF</v>
      </c>
      <c r="N413">
        <f t="shared" si="114"/>
        <v>6</v>
      </c>
      <c r="O413">
        <f t="shared" si="113"/>
        <v>71</v>
      </c>
      <c r="P413">
        <f t="shared" si="116"/>
        <v>318</v>
      </c>
      <c r="Q413">
        <f t="shared" si="112"/>
        <v>25</v>
      </c>
      <c r="R413">
        <f t="shared" si="102"/>
        <v>5</v>
      </c>
      <c r="S413">
        <f t="shared" si="103"/>
        <v>15</v>
      </c>
      <c r="T413">
        <f t="shared" si="104"/>
        <v>115</v>
      </c>
      <c r="U413">
        <f t="shared" si="105"/>
        <v>1015</v>
      </c>
      <c r="V413">
        <f t="shared" si="106"/>
        <v>10015</v>
      </c>
      <c r="W413">
        <f t="shared" si="107"/>
        <v>1128</v>
      </c>
      <c r="X413">
        <f t="shared" si="108"/>
        <v>327</v>
      </c>
      <c r="Y413">
        <f t="shared" si="109"/>
        <v>0</v>
      </c>
      <c r="Z413" t="str">
        <f t="shared" si="110"/>
        <v>FFFFFFE</v>
      </c>
      <c r="AB413">
        <v>409</v>
      </c>
      <c r="AC413">
        <f t="shared" si="111"/>
        <v>6</v>
      </c>
      <c r="AD413">
        <f t="shared" si="101"/>
        <v>6</v>
      </c>
    </row>
    <row r="414" spans="4:30" x14ac:dyDescent="0.25">
      <c r="D414" s="31">
        <f>Simulation_output!A412</f>
        <v>4105000</v>
      </c>
      <c r="E414">
        <f>Sheet2!R411</f>
        <v>143</v>
      </c>
      <c r="F414">
        <f>Sheet2!S411</f>
        <v>1</v>
      </c>
      <c r="G414">
        <f>Sheet2!T411</f>
        <v>0</v>
      </c>
      <c r="H414" s="31">
        <f>Simulation_output!E412</f>
        <v>1</v>
      </c>
      <c r="I414" s="31">
        <f>Simulation_output!F412</f>
        <v>268435455</v>
      </c>
      <c r="J414" s="31">
        <f>Simulation_output!G412</f>
        <v>1</v>
      </c>
      <c r="K414" s="31">
        <f>Simulation_output!H412</f>
        <v>0</v>
      </c>
      <c r="L414">
        <v>1</v>
      </c>
      <c r="M414">
        <f t="shared" si="115"/>
        <v>0</v>
      </c>
      <c r="N414">
        <f t="shared" si="114"/>
        <v>0</v>
      </c>
      <c r="O414">
        <f t="shared" si="113"/>
        <v>0</v>
      </c>
      <c r="P414">
        <f t="shared" si="116"/>
        <v>0</v>
      </c>
      <c r="Q414">
        <f t="shared" si="112"/>
        <v>0</v>
      </c>
      <c r="R414">
        <f t="shared" si="102"/>
        <v>0</v>
      </c>
      <c r="S414">
        <f t="shared" si="103"/>
        <v>0</v>
      </c>
      <c r="T414">
        <f t="shared" si="104"/>
        <v>0</v>
      </c>
      <c r="U414">
        <f t="shared" si="105"/>
        <v>0</v>
      </c>
      <c r="V414">
        <f t="shared" si="106"/>
        <v>0</v>
      </c>
      <c r="W414">
        <f t="shared" si="107"/>
        <v>0</v>
      </c>
      <c r="X414">
        <f t="shared" si="108"/>
        <v>0</v>
      </c>
      <c r="Y414">
        <f t="shared" si="109"/>
        <v>0</v>
      </c>
      <c r="Z414">
        <f t="shared" si="110"/>
        <v>0</v>
      </c>
      <c r="AB414">
        <v>410</v>
      </c>
      <c r="AC414">
        <f t="shared" si="111"/>
        <v>6</v>
      </c>
      <c r="AD414">
        <f t="shared" si="101"/>
        <v>0</v>
      </c>
    </row>
    <row r="415" spans="4:30" x14ac:dyDescent="0.25">
      <c r="D415" s="31">
        <f>Simulation_output!A413</f>
        <v>4115000</v>
      </c>
      <c r="E415">
        <f>Sheet2!R412</f>
        <v>0</v>
      </c>
      <c r="F415">
        <f>Sheet2!S412</f>
        <v>0</v>
      </c>
      <c r="G415">
        <f>Sheet2!T412</f>
        <v>0</v>
      </c>
      <c r="H415" s="31">
        <f>Simulation_output!E413</f>
        <v>1</v>
      </c>
      <c r="I415" s="31">
        <f>Simulation_output!F413</f>
        <v>7</v>
      </c>
      <c r="J415" s="31">
        <f>Simulation_output!G413</f>
        <v>1</v>
      </c>
      <c r="K415" s="31">
        <f>Simulation_output!H413</f>
        <v>0</v>
      </c>
      <c r="L415">
        <v>1</v>
      </c>
      <c r="M415">
        <f t="shared" si="115"/>
        <v>0</v>
      </c>
      <c r="N415">
        <f t="shared" si="114"/>
        <v>0</v>
      </c>
      <c r="O415">
        <f t="shared" si="113"/>
        <v>0</v>
      </c>
      <c r="P415">
        <f t="shared" si="116"/>
        <v>0</v>
      </c>
      <c r="Q415">
        <f t="shared" si="112"/>
        <v>0</v>
      </c>
      <c r="R415">
        <f t="shared" si="102"/>
        <v>0</v>
      </c>
      <c r="S415">
        <f t="shared" si="103"/>
        <v>0</v>
      </c>
      <c r="T415">
        <f t="shared" si="104"/>
        <v>0</v>
      </c>
      <c r="U415">
        <f t="shared" si="105"/>
        <v>0</v>
      </c>
      <c r="V415">
        <f t="shared" si="106"/>
        <v>0</v>
      </c>
      <c r="W415">
        <f t="shared" si="107"/>
        <v>0</v>
      </c>
      <c r="X415">
        <f t="shared" si="108"/>
        <v>0</v>
      </c>
      <c r="Y415">
        <f t="shared" si="109"/>
        <v>0</v>
      </c>
      <c r="Z415">
        <f t="shared" si="110"/>
        <v>0</v>
      </c>
      <c r="AB415">
        <v>411</v>
      </c>
      <c r="AC415">
        <f t="shared" si="111"/>
        <v>6</v>
      </c>
      <c r="AD415">
        <f t="shared" si="101"/>
        <v>0</v>
      </c>
    </row>
    <row r="416" spans="4:30" x14ac:dyDescent="0.25">
      <c r="D416" s="31">
        <f>Simulation_output!A414</f>
        <v>4125000</v>
      </c>
      <c r="E416">
        <f>Sheet2!R413</f>
        <v>1043</v>
      </c>
      <c r="F416">
        <f>Sheet2!S413</f>
        <v>1</v>
      </c>
      <c r="G416">
        <f>Sheet2!T413</f>
        <v>0</v>
      </c>
      <c r="H416" s="31">
        <f>Simulation_output!E414</f>
        <v>1</v>
      </c>
      <c r="I416" s="31">
        <f>Simulation_output!F414</f>
        <v>83</v>
      </c>
      <c r="J416" s="31">
        <f>Simulation_output!G414</f>
        <v>1</v>
      </c>
      <c r="K416" s="31">
        <f>Simulation_output!H414</f>
        <v>0</v>
      </c>
      <c r="L416">
        <v>1</v>
      </c>
      <c r="M416">
        <f t="shared" si="115"/>
        <v>0</v>
      </c>
      <c r="N416">
        <f t="shared" si="114"/>
        <v>0</v>
      </c>
      <c r="O416">
        <f t="shared" si="113"/>
        <v>0</v>
      </c>
      <c r="P416">
        <f t="shared" si="116"/>
        <v>0</v>
      </c>
      <c r="Q416">
        <f t="shared" si="112"/>
        <v>0</v>
      </c>
      <c r="R416">
        <f t="shared" si="102"/>
        <v>0</v>
      </c>
      <c r="S416">
        <f t="shared" si="103"/>
        <v>0</v>
      </c>
      <c r="T416">
        <f t="shared" si="104"/>
        <v>0</v>
      </c>
      <c r="U416">
        <f t="shared" si="105"/>
        <v>0</v>
      </c>
      <c r="V416">
        <f t="shared" si="106"/>
        <v>0</v>
      </c>
      <c r="W416">
        <f t="shared" si="107"/>
        <v>0</v>
      </c>
      <c r="X416">
        <f t="shared" si="108"/>
        <v>0</v>
      </c>
      <c r="Y416">
        <f t="shared" si="109"/>
        <v>0</v>
      </c>
      <c r="Z416">
        <f t="shared" si="110"/>
        <v>0</v>
      </c>
      <c r="AB416">
        <v>412</v>
      </c>
      <c r="AC416">
        <f t="shared" si="111"/>
        <v>6</v>
      </c>
      <c r="AD416">
        <f t="shared" si="101"/>
        <v>0</v>
      </c>
    </row>
    <row r="417" spans="4:30" x14ac:dyDescent="0.25">
      <c r="D417" s="31">
        <f>Simulation_output!A415</f>
        <v>4135000</v>
      </c>
      <c r="E417">
        <f>Sheet2!R414</f>
        <v>0</v>
      </c>
      <c r="F417">
        <f>Sheet2!S414</f>
        <v>0</v>
      </c>
      <c r="G417">
        <f>Sheet2!T414</f>
        <v>0</v>
      </c>
      <c r="H417" s="31">
        <f>Simulation_output!E415</f>
        <v>1</v>
      </c>
      <c r="I417" s="31">
        <f>Simulation_output!F415</f>
        <v>319</v>
      </c>
      <c r="J417" s="31">
        <f>Simulation_output!G415</f>
        <v>1</v>
      </c>
      <c r="K417" s="31">
        <f>Simulation_output!H415</f>
        <v>0</v>
      </c>
      <c r="L417">
        <v>1</v>
      </c>
      <c r="M417">
        <f t="shared" si="115"/>
        <v>0</v>
      </c>
      <c r="N417">
        <f t="shared" si="114"/>
        <v>0</v>
      </c>
      <c r="O417">
        <f t="shared" si="113"/>
        <v>0</v>
      </c>
      <c r="P417">
        <f t="shared" si="116"/>
        <v>0</v>
      </c>
      <c r="Q417">
        <f t="shared" si="112"/>
        <v>0</v>
      </c>
      <c r="R417">
        <f t="shared" si="102"/>
        <v>0</v>
      </c>
      <c r="S417">
        <f t="shared" si="103"/>
        <v>0</v>
      </c>
      <c r="T417">
        <f t="shared" si="104"/>
        <v>0</v>
      </c>
      <c r="U417">
        <f t="shared" si="105"/>
        <v>0</v>
      </c>
      <c r="V417">
        <f t="shared" si="106"/>
        <v>0</v>
      </c>
      <c r="W417">
        <f t="shared" si="107"/>
        <v>0</v>
      </c>
      <c r="X417">
        <f t="shared" si="108"/>
        <v>0</v>
      </c>
      <c r="Y417">
        <f t="shared" si="109"/>
        <v>0</v>
      </c>
      <c r="Z417">
        <f t="shared" si="110"/>
        <v>0</v>
      </c>
      <c r="AB417">
        <v>413</v>
      </c>
      <c r="AC417">
        <f t="shared" si="111"/>
        <v>6</v>
      </c>
      <c r="AD417">
        <f t="shared" si="101"/>
        <v>0</v>
      </c>
    </row>
    <row r="418" spans="4:30" x14ac:dyDescent="0.25">
      <c r="D418" s="31">
        <f>Simulation_output!A416</f>
        <v>4145000</v>
      </c>
      <c r="E418">
        <f>Sheet2!R415</f>
        <v>10043</v>
      </c>
      <c r="F418">
        <f>Sheet2!S415</f>
        <v>1</v>
      </c>
      <c r="G418">
        <f>Sheet2!T415</f>
        <v>1</v>
      </c>
      <c r="H418" s="31">
        <f>Simulation_output!E416</f>
        <v>1</v>
      </c>
      <c r="I418" s="31">
        <f>Simulation_output!F416</f>
        <v>25</v>
      </c>
      <c r="J418" s="31">
        <f>Simulation_output!G416</f>
        <v>1</v>
      </c>
      <c r="K418" s="31">
        <f>Simulation_output!H416</f>
        <v>0</v>
      </c>
      <c r="L418">
        <v>1</v>
      </c>
      <c r="M418">
        <f t="shared" si="115"/>
        <v>0</v>
      </c>
      <c r="N418">
        <f t="shared" si="114"/>
        <v>0</v>
      </c>
      <c r="O418">
        <f t="shared" si="113"/>
        <v>0</v>
      </c>
      <c r="P418">
        <f t="shared" si="116"/>
        <v>0</v>
      </c>
      <c r="Q418">
        <f t="shared" si="112"/>
        <v>0</v>
      </c>
      <c r="R418">
        <f t="shared" si="102"/>
        <v>0</v>
      </c>
      <c r="S418">
        <f t="shared" si="103"/>
        <v>0</v>
      </c>
      <c r="T418">
        <f t="shared" si="104"/>
        <v>0</v>
      </c>
      <c r="U418">
        <f t="shared" si="105"/>
        <v>0</v>
      </c>
      <c r="V418">
        <f t="shared" si="106"/>
        <v>0</v>
      </c>
      <c r="W418">
        <f t="shared" si="107"/>
        <v>0</v>
      </c>
      <c r="X418">
        <f t="shared" si="108"/>
        <v>0</v>
      </c>
      <c r="Y418">
        <f t="shared" si="109"/>
        <v>0</v>
      </c>
      <c r="Z418">
        <f t="shared" si="110"/>
        <v>0</v>
      </c>
      <c r="AB418">
        <v>414</v>
      </c>
      <c r="AC418">
        <f t="shared" si="111"/>
        <v>6</v>
      </c>
      <c r="AD418">
        <f t="shared" si="101"/>
        <v>0</v>
      </c>
    </row>
    <row r="419" spans="4:30" x14ac:dyDescent="0.25">
      <c r="D419" s="31">
        <f>Simulation_output!A417</f>
        <v>4155000</v>
      </c>
      <c r="E419">
        <f>Sheet2!R416</f>
        <v>0</v>
      </c>
      <c r="F419">
        <f>Sheet2!S416</f>
        <v>0</v>
      </c>
      <c r="G419">
        <f>Sheet2!T416</f>
        <v>0</v>
      </c>
      <c r="H419" s="31">
        <f>Simulation_output!E417</f>
        <v>1</v>
      </c>
      <c r="I419" s="31">
        <f>Simulation_output!F417</f>
        <v>5</v>
      </c>
      <c r="J419" s="31">
        <f>Simulation_output!G417</f>
        <v>1</v>
      </c>
      <c r="K419" s="31">
        <f>Simulation_output!H417</f>
        <v>0</v>
      </c>
      <c r="L419">
        <v>1</v>
      </c>
      <c r="M419">
        <f t="shared" si="115"/>
        <v>0</v>
      </c>
      <c r="N419">
        <f t="shared" si="114"/>
        <v>0</v>
      </c>
      <c r="O419">
        <f t="shared" si="113"/>
        <v>0</v>
      </c>
      <c r="P419">
        <f t="shared" si="116"/>
        <v>0</v>
      </c>
      <c r="Q419">
        <f t="shared" si="112"/>
        <v>0</v>
      </c>
      <c r="R419">
        <f t="shared" si="102"/>
        <v>0</v>
      </c>
      <c r="S419">
        <f t="shared" si="103"/>
        <v>0</v>
      </c>
      <c r="T419">
        <f t="shared" si="104"/>
        <v>0</v>
      </c>
      <c r="U419">
        <f t="shared" si="105"/>
        <v>0</v>
      </c>
      <c r="V419">
        <f t="shared" si="106"/>
        <v>0</v>
      </c>
      <c r="W419">
        <f t="shared" si="107"/>
        <v>0</v>
      </c>
      <c r="X419">
        <f t="shared" si="108"/>
        <v>0</v>
      </c>
      <c r="Y419">
        <f t="shared" si="109"/>
        <v>0</v>
      </c>
      <c r="Z419">
        <f t="shared" si="110"/>
        <v>0</v>
      </c>
      <c r="AB419">
        <v>415</v>
      </c>
      <c r="AC419">
        <f t="shared" si="111"/>
        <v>6</v>
      </c>
      <c r="AD419">
        <f t="shared" si="101"/>
        <v>0</v>
      </c>
    </row>
    <row r="420" spans="4:30" x14ac:dyDescent="0.25">
      <c r="D420" s="31">
        <f>Simulation_output!A418</f>
        <v>4165000</v>
      </c>
      <c r="E420">
        <f>Sheet2!R417</f>
        <v>0</v>
      </c>
      <c r="F420">
        <f>Sheet2!S417</f>
        <v>1</v>
      </c>
      <c r="G420">
        <f>Sheet2!T417</f>
        <v>0</v>
      </c>
      <c r="H420" s="31">
        <f>Simulation_output!E418</f>
        <v>1</v>
      </c>
      <c r="I420" s="31">
        <f>Simulation_output!F418</f>
        <v>16</v>
      </c>
      <c r="J420" s="31">
        <f>Simulation_output!G418</f>
        <v>1</v>
      </c>
      <c r="K420" s="31">
        <f>Simulation_output!H418</f>
        <v>0</v>
      </c>
      <c r="L420">
        <v>1</v>
      </c>
      <c r="M420">
        <f t="shared" si="115"/>
        <v>0</v>
      </c>
      <c r="N420">
        <f t="shared" si="114"/>
        <v>0</v>
      </c>
      <c r="O420">
        <f t="shared" si="113"/>
        <v>0</v>
      </c>
      <c r="P420">
        <f t="shared" si="116"/>
        <v>0</v>
      </c>
      <c r="Q420">
        <f t="shared" si="112"/>
        <v>0</v>
      </c>
      <c r="R420">
        <f t="shared" si="102"/>
        <v>0</v>
      </c>
      <c r="S420">
        <f t="shared" si="103"/>
        <v>0</v>
      </c>
      <c r="T420">
        <f t="shared" si="104"/>
        <v>0</v>
      </c>
      <c r="U420">
        <f t="shared" si="105"/>
        <v>0</v>
      </c>
      <c r="V420">
        <f t="shared" si="106"/>
        <v>0</v>
      </c>
      <c r="W420">
        <f t="shared" si="107"/>
        <v>0</v>
      </c>
      <c r="X420">
        <f t="shared" si="108"/>
        <v>0</v>
      </c>
      <c r="Y420">
        <f t="shared" si="109"/>
        <v>0</v>
      </c>
      <c r="Z420">
        <f t="shared" si="110"/>
        <v>0</v>
      </c>
      <c r="AB420">
        <v>416</v>
      </c>
      <c r="AC420">
        <f t="shared" si="111"/>
        <v>6</v>
      </c>
      <c r="AD420">
        <f t="shared" si="101"/>
        <v>0</v>
      </c>
    </row>
    <row r="421" spans="4:30" x14ac:dyDescent="0.25">
      <c r="D421" s="31">
        <f>Simulation_output!A419</f>
        <v>4175000</v>
      </c>
      <c r="E421">
        <f>Sheet2!R418</f>
        <v>0</v>
      </c>
      <c r="F421">
        <f>Sheet2!S418</f>
        <v>0</v>
      </c>
      <c r="G421">
        <f>Sheet2!T418</f>
        <v>0</v>
      </c>
      <c r="H421" s="31">
        <f>Simulation_output!E419</f>
        <v>1</v>
      </c>
      <c r="I421" s="31">
        <f>Simulation_output!F419</f>
        <v>116</v>
      </c>
      <c r="J421" s="31">
        <f>Simulation_output!G419</f>
        <v>1</v>
      </c>
      <c r="K421" s="31">
        <f>Simulation_output!H419</f>
        <v>0</v>
      </c>
      <c r="L421">
        <v>1</v>
      </c>
      <c r="M421">
        <f t="shared" si="115"/>
        <v>0</v>
      </c>
      <c r="N421">
        <f t="shared" si="114"/>
        <v>0</v>
      </c>
      <c r="O421">
        <f t="shared" si="113"/>
        <v>0</v>
      </c>
      <c r="P421">
        <f t="shared" si="116"/>
        <v>0</v>
      </c>
      <c r="Q421">
        <f t="shared" si="112"/>
        <v>0</v>
      </c>
      <c r="R421">
        <f t="shared" si="102"/>
        <v>0</v>
      </c>
      <c r="S421">
        <f t="shared" si="103"/>
        <v>0</v>
      </c>
      <c r="T421">
        <f t="shared" si="104"/>
        <v>0</v>
      </c>
      <c r="U421">
        <f t="shared" si="105"/>
        <v>0</v>
      </c>
      <c r="V421">
        <f t="shared" si="106"/>
        <v>0</v>
      </c>
      <c r="W421">
        <f t="shared" si="107"/>
        <v>0</v>
      </c>
      <c r="X421">
        <f t="shared" si="108"/>
        <v>0</v>
      </c>
      <c r="Y421">
        <f t="shared" si="109"/>
        <v>0</v>
      </c>
      <c r="Z421">
        <f t="shared" si="110"/>
        <v>0</v>
      </c>
      <c r="AB421">
        <v>417</v>
      </c>
      <c r="AC421">
        <f t="shared" si="111"/>
        <v>6</v>
      </c>
      <c r="AD421">
        <f t="shared" si="101"/>
        <v>0</v>
      </c>
    </row>
    <row r="422" spans="4:30" x14ac:dyDescent="0.25">
      <c r="D422" s="31">
        <f>Simulation_output!A420</f>
        <v>4185000</v>
      </c>
      <c r="E422">
        <f>Sheet2!R419</f>
        <v>8</v>
      </c>
      <c r="F422">
        <f>Sheet2!S419</f>
        <v>1</v>
      </c>
      <c r="G422">
        <f>Sheet2!T419</f>
        <v>0</v>
      </c>
      <c r="H422" s="31">
        <f>Simulation_output!E420</f>
        <v>1</v>
      </c>
      <c r="I422" s="31">
        <f>Simulation_output!F420</f>
        <v>1016</v>
      </c>
      <c r="J422" s="31">
        <f>Simulation_output!G420</f>
        <v>1</v>
      </c>
      <c r="K422" s="31">
        <f>Simulation_output!H420</f>
        <v>0</v>
      </c>
      <c r="L422">
        <v>1</v>
      </c>
      <c r="M422">
        <f t="shared" si="115"/>
        <v>0</v>
      </c>
      <c r="N422">
        <f t="shared" si="114"/>
        <v>0</v>
      </c>
      <c r="O422">
        <f t="shared" si="113"/>
        <v>0</v>
      </c>
      <c r="P422">
        <f t="shared" si="116"/>
        <v>0</v>
      </c>
      <c r="Q422">
        <f t="shared" si="112"/>
        <v>0</v>
      </c>
      <c r="R422">
        <f t="shared" si="102"/>
        <v>0</v>
      </c>
      <c r="S422">
        <f t="shared" si="103"/>
        <v>0</v>
      </c>
      <c r="T422">
        <f t="shared" si="104"/>
        <v>0</v>
      </c>
      <c r="U422">
        <f t="shared" si="105"/>
        <v>0</v>
      </c>
      <c r="V422">
        <f t="shared" si="106"/>
        <v>0</v>
      </c>
      <c r="W422">
        <f t="shared" si="107"/>
        <v>0</v>
      </c>
      <c r="X422">
        <f t="shared" si="108"/>
        <v>0</v>
      </c>
      <c r="Y422">
        <f t="shared" si="109"/>
        <v>0</v>
      </c>
      <c r="Z422">
        <f t="shared" si="110"/>
        <v>0</v>
      </c>
      <c r="AB422">
        <v>418</v>
      </c>
      <c r="AC422">
        <f t="shared" si="111"/>
        <v>6</v>
      </c>
      <c r="AD422">
        <f t="shared" si="101"/>
        <v>0</v>
      </c>
    </row>
    <row r="423" spans="4:30" x14ac:dyDescent="0.25">
      <c r="D423" s="31">
        <f>Simulation_output!A421</f>
        <v>4195000</v>
      </c>
      <c r="E423">
        <f>Sheet2!R420</f>
        <v>0</v>
      </c>
      <c r="F423">
        <f>Sheet2!S420</f>
        <v>0</v>
      </c>
      <c r="G423">
        <f>Sheet2!T420</f>
        <v>0</v>
      </c>
      <c r="H423" s="31">
        <f>Simulation_output!E421</f>
        <v>1</v>
      </c>
      <c r="I423" s="31">
        <f>Simulation_output!F421</f>
        <v>10016</v>
      </c>
      <c r="J423" s="31">
        <f>Simulation_output!G421</f>
        <v>1</v>
      </c>
      <c r="K423" s="31">
        <f>Simulation_output!H421</f>
        <v>0</v>
      </c>
      <c r="L423">
        <v>1</v>
      </c>
      <c r="M423">
        <f t="shared" si="115"/>
        <v>0</v>
      </c>
      <c r="N423">
        <f t="shared" si="114"/>
        <v>0</v>
      </c>
      <c r="O423">
        <f t="shared" si="113"/>
        <v>0</v>
      </c>
      <c r="P423">
        <f t="shared" si="116"/>
        <v>0</v>
      </c>
      <c r="Q423">
        <f t="shared" si="112"/>
        <v>0</v>
      </c>
      <c r="R423">
        <f t="shared" si="102"/>
        <v>0</v>
      </c>
      <c r="S423">
        <f t="shared" si="103"/>
        <v>0</v>
      </c>
      <c r="T423">
        <f t="shared" si="104"/>
        <v>0</v>
      </c>
      <c r="U423">
        <f t="shared" si="105"/>
        <v>0</v>
      </c>
      <c r="V423">
        <f t="shared" si="106"/>
        <v>0</v>
      </c>
      <c r="W423">
        <f t="shared" si="107"/>
        <v>0</v>
      </c>
      <c r="X423">
        <f t="shared" si="108"/>
        <v>0</v>
      </c>
      <c r="Y423">
        <f t="shared" si="109"/>
        <v>0</v>
      </c>
      <c r="Z423">
        <f t="shared" si="110"/>
        <v>0</v>
      </c>
      <c r="AB423">
        <v>419</v>
      </c>
      <c r="AC423">
        <f t="shared" si="111"/>
        <v>6</v>
      </c>
      <c r="AD423">
        <f t="shared" si="101"/>
        <v>0</v>
      </c>
    </row>
    <row r="424" spans="4:30" x14ac:dyDescent="0.25">
      <c r="D424" s="31">
        <f>Simulation_output!A422</f>
        <v>4205000</v>
      </c>
      <c r="E424">
        <f>Sheet2!R421</f>
        <v>44</v>
      </c>
      <c r="F424">
        <f>Sheet2!S421</f>
        <v>1</v>
      </c>
      <c r="G424">
        <f>Sheet2!T421</f>
        <v>0</v>
      </c>
      <c r="H424" s="31">
        <f>Simulation_output!E422</f>
        <v>1</v>
      </c>
      <c r="I424" s="31">
        <f>Simulation_output!F422</f>
        <v>1130</v>
      </c>
      <c r="J424" s="31">
        <f>Simulation_output!G422</f>
        <v>1</v>
      </c>
      <c r="K424" s="31">
        <f>Simulation_output!H422</f>
        <v>0</v>
      </c>
      <c r="L424">
        <v>1</v>
      </c>
      <c r="M424">
        <f t="shared" si="115"/>
        <v>0</v>
      </c>
      <c r="N424">
        <f t="shared" si="114"/>
        <v>0</v>
      </c>
      <c r="O424">
        <f t="shared" si="113"/>
        <v>0</v>
      </c>
      <c r="P424">
        <f t="shared" si="116"/>
        <v>0</v>
      </c>
      <c r="Q424">
        <f t="shared" si="112"/>
        <v>0</v>
      </c>
      <c r="R424">
        <f t="shared" si="102"/>
        <v>0</v>
      </c>
      <c r="S424">
        <f t="shared" si="103"/>
        <v>0</v>
      </c>
      <c r="T424">
        <f t="shared" si="104"/>
        <v>0</v>
      </c>
      <c r="U424">
        <f t="shared" si="105"/>
        <v>0</v>
      </c>
      <c r="V424">
        <f t="shared" si="106"/>
        <v>0</v>
      </c>
      <c r="W424">
        <f t="shared" si="107"/>
        <v>0</v>
      </c>
      <c r="X424">
        <f t="shared" si="108"/>
        <v>0</v>
      </c>
      <c r="Y424">
        <f t="shared" si="109"/>
        <v>0</v>
      </c>
      <c r="Z424">
        <f t="shared" si="110"/>
        <v>0</v>
      </c>
      <c r="AB424">
        <v>420</v>
      </c>
      <c r="AC424">
        <f t="shared" si="111"/>
        <v>6</v>
      </c>
      <c r="AD424">
        <f t="shared" si="101"/>
        <v>0</v>
      </c>
    </row>
    <row r="425" spans="4:30" x14ac:dyDescent="0.25">
      <c r="D425" s="31">
        <f>Simulation_output!A423</f>
        <v>4215000</v>
      </c>
      <c r="E425">
        <f>Sheet2!R422</f>
        <v>0</v>
      </c>
      <c r="F425">
        <f>Sheet2!S422</f>
        <v>0</v>
      </c>
      <c r="G425">
        <f>Sheet2!T422</f>
        <v>0</v>
      </c>
      <c r="H425" s="31">
        <f>Simulation_output!E423</f>
        <v>1</v>
      </c>
      <c r="I425" s="31">
        <f>Simulation_output!F423</f>
        <v>328</v>
      </c>
      <c r="J425" s="31">
        <f>Simulation_output!G423</f>
        <v>1</v>
      </c>
      <c r="K425" s="31">
        <f>Simulation_output!H423</f>
        <v>0</v>
      </c>
      <c r="L425">
        <v>1</v>
      </c>
      <c r="M425">
        <f t="shared" si="115"/>
        <v>0</v>
      </c>
      <c r="N425">
        <f t="shared" si="114"/>
        <v>0</v>
      </c>
      <c r="O425">
        <f t="shared" si="113"/>
        <v>0</v>
      </c>
      <c r="P425">
        <f t="shared" si="116"/>
        <v>0</v>
      </c>
      <c r="Q425">
        <f t="shared" si="112"/>
        <v>0</v>
      </c>
      <c r="R425">
        <f t="shared" si="102"/>
        <v>0</v>
      </c>
      <c r="S425">
        <f t="shared" si="103"/>
        <v>0</v>
      </c>
      <c r="T425">
        <f t="shared" si="104"/>
        <v>0</v>
      </c>
      <c r="U425">
        <f t="shared" si="105"/>
        <v>0</v>
      </c>
      <c r="V425">
        <f t="shared" si="106"/>
        <v>0</v>
      </c>
      <c r="W425">
        <f t="shared" si="107"/>
        <v>0</v>
      </c>
      <c r="X425">
        <f t="shared" si="108"/>
        <v>0</v>
      </c>
      <c r="Y425">
        <f t="shared" si="109"/>
        <v>0</v>
      </c>
      <c r="Z425">
        <f t="shared" si="110"/>
        <v>0</v>
      </c>
      <c r="AB425">
        <v>421</v>
      </c>
      <c r="AC425">
        <f t="shared" si="111"/>
        <v>6</v>
      </c>
      <c r="AD425">
        <f t="shared" si="101"/>
        <v>0</v>
      </c>
    </row>
    <row r="426" spans="4:30" x14ac:dyDescent="0.25">
      <c r="D426" s="31">
        <f>Simulation_output!A424</f>
        <v>4225000</v>
      </c>
      <c r="E426">
        <f>Sheet2!R423</f>
        <v>144</v>
      </c>
      <c r="F426">
        <f>Sheet2!S423</f>
        <v>1</v>
      </c>
      <c r="G426">
        <f>Sheet2!T423</f>
        <v>0</v>
      </c>
      <c r="H426" s="31">
        <f>Simulation_output!E424</f>
        <v>1</v>
      </c>
      <c r="I426" s="31">
        <f>Simulation_output!F424</f>
        <v>0</v>
      </c>
      <c r="J426" s="31">
        <f>Simulation_output!G424</f>
        <v>1</v>
      </c>
      <c r="K426" s="31">
        <f>Simulation_output!H424</f>
        <v>0</v>
      </c>
      <c r="L426">
        <v>1</v>
      </c>
      <c r="M426">
        <f t="shared" si="115"/>
        <v>0</v>
      </c>
      <c r="N426">
        <f t="shared" si="114"/>
        <v>0</v>
      </c>
      <c r="O426">
        <f t="shared" si="113"/>
        <v>0</v>
      </c>
      <c r="P426">
        <f t="shared" si="116"/>
        <v>0</v>
      </c>
      <c r="Q426">
        <f t="shared" si="112"/>
        <v>0</v>
      </c>
      <c r="R426">
        <f t="shared" si="102"/>
        <v>0</v>
      </c>
      <c r="S426">
        <f t="shared" si="103"/>
        <v>0</v>
      </c>
      <c r="T426">
        <f t="shared" si="104"/>
        <v>0</v>
      </c>
      <c r="U426">
        <f t="shared" si="105"/>
        <v>0</v>
      </c>
      <c r="V426">
        <f t="shared" si="106"/>
        <v>0</v>
      </c>
      <c r="W426">
        <f t="shared" si="107"/>
        <v>0</v>
      </c>
      <c r="X426">
        <f t="shared" si="108"/>
        <v>0</v>
      </c>
      <c r="Y426">
        <f t="shared" si="109"/>
        <v>0</v>
      </c>
      <c r="Z426">
        <f t="shared" si="110"/>
        <v>0</v>
      </c>
      <c r="AB426">
        <v>422</v>
      </c>
      <c r="AC426">
        <f t="shared" si="111"/>
        <v>6</v>
      </c>
      <c r="AD426">
        <f t="shared" si="101"/>
        <v>0</v>
      </c>
    </row>
    <row r="427" spans="4:30" x14ac:dyDescent="0.25">
      <c r="D427" s="31">
        <f>Simulation_output!A425</f>
        <v>4235000</v>
      </c>
      <c r="E427">
        <f>Sheet2!R424</f>
        <v>0</v>
      </c>
      <c r="F427">
        <f>Sheet2!S424</f>
        <v>0</v>
      </c>
      <c r="G427">
        <f>Sheet2!T424</f>
        <v>0</v>
      </c>
      <c r="H427" s="31">
        <f>Simulation_output!E425</f>
        <v>1</v>
      </c>
      <c r="I427" s="31">
        <f>Simulation_output!F425</f>
        <v>268435454</v>
      </c>
      <c r="J427" s="31">
        <f>Simulation_output!G425</f>
        <v>1</v>
      </c>
      <c r="K427" s="31">
        <f>Simulation_output!H425</f>
        <v>1</v>
      </c>
      <c r="L427">
        <v>1</v>
      </c>
      <c r="M427" t="str">
        <f t="shared" si="115"/>
        <v>FFFFFFF</v>
      </c>
      <c r="N427">
        <f t="shared" si="114"/>
        <v>7</v>
      </c>
      <c r="O427">
        <f t="shared" si="113"/>
        <v>83</v>
      </c>
      <c r="P427">
        <f t="shared" si="116"/>
        <v>319</v>
      </c>
      <c r="Q427">
        <f t="shared" si="112"/>
        <v>25</v>
      </c>
      <c r="R427">
        <f t="shared" si="102"/>
        <v>5</v>
      </c>
      <c r="S427">
        <f t="shared" si="103"/>
        <v>16</v>
      </c>
      <c r="T427">
        <f t="shared" si="104"/>
        <v>116</v>
      </c>
      <c r="U427">
        <f t="shared" si="105"/>
        <v>1016</v>
      </c>
      <c r="V427">
        <f t="shared" si="106"/>
        <v>10016</v>
      </c>
      <c r="W427">
        <f t="shared" si="107"/>
        <v>1130</v>
      </c>
      <c r="X427">
        <f t="shared" si="108"/>
        <v>328</v>
      </c>
      <c r="Y427">
        <f t="shared" si="109"/>
        <v>0</v>
      </c>
      <c r="Z427" t="str">
        <f t="shared" si="110"/>
        <v>FFFFFFE</v>
      </c>
      <c r="AB427">
        <v>423</v>
      </c>
      <c r="AC427">
        <f t="shared" si="111"/>
        <v>7</v>
      </c>
      <c r="AD427">
        <f t="shared" si="101"/>
        <v>7</v>
      </c>
    </row>
    <row r="428" spans="4:30" x14ac:dyDescent="0.25">
      <c r="D428" s="31">
        <f>Simulation_output!A426</f>
        <v>4245000</v>
      </c>
      <c r="E428">
        <f>Sheet2!R425</f>
        <v>1044</v>
      </c>
      <c r="F428">
        <f>Sheet2!S425</f>
        <v>1</v>
      </c>
      <c r="G428">
        <f>Sheet2!T425</f>
        <v>0</v>
      </c>
      <c r="H428" s="31">
        <f>Simulation_output!E426</f>
        <v>1</v>
      </c>
      <c r="I428" s="31">
        <f>Simulation_output!F426</f>
        <v>268435455</v>
      </c>
      <c r="J428" s="31">
        <f>Simulation_output!G426</f>
        <v>1</v>
      </c>
      <c r="K428" s="31">
        <f>Simulation_output!H426</f>
        <v>0</v>
      </c>
      <c r="L428">
        <v>1</v>
      </c>
      <c r="M428">
        <f t="shared" si="115"/>
        <v>0</v>
      </c>
      <c r="N428">
        <f t="shared" si="114"/>
        <v>0</v>
      </c>
      <c r="O428">
        <f t="shared" si="113"/>
        <v>0</v>
      </c>
      <c r="P428">
        <f t="shared" si="116"/>
        <v>0</v>
      </c>
      <c r="Q428">
        <f t="shared" si="112"/>
        <v>0</v>
      </c>
      <c r="R428">
        <f t="shared" si="102"/>
        <v>0</v>
      </c>
      <c r="S428">
        <f t="shared" si="103"/>
        <v>0</v>
      </c>
      <c r="T428">
        <f t="shared" si="104"/>
        <v>0</v>
      </c>
      <c r="U428">
        <f t="shared" si="105"/>
        <v>0</v>
      </c>
      <c r="V428">
        <f t="shared" si="106"/>
        <v>0</v>
      </c>
      <c r="W428">
        <f t="shared" si="107"/>
        <v>0</v>
      </c>
      <c r="X428">
        <f t="shared" si="108"/>
        <v>0</v>
      </c>
      <c r="Y428">
        <f t="shared" si="109"/>
        <v>0</v>
      </c>
      <c r="Z428">
        <f t="shared" si="110"/>
        <v>0</v>
      </c>
      <c r="AB428">
        <v>424</v>
      </c>
      <c r="AC428">
        <f t="shared" si="111"/>
        <v>7</v>
      </c>
      <c r="AD428">
        <f t="shared" si="101"/>
        <v>0</v>
      </c>
    </row>
    <row r="429" spans="4:30" x14ac:dyDescent="0.25">
      <c r="D429" s="31">
        <f>Simulation_output!A427</f>
        <v>4255000</v>
      </c>
      <c r="E429">
        <f>Sheet2!R426</f>
        <v>0</v>
      </c>
      <c r="F429">
        <f>Sheet2!S426</f>
        <v>0</v>
      </c>
      <c r="G429">
        <f>Sheet2!T426</f>
        <v>0</v>
      </c>
      <c r="H429" s="31">
        <f>Simulation_output!E427</f>
        <v>1</v>
      </c>
      <c r="I429" s="31">
        <f>Simulation_output!F427</f>
        <v>8</v>
      </c>
      <c r="J429" s="31">
        <f>Simulation_output!G427</f>
        <v>1</v>
      </c>
      <c r="K429" s="31">
        <f>Simulation_output!H427</f>
        <v>0</v>
      </c>
      <c r="L429">
        <v>1</v>
      </c>
      <c r="M429">
        <f t="shared" si="115"/>
        <v>0</v>
      </c>
      <c r="N429">
        <f t="shared" si="114"/>
        <v>0</v>
      </c>
      <c r="O429">
        <f t="shared" si="113"/>
        <v>0</v>
      </c>
      <c r="P429">
        <f t="shared" si="116"/>
        <v>0</v>
      </c>
      <c r="Q429">
        <f t="shared" si="112"/>
        <v>0</v>
      </c>
      <c r="R429">
        <f t="shared" si="102"/>
        <v>0</v>
      </c>
      <c r="S429">
        <f t="shared" si="103"/>
        <v>0</v>
      </c>
      <c r="T429">
        <f t="shared" si="104"/>
        <v>0</v>
      </c>
      <c r="U429">
        <f t="shared" si="105"/>
        <v>0</v>
      </c>
      <c r="V429">
        <f t="shared" si="106"/>
        <v>0</v>
      </c>
      <c r="W429">
        <f t="shared" si="107"/>
        <v>0</v>
      </c>
      <c r="X429">
        <f t="shared" si="108"/>
        <v>0</v>
      </c>
      <c r="Y429">
        <f t="shared" si="109"/>
        <v>0</v>
      </c>
      <c r="Z429">
        <f t="shared" si="110"/>
        <v>0</v>
      </c>
      <c r="AB429">
        <v>425</v>
      </c>
      <c r="AC429">
        <f t="shared" si="111"/>
        <v>7</v>
      </c>
      <c r="AD429">
        <f t="shared" si="101"/>
        <v>0</v>
      </c>
    </row>
    <row r="430" spans="4:30" x14ac:dyDescent="0.25">
      <c r="D430" s="31">
        <f>Simulation_output!A428</f>
        <v>4265000</v>
      </c>
      <c r="E430">
        <f>Sheet2!R427</f>
        <v>10044</v>
      </c>
      <c r="F430">
        <f>Sheet2!S427</f>
        <v>1</v>
      </c>
      <c r="G430">
        <f>Sheet2!T427</f>
        <v>1</v>
      </c>
      <c r="H430" s="31">
        <f>Simulation_output!E428</f>
        <v>1</v>
      </c>
      <c r="I430" s="31">
        <f>Simulation_output!F428</f>
        <v>95</v>
      </c>
      <c r="J430" s="31">
        <f>Simulation_output!G428</f>
        <v>1</v>
      </c>
      <c r="K430" s="31">
        <f>Simulation_output!H428</f>
        <v>0</v>
      </c>
      <c r="L430">
        <v>1</v>
      </c>
      <c r="M430">
        <f t="shared" si="115"/>
        <v>0</v>
      </c>
      <c r="N430">
        <f t="shared" si="114"/>
        <v>0</v>
      </c>
      <c r="O430">
        <f t="shared" si="113"/>
        <v>0</v>
      </c>
      <c r="P430">
        <f t="shared" si="116"/>
        <v>0</v>
      </c>
      <c r="Q430">
        <f t="shared" si="112"/>
        <v>0</v>
      </c>
      <c r="R430">
        <f t="shared" si="102"/>
        <v>0</v>
      </c>
      <c r="S430">
        <f t="shared" si="103"/>
        <v>0</v>
      </c>
      <c r="T430">
        <f t="shared" si="104"/>
        <v>0</v>
      </c>
      <c r="U430">
        <f t="shared" si="105"/>
        <v>0</v>
      </c>
      <c r="V430">
        <f t="shared" si="106"/>
        <v>0</v>
      </c>
      <c r="W430">
        <f t="shared" si="107"/>
        <v>0</v>
      </c>
      <c r="X430">
        <f t="shared" si="108"/>
        <v>0</v>
      </c>
      <c r="Y430">
        <f t="shared" si="109"/>
        <v>0</v>
      </c>
      <c r="Z430">
        <f t="shared" si="110"/>
        <v>0</v>
      </c>
      <c r="AB430">
        <v>426</v>
      </c>
      <c r="AC430">
        <f t="shared" si="111"/>
        <v>7</v>
      </c>
      <c r="AD430">
        <f t="shared" si="101"/>
        <v>0</v>
      </c>
    </row>
    <row r="431" spans="4:30" x14ac:dyDescent="0.25">
      <c r="D431" s="31">
        <f>Simulation_output!A429</f>
        <v>4275000</v>
      </c>
      <c r="E431">
        <f>Sheet2!R428</f>
        <v>0</v>
      </c>
      <c r="F431">
        <f>Sheet2!S428</f>
        <v>0</v>
      </c>
      <c r="G431">
        <f>Sheet2!T428</f>
        <v>0</v>
      </c>
      <c r="H431" s="31">
        <f>Simulation_output!E429</f>
        <v>1</v>
      </c>
      <c r="I431" s="31">
        <f>Simulation_output!F429</f>
        <v>320</v>
      </c>
      <c r="J431" s="31">
        <f>Simulation_output!G429</f>
        <v>1</v>
      </c>
      <c r="K431" s="31">
        <f>Simulation_output!H429</f>
        <v>0</v>
      </c>
      <c r="L431">
        <v>1</v>
      </c>
      <c r="M431">
        <f t="shared" si="115"/>
        <v>0</v>
      </c>
      <c r="N431">
        <f t="shared" si="114"/>
        <v>0</v>
      </c>
      <c r="O431">
        <f t="shared" si="113"/>
        <v>0</v>
      </c>
      <c r="P431">
        <f t="shared" si="116"/>
        <v>0</v>
      </c>
      <c r="Q431">
        <f t="shared" si="112"/>
        <v>0</v>
      </c>
      <c r="R431">
        <f t="shared" si="102"/>
        <v>0</v>
      </c>
      <c r="S431">
        <f t="shared" si="103"/>
        <v>0</v>
      </c>
      <c r="T431">
        <f t="shared" si="104"/>
        <v>0</v>
      </c>
      <c r="U431">
        <f t="shared" si="105"/>
        <v>0</v>
      </c>
      <c r="V431">
        <f t="shared" si="106"/>
        <v>0</v>
      </c>
      <c r="W431">
        <f t="shared" si="107"/>
        <v>0</v>
      </c>
      <c r="X431">
        <f t="shared" si="108"/>
        <v>0</v>
      </c>
      <c r="Y431">
        <f t="shared" si="109"/>
        <v>0</v>
      </c>
      <c r="Z431">
        <f t="shared" si="110"/>
        <v>0</v>
      </c>
      <c r="AB431">
        <v>427</v>
      </c>
      <c r="AC431">
        <f t="shared" si="111"/>
        <v>7</v>
      </c>
      <c r="AD431">
        <f t="shared" si="101"/>
        <v>0</v>
      </c>
    </row>
    <row r="432" spans="4:30" x14ac:dyDescent="0.25">
      <c r="D432" s="31">
        <f>Simulation_output!A430</f>
        <v>4285000</v>
      </c>
      <c r="E432">
        <f>Sheet2!R429</f>
        <v>0</v>
      </c>
      <c r="F432">
        <f>Sheet2!S429</f>
        <v>1</v>
      </c>
      <c r="G432">
        <f>Sheet2!T429</f>
        <v>0</v>
      </c>
      <c r="H432" s="31">
        <f>Simulation_output!E430</f>
        <v>1</v>
      </c>
      <c r="I432" s="31">
        <f>Simulation_output!F430</f>
        <v>25</v>
      </c>
      <c r="J432" s="31">
        <f>Simulation_output!G430</f>
        <v>1</v>
      </c>
      <c r="K432" s="31">
        <f>Simulation_output!H430</f>
        <v>0</v>
      </c>
      <c r="L432">
        <v>1</v>
      </c>
      <c r="M432">
        <f t="shared" si="115"/>
        <v>0</v>
      </c>
      <c r="N432">
        <f t="shared" si="114"/>
        <v>0</v>
      </c>
      <c r="O432">
        <f t="shared" si="113"/>
        <v>0</v>
      </c>
      <c r="P432">
        <f t="shared" si="116"/>
        <v>0</v>
      </c>
      <c r="Q432">
        <f t="shared" si="112"/>
        <v>0</v>
      </c>
      <c r="R432">
        <f t="shared" si="102"/>
        <v>0</v>
      </c>
      <c r="S432">
        <f t="shared" si="103"/>
        <v>0</v>
      </c>
      <c r="T432">
        <f t="shared" si="104"/>
        <v>0</v>
      </c>
      <c r="U432">
        <f t="shared" si="105"/>
        <v>0</v>
      </c>
      <c r="V432">
        <f t="shared" si="106"/>
        <v>0</v>
      </c>
      <c r="W432">
        <f t="shared" si="107"/>
        <v>0</v>
      </c>
      <c r="X432">
        <f t="shared" si="108"/>
        <v>0</v>
      </c>
      <c r="Y432">
        <f t="shared" si="109"/>
        <v>0</v>
      </c>
      <c r="Z432">
        <f t="shared" si="110"/>
        <v>0</v>
      </c>
      <c r="AB432">
        <v>428</v>
      </c>
      <c r="AC432">
        <f t="shared" si="111"/>
        <v>7</v>
      </c>
      <c r="AD432">
        <f t="shared" si="101"/>
        <v>0</v>
      </c>
    </row>
    <row r="433" spans="4:30" x14ac:dyDescent="0.25">
      <c r="D433" s="31">
        <f>Simulation_output!A431</f>
        <v>4295000</v>
      </c>
      <c r="E433">
        <f>Sheet2!R430</f>
        <v>0</v>
      </c>
      <c r="F433">
        <f>Sheet2!S430</f>
        <v>0</v>
      </c>
      <c r="G433">
        <f>Sheet2!T430</f>
        <v>0</v>
      </c>
      <c r="H433" s="31">
        <f>Simulation_output!E431</f>
        <v>1</v>
      </c>
      <c r="I433" s="31">
        <f>Simulation_output!F431</f>
        <v>5</v>
      </c>
      <c r="J433" s="31">
        <f>Simulation_output!G431</f>
        <v>1</v>
      </c>
      <c r="K433" s="31">
        <f>Simulation_output!H431</f>
        <v>0</v>
      </c>
      <c r="L433">
        <v>1</v>
      </c>
      <c r="M433">
        <f t="shared" si="115"/>
        <v>0</v>
      </c>
      <c r="N433">
        <f t="shared" si="114"/>
        <v>0</v>
      </c>
      <c r="O433">
        <f t="shared" si="113"/>
        <v>0</v>
      </c>
      <c r="P433">
        <f t="shared" si="116"/>
        <v>0</v>
      </c>
      <c r="Q433">
        <f t="shared" si="112"/>
        <v>0</v>
      </c>
      <c r="R433">
        <f t="shared" si="102"/>
        <v>0</v>
      </c>
      <c r="S433">
        <f t="shared" si="103"/>
        <v>0</v>
      </c>
      <c r="T433">
        <f t="shared" si="104"/>
        <v>0</v>
      </c>
      <c r="U433">
        <f t="shared" si="105"/>
        <v>0</v>
      </c>
      <c r="V433">
        <f t="shared" si="106"/>
        <v>0</v>
      </c>
      <c r="W433">
        <f t="shared" si="107"/>
        <v>0</v>
      </c>
      <c r="X433">
        <f t="shared" si="108"/>
        <v>0</v>
      </c>
      <c r="Y433">
        <f t="shared" si="109"/>
        <v>0</v>
      </c>
      <c r="Z433">
        <f t="shared" si="110"/>
        <v>0</v>
      </c>
      <c r="AB433">
        <v>429</v>
      </c>
      <c r="AC433">
        <f t="shared" si="111"/>
        <v>7</v>
      </c>
      <c r="AD433">
        <f t="shared" si="101"/>
        <v>0</v>
      </c>
    </row>
    <row r="434" spans="4:30" x14ac:dyDescent="0.25">
      <c r="D434" s="31">
        <f>Simulation_output!A432</f>
        <v>4305000</v>
      </c>
      <c r="E434">
        <f>Sheet2!R431</f>
        <v>8</v>
      </c>
      <c r="F434">
        <f>Sheet2!S431</f>
        <v>1</v>
      </c>
      <c r="G434">
        <f>Sheet2!T431</f>
        <v>0</v>
      </c>
      <c r="H434" s="31">
        <f>Simulation_output!E432</f>
        <v>1</v>
      </c>
      <c r="I434" s="31">
        <f>Simulation_output!F432</f>
        <v>17</v>
      </c>
      <c r="J434" s="31">
        <f>Simulation_output!G432</f>
        <v>1</v>
      </c>
      <c r="K434" s="31">
        <f>Simulation_output!H432</f>
        <v>0</v>
      </c>
      <c r="L434">
        <v>1</v>
      </c>
      <c r="M434">
        <f t="shared" si="115"/>
        <v>0</v>
      </c>
      <c r="N434">
        <f t="shared" si="114"/>
        <v>0</v>
      </c>
      <c r="O434">
        <f t="shared" si="113"/>
        <v>0</v>
      </c>
      <c r="P434">
        <f t="shared" si="116"/>
        <v>0</v>
      </c>
      <c r="Q434">
        <f t="shared" si="112"/>
        <v>0</v>
      </c>
      <c r="R434">
        <f t="shared" si="102"/>
        <v>0</v>
      </c>
      <c r="S434">
        <f t="shared" si="103"/>
        <v>0</v>
      </c>
      <c r="T434">
        <f t="shared" si="104"/>
        <v>0</v>
      </c>
      <c r="U434">
        <f t="shared" si="105"/>
        <v>0</v>
      </c>
      <c r="V434">
        <f t="shared" si="106"/>
        <v>0</v>
      </c>
      <c r="W434">
        <f t="shared" si="107"/>
        <v>0</v>
      </c>
      <c r="X434">
        <f t="shared" si="108"/>
        <v>0</v>
      </c>
      <c r="Y434">
        <f t="shared" si="109"/>
        <v>0</v>
      </c>
      <c r="Z434">
        <f t="shared" si="110"/>
        <v>0</v>
      </c>
      <c r="AB434">
        <v>430</v>
      </c>
      <c r="AC434">
        <f t="shared" si="111"/>
        <v>7</v>
      </c>
      <c r="AD434">
        <f t="shared" si="101"/>
        <v>0</v>
      </c>
    </row>
    <row r="435" spans="4:30" x14ac:dyDescent="0.25">
      <c r="D435" s="31">
        <f>Simulation_output!A433</f>
        <v>4315000</v>
      </c>
      <c r="E435">
        <f>Sheet2!R432</f>
        <v>0</v>
      </c>
      <c r="F435">
        <f>Sheet2!S432</f>
        <v>0</v>
      </c>
      <c r="G435">
        <f>Sheet2!T432</f>
        <v>0</v>
      </c>
      <c r="H435" s="31">
        <f>Simulation_output!E433</f>
        <v>1</v>
      </c>
      <c r="I435" s="31">
        <f>Simulation_output!F433</f>
        <v>117</v>
      </c>
      <c r="J435" s="31">
        <f>Simulation_output!G433</f>
        <v>1</v>
      </c>
      <c r="K435" s="31">
        <f>Simulation_output!H433</f>
        <v>0</v>
      </c>
      <c r="L435">
        <v>1</v>
      </c>
      <c r="M435">
        <f t="shared" si="115"/>
        <v>0</v>
      </c>
      <c r="N435">
        <f t="shared" si="114"/>
        <v>0</v>
      </c>
      <c r="O435">
        <f t="shared" si="113"/>
        <v>0</v>
      </c>
      <c r="P435">
        <f t="shared" si="116"/>
        <v>0</v>
      </c>
      <c r="Q435">
        <f t="shared" si="112"/>
        <v>0</v>
      </c>
      <c r="R435">
        <f t="shared" si="102"/>
        <v>0</v>
      </c>
      <c r="S435">
        <f t="shared" si="103"/>
        <v>0</v>
      </c>
      <c r="T435">
        <f t="shared" si="104"/>
        <v>0</v>
      </c>
      <c r="U435">
        <f t="shared" si="105"/>
        <v>0</v>
      </c>
      <c r="V435">
        <f t="shared" si="106"/>
        <v>0</v>
      </c>
      <c r="W435">
        <f t="shared" si="107"/>
        <v>0</v>
      </c>
      <c r="X435">
        <f t="shared" si="108"/>
        <v>0</v>
      </c>
      <c r="Y435">
        <f t="shared" si="109"/>
        <v>0</v>
      </c>
      <c r="Z435">
        <f t="shared" si="110"/>
        <v>0</v>
      </c>
      <c r="AB435">
        <v>431</v>
      </c>
      <c r="AC435">
        <f t="shared" si="111"/>
        <v>7</v>
      </c>
      <c r="AD435">
        <f t="shared" si="101"/>
        <v>0</v>
      </c>
    </row>
    <row r="436" spans="4:30" x14ac:dyDescent="0.25">
      <c r="D436" s="31">
        <f>Simulation_output!A434</f>
        <v>4325000</v>
      </c>
      <c r="E436">
        <f>Sheet2!R433</f>
        <v>45</v>
      </c>
      <c r="F436">
        <f>Sheet2!S433</f>
        <v>1</v>
      </c>
      <c r="G436">
        <f>Sheet2!T433</f>
        <v>0</v>
      </c>
      <c r="H436" s="31">
        <f>Simulation_output!E434</f>
        <v>1</v>
      </c>
      <c r="I436" s="31">
        <f>Simulation_output!F434</f>
        <v>1017</v>
      </c>
      <c r="J436" s="31">
        <f>Simulation_output!G434</f>
        <v>1</v>
      </c>
      <c r="K436" s="31">
        <f>Simulation_output!H434</f>
        <v>0</v>
      </c>
      <c r="L436">
        <v>1</v>
      </c>
      <c r="M436">
        <f t="shared" si="115"/>
        <v>0</v>
      </c>
      <c r="N436">
        <f t="shared" si="114"/>
        <v>0</v>
      </c>
      <c r="O436">
        <f t="shared" si="113"/>
        <v>0</v>
      </c>
      <c r="P436">
        <f t="shared" si="116"/>
        <v>0</v>
      </c>
      <c r="Q436">
        <f t="shared" si="112"/>
        <v>0</v>
      </c>
      <c r="R436">
        <f t="shared" si="102"/>
        <v>0</v>
      </c>
      <c r="S436">
        <f t="shared" si="103"/>
        <v>0</v>
      </c>
      <c r="T436">
        <f t="shared" si="104"/>
        <v>0</v>
      </c>
      <c r="U436">
        <f t="shared" si="105"/>
        <v>0</v>
      </c>
      <c r="V436">
        <f t="shared" si="106"/>
        <v>0</v>
      </c>
      <c r="W436">
        <f t="shared" si="107"/>
        <v>0</v>
      </c>
      <c r="X436">
        <f t="shared" si="108"/>
        <v>0</v>
      </c>
      <c r="Y436">
        <f t="shared" si="109"/>
        <v>0</v>
      </c>
      <c r="Z436">
        <f t="shared" si="110"/>
        <v>0</v>
      </c>
      <c r="AB436">
        <v>432</v>
      </c>
      <c r="AC436">
        <f t="shared" si="111"/>
        <v>7</v>
      </c>
      <c r="AD436">
        <f t="shared" si="101"/>
        <v>0</v>
      </c>
    </row>
    <row r="437" spans="4:30" x14ac:dyDescent="0.25">
      <c r="D437" s="31">
        <f>Simulation_output!A435</f>
        <v>4335000</v>
      </c>
      <c r="E437">
        <f>Sheet2!R434</f>
        <v>0</v>
      </c>
      <c r="F437">
        <f>Sheet2!S434</f>
        <v>0</v>
      </c>
      <c r="G437">
        <f>Sheet2!T434</f>
        <v>0</v>
      </c>
      <c r="H437" s="31">
        <f>Simulation_output!E435</f>
        <v>1</v>
      </c>
      <c r="I437" s="31">
        <f>Simulation_output!F435</f>
        <v>10017</v>
      </c>
      <c r="J437" s="31">
        <f>Simulation_output!G435</f>
        <v>1</v>
      </c>
      <c r="K437" s="31">
        <f>Simulation_output!H435</f>
        <v>0</v>
      </c>
      <c r="L437">
        <v>1</v>
      </c>
      <c r="M437">
        <f t="shared" si="115"/>
        <v>0</v>
      </c>
      <c r="N437">
        <f t="shared" si="114"/>
        <v>0</v>
      </c>
      <c r="O437">
        <f t="shared" si="113"/>
        <v>0</v>
      </c>
      <c r="P437">
        <f t="shared" si="116"/>
        <v>0</v>
      </c>
      <c r="Q437">
        <f t="shared" si="112"/>
        <v>0</v>
      </c>
      <c r="R437">
        <f t="shared" si="102"/>
        <v>0</v>
      </c>
      <c r="S437">
        <f t="shared" si="103"/>
        <v>0</v>
      </c>
      <c r="T437">
        <f t="shared" si="104"/>
        <v>0</v>
      </c>
      <c r="U437">
        <f t="shared" si="105"/>
        <v>0</v>
      </c>
      <c r="V437">
        <f t="shared" si="106"/>
        <v>0</v>
      </c>
      <c r="W437">
        <f t="shared" si="107"/>
        <v>0</v>
      </c>
      <c r="X437">
        <f t="shared" si="108"/>
        <v>0</v>
      </c>
      <c r="Y437">
        <f t="shared" si="109"/>
        <v>0</v>
      </c>
      <c r="Z437">
        <f t="shared" si="110"/>
        <v>0</v>
      </c>
      <c r="AB437">
        <v>433</v>
      </c>
      <c r="AC437">
        <f t="shared" si="111"/>
        <v>7</v>
      </c>
      <c r="AD437">
        <f t="shared" si="101"/>
        <v>0</v>
      </c>
    </row>
    <row r="438" spans="4:30" x14ac:dyDescent="0.25">
      <c r="D438" s="31">
        <f>Simulation_output!A436</f>
        <v>4345000</v>
      </c>
      <c r="E438">
        <f>Sheet2!R435</f>
        <v>145</v>
      </c>
      <c r="F438">
        <f>Sheet2!S435</f>
        <v>1</v>
      </c>
      <c r="G438">
        <f>Sheet2!T435</f>
        <v>0</v>
      </c>
      <c r="H438" s="31">
        <f>Simulation_output!E436</f>
        <v>1</v>
      </c>
      <c r="I438" s="31">
        <f>Simulation_output!F436</f>
        <v>1132</v>
      </c>
      <c r="J438" s="31">
        <f>Simulation_output!G436</f>
        <v>1</v>
      </c>
      <c r="K438" s="31">
        <f>Simulation_output!H436</f>
        <v>0</v>
      </c>
      <c r="L438">
        <v>1</v>
      </c>
      <c r="M438">
        <f t="shared" si="115"/>
        <v>0</v>
      </c>
      <c r="N438">
        <f t="shared" si="114"/>
        <v>0</v>
      </c>
      <c r="O438">
        <f t="shared" si="113"/>
        <v>0</v>
      </c>
      <c r="P438">
        <f t="shared" si="116"/>
        <v>0</v>
      </c>
      <c r="Q438">
        <f t="shared" si="112"/>
        <v>0</v>
      </c>
      <c r="R438">
        <f t="shared" si="102"/>
        <v>0</v>
      </c>
      <c r="S438">
        <f t="shared" si="103"/>
        <v>0</v>
      </c>
      <c r="T438">
        <f t="shared" si="104"/>
        <v>0</v>
      </c>
      <c r="U438">
        <f t="shared" si="105"/>
        <v>0</v>
      </c>
      <c r="V438">
        <f t="shared" si="106"/>
        <v>0</v>
      </c>
      <c r="W438">
        <f t="shared" si="107"/>
        <v>0</v>
      </c>
      <c r="X438">
        <f t="shared" si="108"/>
        <v>0</v>
      </c>
      <c r="Y438">
        <f t="shared" si="109"/>
        <v>0</v>
      </c>
      <c r="Z438">
        <f t="shared" si="110"/>
        <v>0</v>
      </c>
      <c r="AB438">
        <v>434</v>
      </c>
      <c r="AC438">
        <f t="shared" si="111"/>
        <v>7</v>
      </c>
      <c r="AD438">
        <f t="shared" si="101"/>
        <v>0</v>
      </c>
    </row>
    <row r="439" spans="4:30" x14ac:dyDescent="0.25">
      <c r="D439" s="31">
        <f>Simulation_output!A437</f>
        <v>4355000</v>
      </c>
      <c r="E439">
        <f>Sheet2!R436</f>
        <v>0</v>
      </c>
      <c r="F439">
        <f>Sheet2!S436</f>
        <v>0</v>
      </c>
      <c r="G439">
        <f>Sheet2!T436</f>
        <v>0</v>
      </c>
      <c r="H439" s="31">
        <f>Simulation_output!E437</f>
        <v>1</v>
      </c>
      <c r="I439" s="31">
        <f>Simulation_output!F437</f>
        <v>329</v>
      </c>
      <c r="J439" s="31">
        <f>Simulation_output!G437</f>
        <v>1</v>
      </c>
      <c r="K439" s="31">
        <f>Simulation_output!H437</f>
        <v>0</v>
      </c>
      <c r="L439">
        <v>1</v>
      </c>
      <c r="M439">
        <f t="shared" si="115"/>
        <v>0</v>
      </c>
      <c r="N439">
        <f t="shared" si="114"/>
        <v>0</v>
      </c>
      <c r="O439">
        <f t="shared" si="113"/>
        <v>0</v>
      </c>
      <c r="P439">
        <f t="shared" si="116"/>
        <v>0</v>
      </c>
      <c r="Q439">
        <f t="shared" si="112"/>
        <v>0</v>
      </c>
      <c r="R439">
        <f t="shared" si="102"/>
        <v>0</v>
      </c>
      <c r="S439">
        <f t="shared" si="103"/>
        <v>0</v>
      </c>
      <c r="T439">
        <f t="shared" si="104"/>
        <v>0</v>
      </c>
      <c r="U439">
        <f t="shared" si="105"/>
        <v>0</v>
      </c>
      <c r="V439">
        <f t="shared" si="106"/>
        <v>0</v>
      </c>
      <c r="W439">
        <f t="shared" si="107"/>
        <v>0</v>
      </c>
      <c r="X439">
        <f t="shared" si="108"/>
        <v>0</v>
      </c>
      <c r="Y439">
        <f t="shared" si="109"/>
        <v>0</v>
      </c>
      <c r="Z439">
        <f t="shared" si="110"/>
        <v>0</v>
      </c>
      <c r="AB439">
        <v>435</v>
      </c>
      <c r="AC439">
        <f t="shared" si="111"/>
        <v>7</v>
      </c>
      <c r="AD439">
        <f t="shared" si="101"/>
        <v>0</v>
      </c>
    </row>
    <row r="440" spans="4:30" x14ac:dyDescent="0.25">
      <c r="D440" s="31">
        <f>Simulation_output!A438</f>
        <v>4365000</v>
      </c>
      <c r="E440">
        <f>Sheet2!R437</f>
        <v>1045</v>
      </c>
      <c r="F440">
        <f>Sheet2!S437</f>
        <v>1</v>
      </c>
      <c r="G440">
        <f>Sheet2!T437</f>
        <v>0</v>
      </c>
      <c r="H440" s="31">
        <f>Simulation_output!E438</f>
        <v>1</v>
      </c>
      <c r="I440" s="31">
        <f>Simulation_output!F438</f>
        <v>0</v>
      </c>
      <c r="J440" s="31">
        <f>Simulation_output!G438</f>
        <v>1</v>
      </c>
      <c r="K440" s="31">
        <f>Simulation_output!H438</f>
        <v>0</v>
      </c>
      <c r="L440">
        <v>1</v>
      </c>
      <c r="M440">
        <f t="shared" si="115"/>
        <v>0</v>
      </c>
      <c r="N440">
        <f t="shared" si="114"/>
        <v>0</v>
      </c>
      <c r="O440">
        <f t="shared" si="113"/>
        <v>0</v>
      </c>
      <c r="P440">
        <f t="shared" si="116"/>
        <v>0</v>
      </c>
      <c r="Q440">
        <f t="shared" si="112"/>
        <v>0</v>
      </c>
      <c r="R440">
        <f t="shared" si="102"/>
        <v>0</v>
      </c>
      <c r="S440">
        <f t="shared" si="103"/>
        <v>0</v>
      </c>
      <c r="T440">
        <f t="shared" si="104"/>
        <v>0</v>
      </c>
      <c r="U440">
        <f t="shared" si="105"/>
        <v>0</v>
      </c>
      <c r="V440">
        <f t="shared" si="106"/>
        <v>0</v>
      </c>
      <c r="W440">
        <f t="shared" si="107"/>
        <v>0</v>
      </c>
      <c r="X440">
        <f t="shared" si="108"/>
        <v>0</v>
      </c>
      <c r="Y440">
        <f t="shared" si="109"/>
        <v>0</v>
      </c>
      <c r="Z440">
        <f t="shared" si="110"/>
        <v>0</v>
      </c>
      <c r="AB440">
        <v>436</v>
      </c>
      <c r="AC440">
        <f t="shared" si="111"/>
        <v>7</v>
      </c>
      <c r="AD440">
        <f t="shared" si="101"/>
        <v>0</v>
      </c>
    </row>
    <row r="441" spans="4:30" x14ac:dyDescent="0.25">
      <c r="D441" s="31">
        <f>Simulation_output!A439</f>
        <v>4375000</v>
      </c>
      <c r="E441">
        <f>Sheet2!R438</f>
        <v>0</v>
      </c>
      <c r="F441">
        <f>Sheet2!S438</f>
        <v>0</v>
      </c>
      <c r="G441">
        <f>Sheet2!T438</f>
        <v>0</v>
      </c>
      <c r="H441" s="31">
        <f>Simulation_output!E439</f>
        <v>1</v>
      </c>
      <c r="I441" s="31">
        <f>Simulation_output!F439</f>
        <v>268435454</v>
      </c>
      <c r="J441" s="31">
        <f>Simulation_output!G439</f>
        <v>1</v>
      </c>
      <c r="K441" s="31">
        <f>Simulation_output!H439</f>
        <v>1</v>
      </c>
      <c r="L441">
        <v>1</v>
      </c>
      <c r="M441" t="str">
        <f t="shared" si="115"/>
        <v>FFFFFFF</v>
      </c>
      <c r="N441">
        <f t="shared" si="114"/>
        <v>8</v>
      </c>
      <c r="O441">
        <f t="shared" si="113"/>
        <v>95</v>
      </c>
      <c r="P441">
        <f t="shared" si="116"/>
        <v>320</v>
      </c>
      <c r="Q441">
        <f t="shared" si="112"/>
        <v>25</v>
      </c>
      <c r="R441">
        <f t="shared" si="102"/>
        <v>5</v>
      </c>
      <c r="S441">
        <f t="shared" si="103"/>
        <v>17</v>
      </c>
      <c r="T441">
        <f t="shared" si="104"/>
        <v>117</v>
      </c>
      <c r="U441">
        <f t="shared" si="105"/>
        <v>1017</v>
      </c>
      <c r="V441">
        <f t="shared" si="106"/>
        <v>10017</v>
      </c>
      <c r="W441">
        <f t="shared" si="107"/>
        <v>1132</v>
      </c>
      <c r="X441">
        <f t="shared" si="108"/>
        <v>329</v>
      </c>
      <c r="Y441">
        <f t="shared" si="109"/>
        <v>0</v>
      </c>
      <c r="Z441" t="str">
        <f t="shared" si="110"/>
        <v>FFFFFFE</v>
      </c>
      <c r="AB441">
        <v>437</v>
      </c>
      <c r="AC441">
        <f t="shared" si="111"/>
        <v>8</v>
      </c>
      <c r="AD441">
        <f t="shared" si="101"/>
        <v>8</v>
      </c>
    </row>
    <row r="442" spans="4:30" x14ac:dyDescent="0.25">
      <c r="D442" s="31">
        <f>Simulation_output!A440</f>
        <v>4385000</v>
      </c>
      <c r="E442">
        <f>Sheet2!R439</f>
        <v>10045</v>
      </c>
      <c r="F442">
        <f>Sheet2!S439</f>
        <v>1</v>
      </c>
      <c r="G442">
        <f>Sheet2!T439</f>
        <v>1</v>
      </c>
      <c r="H442" s="31">
        <f>Simulation_output!E440</f>
        <v>1</v>
      </c>
      <c r="I442" s="31">
        <f>Simulation_output!F440</f>
        <v>268435455</v>
      </c>
      <c r="J442" s="31">
        <f>Simulation_output!G440</f>
        <v>1</v>
      </c>
      <c r="K442" s="31">
        <f>Simulation_output!H440</f>
        <v>0</v>
      </c>
      <c r="L442">
        <v>1</v>
      </c>
      <c r="M442">
        <f t="shared" si="115"/>
        <v>0</v>
      </c>
      <c r="N442">
        <f t="shared" si="114"/>
        <v>0</v>
      </c>
      <c r="O442">
        <f t="shared" si="113"/>
        <v>0</v>
      </c>
      <c r="P442">
        <f t="shared" si="116"/>
        <v>0</v>
      </c>
      <c r="Q442">
        <f t="shared" si="112"/>
        <v>0</v>
      </c>
      <c r="R442">
        <f t="shared" si="102"/>
        <v>0</v>
      </c>
      <c r="S442">
        <f t="shared" si="103"/>
        <v>0</v>
      </c>
      <c r="T442">
        <f t="shared" si="104"/>
        <v>0</v>
      </c>
      <c r="U442">
        <f t="shared" si="105"/>
        <v>0</v>
      </c>
      <c r="V442">
        <f t="shared" si="106"/>
        <v>0</v>
      </c>
      <c r="W442">
        <f t="shared" si="107"/>
        <v>0</v>
      </c>
      <c r="X442">
        <f t="shared" si="108"/>
        <v>0</v>
      </c>
      <c r="Y442">
        <f t="shared" si="109"/>
        <v>0</v>
      </c>
      <c r="Z442">
        <f t="shared" si="110"/>
        <v>0</v>
      </c>
      <c r="AB442">
        <v>438</v>
      </c>
      <c r="AC442">
        <f t="shared" si="111"/>
        <v>8</v>
      </c>
      <c r="AD442">
        <f t="shared" si="101"/>
        <v>0</v>
      </c>
    </row>
    <row r="443" spans="4:30" x14ac:dyDescent="0.25">
      <c r="D443" s="31">
        <f>Simulation_output!A441</f>
        <v>4395000</v>
      </c>
      <c r="E443">
        <f>Sheet2!R440</f>
        <v>0</v>
      </c>
      <c r="F443">
        <f>Sheet2!S440</f>
        <v>0</v>
      </c>
      <c r="G443">
        <f>Sheet2!T440</f>
        <v>0</v>
      </c>
      <c r="H443" s="31">
        <f>Simulation_output!E441</f>
        <v>1</v>
      </c>
      <c r="I443" s="31">
        <f>Simulation_output!F441</f>
        <v>9</v>
      </c>
      <c r="J443" s="31">
        <f>Simulation_output!G441</f>
        <v>1</v>
      </c>
      <c r="K443" s="31">
        <f>Simulation_output!H441</f>
        <v>0</v>
      </c>
      <c r="L443">
        <v>1</v>
      </c>
      <c r="M443">
        <f t="shared" si="115"/>
        <v>0</v>
      </c>
      <c r="N443">
        <f t="shared" si="114"/>
        <v>0</v>
      </c>
      <c r="O443">
        <f t="shared" si="113"/>
        <v>0</v>
      </c>
      <c r="P443">
        <f t="shared" si="116"/>
        <v>0</v>
      </c>
      <c r="Q443">
        <f t="shared" si="112"/>
        <v>0</v>
      </c>
      <c r="R443">
        <f t="shared" si="102"/>
        <v>0</v>
      </c>
      <c r="S443">
        <f t="shared" si="103"/>
        <v>0</v>
      </c>
      <c r="T443">
        <f t="shared" si="104"/>
        <v>0</v>
      </c>
      <c r="U443">
        <f t="shared" si="105"/>
        <v>0</v>
      </c>
      <c r="V443">
        <f t="shared" si="106"/>
        <v>0</v>
      </c>
      <c r="W443">
        <f t="shared" si="107"/>
        <v>0</v>
      </c>
      <c r="X443">
        <f t="shared" si="108"/>
        <v>0</v>
      </c>
      <c r="Y443">
        <f t="shared" si="109"/>
        <v>0</v>
      </c>
      <c r="Z443">
        <f t="shared" si="110"/>
        <v>0</v>
      </c>
      <c r="AB443">
        <v>439</v>
      </c>
      <c r="AC443">
        <f t="shared" si="111"/>
        <v>8</v>
      </c>
      <c r="AD443">
        <f t="shared" si="101"/>
        <v>0</v>
      </c>
    </row>
    <row r="444" spans="4:30" x14ac:dyDescent="0.25">
      <c r="D444" s="31">
        <f>Simulation_output!A442</f>
        <v>4405000</v>
      </c>
      <c r="E444">
        <f>Sheet2!R441</f>
        <v>1</v>
      </c>
      <c r="F444">
        <f>Sheet2!S441</f>
        <v>1</v>
      </c>
      <c r="G444">
        <f>Sheet2!T441</f>
        <v>0</v>
      </c>
      <c r="H444" s="31">
        <f>Simulation_output!E442</f>
        <v>1</v>
      </c>
      <c r="I444" s="31">
        <f>Simulation_output!F442</f>
        <v>107</v>
      </c>
      <c r="J444" s="31">
        <f>Simulation_output!G442</f>
        <v>1</v>
      </c>
      <c r="K444" s="31">
        <f>Simulation_output!H442</f>
        <v>0</v>
      </c>
      <c r="L444">
        <v>1</v>
      </c>
      <c r="M444">
        <f t="shared" si="115"/>
        <v>0</v>
      </c>
      <c r="N444">
        <f t="shared" si="114"/>
        <v>0</v>
      </c>
      <c r="O444">
        <f t="shared" si="113"/>
        <v>0</v>
      </c>
      <c r="P444">
        <f t="shared" si="116"/>
        <v>0</v>
      </c>
      <c r="Q444">
        <f t="shared" si="112"/>
        <v>0</v>
      </c>
      <c r="R444">
        <f t="shared" si="102"/>
        <v>0</v>
      </c>
      <c r="S444">
        <f t="shared" si="103"/>
        <v>0</v>
      </c>
      <c r="T444">
        <f t="shared" si="104"/>
        <v>0</v>
      </c>
      <c r="U444">
        <f t="shared" si="105"/>
        <v>0</v>
      </c>
      <c r="V444">
        <f t="shared" si="106"/>
        <v>0</v>
      </c>
      <c r="W444">
        <f t="shared" si="107"/>
        <v>0</v>
      </c>
      <c r="X444">
        <f t="shared" si="108"/>
        <v>0</v>
      </c>
      <c r="Y444">
        <f t="shared" si="109"/>
        <v>0</v>
      </c>
      <c r="Z444">
        <f t="shared" si="110"/>
        <v>0</v>
      </c>
      <c r="AB444">
        <v>440</v>
      </c>
      <c r="AC444">
        <f t="shared" si="111"/>
        <v>8</v>
      </c>
      <c r="AD444">
        <f t="shared" si="101"/>
        <v>0</v>
      </c>
    </row>
    <row r="445" spans="4:30" x14ac:dyDescent="0.25">
      <c r="D445" s="31">
        <f>Simulation_output!A443</f>
        <v>4415000</v>
      </c>
      <c r="E445">
        <f>Sheet2!R442</f>
        <v>0</v>
      </c>
      <c r="F445">
        <f>Sheet2!S442</f>
        <v>0</v>
      </c>
      <c r="G445">
        <f>Sheet2!T442</f>
        <v>0</v>
      </c>
      <c r="H445" s="31">
        <f>Simulation_output!E443</f>
        <v>1</v>
      </c>
      <c r="I445" s="31">
        <f>Simulation_output!F443</f>
        <v>321</v>
      </c>
      <c r="J445" s="31">
        <f>Simulation_output!G443</f>
        <v>1</v>
      </c>
      <c r="K445" s="31">
        <f>Simulation_output!H443</f>
        <v>0</v>
      </c>
      <c r="L445">
        <v>1</v>
      </c>
      <c r="M445">
        <f t="shared" si="115"/>
        <v>0</v>
      </c>
      <c r="N445">
        <f t="shared" si="114"/>
        <v>0</v>
      </c>
      <c r="O445">
        <f t="shared" si="113"/>
        <v>0</v>
      </c>
      <c r="P445">
        <f t="shared" si="116"/>
        <v>0</v>
      </c>
      <c r="Q445">
        <f t="shared" si="112"/>
        <v>0</v>
      </c>
      <c r="R445">
        <f t="shared" si="102"/>
        <v>0</v>
      </c>
      <c r="S445">
        <f t="shared" si="103"/>
        <v>0</v>
      </c>
      <c r="T445">
        <f t="shared" si="104"/>
        <v>0</v>
      </c>
      <c r="U445">
        <f t="shared" si="105"/>
        <v>0</v>
      </c>
      <c r="V445">
        <f t="shared" si="106"/>
        <v>0</v>
      </c>
      <c r="W445">
        <f t="shared" si="107"/>
        <v>0</v>
      </c>
      <c r="X445">
        <f t="shared" si="108"/>
        <v>0</v>
      </c>
      <c r="Y445">
        <f t="shared" si="109"/>
        <v>0</v>
      </c>
      <c r="Z445">
        <f t="shared" si="110"/>
        <v>0</v>
      </c>
      <c r="AB445">
        <v>441</v>
      </c>
      <c r="AC445">
        <f t="shared" si="111"/>
        <v>8</v>
      </c>
      <c r="AD445">
        <f t="shared" si="101"/>
        <v>0</v>
      </c>
    </row>
    <row r="446" spans="4:30" x14ac:dyDescent="0.25">
      <c r="D446" s="31">
        <f>Simulation_output!A444</f>
        <v>4425000</v>
      </c>
      <c r="E446">
        <f>Sheet2!R443</f>
        <v>8</v>
      </c>
      <c r="F446">
        <f>Sheet2!S443</f>
        <v>1</v>
      </c>
      <c r="G446">
        <f>Sheet2!T443</f>
        <v>0</v>
      </c>
      <c r="H446" s="31">
        <f>Simulation_output!E444</f>
        <v>1</v>
      </c>
      <c r="I446" s="31">
        <f>Simulation_output!F444</f>
        <v>25</v>
      </c>
      <c r="J446" s="31">
        <f>Simulation_output!G444</f>
        <v>1</v>
      </c>
      <c r="K446" s="31">
        <f>Simulation_output!H444</f>
        <v>0</v>
      </c>
      <c r="L446">
        <v>1</v>
      </c>
      <c r="M446">
        <f t="shared" si="115"/>
        <v>0</v>
      </c>
      <c r="N446">
        <f t="shared" si="114"/>
        <v>0</v>
      </c>
      <c r="O446">
        <f t="shared" si="113"/>
        <v>0</v>
      </c>
      <c r="P446">
        <f t="shared" si="116"/>
        <v>0</v>
      </c>
      <c r="Q446">
        <f t="shared" si="112"/>
        <v>0</v>
      </c>
      <c r="R446">
        <f t="shared" si="102"/>
        <v>0</v>
      </c>
      <c r="S446">
        <f t="shared" si="103"/>
        <v>0</v>
      </c>
      <c r="T446">
        <f t="shared" si="104"/>
        <v>0</v>
      </c>
      <c r="U446">
        <f t="shared" si="105"/>
        <v>0</v>
      </c>
      <c r="V446">
        <f t="shared" si="106"/>
        <v>0</v>
      </c>
      <c r="W446">
        <f t="shared" si="107"/>
        <v>0</v>
      </c>
      <c r="X446">
        <f t="shared" si="108"/>
        <v>0</v>
      </c>
      <c r="Y446">
        <f t="shared" si="109"/>
        <v>0</v>
      </c>
      <c r="Z446">
        <f t="shared" si="110"/>
        <v>0</v>
      </c>
      <c r="AB446">
        <v>442</v>
      </c>
      <c r="AC446">
        <f t="shared" si="111"/>
        <v>8</v>
      </c>
      <c r="AD446">
        <f t="shared" si="101"/>
        <v>0</v>
      </c>
    </row>
    <row r="447" spans="4:30" x14ac:dyDescent="0.25">
      <c r="D447" s="31">
        <f>Simulation_output!A445</f>
        <v>4435000</v>
      </c>
      <c r="E447">
        <f>Sheet2!R444</f>
        <v>0</v>
      </c>
      <c r="F447">
        <f>Sheet2!S444</f>
        <v>0</v>
      </c>
      <c r="G447">
        <f>Sheet2!T444</f>
        <v>0</v>
      </c>
      <c r="H447" s="31">
        <f>Simulation_output!E445</f>
        <v>1</v>
      </c>
      <c r="I447" s="31">
        <f>Simulation_output!F445</f>
        <v>5</v>
      </c>
      <c r="J447" s="31">
        <f>Simulation_output!G445</f>
        <v>1</v>
      </c>
      <c r="K447" s="31">
        <f>Simulation_output!H445</f>
        <v>0</v>
      </c>
      <c r="L447">
        <v>1</v>
      </c>
      <c r="M447">
        <f t="shared" si="115"/>
        <v>0</v>
      </c>
      <c r="N447">
        <f t="shared" si="114"/>
        <v>0</v>
      </c>
      <c r="O447">
        <f t="shared" si="113"/>
        <v>0</v>
      </c>
      <c r="P447">
        <f t="shared" si="116"/>
        <v>0</v>
      </c>
      <c r="Q447">
        <f t="shared" si="112"/>
        <v>0</v>
      </c>
      <c r="R447">
        <f t="shared" si="102"/>
        <v>0</v>
      </c>
      <c r="S447">
        <f t="shared" si="103"/>
        <v>0</v>
      </c>
      <c r="T447">
        <f t="shared" si="104"/>
        <v>0</v>
      </c>
      <c r="U447">
        <f t="shared" si="105"/>
        <v>0</v>
      </c>
      <c r="V447">
        <f t="shared" si="106"/>
        <v>0</v>
      </c>
      <c r="W447">
        <f t="shared" si="107"/>
        <v>0</v>
      </c>
      <c r="X447">
        <f t="shared" si="108"/>
        <v>0</v>
      </c>
      <c r="Y447">
        <f t="shared" si="109"/>
        <v>0</v>
      </c>
      <c r="Z447">
        <f t="shared" si="110"/>
        <v>0</v>
      </c>
      <c r="AB447">
        <v>443</v>
      </c>
      <c r="AC447">
        <f t="shared" si="111"/>
        <v>8</v>
      </c>
      <c r="AD447">
        <f t="shared" si="101"/>
        <v>0</v>
      </c>
    </row>
    <row r="448" spans="4:30" x14ac:dyDescent="0.25">
      <c r="D448" s="31">
        <f>Simulation_output!A446</f>
        <v>4445000</v>
      </c>
      <c r="E448">
        <f>Sheet2!R445</f>
        <v>46</v>
      </c>
      <c r="F448">
        <f>Sheet2!S445</f>
        <v>1</v>
      </c>
      <c r="G448">
        <f>Sheet2!T445</f>
        <v>0</v>
      </c>
      <c r="H448" s="31">
        <f>Simulation_output!E446</f>
        <v>1</v>
      </c>
      <c r="I448" s="31">
        <f>Simulation_output!F446</f>
        <v>18</v>
      </c>
      <c r="J448" s="31">
        <f>Simulation_output!G446</f>
        <v>1</v>
      </c>
      <c r="K448" s="31">
        <f>Simulation_output!H446</f>
        <v>0</v>
      </c>
      <c r="L448">
        <v>1</v>
      </c>
      <c r="M448">
        <f t="shared" si="115"/>
        <v>0</v>
      </c>
      <c r="N448">
        <f t="shared" si="114"/>
        <v>0</v>
      </c>
      <c r="O448">
        <f t="shared" si="113"/>
        <v>0</v>
      </c>
      <c r="P448">
        <f t="shared" si="116"/>
        <v>0</v>
      </c>
      <c r="Q448">
        <f t="shared" si="112"/>
        <v>0</v>
      </c>
      <c r="R448">
        <f t="shared" si="102"/>
        <v>0</v>
      </c>
      <c r="S448">
        <f t="shared" si="103"/>
        <v>0</v>
      </c>
      <c r="T448">
        <f t="shared" si="104"/>
        <v>0</v>
      </c>
      <c r="U448">
        <f t="shared" si="105"/>
        <v>0</v>
      </c>
      <c r="V448">
        <f t="shared" si="106"/>
        <v>0</v>
      </c>
      <c r="W448">
        <f t="shared" si="107"/>
        <v>0</v>
      </c>
      <c r="X448">
        <f t="shared" si="108"/>
        <v>0</v>
      </c>
      <c r="Y448">
        <f t="shared" si="109"/>
        <v>0</v>
      </c>
      <c r="Z448">
        <f t="shared" si="110"/>
        <v>0</v>
      </c>
      <c r="AB448">
        <v>444</v>
      </c>
      <c r="AC448">
        <f t="shared" si="111"/>
        <v>8</v>
      </c>
      <c r="AD448">
        <f t="shared" si="101"/>
        <v>0</v>
      </c>
    </row>
    <row r="449" spans="4:30" x14ac:dyDescent="0.25">
      <c r="D449" s="31">
        <f>Simulation_output!A447</f>
        <v>4455000</v>
      </c>
      <c r="E449">
        <f>Sheet2!R446</f>
        <v>0</v>
      </c>
      <c r="F449">
        <f>Sheet2!S446</f>
        <v>0</v>
      </c>
      <c r="G449">
        <f>Sheet2!T446</f>
        <v>0</v>
      </c>
      <c r="H449" s="31">
        <f>Simulation_output!E447</f>
        <v>1</v>
      </c>
      <c r="I449" s="31">
        <f>Simulation_output!F447</f>
        <v>118</v>
      </c>
      <c r="J449" s="31">
        <f>Simulation_output!G447</f>
        <v>1</v>
      </c>
      <c r="K449" s="31">
        <f>Simulation_output!H447</f>
        <v>0</v>
      </c>
      <c r="L449">
        <v>1</v>
      </c>
      <c r="M449">
        <f t="shared" si="115"/>
        <v>0</v>
      </c>
      <c r="N449">
        <f t="shared" si="114"/>
        <v>0</v>
      </c>
      <c r="O449">
        <f t="shared" si="113"/>
        <v>0</v>
      </c>
      <c r="P449">
        <f t="shared" si="116"/>
        <v>0</v>
      </c>
      <c r="Q449">
        <f t="shared" si="112"/>
        <v>0</v>
      </c>
      <c r="R449">
        <f t="shared" si="102"/>
        <v>0</v>
      </c>
      <c r="S449">
        <f t="shared" si="103"/>
        <v>0</v>
      </c>
      <c r="T449">
        <f t="shared" si="104"/>
        <v>0</v>
      </c>
      <c r="U449">
        <f t="shared" si="105"/>
        <v>0</v>
      </c>
      <c r="V449">
        <f t="shared" si="106"/>
        <v>0</v>
      </c>
      <c r="W449">
        <f t="shared" si="107"/>
        <v>0</v>
      </c>
      <c r="X449">
        <f t="shared" si="108"/>
        <v>0</v>
      </c>
      <c r="Y449">
        <f t="shared" si="109"/>
        <v>0</v>
      </c>
      <c r="Z449">
        <f t="shared" si="110"/>
        <v>0</v>
      </c>
      <c r="AB449">
        <v>445</v>
      </c>
      <c r="AC449">
        <f t="shared" si="111"/>
        <v>8</v>
      </c>
      <c r="AD449">
        <f t="shared" si="101"/>
        <v>0</v>
      </c>
    </row>
    <row r="450" spans="4:30" x14ac:dyDescent="0.25">
      <c r="D450" s="31">
        <f>Simulation_output!A448</f>
        <v>4465000</v>
      </c>
      <c r="E450">
        <f>Sheet2!R447</f>
        <v>146</v>
      </c>
      <c r="F450">
        <f>Sheet2!S447</f>
        <v>1</v>
      </c>
      <c r="G450">
        <f>Sheet2!T447</f>
        <v>0</v>
      </c>
      <c r="H450" s="31">
        <f>Simulation_output!E448</f>
        <v>1</v>
      </c>
      <c r="I450" s="31">
        <f>Simulation_output!F448</f>
        <v>1018</v>
      </c>
      <c r="J450" s="31">
        <f>Simulation_output!G448</f>
        <v>1</v>
      </c>
      <c r="K450" s="31">
        <f>Simulation_output!H448</f>
        <v>0</v>
      </c>
      <c r="L450">
        <v>1</v>
      </c>
      <c r="M450">
        <f t="shared" si="115"/>
        <v>0</v>
      </c>
      <c r="N450">
        <f t="shared" si="114"/>
        <v>0</v>
      </c>
      <c r="O450">
        <f t="shared" si="113"/>
        <v>0</v>
      </c>
      <c r="P450">
        <f t="shared" si="116"/>
        <v>0</v>
      </c>
      <c r="Q450">
        <f t="shared" si="112"/>
        <v>0</v>
      </c>
      <c r="R450">
        <f t="shared" si="102"/>
        <v>0</v>
      </c>
      <c r="S450">
        <f t="shared" si="103"/>
        <v>0</v>
      </c>
      <c r="T450">
        <f t="shared" si="104"/>
        <v>0</v>
      </c>
      <c r="U450">
        <f t="shared" si="105"/>
        <v>0</v>
      </c>
      <c r="V450">
        <f t="shared" si="106"/>
        <v>0</v>
      </c>
      <c r="W450">
        <f t="shared" si="107"/>
        <v>0</v>
      </c>
      <c r="X450">
        <f t="shared" si="108"/>
        <v>0</v>
      </c>
      <c r="Y450">
        <f t="shared" si="109"/>
        <v>0</v>
      </c>
      <c r="Z450">
        <f t="shared" si="110"/>
        <v>0</v>
      </c>
      <c r="AB450">
        <v>446</v>
      </c>
      <c r="AC450">
        <f t="shared" si="111"/>
        <v>8</v>
      </c>
      <c r="AD450">
        <f t="shared" si="101"/>
        <v>0</v>
      </c>
    </row>
    <row r="451" spans="4:30" x14ac:dyDescent="0.25">
      <c r="D451" s="31">
        <f>Simulation_output!A449</f>
        <v>4475000</v>
      </c>
      <c r="E451">
        <f>Sheet2!R448</f>
        <v>0</v>
      </c>
      <c r="F451">
        <f>Sheet2!S448</f>
        <v>0</v>
      </c>
      <c r="G451">
        <f>Sheet2!T448</f>
        <v>0</v>
      </c>
      <c r="H451" s="31">
        <f>Simulation_output!E449</f>
        <v>1</v>
      </c>
      <c r="I451" s="31">
        <f>Simulation_output!F449</f>
        <v>10018</v>
      </c>
      <c r="J451" s="31">
        <f>Simulation_output!G449</f>
        <v>1</v>
      </c>
      <c r="K451" s="31">
        <f>Simulation_output!H449</f>
        <v>0</v>
      </c>
      <c r="L451">
        <v>1</v>
      </c>
      <c r="M451">
        <f t="shared" si="115"/>
        <v>0</v>
      </c>
      <c r="N451">
        <f t="shared" si="114"/>
        <v>0</v>
      </c>
      <c r="O451">
        <f t="shared" si="113"/>
        <v>0</v>
      </c>
      <c r="P451">
        <f t="shared" si="116"/>
        <v>0</v>
      </c>
      <c r="Q451">
        <f t="shared" si="112"/>
        <v>0</v>
      </c>
      <c r="R451">
        <f t="shared" si="102"/>
        <v>0</v>
      </c>
      <c r="S451">
        <f t="shared" si="103"/>
        <v>0</v>
      </c>
      <c r="T451">
        <f t="shared" si="104"/>
        <v>0</v>
      </c>
      <c r="U451">
        <f t="shared" si="105"/>
        <v>0</v>
      </c>
      <c r="V451">
        <f t="shared" si="106"/>
        <v>0</v>
      </c>
      <c r="W451">
        <f t="shared" si="107"/>
        <v>0</v>
      </c>
      <c r="X451">
        <f t="shared" si="108"/>
        <v>0</v>
      </c>
      <c r="Y451">
        <f t="shared" si="109"/>
        <v>0</v>
      </c>
      <c r="Z451">
        <f t="shared" si="110"/>
        <v>0</v>
      </c>
      <c r="AB451">
        <v>447</v>
      </c>
      <c r="AC451">
        <f t="shared" si="111"/>
        <v>8</v>
      </c>
      <c r="AD451">
        <f t="shared" si="101"/>
        <v>0</v>
      </c>
    </row>
    <row r="452" spans="4:30" x14ac:dyDescent="0.25">
      <c r="D452" s="31">
        <f>Simulation_output!A450</f>
        <v>4485000</v>
      </c>
      <c r="E452">
        <f>Sheet2!R449</f>
        <v>1046</v>
      </c>
      <c r="F452">
        <f>Sheet2!S449</f>
        <v>1</v>
      </c>
      <c r="G452">
        <f>Sheet2!T449</f>
        <v>0</v>
      </c>
      <c r="H452" s="31">
        <f>Simulation_output!E450</f>
        <v>1</v>
      </c>
      <c r="I452" s="31">
        <f>Simulation_output!F450</f>
        <v>1134</v>
      </c>
      <c r="J452" s="31">
        <f>Simulation_output!G450</f>
        <v>1</v>
      </c>
      <c r="K452" s="31">
        <f>Simulation_output!H450</f>
        <v>0</v>
      </c>
      <c r="L452">
        <v>1</v>
      </c>
      <c r="M452">
        <f t="shared" si="115"/>
        <v>0</v>
      </c>
      <c r="N452">
        <f t="shared" si="114"/>
        <v>0</v>
      </c>
      <c r="O452">
        <f t="shared" si="113"/>
        <v>0</v>
      </c>
      <c r="P452">
        <f t="shared" si="116"/>
        <v>0</v>
      </c>
      <c r="Q452">
        <f t="shared" si="112"/>
        <v>0</v>
      </c>
      <c r="R452">
        <f t="shared" si="102"/>
        <v>0</v>
      </c>
      <c r="S452">
        <f t="shared" si="103"/>
        <v>0</v>
      </c>
      <c r="T452">
        <f t="shared" si="104"/>
        <v>0</v>
      </c>
      <c r="U452">
        <f t="shared" si="105"/>
        <v>0</v>
      </c>
      <c r="V452">
        <f t="shared" si="106"/>
        <v>0</v>
      </c>
      <c r="W452">
        <f t="shared" si="107"/>
        <v>0</v>
      </c>
      <c r="X452">
        <f t="shared" si="108"/>
        <v>0</v>
      </c>
      <c r="Y452">
        <f t="shared" si="109"/>
        <v>0</v>
      </c>
      <c r="Z452">
        <f t="shared" si="110"/>
        <v>0</v>
      </c>
      <c r="AB452">
        <v>448</v>
      </c>
      <c r="AC452">
        <f t="shared" si="111"/>
        <v>8</v>
      </c>
      <c r="AD452">
        <f t="shared" si="101"/>
        <v>0</v>
      </c>
    </row>
    <row r="453" spans="4:30" x14ac:dyDescent="0.25">
      <c r="D453" s="31">
        <f>Simulation_output!A451</f>
        <v>4495000</v>
      </c>
      <c r="E453">
        <f>Sheet2!R450</f>
        <v>0</v>
      </c>
      <c r="F453">
        <f>Sheet2!S450</f>
        <v>0</v>
      </c>
      <c r="G453">
        <f>Sheet2!T450</f>
        <v>0</v>
      </c>
      <c r="H453" s="31">
        <f>Simulation_output!E451</f>
        <v>1</v>
      </c>
      <c r="I453" s="31">
        <f>Simulation_output!F451</f>
        <v>330</v>
      </c>
      <c r="J453" s="31">
        <f>Simulation_output!G451</f>
        <v>1</v>
      </c>
      <c r="K453" s="31">
        <f>Simulation_output!H451</f>
        <v>0</v>
      </c>
      <c r="L453">
        <v>1</v>
      </c>
      <c r="M453">
        <f t="shared" si="115"/>
        <v>0</v>
      </c>
      <c r="N453">
        <f t="shared" si="114"/>
        <v>0</v>
      </c>
      <c r="O453">
        <f t="shared" si="113"/>
        <v>0</v>
      </c>
      <c r="P453">
        <f t="shared" si="116"/>
        <v>0</v>
      </c>
      <c r="Q453">
        <f t="shared" si="112"/>
        <v>0</v>
      </c>
      <c r="R453">
        <f t="shared" si="102"/>
        <v>0</v>
      </c>
      <c r="S453">
        <f t="shared" si="103"/>
        <v>0</v>
      </c>
      <c r="T453">
        <f t="shared" si="104"/>
        <v>0</v>
      </c>
      <c r="U453">
        <f t="shared" si="105"/>
        <v>0</v>
      </c>
      <c r="V453">
        <f t="shared" si="106"/>
        <v>0</v>
      </c>
      <c r="W453">
        <f t="shared" si="107"/>
        <v>0</v>
      </c>
      <c r="X453">
        <f t="shared" si="108"/>
        <v>0</v>
      </c>
      <c r="Y453">
        <f t="shared" si="109"/>
        <v>0</v>
      </c>
      <c r="Z453">
        <f t="shared" si="110"/>
        <v>0</v>
      </c>
      <c r="AB453">
        <v>449</v>
      </c>
      <c r="AC453">
        <f t="shared" si="111"/>
        <v>8</v>
      </c>
      <c r="AD453">
        <f t="shared" si="101"/>
        <v>0</v>
      </c>
    </row>
    <row r="454" spans="4:30" x14ac:dyDescent="0.25">
      <c r="D454" s="31">
        <f>Simulation_output!A452</f>
        <v>4505000</v>
      </c>
      <c r="E454">
        <f>Sheet2!R451</f>
        <v>10046</v>
      </c>
      <c r="F454">
        <f>Sheet2!S451</f>
        <v>1</v>
      </c>
      <c r="G454">
        <f>Sheet2!T451</f>
        <v>1</v>
      </c>
      <c r="H454" s="31">
        <f>Simulation_output!E452</f>
        <v>1</v>
      </c>
      <c r="I454" s="31">
        <f>Simulation_output!F452</f>
        <v>0</v>
      </c>
      <c r="J454" s="31">
        <f>Simulation_output!G452</f>
        <v>1</v>
      </c>
      <c r="K454" s="31">
        <f>Simulation_output!H452</f>
        <v>0</v>
      </c>
      <c r="L454">
        <v>1</v>
      </c>
      <c r="M454">
        <f t="shared" si="115"/>
        <v>0</v>
      </c>
      <c r="N454">
        <f t="shared" si="114"/>
        <v>0</v>
      </c>
      <c r="O454">
        <f t="shared" si="113"/>
        <v>0</v>
      </c>
      <c r="P454">
        <f t="shared" si="116"/>
        <v>0</v>
      </c>
      <c r="Q454">
        <f t="shared" si="112"/>
        <v>0</v>
      </c>
      <c r="R454">
        <f t="shared" si="102"/>
        <v>0</v>
      </c>
      <c r="S454">
        <f t="shared" si="103"/>
        <v>0</v>
      </c>
      <c r="T454">
        <f t="shared" si="104"/>
        <v>0</v>
      </c>
      <c r="U454">
        <f t="shared" si="105"/>
        <v>0</v>
      </c>
      <c r="V454">
        <f t="shared" si="106"/>
        <v>0</v>
      </c>
      <c r="W454">
        <f t="shared" si="107"/>
        <v>0</v>
      </c>
      <c r="X454">
        <f t="shared" si="108"/>
        <v>0</v>
      </c>
      <c r="Y454">
        <f t="shared" si="109"/>
        <v>0</v>
      </c>
      <c r="Z454">
        <f t="shared" si="110"/>
        <v>0</v>
      </c>
      <c r="AB454">
        <v>450</v>
      </c>
      <c r="AC454">
        <f t="shared" si="111"/>
        <v>8</v>
      </c>
      <c r="AD454">
        <f t="shared" ref="AD454:AD517" si="117">IF(M454="FFFFFFF",AC454,0)</f>
        <v>0</v>
      </c>
    </row>
    <row r="455" spans="4:30" x14ac:dyDescent="0.25">
      <c r="D455" s="31">
        <f>Simulation_output!A453</f>
        <v>4515000</v>
      </c>
      <c r="E455">
        <f>Sheet2!R452</f>
        <v>0</v>
      </c>
      <c r="F455">
        <f>Sheet2!S452</f>
        <v>0</v>
      </c>
      <c r="G455">
        <f>Sheet2!T452</f>
        <v>0</v>
      </c>
      <c r="H455" s="31">
        <f>Simulation_output!E453</f>
        <v>1</v>
      </c>
      <c r="I455" s="31">
        <f>Simulation_output!F453</f>
        <v>268435454</v>
      </c>
      <c r="J455" s="31">
        <f>Simulation_output!G453</f>
        <v>1</v>
      </c>
      <c r="K455" s="31">
        <f>Simulation_output!H453</f>
        <v>1</v>
      </c>
      <c r="L455">
        <v>1</v>
      </c>
      <c r="M455" t="str">
        <f t="shared" si="115"/>
        <v>FFFFFFF</v>
      </c>
      <c r="N455">
        <f t="shared" si="114"/>
        <v>9</v>
      </c>
      <c r="O455">
        <f t="shared" si="113"/>
        <v>107</v>
      </c>
      <c r="P455">
        <f t="shared" si="116"/>
        <v>321</v>
      </c>
      <c r="Q455">
        <f t="shared" si="112"/>
        <v>25</v>
      </c>
      <c r="R455">
        <f t="shared" ref="R455:R518" si="118">IF(K455&gt;0,I447,0)</f>
        <v>5</v>
      </c>
      <c r="S455">
        <f t="shared" ref="S455:S518" si="119">IF(K455&gt;0,I448,0)</f>
        <v>18</v>
      </c>
      <c r="T455">
        <f t="shared" ref="T455:T518" si="120">IF(K455&gt;0,I449,0)</f>
        <v>118</v>
      </c>
      <c r="U455">
        <f t="shared" ref="U455:U518" si="121">IF(K455&gt;0,I450,0)</f>
        <v>1018</v>
      </c>
      <c r="V455">
        <f t="shared" ref="V455:V518" si="122">IF(K455&gt;0,I451,0)</f>
        <v>10018</v>
      </c>
      <c r="W455">
        <f t="shared" ref="W455:W518" si="123">IF(K455&gt;0,I452,0)</f>
        <v>1134</v>
      </c>
      <c r="X455">
        <f t="shared" ref="X455:X518" si="124">IF(K455&gt;0,I453,0)</f>
        <v>330</v>
      </c>
      <c r="Y455">
        <f t="shared" ref="Y455:Y518" si="125">IF(K455&gt;0,I454,0)</f>
        <v>0</v>
      </c>
      <c r="Z455" t="str">
        <f t="shared" ref="Z455:Z518" si="126">IF(K455&gt;0,DEC2HEX(I455),0)</f>
        <v>FFFFFFE</v>
      </c>
      <c r="AB455">
        <v>451</v>
      </c>
      <c r="AC455">
        <f t="shared" ref="AC455:AC518" si="127">IF(M455="FFFFFFF",AC454+1,AC454)</f>
        <v>9</v>
      </c>
      <c r="AD455">
        <f t="shared" si="117"/>
        <v>9</v>
      </c>
    </row>
    <row r="456" spans="4:30" x14ac:dyDescent="0.25">
      <c r="D456" s="31">
        <f>Simulation_output!A454</f>
        <v>4525000</v>
      </c>
      <c r="E456">
        <f>Sheet2!R453</f>
        <v>0</v>
      </c>
      <c r="F456">
        <f>Sheet2!S453</f>
        <v>0</v>
      </c>
      <c r="G456">
        <f>Sheet2!T453</f>
        <v>0</v>
      </c>
      <c r="H456" s="31">
        <f>Simulation_output!E454</f>
        <v>1</v>
      </c>
      <c r="I456" s="31">
        <f>Simulation_output!F454</f>
        <v>268435455</v>
      </c>
      <c r="J456" s="31">
        <f>Simulation_output!G454</f>
        <v>1</v>
      </c>
      <c r="K456" s="31">
        <f>Simulation_output!H454</f>
        <v>0</v>
      </c>
      <c r="L456">
        <v>1</v>
      </c>
      <c r="M456">
        <f t="shared" si="115"/>
        <v>0</v>
      </c>
      <c r="N456">
        <f t="shared" si="114"/>
        <v>0</v>
      </c>
      <c r="O456">
        <f t="shared" si="113"/>
        <v>0</v>
      </c>
      <c r="P456">
        <f t="shared" si="116"/>
        <v>0</v>
      </c>
      <c r="Q456">
        <f t="shared" si="112"/>
        <v>0</v>
      </c>
      <c r="R456">
        <f t="shared" si="118"/>
        <v>0</v>
      </c>
      <c r="S456">
        <f t="shared" si="119"/>
        <v>0</v>
      </c>
      <c r="T456">
        <f t="shared" si="120"/>
        <v>0</v>
      </c>
      <c r="U456">
        <f t="shared" si="121"/>
        <v>0</v>
      </c>
      <c r="V456">
        <f t="shared" si="122"/>
        <v>0</v>
      </c>
      <c r="W456">
        <f t="shared" si="123"/>
        <v>0</v>
      </c>
      <c r="X456">
        <f t="shared" si="124"/>
        <v>0</v>
      </c>
      <c r="Y456">
        <f t="shared" si="125"/>
        <v>0</v>
      </c>
      <c r="Z456">
        <f t="shared" si="126"/>
        <v>0</v>
      </c>
      <c r="AB456">
        <v>452</v>
      </c>
      <c r="AC456">
        <f t="shared" si="127"/>
        <v>9</v>
      </c>
      <c r="AD456">
        <f t="shared" si="117"/>
        <v>0</v>
      </c>
    </row>
    <row r="457" spans="4:30" x14ac:dyDescent="0.25">
      <c r="D457" s="31">
        <f>Simulation_output!A455</f>
        <v>4535000</v>
      </c>
      <c r="E457">
        <f>Sheet2!R454</f>
        <v>0</v>
      </c>
      <c r="F457">
        <f>Sheet2!S454</f>
        <v>0</v>
      </c>
      <c r="G457">
        <f>Sheet2!T454</f>
        <v>0</v>
      </c>
      <c r="H457" s="31">
        <f>Simulation_output!E455</f>
        <v>1</v>
      </c>
      <c r="I457" s="31">
        <f>Simulation_output!F455</f>
        <v>10</v>
      </c>
      <c r="J457" s="31">
        <f>Simulation_output!G455</f>
        <v>1</v>
      </c>
      <c r="K457" s="31">
        <f>Simulation_output!H455</f>
        <v>0</v>
      </c>
      <c r="L457">
        <v>1</v>
      </c>
      <c r="M457">
        <f t="shared" si="115"/>
        <v>0</v>
      </c>
      <c r="N457">
        <f t="shared" si="114"/>
        <v>0</v>
      </c>
      <c r="O457">
        <f t="shared" si="113"/>
        <v>0</v>
      </c>
      <c r="P457">
        <f t="shared" si="116"/>
        <v>0</v>
      </c>
      <c r="Q457">
        <f t="shared" si="112"/>
        <v>0</v>
      </c>
      <c r="R457">
        <f t="shared" si="118"/>
        <v>0</v>
      </c>
      <c r="S457">
        <f t="shared" si="119"/>
        <v>0</v>
      </c>
      <c r="T457">
        <f t="shared" si="120"/>
        <v>0</v>
      </c>
      <c r="U457">
        <f t="shared" si="121"/>
        <v>0</v>
      </c>
      <c r="V457">
        <f t="shared" si="122"/>
        <v>0</v>
      </c>
      <c r="W457">
        <f t="shared" si="123"/>
        <v>0</v>
      </c>
      <c r="X457">
        <f t="shared" si="124"/>
        <v>0</v>
      </c>
      <c r="Y457">
        <f t="shared" si="125"/>
        <v>0</v>
      </c>
      <c r="Z457">
        <f t="shared" si="126"/>
        <v>0</v>
      </c>
      <c r="AB457">
        <v>453</v>
      </c>
      <c r="AC457">
        <f t="shared" si="127"/>
        <v>9</v>
      </c>
      <c r="AD457">
        <f t="shared" si="117"/>
        <v>0</v>
      </c>
    </row>
    <row r="458" spans="4:30" x14ac:dyDescent="0.25">
      <c r="D458" s="31">
        <f>Simulation_output!A456</f>
        <v>4545000</v>
      </c>
      <c r="E458">
        <f>Sheet2!R455</f>
        <v>0</v>
      </c>
      <c r="F458">
        <f>Sheet2!S455</f>
        <v>0</v>
      </c>
      <c r="G458">
        <f>Sheet2!T455</f>
        <v>0</v>
      </c>
      <c r="H458" s="31">
        <f>Simulation_output!E456</f>
        <v>1</v>
      </c>
      <c r="I458" s="31">
        <f>Simulation_output!F456</f>
        <v>119</v>
      </c>
      <c r="J458" s="31">
        <f>Simulation_output!G456</f>
        <v>1</v>
      </c>
      <c r="K458" s="31">
        <f>Simulation_output!H456</f>
        <v>0</v>
      </c>
      <c r="L458">
        <v>1</v>
      </c>
      <c r="M458">
        <f t="shared" si="115"/>
        <v>0</v>
      </c>
      <c r="N458">
        <f t="shared" si="114"/>
        <v>0</v>
      </c>
      <c r="O458">
        <f t="shared" si="113"/>
        <v>0</v>
      </c>
      <c r="P458">
        <f t="shared" si="116"/>
        <v>0</v>
      </c>
      <c r="Q458">
        <f t="shared" si="112"/>
        <v>0</v>
      </c>
      <c r="R458">
        <f t="shared" si="118"/>
        <v>0</v>
      </c>
      <c r="S458">
        <f t="shared" si="119"/>
        <v>0</v>
      </c>
      <c r="T458">
        <f t="shared" si="120"/>
        <v>0</v>
      </c>
      <c r="U458">
        <f t="shared" si="121"/>
        <v>0</v>
      </c>
      <c r="V458">
        <f t="shared" si="122"/>
        <v>0</v>
      </c>
      <c r="W458">
        <f t="shared" si="123"/>
        <v>0</v>
      </c>
      <c r="X458">
        <f t="shared" si="124"/>
        <v>0</v>
      </c>
      <c r="Y458">
        <f t="shared" si="125"/>
        <v>0</v>
      </c>
      <c r="Z458">
        <f t="shared" si="126"/>
        <v>0</v>
      </c>
      <c r="AB458">
        <v>454</v>
      </c>
      <c r="AC458">
        <f t="shared" si="127"/>
        <v>9</v>
      </c>
      <c r="AD458">
        <f t="shared" si="117"/>
        <v>0</v>
      </c>
    </row>
    <row r="459" spans="4:30" x14ac:dyDescent="0.25">
      <c r="D459" s="31">
        <f>Simulation_output!A457</f>
        <v>4555000</v>
      </c>
      <c r="E459">
        <f>Sheet2!R456</f>
        <v>0</v>
      </c>
      <c r="F459">
        <f>Sheet2!S456</f>
        <v>0</v>
      </c>
      <c r="G459">
        <f>Sheet2!T456</f>
        <v>0</v>
      </c>
      <c r="H459" s="31">
        <f>Simulation_output!E457</f>
        <v>1</v>
      </c>
      <c r="I459" s="31">
        <f>Simulation_output!F457</f>
        <v>322</v>
      </c>
      <c r="J459" s="31">
        <f>Simulation_output!G457</f>
        <v>1</v>
      </c>
      <c r="K459" s="31">
        <f>Simulation_output!H457</f>
        <v>0</v>
      </c>
      <c r="L459">
        <v>1</v>
      </c>
      <c r="M459">
        <f t="shared" si="115"/>
        <v>0</v>
      </c>
      <c r="N459">
        <f t="shared" si="114"/>
        <v>0</v>
      </c>
      <c r="O459">
        <f t="shared" si="113"/>
        <v>0</v>
      </c>
      <c r="P459">
        <f t="shared" si="116"/>
        <v>0</v>
      </c>
      <c r="Q459">
        <f t="shared" ref="Q459:Q522" si="128">IF(K459&gt;0,I450,0)</f>
        <v>0</v>
      </c>
      <c r="R459">
        <f t="shared" si="118"/>
        <v>0</v>
      </c>
      <c r="S459">
        <f t="shared" si="119"/>
        <v>0</v>
      </c>
      <c r="T459">
        <f t="shared" si="120"/>
        <v>0</v>
      </c>
      <c r="U459">
        <f t="shared" si="121"/>
        <v>0</v>
      </c>
      <c r="V459">
        <f t="shared" si="122"/>
        <v>0</v>
      </c>
      <c r="W459">
        <f t="shared" si="123"/>
        <v>0</v>
      </c>
      <c r="X459">
        <f t="shared" si="124"/>
        <v>0</v>
      </c>
      <c r="Y459">
        <f t="shared" si="125"/>
        <v>0</v>
      </c>
      <c r="Z459">
        <f t="shared" si="126"/>
        <v>0</v>
      </c>
      <c r="AB459">
        <v>455</v>
      </c>
      <c r="AC459">
        <f t="shared" si="127"/>
        <v>9</v>
      </c>
      <c r="AD459">
        <f t="shared" si="117"/>
        <v>0</v>
      </c>
    </row>
    <row r="460" spans="4:30" x14ac:dyDescent="0.25">
      <c r="D460" s="31">
        <f>Simulation_output!A458</f>
        <v>4565000</v>
      </c>
      <c r="E460">
        <f>Sheet2!R457</f>
        <v>0</v>
      </c>
      <c r="F460">
        <f>Sheet2!S457</f>
        <v>0</v>
      </c>
      <c r="G460">
        <f>Sheet2!T457</f>
        <v>0</v>
      </c>
      <c r="H460" s="31">
        <f>Simulation_output!E458</f>
        <v>1</v>
      </c>
      <c r="I460" s="31">
        <f>Simulation_output!F458</f>
        <v>25</v>
      </c>
      <c r="J460" s="31">
        <f>Simulation_output!G458</f>
        <v>1</v>
      </c>
      <c r="K460" s="31">
        <f>Simulation_output!H458</f>
        <v>0</v>
      </c>
      <c r="L460">
        <v>1</v>
      </c>
      <c r="M460">
        <f t="shared" si="115"/>
        <v>0</v>
      </c>
      <c r="N460">
        <f t="shared" si="114"/>
        <v>0</v>
      </c>
      <c r="O460">
        <f t="shared" si="113"/>
        <v>0</v>
      </c>
      <c r="P460">
        <f t="shared" si="116"/>
        <v>0</v>
      </c>
      <c r="Q460">
        <f t="shared" si="128"/>
        <v>0</v>
      </c>
      <c r="R460">
        <f t="shared" si="118"/>
        <v>0</v>
      </c>
      <c r="S460">
        <f t="shared" si="119"/>
        <v>0</v>
      </c>
      <c r="T460">
        <f t="shared" si="120"/>
        <v>0</v>
      </c>
      <c r="U460">
        <f t="shared" si="121"/>
        <v>0</v>
      </c>
      <c r="V460">
        <f t="shared" si="122"/>
        <v>0</v>
      </c>
      <c r="W460">
        <f t="shared" si="123"/>
        <v>0</v>
      </c>
      <c r="X460">
        <f t="shared" si="124"/>
        <v>0</v>
      </c>
      <c r="Y460">
        <f t="shared" si="125"/>
        <v>0</v>
      </c>
      <c r="Z460">
        <f t="shared" si="126"/>
        <v>0</v>
      </c>
      <c r="AB460">
        <v>456</v>
      </c>
      <c r="AC460">
        <f t="shared" si="127"/>
        <v>9</v>
      </c>
      <c r="AD460">
        <f t="shared" si="117"/>
        <v>0</v>
      </c>
    </row>
    <row r="461" spans="4:30" x14ac:dyDescent="0.25">
      <c r="D461" s="31">
        <f>Simulation_output!A459</f>
        <v>4575000</v>
      </c>
      <c r="E461">
        <f>Sheet2!R458</f>
        <v>0</v>
      </c>
      <c r="F461">
        <f>Sheet2!S458</f>
        <v>0</v>
      </c>
      <c r="G461">
        <f>Sheet2!T458</f>
        <v>0</v>
      </c>
      <c r="H461" s="31">
        <f>Simulation_output!E459</f>
        <v>1</v>
      </c>
      <c r="I461" s="31">
        <f>Simulation_output!F459</f>
        <v>5</v>
      </c>
      <c r="J461" s="31">
        <f>Simulation_output!G459</f>
        <v>1</v>
      </c>
      <c r="K461" s="31">
        <f>Simulation_output!H459</f>
        <v>0</v>
      </c>
      <c r="L461">
        <v>1</v>
      </c>
      <c r="M461">
        <f t="shared" si="115"/>
        <v>0</v>
      </c>
      <c r="N461">
        <f t="shared" si="114"/>
        <v>0</v>
      </c>
      <c r="O461">
        <f t="shared" ref="O461:O524" si="129">IF(K461&gt;0,I450,0)</f>
        <v>0</v>
      </c>
      <c r="P461">
        <f t="shared" si="116"/>
        <v>0</v>
      </c>
      <c r="Q461">
        <f t="shared" si="128"/>
        <v>0</v>
      </c>
      <c r="R461">
        <f t="shared" si="118"/>
        <v>0</v>
      </c>
      <c r="S461">
        <f t="shared" si="119"/>
        <v>0</v>
      </c>
      <c r="T461">
        <f t="shared" si="120"/>
        <v>0</v>
      </c>
      <c r="U461">
        <f t="shared" si="121"/>
        <v>0</v>
      </c>
      <c r="V461">
        <f t="shared" si="122"/>
        <v>0</v>
      </c>
      <c r="W461">
        <f t="shared" si="123"/>
        <v>0</v>
      </c>
      <c r="X461">
        <f t="shared" si="124"/>
        <v>0</v>
      </c>
      <c r="Y461">
        <f t="shared" si="125"/>
        <v>0</v>
      </c>
      <c r="Z461">
        <f t="shared" si="126"/>
        <v>0</v>
      </c>
      <c r="AB461">
        <v>457</v>
      </c>
      <c r="AC461">
        <f t="shared" si="127"/>
        <v>9</v>
      </c>
      <c r="AD461">
        <f t="shared" si="117"/>
        <v>0</v>
      </c>
    </row>
    <row r="462" spans="4:30" x14ac:dyDescent="0.25">
      <c r="D462" s="31">
        <f>Simulation_output!A460</f>
        <v>4585000</v>
      </c>
      <c r="E462">
        <f>Sheet2!R459</f>
        <v>0</v>
      </c>
      <c r="F462">
        <f>Sheet2!S459</f>
        <v>0</v>
      </c>
      <c r="G462">
        <f>Sheet2!T459</f>
        <v>0</v>
      </c>
      <c r="H462" s="31">
        <f>Simulation_output!E460</f>
        <v>1</v>
      </c>
      <c r="I462" s="31">
        <f>Simulation_output!F460</f>
        <v>19</v>
      </c>
      <c r="J462" s="31">
        <f>Simulation_output!G460</f>
        <v>1</v>
      </c>
      <c r="K462" s="31">
        <f>Simulation_output!H460</f>
        <v>0</v>
      </c>
      <c r="L462">
        <v>1</v>
      </c>
      <c r="M462">
        <f t="shared" si="115"/>
        <v>0</v>
      </c>
      <c r="N462">
        <f t="shared" ref="N462:N525" si="130">IF(K462&gt;0,I450,0)</f>
        <v>0</v>
      </c>
      <c r="O462">
        <f t="shared" si="129"/>
        <v>0</v>
      </c>
      <c r="P462">
        <f t="shared" si="116"/>
        <v>0</v>
      </c>
      <c r="Q462">
        <f t="shared" si="128"/>
        <v>0</v>
      </c>
      <c r="R462">
        <f t="shared" si="118"/>
        <v>0</v>
      </c>
      <c r="S462">
        <f t="shared" si="119"/>
        <v>0</v>
      </c>
      <c r="T462">
        <f t="shared" si="120"/>
        <v>0</v>
      </c>
      <c r="U462">
        <f t="shared" si="121"/>
        <v>0</v>
      </c>
      <c r="V462">
        <f t="shared" si="122"/>
        <v>0</v>
      </c>
      <c r="W462">
        <f t="shared" si="123"/>
        <v>0</v>
      </c>
      <c r="X462">
        <f t="shared" si="124"/>
        <v>0</v>
      </c>
      <c r="Y462">
        <f t="shared" si="125"/>
        <v>0</v>
      </c>
      <c r="Z462">
        <f t="shared" si="126"/>
        <v>0</v>
      </c>
      <c r="AB462">
        <v>458</v>
      </c>
      <c r="AC462">
        <f t="shared" si="127"/>
        <v>9</v>
      </c>
      <c r="AD462">
        <f t="shared" si="117"/>
        <v>0</v>
      </c>
    </row>
    <row r="463" spans="4:30" x14ac:dyDescent="0.25">
      <c r="D463" s="31">
        <f>Simulation_output!A461</f>
        <v>4595000</v>
      </c>
      <c r="E463">
        <f>Sheet2!R460</f>
        <v>0</v>
      </c>
      <c r="F463">
        <f>Sheet2!S460</f>
        <v>0</v>
      </c>
      <c r="G463">
        <f>Sheet2!T460</f>
        <v>0</v>
      </c>
      <c r="H463" s="31">
        <f>Simulation_output!E461</f>
        <v>1</v>
      </c>
      <c r="I463" s="31">
        <f>Simulation_output!F461</f>
        <v>119</v>
      </c>
      <c r="J463" s="31">
        <f>Simulation_output!G461</f>
        <v>1</v>
      </c>
      <c r="K463" s="31">
        <f>Simulation_output!H461</f>
        <v>0</v>
      </c>
      <c r="L463">
        <v>1</v>
      </c>
      <c r="M463">
        <f t="shared" ref="M463:M526" si="131">IF(K463&gt;0,DEC2HEX(I450),0)</f>
        <v>0</v>
      </c>
      <c r="N463">
        <f t="shared" si="130"/>
        <v>0</v>
      </c>
      <c r="O463">
        <f t="shared" si="129"/>
        <v>0</v>
      </c>
      <c r="P463">
        <f t="shared" ref="P463:P526" si="132">IF(K463&gt;0,I453,0)</f>
        <v>0</v>
      </c>
      <c r="Q463">
        <f t="shared" si="128"/>
        <v>0</v>
      </c>
      <c r="R463">
        <f t="shared" si="118"/>
        <v>0</v>
      </c>
      <c r="S463">
        <f t="shared" si="119"/>
        <v>0</v>
      </c>
      <c r="T463">
        <f t="shared" si="120"/>
        <v>0</v>
      </c>
      <c r="U463">
        <f t="shared" si="121"/>
        <v>0</v>
      </c>
      <c r="V463">
        <f t="shared" si="122"/>
        <v>0</v>
      </c>
      <c r="W463">
        <f t="shared" si="123"/>
        <v>0</v>
      </c>
      <c r="X463">
        <f t="shared" si="124"/>
        <v>0</v>
      </c>
      <c r="Y463">
        <f t="shared" si="125"/>
        <v>0</v>
      </c>
      <c r="Z463">
        <f t="shared" si="126"/>
        <v>0</v>
      </c>
      <c r="AB463">
        <v>459</v>
      </c>
      <c r="AC463">
        <f t="shared" si="127"/>
        <v>9</v>
      </c>
      <c r="AD463">
        <f t="shared" si="117"/>
        <v>0</v>
      </c>
    </row>
    <row r="464" spans="4:30" x14ac:dyDescent="0.25">
      <c r="D464" s="31">
        <f>Simulation_output!A462</f>
        <v>4605000</v>
      </c>
      <c r="E464">
        <f>Sheet2!R461</f>
        <v>0</v>
      </c>
      <c r="F464">
        <f>Sheet2!S461</f>
        <v>0</v>
      </c>
      <c r="G464">
        <f>Sheet2!T461</f>
        <v>0</v>
      </c>
      <c r="H464" s="31">
        <f>Simulation_output!E462</f>
        <v>1</v>
      </c>
      <c r="I464" s="31">
        <f>Simulation_output!F462</f>
        <v>1019</v>
      </c>
      <c r="J464" s="31">
        <f>Simulation_output!G462</f>
        <v>1</v>
      </c>
      <c r="K464" s="31">
        <f>Simulation_output!H462</f>
        <v>0</v>
      </c>
      <c r="L464">
        <v>1</v>
      </c>
      <c r="M464">
        <f t="shared" si="131"/>
        <v>0</v>
      </c>
      <c r="N464">
        <f t="shared" si="130"/>
        <v>0</v>
      </c>
      <c r="O464">
        <f t="shared" si="129"/>
        <v>0</v>
      </c>
      <c r="P464">
        <f t="shared" si="132"/>
        <v>0</v>
      </c>
      <c r="Q464">
        <f t="shared" si="128"/>
        <v>0</v>
      </c>
      <c r="R464">
        <f t="shared" si="118"/>
        <v>0</v>
      </c>
      <c r="S464">
        <f t="shared" si="119"/>
        <v>0</v>
      </c>
      <c r="T464">
        <f t="shared" si="120"/>
        <v>0</v>
      </c>
      <c r="U464">
        <f t="shared" si="121"/>
        <v>0</v>
      </c>
      <c r="V464">
        <f t="shared" si="122"/>
        <v>0</v>
      </c>
      <c r="W464">
        <f t="shared" si="123"/>
        <v>0</v>
      </c>
      <c r="X464">
        <f t="shared" si="124"/>
        <v>0</v>
      </c>
      <c r="Y464">
        <f t="shared" si="125"/>
        <v>0</v>
      </c>
      <c r="Z464">
        <f t="shared" si="126"/>
        <v>0</v>
      </c>
      <c r="AB464">
        <v>460</v>
      </c>
      <c r="AC464">
        <f t="shared" si="127"/>
        <v>9</v>
      </c>
      <c r="AD464">
        <f t="shared" si="117"/>
        <v>0</v>
      </c>
    </row>
    <row r="465" spans="4:30" x14ac:dyDescent="0.25">
      <c r="D465" s="31">
        <f>Simulation_output!A463</f>
        <v>4615000</v>
      </c>
      <c r="E465">
        <f>Sheet2!R462</f>
        <v>0</v>
      </c>
      <c r="F465">
        <f>Sheet2!S462</f>
        <v>0</v>
      </c>
      <c r="G465">
        <f>Sheet2!T462</f>
        <v>0</v>
      </c>
      <c r="H465" s="31">
        <f>Simulation_output!E463</f>
        <v>1</v>
      </c>
      <c r="I465" s="31">
        <f>Simulation_output!F463</f>
        <v>10019</v>
      </c>
      <c r="J465" s="31">
        <f>Simulation_output!G463</f>
        <v>1</v>
      </c>
      <c r="K465" s="31">
        <f>Simulation_output!H463</f>
        <v>0</v>
      </c>
      <c r="L465">
        <v>1</v>
      </c>
      <c r="M465">
        <f t="shared" si="131"/>
        <v>0</v>
      </c>
      <c r="N465">
        <f t="shared" si="130"/>
        <v>0</v>
      </c>
      <c r="O465">
        <f t="shared" si="129"/>
        <v>0</v>
      </c>
      <c r="P465">
        <f t="shared" si="132"/>
        <v>0</v>
      </c>
      <c r="Q465">
        <f t="shared" si="128"/>
        <v>0</v>
      </c>
      <c r="R465">
        <f t="shared" si="118"/>
        <v>0</v>
      </c>
      <c r="S465">
        <f t="shared" si="119"/>
        <v>0</v>
      </c>
      <c r="T465">
        <f t="shared" si="120"/>
        <v>0</v>
      </c>
      <c r="U465">
        <f t="shared" si="121"/>
        <v>0</v>
      </c>
      <c r="V465">
        <f t="shared" si="122"/>
        <v>0</v>
      </c>
      <c r="W465">
        <f t="shared" si="123"/>
        <v>0</v>
      </c>
      <c r="X465">
        <f t="shared" si="124"/>
        <v>0</v>
      </c>
      <c r="Y465">
        <f t="shared" si="125"/>
        <v>0</v>
      </c>
      <c r="Z465">
        <f t="shared" si="126"/>
        <v>0</v>
      </c>
      <c r="AB465">
        <v>461</v>
      </c>
      <c r="AC465">
        <f t="shared" si="127"/>
        <v>9</v>
      </c>
      <c r="AD465">
        <f t="shared" si="117"/>
        <v>0</v>
      </c>
    </row>
    <row r="466" spans="4:30" x14ac:dyDescent="0.25">
      <c r="D466" s="31">
        <f>Simulation_output!A464</f>
        <v>4625000</v>
      </c>
      <c r="E466">
        <f>Sheet2!R463</f>
        <v>0</v>
      </c>
      <c r="F466">
        <f>Sheet2!S463</f>
        <v>0</v>
      </c>
      <c r="G466">
        <f>Sheet2!T463</f>
        <v>0</v>
      </c>
      <c r="H466" s="31">
        <f>Simulation_output!E464</f>
        <v>1</v>
      </c>
      <c r="I466" s="31">
        <f>Simulation_output!F464</f>
        <v>1136</v>
      </c>
      <c r="J466" s="31">
        <f>Simulation_output!G464</f>
        <v>1</v>
      </c>
      <c r="K466" s="31">
        <f>Simulation_output!H464</f>
        <v>0</v>
      </c>
      <c r="L466">
        <v>1</v>
      </c>
      <c r="M466">
        <f t="shared" si="131"/>
        <v>0</v>
      </c>
      <c r="N466">
        <f t="shared" si="130"/>
        <v>0</v>
      </c>
      <c r="O466">
        <f t="shared" si="129"/>
        <v>0</v>
      </c>
      <c r="P466">
        <f t="shared" si="132"/>
        <v>0</v>
      </c>
      <c r="Q466">
        <f t="shared" si="128"/>
        <v>0</v>
      </c>
      <c r="R466">
        <f t="shared" si="118"/>
        <v>0</v>
      </c>
      <c r="S466">
        <f t="shared" si="119"/>
        <v>0</v>
      </c>
      <c r="T466">
        <f t="shared" si="120"/>
        <v>0</v>
      </c>
      <c r="U466">
        <f t="shared" si="121"/>
        <v>0</v>
      </c>
      <c r="V466">
        <f t="shared" si="122"/>
        <v>0</v>
      </c>
      <c r="W466">
        <f t="shared" si="123"/>
        <v>0</v>
      </c>
      <c r="X466">
        <f t="shared" si="124"/>
        <v>0</v>
      </c>
      <c r="Y466">
        <f t="shared" si="125"/>
        <v>0</v>
      </c>
      <c r="Z466">
        <f t="shared" si="126"/>
        <v>0</v>
      </c>
      <c r="AB466">
        <v>462</v>
      </c>
      <c r="AC466">
        <f t="shared" si="127"/>
        <v>9</v>
      </c>
      <c r="AD466">
        <f t="shared" si="117"/>
        <v>0</v>
      </c>
    </row>
    <row r="467" spans="4:30" x14ac:dyDescent="0.25">
      <c r="D467" s="31">
        <f>Simulation_output!A465</f>
        <v>4635000</v>
      </c>
      <c r="E467">
        <f>Sheet2!R464</f>
        <v>0</v>
      </c>
      <c r="F467">
        <f>Sheet2!S464</f>
        <v>0</v>
      </c>
      <c r="G467">
        <f>Sheet2!T464</f>
        <v>0</v>
      </c>
      <c r="H467" s="31">
        <f>Simulation_output!E465</f>
        <v>1</v>
      </c>
      <c r="I467" s="31">
        <f>Simulation_output!F465</f>
        <v>331</v>
      </c>
      <c r="J467" s="31">
        <f>Simulation_output!G465</f>
        <v>1</v>
      </c>
      <c r="K467" s="31">
        <f>Simulation_output!H465</f>
        <v>0</v>
      </c>
      <c r="L467">
        <v>1</v>
      </c>
      <c r="M467">
        <f t="shared" si="131"/>
        <v>0</v>
      </c>
      <c r="N467">
        <f t="shared" si="130"/>
        <v>0</v>
      </c>
      <c r="O467">
        <f t="shared" si="129"/>
        <v>0</v>
      </c>
      <c r="P467">
        <f t="shared" si="132"/>
        <v>0</v>
      </c>
      <c r="Q467">
        <f t="shared" si="128"/>
        <v>0</v>
      </c>
      <c r="R467">
        <f t="shared" si="118"/>
        <v>0</v>
      </c>
      <c r="S467">
        <f t="shared" si="119"/>
        <v>0</v>
      </c>
      <c r="T467">
        <f t="shared" si="120"/>
        <v>0</v>
      </c>
      <c r="U467">
        <f t="shared" si="121"/>
        <v>0</v>
      </c>
      <c r="V467">
        <f t="shared" si="122"/>
        <v>0</v>
      </c>
      <c r="W467">
        <f t="shared" si="123"/>
        <v>0</v>
      </c>
      <c r="X467">
        <f t="shared" si="124"/>
        <v>0</v>
      </c>
      <c r="Y467">
        <f t="shared" si="125"/>
        <v>0</v>
      </c>
      <c r="Z467">
        <f t="shared" si="126"/>
        <v>0</v>
      </c>
      <c r="AB467">
        <v>463</v>
      </c>
      <c r="AC467">
        <f t="shared" si="127"/>
        <v>9</v>
      </c>
      <c r="AD467">
        <f t="shared" si="117"/>
        <v>0</v>
      </c>
    </row>
    <row r="468" spans="4:30" x14ac:dyDescent="0.25">
      <c r="D468" s="31">
        <f>Simulation_output!A466</f>
        <v>4645000</v>
      </c>
      <c r="E468">
        <f>Sheet2!R465</f>
        <v>0</v>
      </c>
      <c r="F468">
        <f>Sheet2!S465</f>
        <v>0</v>
      </c>
      <c r="G468">
        <f>Sheet2!T465</f>
        <v>0</v>
      </c>
      <c r="H468" s="31">
        <f>Simulation_output!E466</f>
        <v>1</v>
      </c>
      <c r="I468" s="31">
        <f>Simulation_output!F466</f>
        <v>0</v>
      </c>
      <c r="J468" s="31">
        <f>Simulation_output!G466</f>
        <v>1</v>
      </c>
      <c r="K468" s="31">
        <f>Simulation_output!H466</f>
        <v>0</v>
      </c>
      <c r="L468">
        <v>1</v>
      </c>
      <c r="M468">
        <f t="shared" si="131"/>
        <v>0</v>
      </c>
      <c r="N468">
        <f t="shared" si="130"/>
        <v>0</v>
      </c>
      <c r="O468">
        <f t="shared" si="129"/>
        <v>0</v>
      </c>
      <c r="P468">
        <f t="shared" si="132"/>
        <v>0</v>
      </c>
      <c r="Q468">
        <f t="shared" si="128"/>
        <v>0</v>
      </c>
      <c r="R468">
        <f t="shared" si="118"/>
        <v>0</v>
      </c>
      <c r="S468">
        <f t="shared" si="119"/>
        <v>0</v>
      </c>
      <c r="T468">
        <f t="shared" si="120"/>
        <v>0</v>
      </c>
      <c r="U468">
        <f t="shared" si="121"/>
        <v>0</v>
      </c>
      <c r="V468">
        <f t="shared" si="122"/>
        <v>0</v>
      </c>
      <c r="W468">
        <f t="shared" si="123"/>
        <v>0</v>
      </c>
      <c r="X468">
        <f t="shared" si="124"/>
        <v>0</v>
      </c>
      <c r="Y468">
        <f t="shared" si="125"/>
        <v>0</v>
      </c>
      <c r="Z468">
        <f t="shared" si="126"/>
        <v>0</v>
      </c>
      <c r="AB468">
        <v>464</v>
      </c>
      <c r="AC468">
        <f t="shared" si="127"/>
        <v>9</v>
      </c>
      <c r="AD468">
        <f t="shared" si="117"/>
        <v>0</v>
      </c>
    </row>
    <row r="469" spans="4:30" x14ac:dyDescent="0.25">
      <c r="D469" s="31">
        <f>Simulation_output!A467</f>
        <v>4655000</v>
      </c>
      <c r="E469">
        <f>Sheet2!R466</f>
        <v>0</v>
      </c>
      <c r="F469">
        <f>Sheet2!S466</f>
        <v>0</v>
      </c>
      <c r="G469">
        <f>Sheet2!T466</f>
        <v>0</v>
      </c>
      <c r="H469" s="31">
        <f>Simulation_output!E467</f>
        <v>1</v>
      </c>
      <c r="I469" s="31">
        <f>Simulation_output!F467</f>
        <v>268435454</v>
      </c>
      <c r="J469" s="31">
        <f>Simulation_output!G467</f>
        <v>1</v>
      </c>
      <c r="K469" s="31">
        <f>Simulation_output!H467</f>
        <v>1</v>
      </c>
      <c r="L469">
        <v>1</v>
      </c>
      <c r="M469" t="str">
        <f t="shared" si="131"/>
        <v>FFFFFFF</v>
      </c>
      <c r="N469">
        <f t="shared" si="130"/>
        <v>10</v>
      </c>
      <c r="O469">
        <f t="shared" si="129"/>
        <v>119</v>
      </c>
      <c r="P469">
        <f t="shared" si="132"/>
        <v>322</v>
      </c>
      <c r="Q469">
        <f t="shared" si="128"/>
        <v>25</v>
      </c>
      <c r="R469">
        <f t="shared" si="118"/>
        <v>5</v>
      </c>
      <c r="S469">
        <f t="shared" si="119"/>
        <v>19</v>
      </c>
      <c r="T469">
        <f t="shared" si="120"/>
        <v>119</v>
      </c>
      <c r="U469">
        <f t="shared" si="121"/>
        <v>1019</v>
      </c>
      <c r="V469">
        <f t="shared" si="122"/>
        <v>10019</v>
      </c>
      <c r="W469">
        <f t="shared" si="123"/>
        <v>1136</v>
      </c>
      <c r="X469">
        <f t="shared" si="124"/>
        <v>331</v>
      </c>
      <c r="Y469">
        <f t="shared" si="125"/>
        <v>0</v>
      </c>
      <c r="Z469" t="str">
        <f t="shared" si="126"/>
        <v>FFFFFFE</v>
      </c>
      <c r="AB469">
        <v>465</v>
      </c>
      <c r="AC469">
        <f t="shared" si="127"/>
        <v>10</v>
      </c>
      <c r="AD469">
        <f t="shared" si="117"/>
        <v>10</v>
      </c>
    </row>
    <row r="470" spans="4:30" x14ac:dyDescent="0.25">
      <c r="D470" s="31">
        <f>Simulation_output!A468</f>
        <v>4665000</v>
      </c>
      <c r="E470">
        <f>Sheet2!R467</f>
        <v>0</v>
      </c>
      <c r="F470">
        <f>Sheet2!S467</f>
        <v>0</v>
      </c>
      <c r="G470">
        <f>Sheet2!T467</f>
        <v>0</v>
      </c>
      <c r="H470" s="31">
        <f>Simulation_output!E468</f>
        <v>1</v>
      </c>
      <c r="I470" s="31">
        <f>Simulation_output!F468</f>
        <v>268435455</v>
      </c>
      <c r="J470" s="31">
        <f>Simulation_output!G468</f>
        <v>1</v>
      </c>
      <c r="K470" s="31">
        <f>Simulation_output!H468</f>
        <v>0</v>
      </c>
      <c r="L470">
        <v>1</v>
      </c>
      <c r="M470">
        <f t="shared" si="131"/>
        <v>0</v>
      </c>
      <c r="N470">
        <f t="shared" si="130"/>
        <v>0</v>
      </c>
      <c r="O470">
        <f t="shared" si="129"/>
        <v>0</v>
      </c>
      <c r="P470">
        <f t="shared" si="132"/>
        <v>0</v>
      </c>
      <c r="Q470">
        <f t="shared" si="128"/>
        <v>0</v>
      </c>
      <c r="R470">
        <f t="shared" si="118"/>
        <v>0</v>
      </c>
      <c r="S470">
        <f t="shared" si="119"/>
        <v>0</v>
      </c>
      <c r="T470">
        <f t="shared" si="120"/>
        <v>0</v>
      </c>
      <c r="U470">
        <f t="shared" si="121"/>
        <v>0</v>
      </c>
      <c r="V470">
        <f t="shared" si="122"/>
        <v>0</v>
      </c>
      <c r="W470">
        <f t="shared" si="123"/>
        <v>0</v>
      </c>
      <c r="X470">
        <f t="shared" si="124"/>
        <v>0</v>
      </c>
      <c r="Y470">
        <f t="shared" si="125"/>
        <v>0</v>
      </c>
      <c r="Z470">
        <f t="shared" si="126"/>
        <v>0</v>
      </c>
      <c r="AB470">
        <v>466</v>
      </c>
      <c r="AC470">
        <f t="shared" si="127"/>
        <v>10</v>
      </c>
      <c r="AD470">
        <f t="shared" si="117"/>
        <v>0</v>
      </c>
    </row>
    <row r="471" spans="4:30" x14ac:dyDescent="0.25">
      <c r="D471" s="31">
        <f>Simulation_output!A469</f>
        <v>4675000</v>
      </c>
      <c r="E471">
        <f>Sheet2!R468</f>
        <v>0</v>
      </c>
      <c r="F471">
        <f>Sheet2!S468</f>
        <v>0</v>
      </c>
      <c r="G471">
        <f>Sheet2!T468</f>
        <v>0</v>
      </c>
      <c r="H471" s="31">
        <f>Simulation_output!E469</f>
        <v>1</v>
      </c>
      <c r="I471" s="31">
        <f>Simulation_output!F469</f>
        <v>11</v>
      </c>
      <c r="J471" s="31">
        <f>Simulation_output!G469</f>
        <v>1</v>
      </c>
      <c r="K471" s="31">
        <f>Simulation_output!H469</f>
        <v>0</v>
      </c>
      <c r="L471">
        <v>1</v>
      </c>
      <c r="M471">
        <f t="shared" si="131"/>
        <v>0</v>
      </c>
      <c r="N471">
        <f t="shared" si="130"/>
        <v>0</v>
      </c>
      <c r="O471">
        <f t="shared" si="129"/>
        <v>0</v>
      </c>
      <c r="P471">
        <f t="shared" si="132"/>
        <v>0</v>
      </c>
      <c r="Q471">
        <f t="shared" si="128"/>
        <v>0</v>
      </c>
      <c r="R471">
        <f t="shared" si="118"/>
        <v>0</v>
      </c>
      <c r="S471">
        <f t="shared" si="119"/>
        <v>0</v>
      </c>
      <c r="T471">
        <f t="shared" si="120"/>
        <v>0</v>
      </c>
      <c r="U471">
        <f t="shared" si="121"/>
        <v>0</v>
      </c>
      <c r="V471">
        <f t="shared" si="122"/>
        <v>0</v>
      </c>
      <c r="W471">
        <f t="shared" si="123"/>
        <v>0</v>
      </c>
      <c r="X471">
        <f t="shared" si="124"/>
        <v>0</v>
      </c>
      <c r="Y471">
        <f t="shared" si="125"/>
        <v>0</v>
      </c>
      <c r="Z471">
        <f t="shared" si="126"/>
        <v>0</v>
      </c>
      <c r="AB471">
        <v>467</v>
      </c>
      <c r="AC471">
        <f t="shared" si="127"/>
        <v>10</v>
      </c>
      <c r="AD471">
        <f t="shared" si="117"/>
        <v>0</v>
      </c>
    </row>
    <row r="472" spans="4:30" x14ac:dyDescent="0.25">
      <c r="D472" s="31">
        <f>Simulation_output!A470</f>
        <v>4685000</v>
      </c>
      <c r="E472">
        <f>Sheet2!R469</f>
        <v>0</v>
      </c>
      <c r="F472">
        <f>Sheet2!S469</f>
        <v>0</v>
      </c>
      <c r="G472">
        <f>Sheet2!T469</f>
        <v>0</v>
      </c>
      <c r="H472" s="31">
        <f>Simulation_output!E470</f>
        <v>1</v>
      </c>
      <c r="I472" s="31">
        <f>Simulation_output!F470</f>
        <v>131</v>
      </c>
      <c r="J472" s="31">
        <f>Simulation_output!G470</f>
        <v>1</v>
      </c>
      <c r="K472" s="31">
        <f>Simulation_output!H470</f>
        <v>0</v>
      </c>
      <c r="L472">
        <v>1</v>
      </c>
      <c r="M472">
        <f t="shared" si="131"/>
        <v>0</v>
      </c>
      <c r="N472">
        <f t="shared" si="130"/>
        <v>0</v>
      </c>
      <c r="O472">
        <f t="shared" si="129"/>
        <v>0</v>
      </c>
      <c r="P472">
        <f t="shared" si="132"/>
        <v>0</v>
      </c>
      <c r="Q472">
        <f t="shared" si="128"/>
        <v>0</v>
      </c>
      <c r="R472">
        <f t="shared" si="118"/>
        <v>0</v>
      </c>
      <c r="S472">
        <f t="shared" si="119"/>
        <v>0</v>
      </c>
      <c r="T472">
        <f t="shared" si="120"/>
        <v>0</v>
      </c>
      <c r="U472">
        <f t="shared" si="121"/>
        <v>0</v>
      </c>
      <c r="V472">
        <f t="shared" si="122"/>
        <v>0</v>
      </c>
      <c r="W472">
        <f t="shared" si="123"/>
        <v>0</v>
      </c>
      <c r="X472">
        <f t="shared" si="124"/>
        <v>0</v>
      </c>
      <c r="Y472">
        <f t="shared" si="125"/>
        <v>0</v>
      </c>
      <c r="Z472">
        <f t="shared" si="126"/>
        <v>0</v>
      </c>
      <c r="AB472">
        <v>468</v>
      </c>
      <c r="AC472">
        <f t="shared" si="127"/>
        <v>10</v>
      </c>
      <c r="AD472">
        <f t="shared" si="117"/>
        <v>0</v>
      </c>
    </row>
    <row r="473" spans="4:30" x14ac:dyDescent="0.25">
      <c r="D473" s="31">
        <f>Simulation_output!A471</f>
        <v>4695000</v>
      </c>
      <c r="E473">
        <f>Sheet2!R470</f>
        <v>0</v>
      </c>
      <c r="F473">
        <f>Sheet2!S470</f>
        <v>0</v>
      </c>
      <c r="G473">
        <f>Sheet2!T470</f>
        <v>0</v>
      </c>
      <c r="H473" s="31">
        <f>Simulation_output!E471</f>
        <v>1</v>
      </c>
      <c r="I473" s="31">
        <f>Simulation_output!F471</f>
        <v>323</v>
      </c>
      <c r="J473" s="31">
        <f>Simulation_output!G471</f>
        <v>1</v>
      </c>
      <c r="K473" s="31">
        <f>Simulation_output!H471</f>
        <v>0</v>
      </c>
      <c r="L473">
        <v>1</v>
      </c>
      <c r="M473">
        <f t="shared" si="131"/>
        <v>0</v>
      </c>
      <c r="N473">
        <f t="shared" si="130"/>
        <v>0</v>
      </c>
      <c r="O473">
        <f t="shared" si="129"/>
        <v>0</v>
      </c>
      <c r="P473">
        <f t="shared" si="132"/>
        <v>0</v>
      </c>
      <c r="Q473">
        <f t="shared" si="128"/>
        <v>0</v>
      </c>
      <c r="R473">
        <f t="shared" si="118"/>
        <v>0</v>
      </c>
      <c r="S473">
        <f t="shared" si="119"/>
        <v>0</v>
      </c>
      <c r="T473">
        <f t="shared" si="120"/>
        <v>0</v>
      </c>
      <c r="U473">
        <f t="shared" si="121"/>
        <v>0</v>
      </c>
      <c r="V473">
        <f t="shared" si="122"/>
        <v>0</v>
      </c>
      <c r="W473">
        <f t="shared" si="123"/>
        <v>0</v>
      </c>
      <c r="X473">
        <f t="shared" si="124"/>
        <v>0</v>
      </c>
      <c r="Y473">
        <f t="shared" si="125"/>
        <v>0</v>
      </c>
      <c r="Z473">
        <f t="shared" si="126"/>
        <v>0</v>
      </c>
      <c r="AB473">
        <v>469</v>
      </c>
      <c r="AC473">
        <f t="shared" si="127"/>
        <v>10</v>
      </c>
      <c r="AD473">
        <f t="shared" si="117"/>
        <v>0</v>
      </c>
    </row>
    <row r="474" spans="4:30" x14ac:dyDescent="0.25">
      <c r="D474" s="31">
        <f>Simulation_output!A472</f>
        <v>4705000</v>
      </c>
      <c r="E474">
        <f>Sheet2!R471</f>
        <v>0</v>
      </c>
      <c r="F474">
        <f>Sheet2!S471</f>
        <v>0</v>
      </c>
      <c r="G474">
        <f>Sheet2!T471</f>
        <v>0</v>
      </c>
      <c r="H474" s="31">
        <f>Simulation_output!E472</f>
        <v>1</v>
      </c>
      <c r="I474" s="31">
        <f>Simulation_output!F472</f>
        <v>25</v>
      </c>
      <c r="J474" s="31">
        <f>Simulation_output!G472</f>
        <v>1</v>
      </c>
      <c r="K474" s="31">
        <f>Simulation_output!H472</f>
        <v>0</v>
      </c>
      <c r="L474">
        <v>1</v>
      </c>
      <c r="M474">
        <f t="shared" si="131"/>
        <v>0</v>
      </c>
      <c r="N474">
        <f t="shared" si="130"/>
        <v>0</v>
      </c>
      <c r="O474">
        <f t="shared" si="129"/>
        <v>0</v>
      </c>
      <c r="P474">
        <f t="shared" si="132"/>
        <v>0</v>
      </c>
      <c r="Q474">
        <f t="shared" si="128"/>
        <v>0</v>
      </c>
      <c r="R474">
        <f t="shared" si="118"/>
        <v>0</v>
      </c>
      <c r="S474">
        <f t="shared" si="119"/>
        <v>0</v>
      </c>
      <c r="T474">
        <f t="shared" si="120"/>
        <v>0</v>
      </c>
      <c r="U474">
        <f t="shared" si="121"/>
        <v>0</v>
      </c>
      <c r="V474">
        <f t="shared" si="122"/>
        <v>0</v>
      </c>
      <c r="W474">
        <f t="shared" si="123"/>
        <v>0</v>
      </c>
      <c r="X474">
        <f t="shared" si="124"/>
        <v>0</v>
      </c>
      <c r="Y474">
        <f t="shared" si="125"/>
        <v>0</v>
      </c>
      <c r="Z474">
        <f t="shared" si="126"/>
        <v>0</v>
      </c>
      <c r="AB474">
        <v>470</v>
      </c>
      <c r="AC474">
        <f t="shared" si="127"/>
        <v>10</v>
      </c>
      <c r="AD474">
        <f t="shared" si="117"/>
        <v>0</v>
      </c>
    </row>
    <row r="475" spans="4:30" x14ac:dyDescent="0.25">
      <c r="D475" s="31">
        <f>Simulation_output!A473</f>
        <v>4715000</v>
      </c>
      <c r="E475">
        <f>Sheet2!R472</f>
        <v>0</v>
      </c>
      <c r="F475">
        <f>Sheet2!S472</f>
        <v>0</v>
      </c>
      <c r="G475">
        <f>Sheet2!T472</f>
        <v>0</v>
      </c>
      <c r="H475" s="31">
        <f>Simulation_output!E473</f>
        <v>1</v>
      </c>
      <c r="I475" s="31">
        <f>Simulation_output!F473</f>
        <v>5</v>
      </c>
      <c r="J475" s="31">
        <f>Simulation_output!G473</f>
        <v>1</v>
      </c>
      <c r="K475" s="31">
        <f>Simulation_output!H473</f>
        <v>0</v>
      </c>
      <c r="L475">
        <v>1</v>
      </c>
      <c r="M475">
        <f t="shared" si="131"/>
        <v>0</v>
      </c>
      <c r="N475">
        <f t="shared" si="130"/>
        <v>0</v>
      </c>
      <c r="O475">
        <f t="shared" si="129"/>
        <v>0</v>
      </c>
      <c r="P475">
        <f t="shared" si="132"/>
        <v>0</v>
      </c>
      <c r="Q475">
        <f t="shared" si="128"/>
        <v>0</v>
      </c>
      <c r="R475">
        <f t="shared" si="118"/>
        <v>0</v>
      </c>
      <c r="S475">
        <f t="shared" si="119"/>
        <v>0</v>
      </c>
      <c r="T475">
        <f t="shared" si="120"/>
        <v>0</v>
      </c>
      <c r="U475">
        <f t="shared" si="121"/>
        <v>0</v>
      </c>
      <c r="V475">
        <f t="shared" si="122"/>
        <v>0</v>
      </c>
      <c r="W475">
        <f t="shared" si="123"/>
        <v>0</v>
      </c>
      <c r="X475">
        <f t="shared" si="124"/>
        <v>0</v>
      </c>
      <c r="Y475">
        <f t="shared" si="125"/>
        <v>0</v>
      </c>
      <c r="Z475">
        <f t="shared" si="126"/>
        <v>0</v>
      </c>
      <c r="AB475">
        <v>471</v>
      </c>
      <c r="AC475">
        <f t="shared" si="127"/>
        <v>10</v>
      </c>
      <c r="AD475">
        <f t="shared" si="117"/>
        <v>0</v>
      </c>
    </row>
    <row r="476" spans="4:30" x14ac:dyDescent="0.25">
      <c r="D476" s="31">
        <f>Simulation_output!A474</f>
        <v>4725000</v>
      </c>
      <c r="E476">
        <f>Sheet2!R473</f>
        <v>0</v>
      </c>
      <c r="F476">
        <f>Sheet2!S473</f>
        <v>0</v>
      </c>
      <c r="G476">
        <f>Sheet2!T473</f>
        <v>0</v>
      </c>
      <c r="H476" s="31">
        <f>Simulation_output!E474</f>
        <v>1</v>
      </c>
      <c r="I476" s="31">
        <f>Simulation_output!F474</f>
        <v>20</v>
      </c>
      <c r="J476" s="31">
        <f>Simulation_output!G474</f>
        <v>1</v>
      </c>
      <c r="K476" s="31">
        <f>Simulation_output!H474</f>
        <v>0</v>
      </c>
      <c r="L476">
        <v>1</v>
      </c>
      <c r="M476">
        <f t="shared" si="131"/>
        <v>0</v>
      </c>
      <c r="N476">
        <f t="shared" si="130"/>
        <v>0</v>
      </c>
      <c r="O476">
        <f t="shared" si="129"/>
        <v>0</v>
      </c>
      <c r="P476">
        <f t="shared" si="132"/>
        <v>0</v>
      </c>
      <c r="Q476">
        <f t="shared" si="128"/>
        <v>0</v>
      </c>
      <c r="R476">
        <f t="shared" si="118"/>
        <v>0</v>
      </c>
      <c r="S476">
        <f t="shared" si="119"/>
        <v>0</v>
      </c>
      <c r="T476">
        <f t="shared" si="120"/>
        <v>0</v>
      </c>
      <c r="U476">
        <f t="shared" si="121"/>
        <v>0</v>
      </c>
      <c r="V476">
        <f t="shared" si="122"/>
        <v>0</v>
      </c>
      <c r="W476">
        <f t="shared" si="123"/>
        <v>0</v>
      </c>
      <c r="X476">
        <f t="shared" si="124"/>
        <v>0</v>
      </c>
      <c r="Y476">
        <f t="shared" si="125"/>
        <v>0</v>
      </c>
      <c r="Z476">
        <f t="shared" si="126"/>
        <v>0</v>
      </c>
      <c r="AB476">
        <v>472</v>
      </c>
      <c r="AC476">
        <f t="shared" si="127"/>
        <v>10</v>
      </c>
      <c r="AD476">
        <f t="shared" si="117"/>
        <v>0</v>
      </c>
    </row>
    <row r="477" spans="4:30" x14ac:dyDescent="0.25">
      <c r="D477" s="31">
        <f>Simulation_output!A475</f>
        <v>4735000</v>
      </c>
      <c r="E477">
        <f>Sheet2!R474</f>
        <v>0</v>
      </c>
      <c r="F477">
        <f>Sheet2!S474</f>
        <v>0</v>
      </c>
      <c r="G477">
        <f>Sheet2!T474</f>
        <v>0</v>
      </c>
      <c r="H477" s="31">
        <f>Simulation_output!E475</f>
        <v>1</v>
      </c>
      <c r="I477" s="31">
        <f>Simulation_output!F475</f>
        <v>120</v>
      </c>
      <c r="J477" s="31">
        <f>Simulation_output!G475</f>
        <v>1</v>
      </c>
      <c r="K477" s="31">
        <f>Simulation_output!H475</f>
        <v>0</v>
      </c>
      <c r="L477">
        <v>1</v>
      </c>
      <c r="M477">
        <f t="shared" si="131"/>
        <v>0</v>
      </c>
      <c r="N477">
        <f t="shared" si="130"/>
        <v>0</v>
      </c>
      <c r="O477">
        <f t="shared" si="129"/>
        <v>0</v>
      </c>
      <c r="P477">
        <f t="shared" si="132"/>
        <v>0</v>
      </c>
      <c r="Q477">
        <f t="shared" si="128"/>
        <v>0</v>
      </c>
      <c r="R477">
        <f t="shared" si="118"/>
        <v>0</v>
      </c>
      <c r="S477">
        <f t="shared" si="119"/>
        <v>0</v>
      </c>
      <c r="T477">
        <f t="shared" si="120"/>
        <v>0</v>
      </c>
      <c r="U477">
        <f t="shared" si="121"/>
        <v>0</v>
      </c>
      <c r="V477">
        <f t="shared" si="122"/>
        <v>0</v>
      </c>
      <c r="W477">
        <f t="shared" si="123"/>
        <v>0</v>
      </c>
      <c r="X477">
        <f t="shared" si="124"/>
        <v>0</v>
      </c>
      <c r="Y477">
        <f t="shared" si="125"/>
        <v>0</v>
      </c>
      <c r="Z477">
        <f t="shared" si="126"/>
        <v>0</v>
      </c>
      <c r="AB477">
        <v>473</v>
      </c>
      <c r="AC477">
        <f t="shared" si="127"/>
        <v>10</v>
      </c>
      <c r="AD477">
        <f t="shared" si="117"/>
        <v>0</v>
      </c>
    </row>
    <row r="478" spans="4:30" x14ac:dyDescent="0.25">
      <c r="D478" s="31">
        <f>Simulation_output!A476</f>
        <v>4745000</v>
      </c>
      <c r="E478">
        <f>Sheet2!R475</f>
        <v>0</v>
      </c>
      <c r="F478">
        <f>Sheet2!S475</f>
        <v>0</v>
      </c>
      <c r="G478">
        <f>Sheet2!T475</f>
        <v>0</v>
      </c>
      <c r="H478" s="31">
        <f>Simulation_output!E476</f>
        <v>1</v>
      </c>
      <c r="I478" s="31">
        <f>Simulation_output!F476</f>
        <v>1020</v>
      </c>
      <c r="J478" s="31">
        <f>Simulation_output!G476</f>
        <v>1</v>
      </c>
      <c r="K478" s="31">
        <f>Simulation_output!H476</f>
        <v>0</v>
      </c>
      <c r="L478">
        <v>1</v>
      </c>
      <c r="M478">
        <f t="shared" si="131"/>
        <v>0</v>
      </c>
      <c r="N478">
        <f t="shared" si="130"/>
        <v>0</v>
      </c>
      <c r="O478">
        <f t="shared" si="129"/>
        <v>0</v>
      </c>
      <c r="P478">
        <f t="shared" si="132"/>
        <v>0</v>
      </c>
      <c r="Q478">
        <f t="shared" si="128"/>
        <v>0</v>
      </c>
      <c r="R478">
        <f t="shared" si="118"/>
        <v>0</v>
      </c>
      <c r="S478">
        <f t="shared" si="119"/>
        <v>0</v>
      </c>
      <c r="T478">
        <f t="shared" si="120"/>
        <v>0</v>
      </c>
      <c r="U478">
        <f t="shared" si="121"/>
        <v>0</v>
      </c>
      <c r="V478">
        <f t="shared" si="122"/>
        <v>0</v>
      </c>
      <c r="W478">
        <f t="shared" si="123"/>
        <v>0</v>
      </c>
      <c r="X478">
        <f t="shared" si="124"/>
        <v>0</v>
      </c>
      <c r="Y478">
        <f t="shared" si="125"/>
        <v>0</v>
      </c>
      <c r="Z478">
        <f t="shared" si="126"/>
        <v>0</v>
      </c>
      <c r="AB478">
        <v>474</v>
      </c>
      <c r="AC478">
        <f t="shared" si="127"/>
        <v>10</v>
      </c>
      <c r="AD478">
        <f t="shared" si="117"/>
        <v>0</v>
      </c>
    </row>
    <row r="479" spans="4:30" x14ac:dyDescent="0.25">
      <c r="D479" s="31">
        <f>Simulation_output!A477</f>
        <v>4755000</v>
      </c>
      <c r="E479">
        <f>Sheet2!R476</f>
        <v>0</v>
      </c>
      <c r="F479">
        <f>Sheet2!S476</f>
        <v>0</v>
      </c>
      <c r="G479">
        <f>Sheet2!T476</f>
        <v>0</v>
      </c>
      <c r="H479" s="31">
        <f>Simulation_output!E477</f>
        <v>1</v>
      </c>
      <c r="I479" s="31">
        <f>Simulation_output!F477</f>
        <v>10020</v>
      </c>
      <c r="J479" s="31">
        <f>Simulation_output!G477</f>
        <v>1</v>
      </c>
      <c r="K479" s="31">
        <f>Simulation_output!H477</f>
        <v>0</v>
      </c>
      <c r="L479">
        <v>1</v>
      </c>
      <c r="M479">
        <f t="shared" si="131"/>
        <v>0</v>
      </c>
      <c r="N479">
        <f t="shared" si="130"/>
        <v>0</v>
      </c>
      <c r="O479">
        <f t="shared" si="129"/>
        <v>0</v>
      </c>
      <c r="P479">
        <f t="shared" si="132"/>
        <v>0</v>
      </c>
      <c r="Q479">
        <f t="shared" si="128"/>
        <v>0</v>
      </c>
      <c r="R479">
        <f t="shared" si="118"/>
        <v>0</v>
      </c>
      <c r="S479">
        <f t="shared" si="119"/>
        <v>0</v>
      </c>
      <c r="T479">
        <f t="shared" si="120"/>
        <v>0</v>
      </c>
      <c r="U479">
        <f t="shared" si="121"/>
        <v>0</v>
      </c>
      <c r="V479">
        <f t="shared" si="122"/>
        <v>0</v>
      </c>
      <c r="W479">
        <f t="shared" si="123"/>
        <v>0</v>
      </c>
      <c r="X479">
        <f t="shared" si="124"/>
        <v>0</v>
      </c>
      <c r="Y479">
        <f t="shared" si="125"/>
        <v>0</v>
      </c>
      <c r="Z479">
        <f t="shared" si="126"/>
        <v>0</v>
      </c>
      <c r="AB479">
        <v>475</v>
      </c>
      <c r="AC479">
        <f t="shared" si="127"/>
        <v>10</v>
      </c>
      <c r="AD479">
        <f t="shared" si="117"/>
        <v>0</v>
      </c>
    </row>
    <row r="480" spans="4:30" x14ac:dyDescent="0.25">
      <c r="D480" s="31">
        <f>Simulation_output!A478</f>
        <v>4765000</v>
      </c>
      <c r="E480">
        <f>Sheet2!R477</f>
        <v>0</v>
      </c>
      <c r="F480">
        <f>Sheet2!S477</f>
        <v>0</v>
      </c>
      <c r="G480">
        <f>Sheet2!T477</f>
        <v>0</v>
      </c>
      <c r="H480" s="31">
        <f>Simulation_output!E478</f>
        <v>1</v>
      </c>
      <c r="I480" s="31">
        <f>Simulation_output!F478</f>
        <v>1138</v>
      </c>
      <c r="J480" s="31">
        <f>Simulation_output!G478</f>
        <v>1</v>
      </c>
      <c r="K480" s="31">
        <f>Simulation_output!H478</f>
        <v>0</v>
      </c>
      <c r="L480">
        <v>1</v>
      </c>
      <c r="M480">
        <f t="shared" si="131"/>
        <v>0</v>
      </c>
      <c r="N480">
        <f t="shared" si="130"/>
        <v>0</v>
      </c>
      <c r="O480">
        <f t="shared" si="129"/>
        <v>0</v>
      </c>
      <c r="P480">
        <f t="shared" si="132"/>
        <v>0</v>
      </c>
      <c r="Q480">
        <f t="shared" si="128"/>
        <v>0</v>
      </c>
      <c r="R480">
        <f t="shared" si="118"/>
        <v>0</v>
      </c>
      <c r="S480">
        <f t="shared" si="119"/>
        <v>0</v>
      </c>
      <c r="T480">
        <f t="shared" si="120"/>
        <v>0</v>
      </c>
      <c r="U480">
        <f t="shared" si="121"/>
        <v>0</v>
      </c>
      <c r="V480">
        <f t="shared" si="122"/>
        <v>0</v>
      </c>
      <c r="W480">
        <f t="shared" si="123"/>
        <v>0</v>
      </c>
      <c r="X480">
        <f t="shared" si="124"/>
        <v>0</v>
      </c>
      <c r="Y480">
        <f t="shared" si="125"/>
        <v>0</v>
      </c>
      <c r="Z480">
        <f t="shared" si="126"/>
        <v>0</v>
      </c>
      <c r="AB480">
        <v>476</v>
      </c>
      <c r="AC480">
        <f t="shared" si="127"/>
        <v>10</v>
      </c>
      <c r="AD480">
        <f t="shared" si="117"/>
        <v>0</v>
      </c>
    </row>
    <row r="481" spans="4:30" x14ac:dyDescent="0.25">
      <c r="D481" s="31">
        <f>Simulation_output!A479</f>
        <v>4775000</v>
      </c>
      <c r="E481">
        <f>Sheet2!R478</f>
        <v>0</v>
      </c>
      <c r="F481">
        <f>Sheet2!S478</f>
        <v>0</v>
      </c>
      <c r="G481">
        <f>Sheet2!T478</f>
        <v>0</v>
      </c>
      <c r="H481" s="31">
        <f>Simulation_output!E479</f>
        <v>1</v>
      </c>
      <c r="I481" s="31">
        <f>Simulation_output!F479</f>
        <v>332</v>
      </c>
      <c r="J481" s="31">
        <f>Simulation_output!G479</f>
        <v>1</v>
      </c>
      <c r="K481" s="31">
        <f>Simulation_output!H479</f>
        <v>0</v>
      </c>
      <c r="L481">
        <v>1</v>
      </c>
      <c r="M481">
        <f t="shared" si="131"/>
        <v>0</v>
      </c>
      <c r="N481">
        <f t="shared" si="130"/>
        <v>0</v>
      </c>
      <c r="O481">
        <f t="shared" si="129"/>
        <v>0</v>
      </c>
      <c r="P481">
        <f t="shared" si="132"/>
        <v>0</v>
      </c>
      <c r="Q481">
        <f t="shared" si="128"/>
        <v>0</v>
      </c>
      <c r="R481">
        <f t="shared" si="118"/>
        <v>0</v>
      </c>
      <c r="S481">
        <f t="shared" si="119"/>
        <v>0</v>
      </c>
      <c r="T481">
        <f t="shared" si="120"/>
        <v>0</v>
      </c>
      <c r="U481">
        <f t="shared" si="121"/>
        <v>0</v>
      </c>
      <c r="V481">
        <f t="shared" si="122"/>
        <v>0</v>
      </c>
      <c r="W481">
        <f t="shared" si="123"/>
        <v>0</v>
      </c>
      <c r="X481">
        <f t="shared" si="124"/>
        <v>0</v>
      </c>
      <c r="Y481">
        <f t="shared" si="125"/>
        <v>0</v>
      </c>
      <c r="Z481">
        <f t="shared" si="126"/>
        <v>0</v>
      </c>
      <c r="AB481">
        <v>477</v>
      </c>
      <c r="AC481">
        <f t="shared" si="127"/>
        <v>10</v>
      </c>
      <c r="AD481">
        <f t="shared" si="117"/>
        <v>0</v>
      </c>
    </row>
    <row r="482" spans="4:30" x14ac:dyDescent="0.25">
      <c r="D482" s="31">
        <f>Simulation_output!A480</f>
        <v>4785000</v>
      </c>
      <c r="E482">
        <f>Sheet2!R479</f>
        <v>0</v>
      </c>
      <c r="F482">
        <f>Sheet2!S479</f>
        <v>0</v>
      </c>
      <c r="G482">
        <f>Sheet2!T479</f>
        <v>0</v>
      </c>
      <c r="H482" s="31">
        <f>Simulation_output!E480</f>
        <v>1</v>
      </c>
      <c r="I482" s="31">
        <f>Simulation_output!F480</f>
        <v>0</v>
      </c>
      <c r="J482" s="31">
        <f>Simulation_output!G480</f>
        <v>1</v>
      </c>
      <c r="K482" s="31">
        <f>Simulation_output!H480</f>
        <v>0</v>
      </c>
      <c r="L482">
        <v>1</v>
      </c>
      <c r="M482">
        <f t="shared" si="131"/>
        <v>0</v>
      </c>
      <c r="N482">
        <f t="shared" si="130"/>
        <v>0</v>
      </c>
      <c r="O482">
        <f t="shared" si="129"/>
        <v>0</v>
      </c>
      <c r="P482">
        <f t="shared" si="132"/>
        <v>0</v>
      </c>
      <c r="Q482">
        <f t="shared" si="128"/>
        <v>0</v>
      </c>
      <c r="R482">
        <f t="shared" si="118"/>
        <v>0</v>
      </c>
      <c r="S482">
        <f t="shared" si="119"/>
        <v>0</v>
      </c>
      <c r="T482">
        <f t="shared" si="120"/>
        <v>0</v>
      </c>
      <c r="U482">
        <f t="shared" si="121"/>
        <v>0</v>
      </c>
      <c r="V482">
        <f t="shared" si="122"/>
        <v>0</v>
      </c>
      <c r="W482">
        <f t="shared" si="123"/>
        <v>0</v>
      </c>
      <c r="X482">
        <f t="shared" si="124"/>
        <v>0</v>
      </c>
      <c r="Y482">
        <f t="shared" si="125"/>
        <v>0</v>
      </c>
      <c r="Z482">
        <f t="shared" si="126"/>
        <v>0</v>
      </c>
      <c r="AB482">
        <v>478</v>
      </c>
      <c r="AC482">
        <f t="shared" si="127"/>
        <v>10</v>
      </c>
      <c r="AD482">
        <f t="shared" si="117"/>
        <v>0</v>
      </c>
    </row>
    <row r="483" spans="4:30" x14ac:dyDescent="0.25">
      <c r="D483" s="31">
        <f>Simulation_output!A481</f>
        <v>4795000</v>
      </c>
      <c r="E483">
        <f>Sheet2!R480</f>
        <v>0</v>
      </c>
      <c r="F483">
        <f>Sheet2!S480</f>
        <v>0</v>
      </c>
      <c r="G483">
        <f>Sheet2!T480</f>
        <v>0</v>
      </c>
      <c r="H483" s="31">
        <f>Simulation_output!E481</f>
        <v>1</v>
      </c>
      <c r="I483" s="31">
        <f>Simulation_output!F481</f>
        <v>268435454</v>
      </c>
      <c r="J483" s="31">
        <f>Simulation_output!G481</f>
        <v>1</v>
      </c>
      <c r="K483" s="31">
        <f>Simulation_output!H481</f>
        <v>1</v>
      </c>
      <c r="L483">
        <v>1</v>
      </c>
      <c r="M483" t="str">
        <f t="shared" si="131"/>
        <v>FFFFFFF</v>
      </c>
      <c r="N483">
        <f t="shared" si="130"/>
        <v>11</v>
      </c>
      <c r="O483">
        <f t="shared" si="129"/>
        <v>131</v>
      </c>
      <c r="P483">
        <f t="shared" si="132"/>
        <v>323</v>
      </c>
      <c r="Q483">
        <f t="shared" si="128"/>
        <v>25</v>
      </c>
      <c r="R483">
        <f t="shared" si="118"/>
        <v>5</v>
      </c>
      <c r="S483">
        <f t="shared" si="119"/>
        <v>20</v>
      </c>
      <c r="T483">
        <f t="shared" si="120"/>
        <v>120</v>
      </c>
      <c r="U483">
        <f t="shared" si="121"/>
        <v>1020</v>
      </c>
      <c r="V483">
        <f t="shared" si="122"/>
        <v>10020</v>
      </c>
      <c r="W483">
        <f t="shared" si="123"/>
        <v>1138</v>
      </c>
      <c r="X483">
        <f t="shared" si="124"/>
        <v>332</v>
      </c>
      <c r="Y483">
        <f t="shared" si="125"/>
        <v>0</v>
      </c>
      <c r="Z483" t="str">
        <f t="shared" si="126"/>
        <v>FFFFFFE</v>
      </c>
      <c r="AB483">
        <v>479</v>
      </c>
      <c r="AC483">
        <f t="shared" si="127"/>
        <v>11</v>
      </c>
      <c r="AD483">
        <f t="shared" si="117"/>
        <v>11</v>
      </c>
    </row>
    <row r="484" spans="4:30" x14ac:dyDescent="0.25">
      <c r="D484" s="31">
        <f>Simulation_output!A482</f>
        <v>4805000</v>
      </c>
      <c r="E484">
        <f>Sheet2!R481</f>
        <v>0</v>
      </c>
      <c r="F484">
        <f>Sheet2!S481</f>
        <v>0</v>
      </c>
      <c r="G484">
        <f>Sheet2!T481</f>
        <v>0</v>
      </c>
      <c r="H484" s="31">
        <f>Simulation_output!E482</f>
        <v>1</v>
      </c>
      <c r="I484" s="31">
        <f>Simulation_output!F482</f>
        <v>268435455</v>
      </c>
      <c r="J484" s="31">
        <f>Simulation_output!G482</f>
        <v>1</v>
      </c>
      <c r="K484" s="31">
        <f>Simulation_output!H482</f>
        <v>0</v>
      </c>
      <c r="L484">
        <v>1</v>
      </c>
      <c r="M484">
        <f t="shared" si="131"/>
        <v>0</v>
      </c>
      <c r="N484">
        <f t="shared" si="130"/>
        <v>0</v>
      </c>
      <c r="O484">
        <f t="shared" si="129"/>
        <v>0</v>
      </c>
      <c r="P484">
        <f t="shared" si="132"/>
        <v>0</v>
      </c>
      <c r="Q484">
        <f t="shared" si="128"/>
        <v>0</v>
      </c>
      <c r="R484">
        <f t="shared" si="118"/>
        <v>0</v>
      </c>
      <c r="S484">
        <f t="shared" si="119"/>
        <v>0</v>
      </c>
      <c r="T484">
        <f t="shared" si="120"/>
        <v>0</v>
      </c>
      <c r="U484">
        <f t="shared" si="121"/>
        <v>0</v>
      </c>
      <c r="V484">
        <f t="shared" si="122"/>
        <v>0</v>
      </c>
      <c r="W484">
        <f t="shared" si="123"/>
        <v>0</v>
      </c>
      <c r="X484">
        <f t="shared" si="124"/>
        <v>0</v>
      </c>
      <c r="Y484">
        <f t="shared" si="125"/>
        <v>0</v>
      </c>
      <c r="Z484">
        <f t="shared" si="126"/>
        <v>0</v>
      </c>
      <c r="AB484">
        <v>480</v>
      </c>
      <c r="AC484">
        <f t="shared" si="127"/>
        <v>11</v>
      </c>
      <c r="AD484">
        <f t="shared" si="117"/>
        <v>0</v>
      </c>
    </row>
    <row r="485" spans="4:30" x14ac:dyDescent="0.25">
      <c r="D485" s="31">
        <f>Simulation_output!A483</f>
        <v>4815000</v>
      </c>
      <c r="E485">
        <f>Sheet2!R482</f>
        <v>0</v>
      </c>
      <c r="F485">
        <f>Sheet2!S482</f>
        <v>0</v>
      </c>
      <c r="G485">
        <f>Sheet2!T482</f>
        <v>0</v>
      </c>
      <c r="H485" s="31">
        <f>Simulation_output!E483</f>
        <v>1</v>
      </c>
      <c r="I485" s="31">
        <f>Simulation_output!F483</f>
        <v>12</v>
      </c>
      <c r="J485" s="31">
        <f>Simulation_output!G483</f>
        <v>1</v>
      </c>
      <c r="K485" s="31">
        <f>Simulation_output!H483</f>
        <v>0</v>
      </c>
      <c r="L485">
        <v>1</v>
      </c>
      <c r="M485">
        <f t="shared" si="131"/>
        <v>0</v>
      </c>
      <c r="N485">
        <f t="shared" si="130"/>
        <v>0</v>
      </c>
      <c r="O485">
        <f t="shared" si="129"/>
        <v>0</v>
      </c>
      <c r="P485">
        <f t="shared" si="132"/>
        <v>0</v>
      </c>
      <c r="Q485">
        <f t="shared" si="128"/>
        <v>0</v>
      </c>
      <c r="R485">
        <f t="shared" si="118"/>
        <v>0</v>
      </c>
      <c r="S485">
        <f t="shared" si="119"/>
        <v>0</v>
      </c>
      <c r="T485">
        <f t="shared" si="120"/>
        <v>0</v>
      </c>
      <c r="U485">
        <f t="shared" si="121"/>
        <v>0</v>
      </c>
      <c r="V485">
        <f t="shared" si="122"/>
        <v>0</v>
      </c>
      <c r="W485">
        <f t="shared" si="123"/>
        <v>0</v>
      </c>
      <c r="X485">
        <f t="shared" si="124"/>
        <v>0</v>
      </c>
      <c r="Y485">
        <f t="shared" si="125"/>
        <v>0</v>
      </c>
      <c r="Z485">
        <f t="shared" si="126"/>
        <v>0</v>
      </c>
      <c r="AB485">
        <v>481</v>
      </c>
      <c r="AC485">
        <f t="shared" si="127"/>
        <v>11</v>
      </c>
      <c r="AD485">
        <f t="shared" si="117"/>
        <v>0</v>
      </c>
    </row>
    <row r="486" spans="4:30" x14ac:dyDescent="0.25">
      <c r="D486" s="31">
        <f>Simulation_output!A484</f>
        <v>4825000</v>
      </c>
      <c r="E486">
        <f>Sheet2!R483</f>
        <v>0</v>
      </c>
      <c r="F486">
        <f>Sheet2!S483</f>
        <v>0</v>
      </c>
      <c r="G486">
        <f>Sheet2!T483</f>
        <v>0</v>
      </c>
      <c r="H486" s="31">
        <f>Simulation_output!E484</f>
        <v>1</v>
      </c>
      <c r="I486" s="31">
        <f>Simulation_output!F484</f>
        <v>143</v>
      </c>
      <c r="J486" s="31">
        <f>Simulation_output!G484</f>
        <v>1</v>
      </c>
      <c r="K486" s="31">
        <f>Simulation_output!H484</f>
        <v>0</v>
      </c>
      <c r="L486">
        <v>1</v>
      </c>
      <c r="M486">
        <f t="shared" si="131"/>
        <v>0</v>
      </c>
      <c r="N486">
        <f t="shared" si="130"/>
        <v>0</v>
      </c>
      <c r="O486">
        <f t="shared" si="129"/>
        <v>0</v>
      </c>
      <c r="P486">
        <f t="shared" si="132"/>
        <v>0</v>
      </c>
      <c r="Q486">
        <f t="shared" si="128"/>
        <v>0</v>
      </c>
      <c r="R486">
        <f t="shared" si="118"/>
        <v>0</v>
      </c>
      <c r="S486">
        <f t="shared" si="119"/>
        <v>0</v>
      </c>
      <c r="T486">
        <f t="shared" si="120"/>
        <v>0</v>
      </c>
      <c r="U486">
        <f t="shared" si="121"/>
        <v>0</v>
      </c>
      <c r="V486">
        <f t="shared" si="122"/>
        <v>0</v>
      </c>
      <c r="W486">
        <f t="shared" si="123"/>
        <v>0</v>
      </c>
      <c r="X486">
        <f t="shared" si="124"/>
        <v>0</v>
      </c>
      <c r="Y486">
        <f t="shared" si="125"/>
        <v>0</v>
      </c>
      <c r="Z486">
        <f t="shared" si="126"/>
        <v>0</v>
      </c>
      <c r="AB486">
        <v>482</v>
      </c>
      <c r="AC486">
        <f t="shared" si="127"/>
        <v>11</v>
      </c>
      <c r="AD486">
        <f t="shared" si="117"/>
        <v>0</v>
      </c>
    </row>
    <row r="487" spans="4:30" x14ac:dyDescent="0.25">
      <c r="D487" s="31">
        <f>Simulation_output!A485</f>
        <v>4835000</v>
      </c>
      <c r="E487">
        <f>Sheet2!R484</f>
        <v>0</v>
      </c>
      <c r="F487">
        <f>Sheet2!S484</f>
        <v>0</v>
      </c>
      <c r="G487">
        <f>Sheet2!T484</f>
        <v>0</v>
      </c>
      <c r="H487" s="31">
        <f>Simulation_output!E485</f>
        <v>1</v>
      </c>
      <c r="I487" s="31">
        <f>Simulation_output!F485</f>
        <v>324</v>
      </c>
      <c r="J487" s="31">
        <f>Simulation_output!G485</f>
        <v>1</v>
      </c>
      <c r="K487" s="31">
        <f>Simulation_output!H485</f>
        <v>0</v>
      </c>
      <c r="L487">
        <v>1</v>
      </c>
      <c r="M487">
        <f t="shared" si="131"/>
        <v>0</v>
      </c>
      <c r="N487">
        <f t="shared" si="130"/>
        <v>0</v>
      </c>
      <c r="O487">
        <f t="shared" si="129"/>
        <v>0</v>
      </c>
      <c r="P487">
        <f t="shared" si="132"/>
        <v>0</v>
      </c>
      <c r="Q487">
        <f t="shared" si="128"/>
        <v>0</v>
      </c>
      <c r="R487">
        <f t="shared" si="118"/>
        <v>0</v>
      </c>
      <c r="S487">
        <f t="shared" si="119"/>
        <v>0</v>
      </c>
      <c r="T487">
        <f t="shared" si="120"/>
        <v>0</v>
      </c>
      <c r="U487">
        <f t="shared" si="121"/>
        <v>0</v>
      </c>
      <c r="V487">
        <f t="shared" si="122"/>
        <v>0</v>
      </c>
      <c r="W487">
        <f t="shared" si="123"/>
        <v>0</v>
      </c>
      <c r="X487">
        <f t="shared" si="124"/>
        <v>0</v>
      </c>
      <c r="Y487">
        <f t="shared" si="125"/>
        <v>0</v>
      </c>
      <c r="Z487">
        <f t="shared" si="126"/>
        <v>0</v>
      </c>
      <c r="AB487">
        <v>483</v>
      </c>
      <c r="AC487">
        <f t="shared" si="127"/>
        <v>11</v>
      </c>
      <c r="AD487">
        <f t="shared" si="117"/>
        <v>0</v>
      </c>
    </row>
    <row r="488" spans="4:30" x14ac:dyDescent="0.25">
      <c r="D488" s="31">
        <f>Simulation_output!A486</f>
        <v>4845000</v>
      </c>
      <c r="E488">
        <f>Sheet2!R485</f>
        <v>0</v>
      </c>
      <c r="F488">
        <f>Sheet2!S485</f>
        <v>0</v>
      </c>
      <c r="G488">
        <f>Sheet2!T485</f>
        <v>0</v>
      </c>
      <c r="H488" s="31">
        <f>Simulation_output!E486</f>
        <v>1</v>
      </c>
      <c r="I488" s="31">
        <f>Simulation_output!F486</f>
        <v>25</v>
      </c>
      <c r="J488" s="31">
        <f>Simulation_output!G486</f>
        <v>1</v>
      </c>
      <c r="K488" s="31">
        <f>Simulation_output!H486</f>
        <v>0</v>
      </c>
      <c r="L488">
        <v>1</v>
      </c>
      <c r="M488">
        <f t="shared" si="131"/>
        <v>0</v>
      </c>
      <c r="N488">
        <f t="shared" si="130"/>
        <v>0</v>
      </c>
      <c r="O488">
        <f t="shared" si="129"/>
        <v>0</v>
      </c>
      <c r="P488">
        <f t="shared" si="132"/>
        <v>0</v>
      </c>
      <c r="Q488">
        <f t="shared" si="128"/>
        <v>0</v>
      </c>
      <c r="R488">
        <f t="shared" si="118"/>
        <v>0</v>
      </c>
      <c r="S488">
        <f t="shared" si="119"/>
        <v>0</v>
      </c>
      <c r="T488">
        <f t="shared" si="120"/>
        <v>0</v>
      </c>
      <c r="U488">
        <f t="shared" si="121"/>
        <v>0</v>
      </c>
      <c r="V488">
        <f t="shared" si="122"/>
        <v>0</v>
      </c>
      <c r="W488">
        <f t="shared" si="123"/>
        <v>0</v>
      </c>
      <c r="X488">
        <f t="shared" si="124"/>
        <v>0</v>
      </c>
      <c r="Y488">
        <f t="shared" si="125"/>
        <v>0</v>
      </c>
      <c r="Z488">
        <f t="shared" si="126"/>
        <v>0</v>
      </c>
      <c r="AB488">
        <v>484</v>
      </c>
      <c r="AC488">
        <f t="shared" si="127"/>
        <v>11</v>
      </c>
      <c r="AD488">
        <f t="shared" si="117"/>
        <v>0</v>
      </c>
    </row>
    <row r="489" spans="4:30" x14ac:dyDescent="0.25">
      <c r="D489" s="31">
        <f>Simulation_output!A487</f>
        <v>4855000</v>
      </c>
      <c r="E489">
        <f>Sheet2!R486</f>
        <v>0</v>
      </c>
      <c r="F489">
        <f>Sheet2!S486</f>
        <v>0</v>
      </c>
      <c r="G489">
        <f>Sheet2!T486</f>
        <v>0</v>
      </c>
      <c r="H489" s="31">
        <f>Simulation_output!E487</f>
        <v>1</v>
      </c>
      <c r="I489" s="31">
        <f>Simulation_output!F487</f>
        <v>5</v>
      </c>
      <c r="J489" s="31">
        <f>Simulation_output!G487</f>
        <v>1</v>
      </c>
      <c r="K489" s="31">
        <f>Simulation_output!H487</f>
        <v>0</v>
      </c>
      <c r="L489">
        <v>1</v>
      </c>
      <c r="M489">
        <f t="shared" si="131"/>
        <v>0</v>
      </c>
      <c r="N489">
        <f t="shared" si="130"/>
        <v>0</v>
      </c>
      <c r="O489">
        <f t="shared" si="129"/>
        <v>0</v>
      </c>
      <c r="P489">
        <f t="shared" si="132"/>
        <v>0</v>
      </c>
      <c r="Q489">
        <f t="shared" si="128"/>
        <v>0</v>
      </c>
      <c r="R489">
        <f t="shared" si="118"/>
        <v>0</v>
      </c>
      <c r="S489">
        <f t="shared" si="119"/>
        <v>0</v>
      </c>
      <c r="T489">
        <f t="shared" si="120"/>
        <v>0</v>
      </c>
      <c r="U489">
        <f t="shared" si="121"/>
        <v>0</v>
      </c>
      <c r="V489">
        <f t="shared" si="122"/>
        <v>0</v>
      </c>
      <c r="W489">
        <f t="shared" si="123"/>
        <v>0</v>
      </c>
      <c r="X489">
        <f t="shared" si="124"/>
        <v>0</v>
      </c>
      <c r="Y489">
        <f t="shared" si="125"/>
        <v>0</v>
      </c>
      <c r="Z489">
        <f t="shared" si="126"/>
        <v>0</v>
      </c>
      <c r="AB489">
        <v>485</v>
      </c>
      <c r="AC489">
        <f t="shared" si="127"/>
        <v>11</v>
      </c>
      <c r="AD489">
        <f t="shared" si="117"/>
        <v>0</v>
      </c>
    </row>
    <row r="490" spans="4:30" x14ac:dyDescent="0.25">
      <c r="D490" s="31">
        <f>Simulation_output!A488</f>
        <v>4865000</v>
      </c>
      <c r="E490">
        <f>Sheet2!R487</f>
        <v>0</v>
      </c>
      <c r="F490">
        <f>Sheet2!S487</f>
        <v>0</v>
      </c>
      <c r="G490">
        <f>Sheet2!T487</f>
        <v>0</v>
      </c>
      <c r="H490" s="31">
        <f>Simulation_output!E488</f>
        <v>1</v>
      </c>
      <c r="I490" s="31">
        <f>Simulation_output!F488</f>
        <v>21</v>
      </c>
      <c r="J490" s="31">
        <f>Simulation_output!G488</f>
        <v>1</v>
      </c>
      <c r="K490" s="31">
        <f>Simulation_output!H488</f>
        <v>0</v>
      </c>
      <c r="L490">
        <v>1</v>
      </c>
      <c r="M490">
        <f t="shared" si="131"/>
        <v>0</v>
      </c>
      <c r="N490">
        <f t="shared" si="130"/>
        <v>0</v>
      </c>
      <c r="O490">
        <f t="shared" si="129"/>
        <v>0</v>
      </c>
      <c r="P490">
        <f t="shared" si="132"/>
        <v>0</v>
      </c>
      <c r="Q490">
        <f t="shared" si="128"/>
        <v>0</v>
      </c>
      <c r="R490">
        <f t="shared" si="118"/>
        <v>0</v>
      </c>
      <c r="S490">
        <f t="shared" si="119"/>
        <v>0</v>
      </c>
      <c r="T490">
        <f t="shared" si="120"/>
        <v>0</v>
      </c>
      <c r="U490">
        <f t="shared" si="121"/>
        <v>0</v>
      </c>
      <c r="V490">
        <f t="shared" si="122"/>
        <v>0</v>
      </c>
      <c r="W490">
        <f t="shared" si="123"/>
        <v>0</v>
      </c>
      <c r="X490">
        <f t="shared" si="124"/>
        <v>0</v>
      </c>
      <c r="Y490">
        <f t="shared" si="125"/>
        <v>0</v>
      </c>
      <c r="Z490">
        <f t="shared" si="126"/>
        <v>0</v>
      </c>
      <c r="AB490">
        <v>486</v>
      </c>
      <c r="AC490">
        <f t="shared" si="127"/>
        <v>11</v>
      </c>
      <c r="AD490">
        <f t="shared" si="117"/>
        <v>0</v>
      </c>
    </row>
    <row r="491" spans="4:30" x14ac:dyDescent="0.25">
      <c r="D491" s="31">
        <f>Simulation_output!A489</f>
        <v>4875000</v>
      </c>
      <c r="E491">
        <f>Sheet2!R488</f>
        <v>0</v>
      </c>
      <c r="F491">
        <f>Sheet2!S488</f>
        <v>0</v>
      </c>
      <c r="G491">
        <f>Sheet2!T488</f>
        <v>0</v>
      </c>
      <c r="H491" s="31">
        <f>Simulation_output!E489</f>
        <v>1</v>
      </c>
      <c r="I491" s="31">
        <f>Simulation_output!F489</f>
        <v>121</v>
      </c>
      <c r="J491" s="31">
        <f>Simulation_output!G489</f>
        <v>1</v>
      </c>
      <c r="K491" s="31">
        <f>Simulation_output!H489</f>
        <v>0</v>
      </c>
      <c r="L491">
        <v>1</v>
      </c>
      <c r="M491">
        <f t="shared" si="131"/>
        <v>0</v>
      </c>
      <c r="N491">
        <f t="shared" si="130"/>
        <v>0</v>
      </c>
      <c r="O491">
        <f t="shared" si="129"/>
        <v>0</v>
      </c>
      <c r="P491">
        <f t="shared" si="132"/>
        <v>0</v>
      </c>
      <c r="Q491">
        <f t="shared" si="128"/>
        <v>0</v>
      </c>
      <c r="R491">
        <f t="shared" si="118"/>
        <v>0</v>
      </c>
      <c r="S491">
        <f t="shared" si="119"/>
        <v>0</v>
      </c>
      <c r="T491">
        <f t="shared" si="120"/>
        <v>0</v>
      </c>
      <c r="U491">
        <f t="shared" si="121"/>
        <v>0</v>
      </c>
      <c r="V491">
        <f t="shared" si="122"/>
        <v>0</v>
      </c>
      <c r="W491">
        <f t="shared" si="123"/>
        <v>0</v>
      </c>
      <c r="X491">
        <f t="shared" si="124"/>
        <v>0</v>
      </c>
      <c r="Y491">
        <f t="shared" si="125"/>
        <v>0</v>
      </c>
      <c r="Z491">
        <f t="shared" si="126"/>
        <v>0</v>
      </c>
      <c r="AB491">
        <v>487</v>
      </c>
      <c r="AC491">
        <f t="shared" si="127"/>
        <v>11</v>
      </c>
      <c r="AD491">
        <f t="shared" si="117"/>
        <v>0</v>
      </c>
    </row>
    <row r="492" spans="4:30" x14ac:dyDescent="0.25">
      <c r="D492" s="31">
        <f>Simulation_output!A490</f>
        <v>4885000</v>
      </c>
      <c r="E492">
        <f>Sheet2!R489</f>
        <v>0</v>
      </c>
      <c r="F492">
        <f>Sheet2!S489</f>
        <v>0</v>
      </c>
      <c r="G492">
        <f>Sheet2!T489</f>
        <v>0</v>
      </c>
      <c r="H492" s="31">
        <f>Simulation_output!E490</f>
        <v>1</v>
      </c>
      <c r="I492" s="31">
        <f>Simulation_output!F490</f>
        <v>1021</v>
      </c>
      <c r="J492" s="31">
        <f>Simulation_output!G490</f>
        <v>1</v>
      </c>
      <c r="K492" s="31">
        <f>Simulation_output!H490</f>
        <v>0</v>
      </c>
      <c r="L492">
        <v>1</v>
      </c>
      <c r="M492">
        <f t="shared" si="131"/>
        <v>0</v>
      </c>
      <c r="N492">
        <f t="shared" si="130"/>
        <v>0</v>
      </c>
      <c r="O492">
        <f t="shared" si="129"/>
        <v>0</v>
      </c>
      <c r="P492">
        <f t="shared" si="132"/>
        <v>0</v>
      </c>
      <c r="Q492">
        <f t="shared" si="128"/>
        <v>0</v>
      </c>
      <c r="R492">
        <f t="shared" si="118"/>
        <v>0</v>
      </c>
      <c r="S492">
        <f t="shared" si="119"/>
        <v>0</v>
      </c>
      <c r="T492">
        <f t="shared" si="120"/>
        <v>0</v>
      </c>
      <c r="U492">
        <f t="shared" si="121"/>
        <v>0</v>
      </c>
      <c r="V492">
        <f t="shared" si="122"/>
        <v>0</v>
      </c>
      <c r="W492">
        <f t="shared" si="123"/>
        <v>0</v>
      </c>
      <c r="X492">
        <f t="shared" si="124"/>
        <v>0</v>
      </c>
      <c r="Y492">
        <f t="shared" si="125"/>
        <v>0</v>
      </c>
      <c r="Z492">
        <f t="shared" si="126"/>
        <v>0</v>
      </c>
      <c r="AB492">
        <v>488</v>
      </c>
      <c r="AC492">
        <f t="shared" si="127"/>
        <v>11</v>
      </c>
      <c r="AD492">
        <f t="shared" si="117"/>
        <v>0</v>
      </c>
    </row>
    <row r="493" spans="4:30" x14ac:dyDescent="0.25">
      <c r="D493" s="31">
        <f>Simulation_output!A491</f>
        <v>4895000</v>
      </c>
      <c r="E493">
        <f>Sheet2!R490</f>
        <v>0</v>
      </c>
      <c r="F493">
        <f>Sheet2!S490</f>
        <v>0</v>
      </c>
      <c r="G493">
        <f>Sheet2!T490</f>
        <v>0</v>
      </c>
      <c r="H493" s="31">
        <f>Simulation_output!E491</f>
        <v>1</v>
      </c>
      <c r="I493" s="31">
        <f>Simulation_output!F491</f>
        <v>10021</v>
      </c>
      <c r="J493" s="31">
        <f>Simulation_output!G491</f>
        <v>1</v>
      </c>
      <c r="K493" s="31">
        <f>Simulation_output!H491</f>
        <v>0</v>
      </c>
      <c r="L493">
        <v>1</v>
      </c>
      <c r="M493">
        <f t="shared" si="131"/>
        <v>0</v>
      </c>
      <c r="N493">
        <f t="shared" si="130"/>
        <v>0</v>
      </c>
      <c r="O493">
        <f t="shared" si="129"/>
        <v>0</v>
      </c>
      <c r="P493">
        <f t="shared" si="132"/>
        <v>0</v>
      </c>
      <c r="Q493">
        <f t="shared" si="128"/>
        <v>0</v>
      </c>
      <c r="R493">
        <f t="shared" si="118"/>
        <v>0</v>
      </c>
      <c r="S493">
        <f t="shared" si="119"/>
        <v>0</v>
      </c>
      <c r="T493">
        <f t="shared" si="120"/>
        <v>0</v>
      </c>
      <c r="U493">
        <f t="shared" si="121"/>
        <v>0</v>
      </c>
      <c r="V493">
        <f t="shared" si="122"/>
        <v>0</v>
      </c>
      <c r="W493">
        <f t="shared" si="123"/>
        <v>0</v>
      </c>
      <c r="X493">
        <f t="shared" si="124"/>
        <v>0</v>
      </c>
      <c r="Y493">
        <f t="shared" si="125"/>
        <v>0</v>
      </c>
      <c r="Z493">
        <f t="shared" si="126"/>
        <v>0</v>
      </c>
      <c r="AB493">
        <v>489</v>
      </c>
      <c r="AC493">
        <f t="shared" si="127"/>
        <v>11</v>
      </c>
      <c r="AD493">
        <f t="shared" si="117"/>
        <v>0</v>
      </c>
    </row>
    <row r="494" spans="4:30" x14ac:dyDescent="0.25">
      <c r="D494" s="31">
        <f>Simulation_output!A492</f>
        <v>4905000</v>
      </c>
      <c r="E494">
        <f>Sheet2!R491</f>
        <v>0</v>
      </c>
      <c r="F494">
        <f>Sheet2!S491</f>
        <v>0</v>
      </c>
      <c r="G494">
        <f>Sheet2!T491</f>
        <v>0</v>
      </c>
      <c r="H494" s="31">
        <f>Simulation_output!E492</f>
        <v>1</v>
      </c>
      <c r="I494" s="31">
        <f>Simulation_output!F492</f>
        <v>1140</v>
      </c>
      <c r="J494" s="31">
        <f>Simulation_output!G492</f>
        <v>1</v>
      </c>
      <c r="K494" s="31">
        <f>Simulation_output!H492</f>
        <v>0</v>
      </c>
      <c r="L494">
        <v>1</v>
      </c>
      <c r="M494">
        <f t="shared" si="131"/>
        <v>0</v>
      </c>
      <c r="N494">
        <f t="shared" si="130"/>
        <v>0</v>
      </c>
      <c r="O494">
        <f t="shared" si="129"/>
        <v>0</v>
      </c>
      <c r="P494">
        <f t="shared" si="132"/>
        <v>0</v>
      </c>
      <c r="Q494">
        <f t="shared" si="128"/>
        <v>0</v>
      </c>
      <c r="R494">
        <f t="shared" si="118"/>
        <v>0</v>
      </c>
      <c r="S494">
        <f t="shared" si="119"/>
        <v>0</v>
      </c>
      <c r="T494">
        <f t="shared" si="120"/>
        <v>0</v>
      </c>
      <c r="U494">
        <f t="shared" si="121"/>
        <v>0</v>
      </c>
      <c r="V494">
        <f t="shared" si="122"/>
        <v>0</v>
      </c>
      <c r="W494">
        <f t="shared" si="123"/>
        <v>0</v>
      </c>
      <c r="X494">
        <f t="shared" si="124"/>
        <v>0</v>
      </c>
      <c r="Y494">
        <f t="shared" si="125"/>
        <v>0</v>
      </c>
      <c r="Z494">
        <f t="shared" si="126"/>
        <v>0</v>
      </c>
      <c r="AB494">
        <v>490</v>
      </c>
      <c r="AC494">
        <f t="shared" si="127"/>
        <v>11</v>
      </c>
      <c r="AD494">
        <f t="shared" si="117"/>
        <v>0</v>
      </c>
    </row>
    <row r="495" spans="4:30" x14ac:dyDescent="0.25">
      <c r="D495" s="31">
        <f>Simulation_output!A493</f>
        <v>4915000</v>
      </c>
      <c r="E495">
        <f>Sheet2!R492</f>
        <v>0</v>
      </c>
      <c r="F495">
        <f>Sheet2!S492</f>
        <v>0</v>
      </c>
      <c r="G495">
        <f>Sheet2!T492</f>
        <v>0</v>
      </c>
      <c r="H495" s="31">
        <f>Simulation_output!E493</f>
        <v>1</v>
      </c>
      <c r="I495" s="31">
        <f>Simulation_output!F493</f>
        <v>333</v>
      </c>
      <c r="J495" s="31">
        <f>Simulation_output!G493</f>
        <v>1</v>
      </c>
      <c r="K495" s="31">
        <f>Simulation_output!H493</f>
        <v>0</v>
      </c>
      <c r="L495">
        <v>1</v>
      </c>
      <c r="M495">
        <f t="shared" si="131"/>
        <v>0</v>
      </c>
      <c r="N495">
        <f t="shared" si="130"/>
        <v>0</v>
      </c>
      <c r="O495">
        <f t="shared" si="129"/>
        <v>0</v>
      </c>
      <c r="P495">
        <f t="shared" si="132"/>
        <v>0</v>
      </c>
      <c r="Q495">
        <f t="shared" si="128"/>
        <v>0</v>
      </c>
      <c r="R495">
        <f t="shared" si="118"/>
        <v>0</v>
      </c>
      <c r="S495">
        <f t="shared" si="119"/>
        <v>0</v>
      </c>
      <c r="T495">
        <f t="shared" si="120"/>
        <v>0</v>
      </c>
      <c r="U495">
        <f t="shared" si="121"/>
        <v>0</v>
      </c>
      <c r="V495">
        <f t="shared" si="122"/>
        <v>0</v>
      </c>
      <c r="W495">
        <f t="shared" si="123"/>
        <v>0</v>
      </c>
      <c r="X495">
        <f t="shared" si="124"/>
        <v>0</v>
      </c>
      <c r="Y495">
        <f t="shared" si="125"/>
        <v>0</v>
      </c>
      <c r="Z495">
        <f t="shared" si="126"/>
        <v>0</v>
      </c>
      <c r="AB495">
        <v>491</v>
      </c>
      <c r="AC495">
        <f t="shared" si="127"/>
        <v>11</v>
      </c>
      <c r="AD495">
        <f t="shared" si="117"/>
        <v>0</v>
      </c>
    </row>
    <row r="496" spans="4:30" x14ac:dyDescent="0.25">
      <c r="D496" s="31">
        <f>Simulation_output!A494</f>
        <v>4925000</v>
      </c>
      <c r="E496">
        <f>Sheet2!R493</f>
        <v>0</v>
      </c>
      <c r="F496">
        <f>Sheet2!S493</f>
        <v>0</v>
      </c>
      <c r="G496">
        <f>Sheet2!T493</f>
        <v>0</v>
      </c>
      <c r="H496" s="31">
        <f>Simulation_output!E494</f>
        <v>1</v>
      </c>
      <c r="I496" s="31">
        <f>Simulation_output!F494</f>
        <v>0</v>
      </c>
      <c r="J496" s="31">
        <f>Simulation_output!G494</f>
        <v>1</v>
      </c>
      <c r="K496" s="31">
        <f>Simulation_output!H494</f>
        <v>0</v>
      </c>
      <c r="L496">
        <v>1</v>
      </c>
      <c r="M496">
        <f t="shared" si="131"/>
        <v>0</v>
      </c>
      <c r="N496">
        <f t="shared" si="130"/>
        <v>0</v>
      </c>
      <c r="O496">
        <f t="shared" si="129"/>
        <v>0</v>
      </c>
      <c r="P496">
        <f t="shared" si="132"/>
        <v>0</v>
      </c>
      <c r="Q496">
        <f t="shared" si="128"/>
        <v>0</v>
      </c>
      <c r="R496">
        <f t="shared" si="118"/>
        <v>0</v>
      </c>
      <c r="S496">
        <f t="shared" si="119"/>
        <v>0</v>
      </c>
      <c r="T496">
        <f t="shared" si="120"/>
        <v>0</v>
      </c>
      <c r="U496">
        <f t="shared" si="121"/>
        <v>0</v>
      </c>
      <c r="V496">
        <f t="shared" si="122"/>
        <v>0</v>
      </c>
      <c r="W496">
        <f t="shared" si="123"/>
        <v>0</v>
      </c>
      <c r="X496">
        <f t="shared" si="124"/>
        <v>0</v>
      </c>
      <c r="Y496">
        <f t="shared" si="125"/>
        <v>0</v>
      </c>
      <c r="Z496">
        <f t="shared" si="126"/>
        <v>0</v>
      </c>
      <c r="AB496">
        <v>492</v>
      </c>
      <c r="AC496">
        <f t="shared" si="127"/>
        <v>11</v>
      </c>
      <c r="AD496">
        <f t="shared" si="117"/>
        <v>0</v>
      </c>
    </row>
    <row r="497" spans="4:30" x14ac:dyDescent="0.25">
      <c r="D497" s="31">
        <f>Simulation_output!A495</f>
        <v>4935000</v>
      </c>
      <c r="E497">
        <f>Sheet2!R494</f>
        <v>0</v>
      </c>
      <c r="F497">
        <f>Sheet2!S494</f>
        <v>0</v>
      </c>
      <c r="G497">
        <f>Sheet2!T494</f>
        <v>0</v>
      </c>
      <c r="H497" s="31">
        <f>Simulation_output!E495</f>
        <v>1</v>
      </c>
      <c r="I497" s="31">
        <f>Simulation_output!F495</f>
        <v>268435454</v>
      </c>
      <c r="J497" s="31">
        <f>Simulation_output!G495</f>
        <v>1</v>
      </c>
      <c r="K497" s="31">
        <f>Simulation_output!H495</f>
        <v>1</v>
      </c>
      <c r="L497">
        <v>1</v>
      </c>
      <c r="M497" t="str">
        <f t="shared" si="131"/>
        <v>FFFFFFF</v>
      </c>
      <c r="N497">
        <f t="shared" si="130"/>
        <v>12</v>
      </c>
      <c r="O497">
        <f t="shared" si="129"/>
        <v>143</v>
      </c>
      <c r="P497">
        <f t="shared" si="132"/>
        <v>324</v>
      </c>
      <c r="Q497">
        <f t="shared" si="128"/>
        <v>25</v>
      </c>
      <c r="R497">
        <f t="shared" si="118"/>
        <v>5</v>
      </c>
      <c r="S497">
        <f t="shared" si="119"/>
        <v>21</v>
      </c>
      <c r="T497">
        <f t="shared" si="120"/>
        <v>121</v>
      </c>
      <c r="U497">
        <f t="shared" si="121"/>
        <v>1021</v>
      </c>
      <c r="V497">
        <f t="shared" si="122"/>
        <v>10021</v>
      </c>
      <c r="W497">
        <f t="shared" si="123"/>
        <v>1140</v>
      </c>
      <c r="X497">
        <f t="shared" si="124"/>
        <v>333</v>
      </c>
      <c r="Y497">
        <f t="shared" si="125"/>
        <v>0</v>
      </c>
      <c r="Z497" t="str">
        <f t="shared" si="126"/>
        <v>FFFFFFE</v>
      </c>
      <c r="AB497">
        <v>493</v>
      </c>
      <c r="AC497">
        <f t="shared" si="127"/>
        <v>12</v>
      </c>
      <c r="AD497">
        <f t="shared" si="117"/>
        <v>12</v>
      </c>
    </row>
    <row r="498" spans="4:30" x14ac:dyDescent="0.25">
      <c r="D498" s="31">
        <f>Simulation_output!A496</f>
        <v>4945000</v>
      </c>
      <c r="E498">
        <f>Sheet2!R495</f>
        <v>0</v>
      </c>
      <c r="F498">
        <f>Sheet2!S495</f>
        <v>0</v>
      </c>
      <c r="G498">
        <f>Sheet2!T495</f>
        <v>0</v>
      </c>
      <c r="H498" s="31">
        <f>Simulation_output!E496</f>
        <v>1</v>
      </c>
      <c r="I498" s="31">
        <f>Simulation_output!F496</f>
        <v>268435455</v>
      </c>
      <c r="J498" s="31">
        <f>Simulation_output!G496</f>
        <v>1</v>
      </c>
      <c r="K498" s="31">
        <f>Simulation_output!H496</f>
        <v>0</v>
      </c>
      <c r="L498">
        <v>1</v>
      </c>
      <c r="M498">
        <f t="shared" si="131"/>
        <v>0</v>
      </c>
      <c r="N498">
        <f t="shared" si="130"/>
        <v>0</v>
      </c>
      <c r="O498">
        <f t="shared" si="129"/>
        <v>0</v>
      </c>
      <c r="P498">
        <f t="shared" si="132"/>
        <v>0</v>
      </c>
      <c r="Q498">
        <f t="shared" si="128"/>
        <v>0</v>
      </c>
      <c r="R498">
        <f t="shared" si="118"/>
        <v>0</v>
      </c>
      <c r="S498">
        <f t="shared" si="119"/>
        <v>0</v>
      </c>
      <c r="T498">
        <f t="shared" si="120"/>
        <v>0</v>
      </c>
      <c r="U498">
        <f t="shared" si="121"/>
        <v>0</v>
      </c>
      <c r="V498">
        <f t="shared" si="122"/>
        <v>0</v>
      </c>
      <c r="W498">
        <f t="shared" si="123"/>
        <v>0</v>
      </c>
      <c r="X498">
        <f t="shared" si="124"/>
        <v>0</v>
      </c>
      <c r="Y498">
        <f t="shared" si="125"/>
        <v>0</v>
      </c>
      <c r="Z498">
        <f t="shared" si="126"/>
        <v>0</v>
      </c>
      <c r="AB498">
        <v>494</v>
      </c>
      <c r="AC498">
        <f t="shared" si="127"/>
        <v>12</v>
      </c>
      <c r="AD498">
        <f t="shared" si="117"/>
        <v>0</v>
      </c>
    </row>
    <row r="499" spans="4:30" x14ac:dyDescent="0.25">
      <c r="D499" s="31">
        <f>Simulation_output!A497</f>
        <v>4955000</v>
      </c>
      <c r="E499">
        <f>Sheet2!R496</f>
        <v>0</v>
      </c>
      <c r="F499">
        <f>Sheet2!S496</f>
        <v>0</v>
      </c>
      <c r="G499">
        <f>Sheet2!T496</f>
        <v>0</v>
      </c>
      <c r="H499" s="31">
        <f>Simulation_output!E497</f>
        <v>1</v>
      </c>
      <c r="I499" s="31">
        <f>Simulation_output!F497</f>
        <v>13</v>
      </c>
      <c r="J499" s="31">
        <f>Simulation_output!G497</f>
        <v>1</v>
      </c>
      <c r="K499" s="31">
        <f>Simulation_output!H497</f>
        <v>0</v>
      </c>
      <c r="L499">
        <v>1</v>
      </c>
      <c r="M499">
        <f t="shared" si="131"/>
        <v>0</v>
      </c>
      <c r="N499">
        <f t="shared" si="130"/>
        <v>0</v>
      </c>
      <c r="O499">
        <f t="shared" si="129"/>
        <v>0</v>
      </c>
      <c r="P499">
        <f t="shared" si="132"/>
        <v>0</v>
      </c>
      <c r="Q499">
        <f t="shared" si="128"/>
        <v>0</v>
      </c>
      <c r="R499">
        <f t="shared" si="118"/>
        <v>0</v>
      </c>
      <c r="S499">
        <f t="shared" si="119"/>
        <v>0</v>
      </c>
      <c r="T499">
        <f t="shared" si="120"/>
        <v>0</v>
      </c>
      <c r="U499">
        <f t="shared" si="121"/>
        <v>0</v>
      </c>
      <c r="V499">
        <f t="shared" si="122"/>
        <v>0</v>
      </c>
      <c r="W499">
        <f t="shared" si="123"/>
        <v>0</v>
      </c>
      <c r="X499">
        <f t="shared" si="124"/>
        <v>0</v>
      </c>
      <c r="Y499">
        <f t="shared" si="125"/>
        <v>0</v>
      </c>
      <c r="Z499">
        <f t="shared" si="126"/>
        <v>0</v>
      </c>
      <c r="AB499">
        <v>495</v>
      </c>
      <c r="AC499">
        <f t="shared" si="127"/>
        <v>12</v>
      </c>
      <c r="AD499">
        <f t="shared" si="117"/>
        <v>0</v>
      </c>
    </row>
    <row r="500" spans="4:30" x14ac:dyDescent="0.25">
      <c r="D500" s="31">
        <f>Simulation_output!A498</f>
        <v>4965000</v>
      </c>
      <c r="E500">
        <f>Sheet2!R497</f>
        <v>0</v>
      </c>
      <c r="F500">
        <f>Sheet2!S497</f>
        <v>0</v>
      </c>
      <c r="G500">
        <f>Sheet2!T497</f>
        <v>0</v>
      </c>
      <c r="H500" s="31">
        <f>Simulation_output!E498</f>
        <v>1</v>
      </c>
      <c r="I500" s="31">
        <f>Simulation_output!F498</f>
        <v>155</v>
      </c>
      <c r="J500" s="31">
        <f>Simulation_output!G498</f>
        <v>1</v>
      </c>
      <c r="K500" s="31">
        <f>Simulation_output!H498</f>
        <v>0</v>
      </c>
      <c r="L500">
        <v>1</v>
      </c>
      <c r="M500">
        <f t="shared" si="131"/>
        <v>0</v>
      </c>
      <c r="N500">
        <f t="shared" si="130"/>
        <v>0</v>
      </c>
      <c r="O500">
        <f t="shared" si="129"/>
        <v>0</v>
      </c>
      <c r="P500">
        <f t="shared" si="132"/>
        <v>0</v>
      </c>
      <c r="Q500">
        <f t="shared" si="128"/>
        <v>0</v>
      </c>
      <c r="R500">
        <f t="shared" si="118"/>
        <v>0</v>
      </c>
      <c r="S500">
        <f t="shared" si="119"/>
        <v>0</v>
      </c>
      <c r="T500">
        <f t="shared" si="120"/>
        <v>0</v>
      </c>
      <c r="U500">
        <f t="shared" si="121"/>
        <v>0</v>
      </c>
      <c r="V500">
        <f t="shared" si="122"/>
        <v>0</v>
      </c>
      <c r="W500">
        <f t="shared" si="123"/>
        <v>0</v>
      </c>
      <c r="X500">
        <f t="shared" si="124"/>
        <v>0</v>
      </c>
      <c r="Y500">
        <f t="shared" si="125"/>
        <v>0</v>
      </c>
      <c r="Z500">
        <f t="shared" si="126"/>
        <v>0</v>
      </c>
      <c r="AB500">
        <v>496</v>
      </c>
      <c r="AC500">
        <f t="shared" si="127"/>
        <v>12</v>
      </c>
      <c r="AD500">
        <f t="shared" si="117"/>
        <v>0</v>
      </c>
    </row>
    <row r="501" spans="4:30" x14ac:dyDescent="0.25">
      <c r="D501" s="31">
        <f>Simulation_output!A499</f>
        <v>4975000</v>
      </c>
      <c r="E501">
        <f>Sheet2!R498</f>
        <v>0</v>
      </c>
      <c r="F501">
        <f>Sheet2!S498</f>
        <v>0</v>
      </c>
      <c r="G501">
        <f>Sheet2!T498</f>
        <v>0</v>
      </c>
      <c r="H501" s="31">
        <f>Simulation_output!E499</f>
        <v>1</v>
      </c>
      <c r="I501" s="31">
        <f>Simulation_output!F499</f>
        <v>325</v>
      </c>
      <c r="J501" s="31">
        <f>Simulation_output!G499</f>
        <v>1</v>
      </c>
      <c r="K501" s="31">
        <f>Simulation_output!H499</f>
        <v>0</v>
      </c>
      <c r="L501">
        <v>1</v>
      </c>
      <c r="M501">
        <f t="shared" si="131"/>
        <v>0</v>
      </c>
      <c r="N501">
        <f t="shared" si="130"/>
        <v>0</v>
      </c>
      <c r="O501">
        <f t="shared" si="129"/>
        <v>0</v>
      </c>
      <c r="P501">
        <f t="shared" si="132"/>
        <v>0</v>
      </c>
      <c r="Q501">
        <f t="shared" si="128"/>
        <v>0</v>
      </c>
      <c r="R501">
        <f t="shared" si="118"/>
        <v>0</v>
      </c>
      <c r="S501">
        <f t="shared" si="119"/>
        <v>0</v>
      </c>
      <c r="T501">
        <f t="shared" si="120"/>
        <v>0</v>
      </c>
      <c r="U501">
        <f t="shared" si="121"/>
        <v>0</v>
      </c>
      <c r="V501">
        <f t="shared" si="122"/>
        <v>0</v>
      </c>
      <c r="W501">
        <f t="shared" si="123"/>
        <v>0</v>
      </c>
      <c r="X501">
        <f t="shared" si="124"/>
        <v>0</v>
      </c>
      <c r="Y501">
        <f t="shared" si="125"/>
        <v>0</v>
      </c>
      <c r="Z501">
        <f t="shared" si="126"/>
        <v>0</v>
      </c>
      <c r="AB501">
        <v>497</v>
      </c>
      <c r="AC501">
        <f t="shared" si="127"/>
        <v>12</v>
      </c>
      <c r="AD501">
        <f t="shared" si="117"/>
        <v>0</v>
      </c>
    </row>
    <row r="502" spans="4:30" x14ac:dyDescent="0.25">
      <c r="D502" s="31">
        <f>Simulation_output!A500</f>
        <v>4985000</v>
      </c>
      <c r="E502">
        <f>Sheet2!R499</f>
        <v>0</v>
      </c>
      <c r="F502">
        <f>Sheet2!S499</f>
        <v>0</v>
      </c>
      <c r="G502">
        <f>Sheet2!T499</f>
        <v>0</v>
      </c>
      <c r="H502" s="31">
        <f>Simulation_output!E500</f>
        <v>1</v>
      </c>
      <c r="I502" s="31">
        <f>Simulation_output!F500</f>
        <v>25</v>
      </c>
      <c r="J502" s="31">
        <f>Simulation_output!G500</f>
        <v>1</v>
      </c>
      <c r="K502" s="31">
        <f>Simulation_output!H500</f>
        <v>0</v>
      </c>
      <c r="L502">
        <v>1</v>
      </c>
      <c r="M502">
        <f t="shared" si="131"/>
        <v>0</v>
      </c>
      <c r="N502">
        <f t="shared" si="130"/>
        <v>0</v>
      </c>
      <c r="O502">
        <f t="shared" si="129"/>
        <v>0</v>
      </c>
      <c r="P502">
        <f t="shared" si="132"/>
        <v>0</v>
      </c>
      <c r="Q502">
        <f t="shared" si="128"/>
        <v>0</v>
      </c>
      <c r="R502">
        <f t="shared" si="118"/>
        <v>0</v>
      </c>
      <c r="S502">
        <f t="shared" si="119"/>
        <v>0</v>
      </c>
      <c r="T502">
        <f t="shared" si="120"/>
        <v>0</v>
      </c>
      <c r="U502">
        <f t="shared" si="121"/>
        <v>0</v>
      </c>
      <c r="V502">
        <f t="shared" si="122"/>
        <v>0</v>
      </c>
      <c r="W502">
        <f t="shared" si="123"/>
        <v>0</v>
      </c>
      <c r="X502">
        <f t="shared" si="124"/>
        <v>0</v>
      </c>
      <c r="Y502">
        <f t="shared" si="125"/>
        <v>0</v>
      </c>
      <c r="Z502">
        <f t="shared" si="126"/>
        <v>0</v>
      </c>
      <c r="AB502">
        <v>498</v>
      </c>
      <c r="AC502">
        <f t="shared" si="127"/>
        <v>12</v>
      </c>
      <c r="AD502">
        <f t="shared" si="117"/>
        <v>0</v>
      </c>
    </row>
    <row r="503" spans="4:30" x14ac:dyDescent="0.25">
      <c r="D503" s="31">
        <f>Simulation_output!A501</f>
        <v>4995000</v>
      </c>
      <c r="E503">
        <f>Sheet2!R500</f>
        <v>0</v>
      </c>
      <c r="F503">
        <f>Sheet2!S500</f>
        <v>0</v>
      </c>
      <c r="G503">
        <f>Sheet2!T500</f>
        <v>0</v>
      </c>
      <c r="H503" s="31">
        <f>Simulation_output!E501</f>
        <v>1</v>
      </c>
      <c r="I503" s="31">
        <f>Simulation_output!F501</f>
        <v>5</v>
      </c>
      <c r="J503" s="31">
        <f>Simulation_output!G501</f>
        <v>1</v>
      </c>
      <c r="K503" s="31">
        <f>Simulation_output!H501</f>
        <v>0</v>
      </c>
      <c r="L503">
        <v>1</v>
      </c>
      <c r="M503">
        <f t="shared" si="131"/>
        <v>0</v>
      </c>
      <c r="N503">
        <f t="shared" si="130"/>
        <v>0</v>
      </c>
      <c r="O503">
        <f t="shared" si="129"/>
        <v>0</v>
      </c>
      <c r="P503">
        <f t="shared" si="132"/>
        <v>0</v>
      </c>
      <c r="Q503">
        <f t="shared" si="128"/>
        <v>0</v>
      </c>
      <c r="R503">
        <f t="shared" si="118"/>
        <v>0</v>
      </c>
      <c r="S503">
        <f t="shared" si="119"/>
        <v>0</v>
      </c>
      <c r="T503">
        <f t="shared" si="120"/>
        <v>0</v>
      </c>
      <c r="U503">
        <f t="shared" si="121"/>
        <v>0</v>
      </c>
      <c r="V503">
        <f t="shared" si="122"/>
        <v>0</v>
      </c>
      <c r="W503">
        <f t="shared" si="123"/>
        <v>0</v>
      </c>
      <c r="X503">
        <f t="shared" si="124"/>
        <v>0</v>
      </c>
      <c r="Y503">
        <f t="shared" si="125"/>
        <v>0</v>
      </c>
      <c r="Z503">
        <f t="shared" si="126"/>
        <v>0</v>
      </c>
      <c r="AB503">
        <v>499</v>
      </c>
      <c r="AC503">
        <f t="shared" si="127"/>
        <v>12</v>
      </c>
      <c r="AD503">
        <f t="shared" si="117"/>
        <v>0</v>
      </c>
    </row>
    <row r="504" spans="4:30" x14ac:dyDescent="0.25">
      <c r="D504" s="31">
        <f>Simulation_output!A502</f>
        <v>5005000</v>
      </c>
      <c r="E504">
        <f>Sheet2!R501</f>
        <v>0</v>
      </c>
      <c r="F504">
        <f>Sheet2!S501</f>
        <v>0</v>
      </c>
      <c r="G504">
        <f>Sheet2!T501</f>
        <v>0</v>
      </c>
      <c r="H504" s="31">
        <f>Simulation_output!E502</f>
        <v>1</v>
      </c>
      <c r="I504" s="31">
        <f>Simulation_output!F502</f>
        <v>22</v>
      </c>
      <c r="J504" s="31">
        <f>Simulation_output!G502</f>
        <v>1</v>
      </c>
      <c r="K504" s="31">
        <f>Simulation_output!H502</f>
        <v>0</v>
      </c>
      <c r="L504">
        <v>1</v>
      </c>
      <c r="M504">
        <f t="shared" si="131"/>
        <v>0</v>
      </c>
      <c r="N504">
        <f t="shared" si="130"/>
        <v>0</v>
      </c>
      <c r="O504">
        <f t="shared" si="129"/>
        <v>0</v>
      </c>
      <c r="P504">
        <f t="shared" si="132"/>
        <v>0</v>
      </c>
      <c r="Q504">
        <f t="shared" si="128"/>
        <v>0</v>
      </c>
      <c r="R504">
        <f t="shared" si="118"/>
        <v>0</v>
      </c>
      <c r="S504">
        <f t="shared" si="119"/>
        <v>0</v>
      </c>
      <c r="T504">
        <f t="shared" si="120"/>
        <v>0</v>
      </c>
      <c r="U504">
        <f t="shared" si="121"/>
        <v>0</v>
      </c>
      <c r="V504">
        <f t="shared" si="122"/>
        <v>0</v>
      </c>
      <c r="W504">
        <f t="shared" si="123"/>
        <v>0</v>
      </c>
      <c r="X504">
        <f t="shared" si="124"/>
        <v>0</v>
      </c>
      <c r="Y504">
        <f t="shared" si="125"/>
        <v>0</v>
      </c>
      <c r="Z504">
        <f t="shared" si="126"/>
        <v>0</v>
      </c>
      <c r="AB504">
        <v>500</v>
      </c>
      <c r="AC504">
        <f t="shared" si="127"/>
        <v>12</v>
      </c>
      <c r="AD504">
        <f t="shared" si="117"/>
        <v>0</v>
      </c>
    </row>
    <row r="505" spans="4:30" x14ac:dyDescent="0.25">
      <c r="D505" s="31">
        <f>Simulation_output!A503</f>
        <v>5015000</v>
      </c>
      <c r="E505">
        <f>Sheet2!R502</f>
        <v>0</v>
      </c>
      <c r="F505">
        <f>Sheet2!S502</f>
        <v>0</v>
      </c>
      <c r="G505">
        <f>Sheet2!T502</f>
        <v>0</v>
      </c>
      <c r="H505" s="31">
        <f>Simulation_output!E503</f>
        <v>1</v>
      </c>
      <c r="I505" s="31">
        <f>Simulation_output!F503</f>
        <v>122</v>
      </c>
      <c r="J505" s="31">
        <f>Simulation_output!G503</f>
        <v>1</v>
      </c>
      <c r="K505" s="31">
        <f>Simulation_output!H503</f>
        <v>0</v>
      </c>
      <c r="L505">
        <v>1</v>
      </c>
      <c r="M505">
        <f t="shared" si="131"/>
        <v>0</v>
      </c>
      <c r="N505">
        <f t="shared" si="130"/>
        <v>0</v>
      </c>
      <c r="O505">
        <f t="shared" si="129"/>
        <v>0</v>
      </c>
      <c r="P505">
        <f t="shared" si="132"/>
        <v>0</v>
      </c>
      <c r="Q505">
        <f t="shared" si="128"/>
        <v>0</v>
      </c>
      <c r="R505">
        <f t="shared" si="118"/>
        <v>0</v>
      </c>
      <c r="S505">
        <f t="shared" si="119"/>
        <v>0</v>
      </c>
      <c r="T505">
        <f t="shared" si="120"/>
        <v>0</v>
      </c>
      <c r="U505">
        <f t="shared" si="121"/>
        <v>0</v>
      </c>
      <c r="V505">
        <f t="shared" si="122"/>
        <v>0</v>
      </c>
      <c r="W505">
        <f t="shared" si="123"/>
        <v>0</v>
      </c>
      <c r="X505">
        <f t="shared" si="124"/>
        <v>0</v>
      </c>
      <c r="Y505">
        <f t="shared" si="125"/>
        <v>0</v>
      </c>
      <c r="Z505">
        <f t="shared" si="126"/>
        <v>0</v>
      </c>
      <c r="AB505">
        <v>501</v>
      </c>
      <c r="AC505">
        <f t="shared" si="127"/>
        <v>12</v>
      </c>
      <c r="AD505">
        <f t="shared" si="117"/>
        <v>0</v>
      </c>
    </row>
    <row r="506" spans="4:30" x14ac:dyDescent="0.25">
      <c r="D506" s="31">
        <f>Simulation_output!A504</f>
        <v>5025000</v>
      </c>
      <c r="E506">
        <f>Sheet2!R503</f>
        <v>0</v>
      </c>
      <c r="F506">
        <f>Sheet2!S503</f>
        <v>0</v>
      </c>
      <c r="G506">
        <f>Sheet2!T503</f>
        <v>0</v>
      </c>
      <c r="H506" s="31">
        <f>Simulation_output!E504</f>
        <v>1</v>
      </c>
      <c r="I506" s="31">
        <f>Simulation_output!F504</f>
        <v>1022</v>
      </c>
      <c r="J506" s="31">
        <f>Simulation_output!G504</f>
        <v>1</v>
      </c>
      <c r="K506" s="31">
        <f>Simulation_output!H504</f>
        <v>0</v>
      </c>
      <c r="L506">
        <v>1</v>
      </c>
      <c r="M506">
        <f t="shared" si="131"/>
        <v>0</v>
      </c>
      <c r="N506">
        <f t="shared" si="130"/>
        <v>0</v>
      </c>
      <c r="O506">
        <f t="shared" si="129"/>
        <v>0</v>
      </c>
      <c r="P506">
        <f t="shared" si="132"/>
        <v>0</v>
      </c>
      <c r="Q506">
        <f t="shared" si="128"/>
        <v>0</v>
      </c>
      <c r="R506">
        <f t="shared" si="118"/>
        <v>0</v>
      </c>
      <c r="S506">
        <f t="shared" si="119"/>
        <v>0</v>
      </c>
      <c r="T506">
        <f t="shared" si="120"/>
        <v>0</v>
      </c>
      <c r="U506">
        <f t="shared" si="121"/>
        <v>0</v>
      </c>
      <c r="V506">
        <f t="shared" si="122"/>
        <v>0</v>
      </c>
      <c r="W506">
        <f t="shared" si="123"/>
        <v>0</v>
      </c>
      <c r="X506">
        <f t="shared" si="124"/>
        <v>0</v>
      </c>
      <c r="Y506">
        <f t="shared" si="125"/>
        <v>0</v>
      </c>
      <c r="Z506">
        <f t="shared" si="126"/>
        <v>0</v>
      </c>
      <c r="AB506">
        <v>502</v>
      </c>
      <c r="AC506">
        <f t="shared" si="127"/>
        <v>12</v>
      </c>
      <c r="AD506">
        <f t="shared" si="117"/>
        <v>0</v>
      </c>
    </row>
    <row r="507" spans="4:30" x14ac:dyDescent="0.25">
      <c r="D507" s="31">
        <f>Simulation_output!A505</f>
        <v>5035000</v>
      </c>
      <c r="E507">
        <f>Sheet2!R504</f>
        <v>0</v>
      </c>
      <c r="F507">
        <f>Sheet2!S504</f>
        <v>0</v>
      </c>
      <c r="G507">
        <f>Sheet2!T504</f>
        <v>0</v>
      </c>
      <c r="H507" s="31">
        <f>Simulation_output!E505</f>
        <v>1</v>
      </c>
      <c r="I507" s="31">
        <f>Simulation_output!F505</f>
        <v>10022</v>
      </c>
      <c r="J507" s="31">
        <f>Simulation_output!G505</f>
        <v>1</v>
      </c>
      <c r="K507" s="31">
        <f>Simulation_output!H505</f>
        <v>0</v>
      </c>
      <c r="L507">
        <v>1</v>
      </c>
      <c r="M507">
        <f t="shared" si="131"/>
        <v>0</v>
      </c>
      <c r="N507">
        <f t="shared" si="130"/>
        <v>0</v>
      </c>
      <c r="O507">
        <f t="shared" si="129"/>
        <v>0</v>
      </c>
      <c r="P507">
        <f t="shared" si="132"/>
        <v>0</v>
      </c>
      <c r="Q507">
        <f t="shared" si="128"/>
        <v>0</v>
      </c>
      <c r="R507">
        <f t="shared" si="118"/>
        <v>0</v>
      </c>
      <c r="S507">
        <f t="shared" si="119"/>
        <v>0</v>
      </c>
      <c r="T507">
        <f t="shared" si="120"/>
        <v>0</v>
      </c>
      <c r="U507">
        <f t="shared" si="121"/>
        <v>0</v>
      </c>
      <c r="V507">
        <f t="shared" si="122"/>
        <v>0</v>
      </c>
      <c r="W507">
        <f t="shared" si="123"/>
        <v>0</v>
      </c>
      <c r="X507">
        <f t="shared" si="124"/>
        <v>0</v>
      </c>
      <c r="Y507">
        <f t="shared" si="125"/>
        <v>0</v>
      </c>
      <c r="Z507">
        <f t="shared" si="126"/>
        <v>0</v>
      </c>
      <c r="AB507">
        <v>503</v>
      </c>
      <c r="AC507">
        <f t="shared" si="127"/>
        <v>12</v>
      </c>
      <c r="AD507">
        <f t="shared" si="117"/>
        <v>0</v>
      </c>
    </row>
    <row r="508" spans="4:30" x14ac:dyDescent="0.25">
      <c r="D508" s="31">
        <f>Simulation_output!A506</f>
        <v>5045000</v>
      </c>
      <c r="E508">
        <f>Sheet2!R505</f>
        <v>0</v>
      </c>
      <c r="F508">
        <f>Sheet2!S505</f>
        <v>0</v>
      </c>
      <c r="G508">
        <f>Sheet2!T505</f>
        <v>0</v>
      </c>
      <c r="H508" s="31">
        <f>Simulation_output!E506</f>
        <v>1</v>
      </c>
      <c r="I508" s="31">
        <f>Simulation_output!F506</f>
        <v>1142</v>
      </c>
      <c r="J508" s="31">
        <f>Simulation_output!G506</f>
        <v>1</v>
      </c>
      <c r="K508" s="31">
        <f>Simulation_output!H506</f>
        <v>0</v>
      </c>
      <c r="L508">
        <v>1</v>
      </c>
      <c r="M508">
        <f t="shared" si="131"/>
        <v>0</v>
      </c>
      <c r="N508">
        <f t="shared" si="130"/>
        <v>0</v>
      </c>
      <c r="O508">
        <f t="shared" si="129"/>
        <v>0</v>
      </c>
      <c r="P508">
        <f t="shared" si="132"/>
        <v>0</v>
      </c>
      <c r="Q508">
        <f t="shared" si="128"/>
        <v>0</v>
      </c>
      <c r="R508">
        <f t="shared" si="118"/>
        <v>0</v>
      </c>
      <c r="S508">
        <f t="shared" si="119"/>
        <v>0</v>
      </c>
      <c r="T508">
        <f t="shared" si="120"/>
        <v>0</v>
      </c>
      <c r="U508">
        <f t="shared" si="121"/>
        <v>0</v>
      </c>
      <c r="V508">
        <f t="shared" si="122"/>
        <v>0</v>
      </c>
      <c r="W508">
        <f t="shared" si="123"/>
        <v>0</v>
      </c>
      <c r="X508">
        <f t="shared" si="124"/>
        <v>0</v>
      </c>
      <c r="Y508">
        <f t="shared" si="125"/>
        <v>0</v>
      </c>
      <c r="Z508">
        <f t="shared" si="126"/>
        <v>0</v>
      </c>
      <c r="AB508">
        <v>504</v>
      </c>
      <c r="AC508">
        <f t="shared" si="127"/>
        <v>12</v>
      </c>
      <c r="AD508">
        <f t="shared" si="117"/>
        <v>0</v>
      </c>
    </row>
    <row r="509" spans="4:30" x14ac:dyDescent="0.25">
      <c r="D509" s="31">
        <f>Simulation_output!A507</f>
        <v>5055000</v>
      </c>
      <c r="E509">
        <f>Sheet2!R506</f>
        <v>0</v>
      </c>
      <c r="F509">
        <f>Sheet2!S506</f>
        <v>0</v>
      </c>
      <c r="G509">
        <f>Sheet2!T506</f>
        <v>0</v>
      </c>
      <c r="H509" s="31">
        <f>Simulation_output!E507</f>
        <v>1</v>
      </c>
      <c r="I509" s="31">
        <f>Simulation_output!F507</f>
        <v>334</v>
      </c>
      <c r="J509" s="31">
        <f>Simulation_output!G507</f>
        <v>1</v>
      </c>
      <c r="K509" s="31">
        <f>Simulation_output!H507</f>
        <v>0</v>
      </c>
      <c r="L509">
        <v>1</v>
      </c>
      <c r="M509">
        <f t="shared" si="131"/>
        <v>0</v>
      </c>
      <c r="N509">
        <f t="shared" si="130"/>
        <v>0</v>
      </c>
      <c r="O509">
        <f t="shared" si="129"/>
        <v>0</v>
      </c>
      <c r="P509">
        <f t="shared" si="132"/>
        <v>0</v>
      </c>
      <c r="Q509">
        <f t="shared" si="128"/>
        <v>0</v>
      </c>
      <c r="R509">
        <f t="shared" si="118"/>
        <v>0</v>
      </c>
      <c r="S509">
        <f t="shared" si="119"/>
        <v>0</v>
      </c>
      <c r="T509">
        <f t="shared" si="120"/>
        <v>0</v>
      </c>
      <c r="U509">
        <f t="shared" si="121"/>
        <v>0</v>
      </c>
      <c r="V509">
        <f t="shared" si="122"/>
        <v>0</v>
      </c>
      <c r="W509">
        <f t="shared" si="123"/>
        <v>0</v>
      </c>
      <c r="X509">
        <f t="shared" si="124"/>
        <v>0</v>
      </c>
      <c r="Y509">
        <f t="shared" si="125"/>
        <v>0</v>
      </c>
      <c r="Z509">
        <f t="shared" si="126"/>
        <v>0</v>
      </c>
      <c r="AB509">
        <v>505</v>
      </c>
      <c r="AC509">
        <f t="shared" si="127"/>
        <v>12</v>
      </c>
      <c r="AD509">
        <f t="shared" si="117"/>
        <v>0</v>
      </c>
    </row>
    <row r="510" spans="4:30" x14ac:dyDescent="0.25">
      <c r="D510" s="31">
        <f>Simulation_output!A508</f>
        <v>5065000</v>
      </c>
      <c r="E510">
        <f>Sheet2!R507</f>
        <v>0</v>
      </c>
      <c r="F510">
        <f>Sheet2!S507</f>
        <v>0</v>
      </c>
      <c r="G510">
        <f>Sheet2!T507</f>
        <v>0</v>
      </c>
      <c r="H510" s="31">
        <f>Simulation_output!E508</f>
        <v>1</v>
      </c>
      <c r="I510" s="31">
        <f>Simulation_output!F508</f>
        <v>0</v>
      </c>
      <c r="J510" s="31">
        <f>Simulation_output!G508</f>
        <v>1</v>
      </c>
      <c r="K510" s="31">
        <f>Simulation_output!H508</f>
        <v>0</v>
      </c>
      <c r="L510">
        <v>1</v>
      </c>
      <c r="M510">
        <f t="shared" si="131"/>
        <v>0</v>
      </c>
      <c r="N510">
        <f t="shared" si="130"/>
        <v>0</v>
      </c>
      <c r="O510">
        <f t="shared" si="129"/>
        <v>0</v>
      </c>
      <c r="P510">
        <f t="shared" si="132"/>
        <v>0</v>
      </c>
      <c r="Q510">
        <f t="shared" si="128"/>
        <v>0</v>
      </c>
      <c r="R510">
        <f t="shared" si="118"/>
        <v>0</v>
      </c>
      <c r="S510">
        <f t="shared" si="119"/>
        <v>0</v>
      </c>
      <c r="T510">
        <f t="shared" si="120"/>
        <v>0</v>
      </c>
      <c r="U510">
        <f t="shared" si="121"/>
        <v>0</v>
      </c>
      <c r="V510">
        <f t="shared" si="122"/>
        <v>0</v>
      </c>
      <c r="W510">
        <f t="shared" si="123"/>
        <v>0</v>
      </c>
      <c r="X510">
        <f t="shared" si="124"/>
        <v>0</v>
      </c>
      <c r="Y510">
        <f t="shared" si="125"/>
        <v>0</v>
      </c>
      <c r="Z510">
        <f t="shared" si="126"/>
        <v>0</v>
      </c>
      <c r="AB510">
        <v>506</v>
      </c>
      <c r="AC510">
        <f t="shared" si="127"/>
        <v>12</v>
      </c>
      <c r="AD510">
        <f t="shared" si="117"/>
        <v>0</v>
      </c>
    </row>
    <row r="511" spans="4:30" x14ac:dyDescent="0.25">
      <c r="D511" s="31">
        <f>Simulation_output!A509</f>
        <v>5075000</v>
      </c>
      <c r="E511">
        <f>Sheet2!R508</f>
        <v>0</v>
      </c>
      <c r="F511">
        <f>Sheet2!S508</f>
        <v>0</v>
      </c>
      <c r="G511">
        <f>Sheet2!T508</f>
        <v>0</v>
      </c>
      <c r="H511" s="31">
        <f>Simulation_output!E509</f>
        <v>1</v>
      </c>
      <c r="I511" s="31">
        <f>Simulation_output!F509</f>
        <v>268435454</v>
      </c>
      <c r="J511" s="31">
        <f>Simulation_output!G509</f>
        <v>1</v>
      </c>
      <c r="K511" s="31">
        <f>Simulation_output!H509</f>
        <v>1</v>
      </c>
      <c r="L511">
        <v>1</v>
      </c>
      <c r="M511" t="str">
        <f t="shared" si="131"/>
        <v>FFFFFFF</v>
      </c>
      <c r="N511">
        <f t="shared" si="130"/>
        <v>13</v>
      </c>
      <c r="O511">
        <f t="shared" si="129"/>
        <v>155</v>
      </c>
      <c r="P511">
        <f t="shared" si="132"/>
        <v>325</v>
      </c>
      <c r="Q511">
        <f t="shared" si="128"/>
        <v>25</v>
      </c>
      <c r="R511">
        <f t="shared" si="118"/>
        <v>5</v>
      </c>
      <c r="S511">
        <f t="shared" si="119"/>
        <v>22</v>
      </c>
      <c r="T511">
        <f t="shared" si="120"/>
        <v>122</v>
      </c>
      <c r="U511">
        <f t="shared" si="121"/>
        <v>1022</v>
      </c>
      <c r="V511">
        <f t="shared" si="122"/>
        <v>10022</v>
      </c>
      <c r="W511">
        <f t="shared" si="123"/>
        <v>1142</v>
      </c>
      <c r="X511">
        <f t="shared" si="124"/>
        <v>334</v>
      </c>
      <c r="Y511">
        <f t="shared" si="125"/>
        <v>0</v>
      </c>
      <c r="Z511" t="str">
        <f t="shared" si="126"/>
        <v>FFFFFFE</v>
      </c>
      <c r="AB511">
        <v>507</v>
      </c>
      <c r="AC511">
        <f t="shared" si="127"/>
        <v>13</v>
      </c>
      <c r="AD511">
        <f t="shared" si="117"/>
        <v>13</v>
      </c>
    </row>
    <row r="512" spans="4:30" x14ac:dyDescent="0.25">
      <c r="D512" s="31">
        <f>Simulation_output!A510</f>
        <v>5085000</v>
      </c>
      <c r="E512">
        <f>Sheet2!R509</f>
        <v>0</v>
      </c>
      <c r="F512">
        <f>Sheet2!S509</f>
        <v>0</v>
      </c>
      <c r="G512">
        <f>Sheet2!T509</f>
        <v>0</v>
      </c>
      <c r="H512" s="31">
        <f>Simulation_output!E510</f>
        <v>1</v>
      </c>
      <c r="I512" s="31">
        <f>Simulation_output!F510</f>
        <v>268435455</v>
      </c>
      <c r="J512" s="31">
        <f>Simulation_output!G510</f>
        <v>1</v>
      </c>
      <c r="K512" s="31">
        <f>Simulation_output!H510</f>
        <v>0</v>
      </c>
      <c r="L512">
        <v>1</v>
      </c>
      <c r="M512">
        <f t="shared" si="131"/>
        <v>0</v>
      </c>
      <c r="N512">
        <f t="shared" si="130"/>
        <v>0</v>
      </c>
      <c r="O512">
        <f t="shared" si="129"/>
        <v>0</v>
      </c>
      <c r="P512">
        <f t="shared" si="132"/>
        <v>0</v>
      </c>
      <c r="Q512">
        <f t="shared" si="128"/>
        <v>0</v>
      </c>
      <c r="R512">
        <f t="shared" si="118"/>
        <v>0</v>
      </c>
      <c r="S512">
        <f t="shared" si="119"/>
        <v>0</v>
      </c>
      <c r="T512">
        <f t="shared" si="120"/>
        <v>0</v>
      </c>
      <c r="U512">
        <f t="shared" si="121"/>
        <v>0</v>
      </c>
      <c r="V512">
        <f t="shared" si="122"/>
        <v>0</v>
      </c>
      <c r="W512">
        <f t="shared" si="123"/>
        <v>0</v>
      </c>
      <c r="X512">
        <f t="shared" si="124"/>
        <v>0</v>
      </c>
      <c r="Y512">
        <f t="shared" si="125"/>
        <v>0</v>
      </c>
      <c r="Z512">
        <f t="shared" si="126"/>
        <v>0</v>
      </c>
      <c r="AB512">
        <v>508</v>
      </c>
      <c r="AC512">
        <f t="shared" si="127"/>
        <v>13</v>
      </c>
      <c r="AD512">
        <f t="shared" si="117"/>
        <v>0</v>
      </c>
    </row>
    <row r="513" spans="4:30" x14ac:dyDescent="0.25">
      <c r="D513" s="31">
        <f>Simulation_output!A511</f>
        <v>5095000</v>
      </c>
      <c r="E513">
        <f>Sheet2!R510</f>
        <v>0</v>
      </c>
      <c r="F513">
        <f>Sheet2!S510</f>
        <v>0</v>
      </c>
      <c r="G513">
        <f>Sheet2!T510</f>
        <v>0</v>
      </c>
      <c r="H513" s="31">
        <f>Simulation_output!E511</f>
        <v>1</v>
      </c>
      <c r="I513" s="31">
        <f>Simulation_output!F511</f>
        <v>14</v>
      </c>
      <c r="J513" s="31">
        <f>Simulation_output!G511</f>
        <v>1</v>
      </c>
      <c r="K513" s="31">
        <f>Simulation_output!H511</f>
        <v>0</v>
      </c>
      <c r="L513">
        <v>1</v>
      </c>
      <c r="M513">
        <f t="shared" si="131"/>
        <v>0</v>
      </c>
      <c r="N513">
        <f t="shared" si="130"/>
        <v>0</v>
      </c>
      <c r="O513">
        <f t="shared" si="129"/>
        <v>0</v>
      </c>
      <c r="P513">
        <f t="shared" si="132"/>
        <v>0</v>
      </c>
      <c r="Q513">
        <f t="shared" si="128"/>
        <v>0</v>
      </c>
      <c r="R513">
        <f t="shared" si="118"/>
        <v>0</v>
      </c>
      <c r="S513">
        <f t="shared" si="119"/>
        <v>0</v>
      </c>
      <c r="T513">
        <f t="shared" si="120"/>
        <v>0</v>
      </c>
      <c r="U513">
        <f t="shared" si="121"/>
        <v>0</v>
      </c>
      <c r="V513">
        <f t="shared" si="122"/>
        <v>0</v>
      </c>
      <c r="W513">
        <f t="shared" si="123"/>
        <v>0</v>
      </c>
      <c r="X513">
        <f t="shared" si="124"/>
        <v>0</v>
      </c>
      <c r="Y513">
        <f t="shared" si="125"/>
        <v>0</v>
      </c>
      <c r="Z513">
        <f t="shared" si="126"/>
        <v>0</v>
      </c>
      <c r="AB513">
        <v>509</v>
      </c>
      <c r="AC513">
        <f t="shared" si="127"/>
        <v>13</v>
      </c>
      <c r="AD513">
        <f t="shared" si="117"/>
        <v>0</v>
      </c>
    </row>
    <row r="514" spans="4:30" x14ac:dyDescent="0.25">
      <c r="D514" s="31">
        <f>Simulation_output!A512</f>
        <v>5105000</v>
      </c>
      <c r="E514">
        <f>Sheet2!R511</f>
        <v>0</v>
      </c>
      <c r="F514">
        <f>Sheet2!S511</f>
        <v>0</v>
      </c>
      <c r="G514">
        <f>Sheet2!T511</f>
        <v>0</v>
      </c>
      <c r="H514" s="31">
        <f>Simulation_output!E512</f>
        <v>1</v>
      </c>
      <c r="I514" s="31">
        <f>Simulation_output!F512</f>
        <v>167</v>
      </c>
      <c r="J514" s="31">
        <f>Simulation_output!G512</f>
        <v>1</v>
      </c>
      <c r="K514" s="31">
        <f>Simulation_output!H512</f>
        <v>0</v>
      </c>
      <c r="L514">
        <v>1</v>
      </c>
      <c r="M514">
        <f t="shared" si="131"/>
        <v>0</v>
      </c>
      <c r="N514">
        <f t="shared" si="130"/>
        <v>0</v>
      </c>
      <c r="O514">
        <f t="shared" si="129"/>
        <v>0</v>
      </c>
      <c r="P514">
        <f t="shared" si="132"/>
        <v>0</v>
      </c>
      <c r="Q514">
        <f t="shared" si="128"/>
        <v>0</v>
      </c>
      <c r="R514">
        <f t="shared" si="118"/>
        <v>0</v>
      </c>
      <c r="S514">
        <f t="shared" si="119"/>
        <v>0</v>
      </c>
      <c r="T514">
        <f t="shared" si="120"/>
        <v>0</v>
      </c>
      <c r="U514">
        <f t="shared" si="121"/>
        <v>0</v>
      </c>
      <c r="V514">
        <f t="shared" si="122"/>
        <v>0</v>
      </c>
      <c r="W514">
        <f t="shared" si="123"/>
        <v>0</v>
      </c>
      <c r="X514">
        <f t="shared" si="124"/>
        <v>0</v>
      </c>
      <c r="Y514">
        <f t="shared" si="125"/>
        <v>0</v>
      </c>
      <c r="Z514">
        <f t="shared" si="126"/>
        <v>0</v>
      </c>
      <c r="AB514">
        <v>510</v>
      </c>
      <c r="AC514">
        <f t="shared" si="127"/>
        <v>13</v>
      </c>
      <c r="AD514">
        <f t="shared" si="117"/>
        <v>0</v>
      </c>
    </row>
    <row r="515" spans="4:30" x14ac:dyDescent="0.25">
      <c r="D515" s="31">
        <f>Simulation_output!A513</f>
        <v>5115000</v>
      </c>
      <c r="E515">
        <f>Sheet2!R512</f>
        <v>0</v>
      </c>
      <c r="F515">
        <f>Sheet2!S512</f>
        <v>0</v>
      </c>
      <c r="G515">
        <f>Sheet2!T512</f>
        <v>0</v>
      </c>
      <c r="H515" s="31">
        <f>Simulation_output!E513</f>
        <v>1</v>
      </c>
      <c r="I515" s="31">
        <f>Simulation_output!F513</f>
        <v>326</v>
      </c>
      <c r="J515" s="31">
        <f>Simulation_output!G513</f>
        <v>1</v>
      </c>
      <c r="K515" s="31">
        <f>Simulation_output!H513</f>
        <v>0</v>
      </c>
      <c r="L515">
        <v>1</v>
      </c>
      <c r="M515">
        <f t="shared" si="131"/>
        <v>0</v>
      </c>
      <c r="N515">
        <f t="shared" si="130"/>
        <v>0</v>
      </c>
      <c r="O515">
        <f t="shared" si="129"/>
        <v>0</v>
      </c>
      <c r="P515">
        <f t="shared" si="132"/>
        <v>0</v>
      </c>
      <c r="Q515">
        <f t="shared" si="128"/>
        <v>0</v>
      </c>
      <c r="R515">
        <f t="shared" si="118"/>
        <v>0</v>
      </c>
      <c r="S515">
        <f t="shared" si="119"/>
        <v>0</v>
      </c>
      <c r="T515">
        <f t="shared" si="120"/>
        <v>0</v>
      </c>
      <c r="U515">
        <f t="shared" si="121"/>
        <v>0</v>
      </c>
      <c r="V515">
        <f t="shared" si="122"/>
        <v>0</v>
      </c>
      <c r="W515">
        <f t="shared" si="123"/>
        <v>0</v>
      </c>
      <c r="X515">
        <f t="shared" si="124"/>
        <v>0</v>
      </c>
      <c r="Y515">
        <f t="shared" si="125"/>
        <v>0</v>
      </c>
      <c r="Z515">
        <f t="shared" si="126"/>
        <v>0</v>
      </c>
      <c r="AB515">
        <v>511</v>
      </c>
      <c r="AC515">
        <f t="shared" si="127"/>
        <v>13</v>
      </c>
      <c r="AD515">
        <f t="shared" si="117"/>
        <v>0</v>
      </c>
    </row>
    <row r="516" spans="4:30" x14ac:dyDescent="0.25">
      <c r="D516" s="31">
        <f>Simulation_output!A514</f>
        <v>5125000</v>
      </c>
      <c r="E516">
        <f>Sheet2!R513</f>
        <v>0</v>
      </c>
      <c r="F516">
        <f>Sheet2!S513</f>
        <v>0</v>
      </c>
      <c r="G516">
        <f>Sheet2!T513</f>
        <v>0</v>
      </c>
      <c r="H516" s="31">
        <f>Simulation_output!E514</f>
        <v>1</v>
      </c>
      <c r="I516" s="31">
        <f>Simulation_output!F514</f>
        <v>25</v>
      </c>
      <c r="J516" s="31">
        <f>Simulation_output!G514</f>
        <v>1</v>
      </c>
      <c r="K516" s="31">
        <f>Simulation_output!H514</f>
        <v>0</v>
      </c>
      <c r="L516">
        <v>1</v>
      </c>
      <c r="M516">
        <f t="shared" si="131"/>
        <v>0</v>
      </c>
      <c r="N516">
        <f t="shared" si="130"/>
        <v>0</v>
      </c>
      <c r="O516">
        <f t="shared" si="129"/>
        <v>0</v>
      </c>
      <c r="P516">
        <f t="shared" si="132"/>
        <v>0</v>
      </c>
      <c r="Q516">
        <f t="shared" si="128"/>
        <v>0</v>
      </c>
      <c r="R516">
        <f t="shared" si="118"/>
        <v>0</v>
      </c>
      <c r="S516">
        <f t="shared" si="119"/>
        <v>0</v>
      </c>
      <c r="T516">
        <f t="shared" si="120"/>
        <v>0</v>
      </c>
      <c r="U516">
        <f t="shared" si="121"/>
        <v>0</v>
      </c>
      <c r="V516">
        <f t="shared" si="122"/>
        <v>0</v>
      </c>
      <c r="W516">
        <f t="shared" si="123"/>
        <v>0</v>
      </c>
      <c r="X516">
        <f t="shared" si="124"/>
        <v>0</v>
      </c>
      <c r="Y516">
        <f t="shared" si="125"/>
        <v>0</v>
      </c>
      <c r="Z516">
        <f t="shared" si="126"/>
        <v>0</v>
      </c>
      <c r="AB516">
        <v>512</v>
      </c>
      <c r="AC516">
        <f t="shared" si="127"/>
        <v>13</v>
      </c>
      <c r="AD516">
        <f t="shared" si="117"/>
        <v>0</v>
      </c>
    </row>
    <row r="517" spans="4:30" x14ac:dyDescent="0.25">
      <c r="D517" s="31">
        <f>Simulation_output!A515</f>
        <v>5135000</v>
      </c>
      <c r="E517">
        <f>Sheet2!R514</f>
        <v>0</v>
      </c>
      <c r="F517">
        <f>Sheet2!S514</f>
        <v>0</v>
      </c>
      <c r="G517">
        <f>Sheet2!T514</f>
        <v>0</v>
      </c>
      <c r="H517" s="31">
        <f>Simulation_output!E515</f>
        <v>1</v>
      </c>
      <c r="I517" s="31">
        <f>Simulation_output!F515</f>
        <v>5</v>
      </c>
      <c r="J517" s="31">
        <f>Simulation_output!G515</f>
        <v>1</v>
      </c>
      <c r="K517" s="31">
        <f>Simulation_output!H515</f>
        <v>0</v>
      </c>
      <c r="L517">
        <v>1</v>
      </c>
      <c r="M517">
        <f t="shared" si="131"/>
        <v>0</v>
      </c>
      <c r="N517">
        <f t="shared" si="130"/>
        <v>0</v>
      </c>
      <c r="O517">
        <f t="shared" si="129"/>
        <v>0</v>
      </c>
      <c r="P517">
        <f t="shared" si="132"/>
        <v>0</v>
      </c>
      <c r="Q517">
        <f t="shared" si="128"/>
        <v>0</v>
      </c>
      <c r="R517">
        <f t="shared" si="118"/>
        <v>0</v>
      </c>
      <c r="S517">
        <f t="shared" si="119"/>
        <v>0</v>
      </c>
      <c r="T517">
        <f t="shared" si="120"/>
        <v>0</v>
      </c>
      <c r="U517">
        <f t="shared" si="121"/>
        <v>0</v>
      </c>
      <c r="V517">
        <f t="shared" si="122"/>
        <v>0</v>
      </c>
      <c r="W517">
        <f t="shared" si="123"/>
        <v>0</v>
      </c>
      <c r="X517">
        <f t="shared" si="124"/>
        <v>0</v>
      </c>
      <c r="Y517">
        <f t="shared" si="125"/>
        <v>0</v>
      </c>
      <c r="Z517">
        <f t="shared" si="126"/>
        <v>0</v>
      </c>
      <c r="AB517">
        <v>513</v>
      </c>
      <c r="AC517">
        <f t="shared" si="127"/>
        <v>13</v>
      </c>
      <c r="AD517">
        <f t="shared" si="117"/>
        <v>0</v>
      </c>
    </row>
    <row r="518" spans="4:30" x14ac:dyDescent="0.25">
      <c r="D518" s="31">
        <f>Simulation_output!A516</f>
        <v>5145000</v>
      </c>
      <c r="E518">
        <f>Sheet2!R515</f>
        <v>0</v>
      </c>
      <c r="F518">
        <f>Sheet2!S515</f>
        <v>0</v>
      </c>
      <c r="G518">
        <f>Sheet2!T515</f>
        <v>0</v>
      </c>
      <c r="H518" s="31">
        <f>Simulation_output!E516</f>
        <v>1</v>
      </c>
      <c r="I518" s="31">
        <f>Simulation_output!F516</f>
        <v>23</v>
      </c>
      <c r="J518" s="31">
        <f>Simulation_output!G516</f>
        <v>1</v>
      </c>
      <c r="K518" s="31">
        <f>Simulation_output!H516</f>
        <v>0</v>
      </c>
      <c r="L518">
        <v>1</v>
      </c>
      <c r="M518">
        <f t="shared" si="131"/>
        <v>0</v>
      </c>
      <c r="N518">
        <f t="shared" si="130"/>
        <v>0</v>
      </c>
      <c r="O518">
        <f t="shared" si="129"/>
        <v>0</v>
      </c>
      <c r="P518">
        <f t="shared" si="132"/>
        <v>0</v>
      </c>
      <c r="Q518">
        <f t="shared" si="128"/>
        <v>0</v>
      </c>
      <c r="R518">
        <f t="shared" si="118"/>
        <v>0</v>
      </c>
      <c r="S518">
        <f t="shared" si="119"/>
        <v>0</v>
      </c>
      <c r="T518">
        <f t="shared" si="120"/>
        <v>0</v>
      </c>
      <c r="U518">
        <f t="shared" si="121"/>
        <v>0</v>
      </c>
      <c r="V518">
        <f t="shared" si="122"/>
        <v>0</v>
      </c>
      <c r="W518">
        <f t="shared" si="123"/>
        <v>0</v>
      </c>
      <c r="X518">
        <f t="shared" si="124"/>
        <v>0</v>
      </c>
      <c r="Y518">
        <f t="shared" si="125"/>
        <v>0</v>
      </c>
      <c r="Z518">
        <f t="shared" si="126"/>
        <v>0</v>
      </c>
      <c r="AB518">
        <v>514</v>
      </c>
      <c r="AC518">
        <f t="shared" si="127"/>
        <v>13</v>
      </c>
      <c r="AD518">
        <f t="shared" ref="AD518:AD581" si="133">IF(M518="FFFFFFF",AC518,0)</f>
        <v>0</v>
      </c>
    </row>
    <row r="519" spans="4:30" x14ac:dyDescent="0.25">
      <c r="D519" s="31">
        <f>Simulation_output!A517</f>
        <v>5155000</v>
      </c>
      <c r="E519">
        <f>Sheet2!R516</f>
        <v>0</v>
      </c>
      <c r="F519">
        <f>Sheet2!S516</f>
        <v>0</v>
      </c>
      <c r="G519">
        <f>Sheet2!T516</f>
        <v>0</v>
      </c>
      <c r="H519" s="31">
        <f>Simulation_output!E517</f>
        <v>1</v>
      </c>
      <c r="I519" s="31">
        <f>Simulation_output!F517</f>
        <v>123</v>
      </c>
      <c r="J519" s="31">
        <f>Simulation_output!G517</f>
        <v>1</v>
      </c>
      <c r="K519" s="31">
        <f>Simulation_output!H517</f>
        <v>0</v>
      </c>
      <c r="L519">
        <v>1</v>
      </c>
      <c r="M519">
        <f t="shared" si="131"/>
        <v>0</v>
      </c>
      <c r="N519">
        <f t="shared" si="130"/>
        <v>0</v>
      </c>
      <c r="O519">
        <f t="shared" si="129"/>
        <v>0</v>
      </c>
      <c r="P519">
        <f t="shared" si="132"/>
        <v>0</v>
      </c>
      <c r="Q519">
        <f t="shared" si="128"/>
        <v>0</v>
      </c>
      <c r="R519">
        <f t="shared" ref="R519:R582" si="134">IF(K519&gt;0,I511,0)</f>
        <v>0</v>
      </c>
      <c r="S519">
        <f t="shared" ref="S519:S582" si="135">IF(K519&gt;0,I512,0)</f>
        <v>0</v>
      </c>
      <c r="T519">
        <f t="shared" ref="T519:T582" si="136">IF(K519&gt;0,I513,0)</f>
        <v>0</v>
      </c>
      <c r="U519">
        <f t="shared" ref="U519:U582" si="137">IF(K519&gt;0,I514,0)</f>
        <v>0</v>
      </c>
      <c r="V519">
        <f t="shared" ref="V519:V582" si="138">IF(K519&gt;0,I515,0)</f>
        <v>0</v>
      </c>
      <c r="W519">
        <f t="shared" ref="W519:W582" si="139">IF(K519&gt;0,I516,0)</f>
        <v>0</v>
      </c>
      <c r="X519">
        <f t="shared" ref="X519:X582" si="140">IF(K519&gt;0,I517,0)</f>
        <v>0</v>
      </c>
      <c r="Y519">
        <f t="shared" ref="Y519:Y582" si="141">IF(K519&gt;0,I518,0)</f>
        <v>0</v>
      </c>
      <c r="Z519">
        <f t="shared" ref="Z519:Z582" si="142">IF(K519&gt;0,DEC2HEX(I519),0)</f>
        <v>0</v>
      </c>
      <c r="AB519">
        <v>515</v>
      </c>
      <c r="AC519">
        <f t="shared" ref="AC519:AC582" si="143">IF(M519="FFFFFFF",AC518+1,AC518)</f>
        <v>13</v>
      </c>
      <c r="AD519">
        <f t="shared" si="133"/>
        <v>0</v>
      </c>
    </row>
    <row r="520" spans="4:30" x14ac:dyDescent="0.25">
      <c r="D520" s="31">
        <f>Simulation_output!A518</f>
        <v>5165000</v>
      </c>
      <c r="E520">
        <f>Sheet2!R517</f>
        <v>0</v>
      </c>
      <c r="F520">
        <f>Sheet2!S517</f>
        <v>0</v>
      </c>
      <c r="G520">
        <f>Sheet2!T517</f>
        <v>0</v>
      </c>
      <c r="H520" s="31">
        <f>Simulation_output!E518</f>
        <v>1</v>
      </c>
      <c r="I520" s="31">
        <f>Simulation_output!F518</f>
        <v>1023</v>
      </c>
      <c r="J520" s="31">
        <f>Simulation_output!G518</f>
        <v>1</v>
      </c>
      <c r="K520" s="31">
        <f>Simulation_output!H518</f>
        <v>0</v>
      </c>
      <c r="L520">
        <v>1</v>
      </c>
      <c r="M520">
        <f t="shared" si="131"/>
        <v>0</v>
      </c>
      <c r="N520">
        <f t="shared" si="130"/>
        <v>0</v>
      </c>
      <c r="O520">
        <f t="shared" si="129"/>
        <v>0</v>
      </c>
      <c r="P520">
        <f t="shared" si="132"/>
        <v>0</v>
      </c>
      <c r="Q520">
        <f t="shared" si="128"/>
        <v>0</v>
      </c>
      <c r="R520">
        <f t="shared" si="134"/>
        <v>0</v>
      </c>
      <c r="S520">
        <f t="shared" si="135"/>
        <v>0</v>
      </c>
      <c r="T520">
        <f t="shared" si="136"/>
        <v>0</v>
      </c>
      <c r="U520">
        <f t="shared" si="137"/>
        <v>0</v>
      </c>
      <c r="V520">
        <f t="shared" si="138"/>
        <v>0</v>
      </c>
      <c r="W520">
        <f t="shared" si="139"/>
        <v>0</v>
      </c>
      <c r="X520">
        <f t="shared" si="140"/>
        <v>0</v>
      </c>
      <c r="Y520">
        <f t="shared" si="141"/>
        <v>0</v>
      </c>
      <c r="Z520">
        <f t="shared" si="142"/>
        <v>0</v>
      </c>
      <c r="AB520">
        <v>516</v>
      </c>
      <c r="AC520">
        <f t="shared" si="143"/>
        <v>13</v>
      </c>
      <c r="AD520">
        <f t="shared" si="133"/>
        <v>0</v>
      </c>
    </row>
    <row r="521" spans="4:30" x14ac:dyDescent="0.25">
      <c r="D521" s="31">
        <f>Simulation_output!A519</f>
        <v>5175000</v>
      </c>
      <c r="E521">
        <f>Sheet2!R518</f>
        <v>0</v>
      </c>
      <c r="F521">
        <f>Sheet2!S518</f>
        <v>0</v>
      </c>
      <c r="G521">
        <f>Sheet2!T518</f>
        <v>0</v>
      </c>
      <c r="H521" s="31">
        <f>Simulation_output!E519</f>
        <v>1</v>
      </c>
      <c r="I521" s="31">
        <f>Simulation_output!F519</f>
        <v>10023</v>
      </c>
      <c r="J521" s="31">
        <f>Simulation_output!G519</f>
        <v>1</v>
      </c>
      <c r="K521" s="31">
        <f>Simulation_output!H519</f>
        <v>0</v>
      </c>
      <c r="L521">
        <v>1</v>
      </c>
      <c r="M521">
        <f t="shared" si="131"/>
        <v>0</v>
      </c>
      <c r="N521">
        <f t="shared" si="130"/>
        <v>0</v>
      </c>
      <c r="O521">
        <f t="shared" si="129"/>
        <v>0</v>
      </c>
      <c r="P521">
        <f t="shared" si="132"/>
        <v>0</v>
      </c>
      <c r="Q521">
        <f t="shared" si="128"/>
        <v>0</v>
      </c>
      <c r="R521">
        <f t="shared" si="134"/>
        <v>0</v>
      </c>
      <c r="S521">
        <f t="shared" si="135"/>
        <v>0</v>
      </c>
      <c r="T521">
        <f t="shared" si="136"/>
        <v>0</v>
      </c>
      <c r="U521">
        <f t="shared" si="137"/>
        <v>0</v>
      </c>
      <c r="V521">
        <f t="shared" si="138"/>
        <v>0</v>
      </c>
      <c r="W521">
        <f t="shared" si="139"/>
        <v>0</v>
      </c>
      <c r="X521">
        <f t="shared" si="140"/>
        <v>0</v>
      </c>
      <c r="Y521">
        <f t="shared" si="141"/>
        <v>0</v>
      </c>
      <c r="Z521">
        <f t="shared" si="142"/>
        <v>0</v>
      </c>
      <c r="AB521">
        <v>517</v>
      </c>
      <c r="AC521">
        <f t="shared" si="143"/>
        <v>13</v>
      </c>
      <c r="AD521">
        <f t="shared" si="133"/>
        <v>0</v>
      </c>
    </row>
    <row r="522" spans="4:30" x14ac:dyDescent="0.25">
      <c r="D522" s="31">
        <f>Simulation_output!A520</f>
        <v>5185000</v>
      </c>
      <c r="E522">
        <f>Sheet2!R519</f>
        <v>0</v>
      </c>
      <c r="F522">
        <f>Sheet2!S519</f>
        <v>0</v>
      </c>
      <c r="G522">
        <f>Sheet2!T519</f>
        <v>0</v>
      </c>
      <c r="H522" s="31">
        <f>Simulation_output!E520</f>
        <v>1</v>
      </c>
      <c r="I522" s="31">
        <f>Simulation_output!F520</f>
        <v>1144</v>
      </c>
      <c r="J522" s="31">
        <f>Simulation_output!G520</f>
        <v>1</v>
      </c>
      <c r="K522" s="31">
        <f>Simulation_output!H520</f>
        <v>0</v>
      </c>
      <c r="L522">
        <v>1</v>
      </c>
      <c r="M522">
        <f t="shared" si="131"/>
        <v>0</v>
      </c>
      <c r="N522">
        <f t="shared" si="130"/>
        <v>0</v>
      </c>
      <c r="O522">
        <f t="shared" si="129"/>
        <v>0</v>
      </c>
      <c r="P522">
        <f t="shared" si="132"/>
        <v>0</v>
      </c>
      <c r="Q522">
        <f t="shared" si="128"/>
        <v>0</v>
      </c>
      <c r="R522">
        <f t="shared" si="134"/>
        <v>0</v>
      </c>
      <c r="S522">
        <f t="shared" si="135"/>
        <v>0</v>
      </c>
      <c r="T522">
        <f t="shared" si="136"/>
        <v>0</v>
      </c>
      <c r="U522">
        <f t="shared" si="137"/>
        <v>0</v>
      </c>
      <c r="V522">
        <f t="shared" si="138"/>
        <v>0</v>
      </c>
      <c r="W522">
        <f t="shared" si="139"/>
        <v>0</v>
      </c>
      <c r="X522">
        <f t="shared" si="140"/>
        <v>0</v>
      </c>
      <c r="Y522">
        <f t="shared" si="141"/>
        <v>0</v>
      </c>
      <c r="Z522">
        <f t="shared" si="142"/>
        <v>0</v>
      </c>
      <c r="AB522">
        <v>518</v>
      </c>
      <c r="AC522">
        <f t="shared" si="143"/>
        <v>13</v>
      </c>
      <c r="AD522">
        <f t="shared" si="133"/>
        <v>0</v>
      </c>
    </row>
    <row r="523" spans="4:30" x14ac:dyDescent="0.25">
      <c r="D523" s="31">
        <f>Simulation_output!A521</f>
        <v>5195000</v>
      </c>
      <c r="E523">
        <f>Sheet2!R520</f>
        <v>0</v>
      </c>
      <c r="F523">
        <f>Sheet2!S520</f>
        <v>0</v>
      </c>
      <c r="G523">
        <f>Sheet2!T520</f>
        <v>0</v>
      </c>
      <c r="H523" s="31">
        <f>Simulation_output!E521</f>
        <v>1</v>
      </c>
      <c r="I523" s="31">
        <f>Simulation_output!F521</f>
        <v>335</v>
      </c>
      <c r="J523" s="31">
        <f>Simulation_output!G521</f>
        <v>1</v>
      </c>
      <c r="K523" s="31">
        <f>Simulation_output!H521</f>
        <v>0</v>
      </c>
      <c r="L523">
        <v>1</v>
      </c>
      <c r="M523">
        <f t="shared" si="131"/>
        <v>0</v>
      </c>
      <c r="N523">
        <f t="shared" si="130"/>
        <v>0</v>
      </c>
      <c r="O523">
        <f t="shared" si="129"/>
        <v>0</v>
      </c>
      <c r="P523">
        <f t="shared" si="132"/>
        <v>0</v>
      </c>
      <c r="Q523">
        <f t="shared" ref="Q523:Q586" si="144">IF(K523&gt;0,I514,0)</f>
        <v>0</v>
      </c>
      <c r="R523">
        <f t="shared" si="134"/>
        <v>0</v>
      </c>
      <c r="S523">
        <f t="shared" si="135"/>
        <v>0</v>
      </c>
      <c r="T523">
        <f t="shared" si="136"/>
        <v>0</v>
      </c>
      <c r="U523">
        <f t="shared" si="137"/>
        <v>0</v>
      </c>
      <c r="V523">
        <f t="shared" si="138"/>
        <v>0</v>
      </c>
      <c r="W523">
        <f t="shared" si="139"/>
        <v>0</v>
      </c>
      <c r="X523">
        <f t="shared" si="140"/>
        <v>0</v>
      </c>
      <c r="Y523">
        <f t="shared" si="141"/>
        <v>0</v>
      </c>
      <c r="Z523">
        <f t="shared" si="142"/>
        <v>0</v>
      </c>
      <c r="AB523">
        <v>519</v>
      </c>
      <c r="AC523">
        <f t="shared" si="143"/>
        <v>13</v>
      </c>
      <c r="AD523">
        <f t="shared" si="133"/>
        <v>0</v>
      </c>
    </row>
    <row r="524" spans="4:30" x14ac:dyDescent="0.25">
      <c r="D524" s="31">
        <f>Simulation_output!A522</f>
        <v>5205000</v>
      </c>
      <c r="E524">
        <f>Sheet2!R521</f>
        <v>0</v>
      </c>
      <c r="F524">
        <f>Sheet2!S521</f>
        <v>0</v>
      </c>
      <c r="G524">
        <f>Sheet2!T521</f>
        <v>0</v>
      </c>
      <c r="H524" s="31">
        <f>Simulation_output!E522</f>
        <v>1</v>
      </c>
      <c r="I524" s="31">
        <f>Simulation_output!F522</f>
        <v>0</v>
      </c>
      <c r="J524" s="31">
        <f>Simulation_output!G522</f>
        <v>1</v>
      </c>
      <c r="K524" s="31">
        <f>Simulation_output!H522</f>
        <v>0</v>
      </c>
      <c r="L524">
        <v>1</v>
      </c>
      <c r="M524">
        <f t="shared" si="131"/>
        <v>0</v>
      </c>
      <c r="N524">
        <f t="shared" si="130"/>
        <v>0</v>
      </c>
      <c r="O524">
        <f t="shared" si="129"/>
        <v>0</v>
      </c>
      <c r="P524">
        <f t="shared" si="132"/>
        <v>0</v>
      </c>
      <c r="Q524">
        <f t="shared" si="144"/>
        <v>0</v>
      </c>
      <c r="R524">
        <f t="shared" si="134"/>
        <v>0</v>
      </c>
      <c r="S524">
        <f t="shared" si="135"/>
        <v>0</v>
      </c>
      <c r="T524">
        <f t="shared" si="136"/>
        <v>0</v>
      </c>
      <c r="U524">
        <f t="shared" si="137"/>
        <v>0</v>
      </c>
      <c r="V524">
        <f t="shared" si="138"/>
        <v>0</v>
      </c>
      <c r="W524">
        <f t="shared" si="139"/>
        <v>0</v>
      </c>
      <c r="X524">
        <f t="shared" si="140"/>
        <v>0</v>
      </c>
      <c r="Y524">
        <f t="shared" si="141"/>
        <v>0</v>
      </c>
      <c r="Z524">
        <f t="shared" si="142"/>
        <v>0</v>
      </c>
      <c r="AB524">
        <v>520</v>
      </c>
      <c r="AC524">
        <f t="shared" si="143"/>
        <v>13</v>
      </c>
      <c r="AD524">
        <f t="shared" si="133"/>
        <v>0</v>
      </c>
    </row>
    <row r="525" spans="4:30" x14ac:dyDescent="0.25">
      <c r="D525" s="31">
        <f>Simulation_output!A523</f>
        <v>5215000</v>
      </c>
      <c r="E525">
        <f>Sheet2!R522</f>
        <v>0</v>
      </c>
      <c r="F525">
        <f>Sheet2!S522</f>
        <v>0</v>
      </c>
      <c r="G525">
        <f>Sheet2!T522</f>
        <v>0</v>
      </c>
      <c r="H525" s="31">
        <f>Simulation_output!E523</f>
        <v>1</v>
      </c>
      <c r="I525" s="31">
        <f>Simulation_output!F523</f>
        <v>268435454</v>
      </c>
      <c r="J525" s="31">
        <f>Simulation_output!G523</f>
        <v>1</v>
      </c>
      <c r="K525" s="31">
        <f>Simulation_output!H523</f>
        <v>1</v>
      </c>
      <c r="L525">
        <v>1</v>
      </c>
      <c r="M525" t="str">
        <f t="shared" si="131"/>
        <v>FFFFFFF</v>
      </c>
      <c r="N525">
        <f t="shared" si="130"/>
        <v>14</v>
      </c>
      <c r="O525">
        <f t="shared" ref="O525:O588" si="145">IF(K525&gt;0,I514,0)</f>
        <v>167</v>
      </c>
      <c r="P525">
        <f t="shared" si="132"/>
        <v>326</v>
      </c>
      <c r="Q525">
        <f t="shared" si="144"/>
        <v>25</v>
      </c>
      <c r="R525">
        <f t="shared" si="134"/>
        <v>5</v>
      </c>
      <c r="S525">
        <f t="shared" si="135"/>
        <v>23</v>
      </c>
      <c r="T525">
        <f t="shared" si="136"/>
        <v>123</v>
      </c>
      <c r="U525">
        <f t="shared" si="137"/>
        <v>1023</v>
      </c>
      <c r="V525">
        <f t="shared" si="138"/>
        <v>10023</v>
      </c>
      <c r="W525">
        <f t="shared" si="139"/>
        <v>1144</v>
      </c>
      <c r="X525">
        <f t="shared" si="140"/>
        <v>335</v>
      </c>
      <c r="Y525">
        <f t="shared" si="141"/>
        <v>0</v>
      </c>
      <c r="Z525" t="str">
        <f t="shared" si="142"/>
        <v>FFFFFFE</v>
      </c>
      <c r="AB525">
        <v>521</v>
      </c>
      <c r="AC525">
        <f t="shared" si="143"/>
        <v>14</v>
      </c>
      <c r="AD525">
        <f t="shared" si="133"/>
        <v>14</v>
      </c>
    </row>
    <row r="526" spans="4:30" x14ac:dyDescent="0.25">
      <c r="D526" s="31">
        <f>Simulation_output!A524</f>
        <v>5225000</v>
      </c>
      <c r="E526">
        <f>Sheet2!R523</f>
        <v>0</v>
      </c>
      <c r="F526">
        <f>Sheet2!S523</f>
        <v>0</v>
      </c>
      <c r="G526">
        <f>Sheet2!T523</f>
        <v>0</v>
      </c>
      <c r="H526" s="31">
        <f>Simulation_output!E524</f>
        <v>1</v>
      </c>
      <c r="I526" s="31">
        <f>Simulation_output!F524</f>
        <v>268435455</v>
      </c>
      <c r="J526" s="31">
        <f>Simulation_output!G524</f>
        <v>1</v>
      </c>
      <c r="K526" s="31">
        <f>Simulation_output!H524</f>
        <v>0</v>
      </c>
      <c r="L526">
        <v>1</v>
      </c>
      <c r="M526">
        <f t="shared" si="131"/>
        <v>0</v>
      </c>
      <c r="N526">
        <f t="shared" ref="N526:N589" si="146">IF(K526&gt;0,I514,0)</f>
        <v>0</v>
      </c>
      <c r="O526">
        <f t="shared" si="145"/>
        <v>0</v>
      </c>
      <c r="P526">
        <f t="shared" si="132"/>
        <v>0</v>
      </c>
      <c r="Q526">
        <f t="shared" si="144"/>
        <v>0</v>
      </c>
      <c r="R526">
        <f t="shared" si="134"/>
        <v>0</v>
      </c>
      <c r="S526">
        <f t="shared" si="135"/>
        <v>0</v>
      </c>
      <c r="T526">
        <f t="shared" si="136"/>
        <v>0</v>
      </c>
      <c r="U526">
        <f t="shared" si="137"/>
        <v>0</v>
      </c>
      <c r="V526">
        <f t="shared" si="138"/>
        <v>0</v>
      </c>
      <c r="W526">
        <f t="shared" si="139"/>
        <v>0</v>
      </c>
      <c r="X526">
        <f t="shared" si="140"/>
        <v>0</v>
      </c>
      <c r="Y526">
        <f t="shared" si="141"/>
        <v>0</v>
      </c>
      <c r="Z526">
        <f t="shared" si="142"/>
        <v>0</v>
      </c>
      <c r="AB526">
        <v>522</v>
      </c>
      <c r="AC526">
        <f t="shared" si="143"/>
        <v>14</v>
      </c>
      <c r="AD526">
        <f t="shared" si="133"/>
        <v>0</v>
      </c>
    </row>
    <row r="527" spans="4:30" x14ac:dyDescent="0.25">
      <c r="D527" s="31">
        <f>Simulation_output!A525</f>
        <v>5235000</v>
      </c>
      <c r="E527">
        <f>Sheet2!R524</f>
        <v>0</v>
      </c>
      <c r="F527">
        <f>Sheet2!S524</f>
        <v>0</v>
      </c>
      <c r="G527">
        <f>Sheet2!T524</f>
        <v>0</v>
      </c>
      <c r="H527" s="31">
        <f>Simulation_output!E525</f>
        <v>1</v>
      </c>
      <c r="I527" s="31">
        <f>Simulation_output!F525</f>
        <v>15</v>
      </c>
      <c r="J527" s="31">
        <f>Simulation_output!G525</f>
        <v>1</v>
      </c>
      <c r="K527" s="31">
        <f>Simulation_output!H525</f>
        <v>0</v>
      </c>
      <c r="L527">
        <v>1</v>
      </c>
      <c r="M527">
        <f t="shared" ref="M527:M590" si="147">IF(K527&gt;0,DEC2HEX(I514),0)</f>
        <v>0</v>
      </c>
      <c r="N527">
        <f t="shared" si="146"/>
        <v>0</v>
      </c>
      <c r="O527">
        <f t="shared" si="145"/>
        <v>0</v>
      </c>
      <c r="P527">
        <f t="shared" ref="P527:P590" si="148">IF(K527&gt;0,I517,0)</f>
        <v>0</v>
      </c>
      <c r="Q527">
        <f t="shared" si="144"/>
        <v>0</v>
      </c>
      <c r="R527">
        <f t="shared" si="134"/>
        <v>0</v>
      </c>
      <c r="S527">
        <f t="shared" si="135"/>
        <v>0</v>
      </c>
      <c r="T527">
        <f t="shared" si="136"/>
        <v>0</v>
      </c>
      <c r="U527">
        <f t="shared" si="137"/>
        <v>0</v>
      </c>
      <c r="V527">
        <f t="shared" si="138"/>
        <v>0</v>
      </c>
      <c r="W527">
        <f t="shared" si="139"/>
        <v>0</v>
      </c>
      <c r="X527">
        <f t="shared" si="140"/>
        <v>0</v>
      </c>
      <c r="Y527">
        <f t="shared" si="141"/>
        <v>0</v>
      </c>
      <c r="Z527">
        <f t="shared" si="142"/>
        <v>0</v>
      </c>
      <c r="AB527">
        <v>523</v>
      </c>
      <c r="AC527">
        <f t="shared" si="143"/>
        <v>14</v>
      </c>
      <c r="AD527">
        <f t="shared" si="133"/>
        <v>0</v>
      </c>
    </row>
    <row r="528" spans="4:30" x14ac:dyDescent="0.25">
      <c r="D528" s="31">
        <f>Simulation_output!A526</f>
        <v>5245000</v>
      </c>
      <c r="E528">
        <f>Sheet2!R525</f>
        <v>0</v>
      </c>
      <c r="F528">
        <f>Sheet2!S525</f>
        <v>0</v>
      </c>
      <c r="G528">
        <f>Sheet2!T525</f>
        <v>0</v>
      </c>
      <c r="H528" s="31">
        <f>Simulation_output!E526</f>
        <v>1</v>
      </c>
      <c r="I528" s="31">
        <f>Simulation_output!F526</f>
        <v>179</v>
      </c>
      <c r="J528" s="31">
        <f>Simulation_output!G526</f>
        <v>1</v>
      </c>
      <c r="K528" s="31">
        <f>Simulation_output!H526</f>
        <v>0</v>
      </c>
      <c r="L528">
        <v>1</v>
      </c>
      <c r="M528">
        <f t="shared" si="147"/>
        <v>0</v>
      </c>
      <c r="N528">
        <f t="shared" si="146"/>
        <v>0</v>
      </c>
      <c r="O528">
        <f t="shared" si="145"/>
        <v>0</v>
      </c>
      <c r="P528">
        <f t="shared" si="148"/>
        <v>0</v>
      </c>
      <c r="Q528">
        <f t="shared" si="144"/>
        <v>0</v>
      </c>
      <c r="R528">
        <f t="shared" si="134"/>
        <v>0</v>
      </c>
      <c r="S528">
        <f t="shared" si="135"/>
        <v>0</v>
      </c>
      <c r="T528">
        <f t="shared" si="136"/>
        <v>0</v>
      </c>
      <c r="U528">
        <f t="shared" si="137"/>
        <v>0</v>
      </c>
      <c r="V528">
        <f t="shared" si="138"/>
        <v>0</v>
      </c>
      <c r="W528">
        <f t="shared" si="139"/>
        <v>0</v>
      </c>
      <c r="X528">
        <f t="shared" si="140"/>
        <v>0</v>
      </c>
      <c r="Y528">
        <f t="shared" si="141"/>
        <v>0</v>
      </c>
      <c r="Z528">
        <f t="shared" si="142"/>
        <v>0</v>
      </c>
      <c r="AB528">
        <v>524</v>
      </c>
      <c r="AC528">
        <f t="shared" si="143"/>
        <v>14</v>
      </c>
      <c r="AD528">
        <f t="shared" si="133"/>
        <v>0</v>
      </c>
    </row>
    <row r="529" spans="4:30" x14ac:dyDescent="0.25">
      <c r="D529" s="31">
        <f>Simulation_output!A527</f>
        <v>5255000</v>
      </c>
      <c r="E529">
        <f>Sheet2!R526</f>
        <v>0</v>
      </c>
      <c r="F529">
        <f>Sheet2!S526</f>
        <v>0</v>
      </c>
      <c r="G529">
        <f>Sheet2!T526</f>
        <v>0</v>
      </c>
      <c r="H529" s="31">
        <f>Simulation_output!E527</f>
        <v>1</v>
      </c>
      <c r="I529" s="31">
        <f>Simulation_output!F527</f>
        <v>327</v>
      </c>
      <c r="J529" s="31">
        <f>Simulation_output!G527</f>
        <v>1</v>
      </c>
      <c r="K529" s="31">
        <f>Simulation_output!H527</f>
        <v>0</v>
      </c>
      <c r="L529">
        <v>1</v>
      </c>
      <c r="M529">
        <f t="shared" si="147"/>
        <v>0</v>
      </c>
      <c r="N529">
        <f t="shared" si="146"/>
        <v>0</v>
      </c>
      <c r="O529">
        <f t="shared" si="145"/>
        <v>0</v>
      </c>
      <c r="P529">
        <f t="shared" si="148"/>
        <v>0</v>
      </c>
      <c r="Q529">
        <f t="shared" si="144"/>
        <v>0</v>
      </c>
      <c r="R529">
        <f t="shared" si="134"/>
        <v>0</v>
      </c>
      <c r="S529">
        <f t="shared" si="135"/>
        <v>0</v>
      </c>
      <c r="T529">
        <f t="shared" si="136"/>
        <v>0</v>
      </c>
      <c r="U529">
        <f t="shared" si="137"/>
        <v>0</v>
      </c>
      <c r="V529">
        <f t="shared" si="138"/>
        <v>0</v>
      </c>
      <c r="W529">
        <f t="shared" si="139"/>
        <v>0</v>
      </c>
      <c r="X529">
        <f t="shared" si="140"/>
        <v>0</v>
      </c>
      <c r="Y529">
        <f t="shared" si="141"/>
        <v>0</v>
      </c>
      <c r="Z529">
        <f t="shared" si="142"/>
        <v>0</v>
      </c>
      <c r="AB529">
        <v>525</v>
      </c>
      <c r="AC529">
        <f t="shared" si="143"/>
        <v>14</v>
      </c>
      <c r="AD529">
        <f t="shared" si="133"/>
        <v>0</v>
      </c>
    </row>
    <row r="530" spans="4:30" x14ac:dyDescent="0.25">
      <c r="D530" s="31">
        <f>Simulation_output!A528</f>
        <v>5265000</v>
      </c>
      <c r="E530">
        <f>Sheet2!R527</f>
        <v>0</v>
      </c>
      <c r="F530">
        <f>Sheet2!S527</f>
        <v>0</v>
      </c>
      <c r="G530">
        <f>Sheet2!T527</f>
        <v>0</v>
      </c>
      <c r="H530" s="31">
        <f>Simulation_output!E528</f>
        <v>1</v>
      </c>
      <c r="I530" s="31">
        <f>Simulation_output!F528</f>
        <v>25</v>
      </c>
      <c r="J530" s="31">
        <f>Simulation_output!G528</f>
        <v>1</v>
      </c>
      <c r="K530" s="31">
        <f>Simulation_output!H528</f>
        <v>0</v>
      </c>
      <c r="L530">
        <v>1</v>
      </c>
      <c r="M530">
        <f t="shared" si="147"/>
        <v>0</v>
      </c>
      <c r="N530">
        <f t="shared" si="146"/>
        <v>0</v>
      </c>
      <c r="O530">
        <f t="shared" si="145"/>
        <v>0</v>
      </c>
      <c r="P530">
        <f t="shared" si="148"/>
        <v>0</v>
      </c>
      <c r="Q530">
        <f t="shared" si="144"/>
        <v>0</v>
      </c>
      <c r="R530">
        <f t="shared" si="134"/>
        <v>0</v>
      </c>
      <c r="S530">
        <f t="shared" si="135"/>
        <v>0</v>
      </c>
      <c r="T530">
        <f t="shared" si="136"/>
        <v>0</v>
      </c>
      <c r="U530">
        <f t="shared" si="137"/>
        <v>0</v>
      </c>
      <c r="V530">
        <f t="shared" si="138"/>
        <v>0</v>
      </c>
      <c r="W530">
        <f t="shared" si="139"/>
        <v>0</v>
      </c>
      <c r="X530">
        <f t="shared" si="140"/>
        <v>0</v>
      </c>
      <c r="Y530">
        <f t="shared" si="141"/>
        <v>0</v>
      </c>
      <c r="Z530">
        <f t="shared" si="142"/>
        <v>0</v>
      </c>
      <c r="AB530">
        <v>526</v>
      </c>
      <c r="AC530">
        <f t="shared" si="143"/>
        <v>14</v>
      </c>
      <c r="AD530">
        <f t="shared" si="133"/>
        <v>0</v>
      </c>
    </row>
    <row r="531" spans="4:30" x14ac:dyDescent="0.25">
      <c r="D531" s="31">
        <f>Simulation_output!A529</f>
        <v>5275000</v>
      </c>
      <c r="E531">
        <f>Sheet2!R528</f>
        <v>0</v>
      </c>
      <c r="F531">
        <f>Sheet2!S528</f>
        <v>0</v>
      </c>
      <c r="G531">
        <f>Sheet2!T528</f>
        <v>0</v>
      </c>
      <c r="H531" s="31">
        <f>Simulation_output!E529</f>
        <v>1</v>
      </c>
      <c r="I531" s="31">
        <f>Simulation_output!F529</f>
        <v>5</v>
      </c>
      <c r="J531" s="31">
        <f>Simulation_output!G529</f>
        <v>1</v>
      </c>
      <c r="K531" s="31">
        <f>Simulation_output!H529</f>
        <v>0</v>
      </c>
      <c r="L531">
        <v>1</v>
      </c>
      <c r="M531">
        <f t="shared" si="147"/>
        <v>0</v>
      </c>
      <c r="N531">
        <f t="shared" si="146"/>
        <v>0</v>
      </c>
      <c r="O531">
        <f t="shared" si="145"/>
        <v>0</v>
      </c>
      <c r="P531">
        <f t="shared" si="148"/>
        <v>0</v>
      </c>
      <c r="Q531">
        <f t="shared" si="144"/>
        <v>0</v>
      </c>
      <c r="R531">
        <f t="shared" si="134"/>
        <v>0</v>
      </c>
      <c r="S531">
        <f t="shared" si="135"/>
        <v>0</v>
      </c>
      <c r="T531">
        <f t="shared" si="136"/>
        <v>0</v>
      </c>
      <c r="U531">
        <f t="shared" si="137"/>
        <v>0</v>
      </c>
      <c r="V531">
        <f t="shared" si="138"/>
        <v>0</v>
      </c>
      <c r="W531">
        <f t="shared" si="139"/>
        <v>0</v>
      </c>
      <c r="X531">
        <f t="shared" si="140"/>
        <v>0</v>
      </c>
      <c r="Y531">
        <f t="shared" si="141"/>
        <v>0</v>
      </c>
      <c r="Z531">
        <f t="shared" si="142"/>
        <v>0</v>
      </c>
      <c r="AB531">
        <v>527</v>
      </c>
      <c r="AC531">
        <f t="shared" si="143"/>
        <v>14</v>
      </c>
      <c r="AD531">
        <f t="shared" si="133"/>
        <v>0</v>
      </c>
    </row>
    <row r="532" spans="4:30" x14ac:dyDescent="0.25">
      <c r="D532" s="31">
        <f>Simulation_output!A530</f>
        <v>5285000</v>
      </c>
      <c r="E532">
        <f>Sheet2!R529</f>
        <v>0</v>
      </c>
      <c r="F532">
        <f>Sheet2!S529</f>
        <v>0</v>
      </c>
      <c r="G532">
        <f>Sheet2!T529</f>
        <v>0</v>
      </c>
      <c r="H532" s="31">
        <f>Simulation_output!E530</f>
        <v>1</v>
      </c>
      <c r="I532" s="31">
        <f>Simulation_output!F530</f>
        <v>24</v>
      </c>
      <c r="J532" s="31">
        <f>Simulation_output!G530</f>
        <v>1</v>
      </c>
      <c r="K532" s="31">
        <f>Simulation_output!H530</f>
        <v>0</v>
      </c>
      <c r="L532">
        <v>1</v>
      </c>
      <c r="M532">
        <f t="shared" si="147"/>
        <v>0</v>
      </c>
      <c r="N532">
        <f t="shared" si="146"/>
        <v>0</v>
      </c>
      <c r="O532">
        <f t="shared" si="145"/>
        <v>0</v>
      </c>
      <c r="P532">
        <f t="shared" si="148"/>
        <v>0</v>
      </c>
      <c r="Q532">
        <f t="shared" si="144"/>
        <v>0</v>
      </c>
      <c r="R532">
        <f t="shared" si="134"/>
        <v>0</v>
      </c>
      <c r="S532">
        <f t="shared" si="135"/>
        <v>0</v>
      </c>
      <c r="T532">
        <f t="shared" si="136"/>
        <v>0</v>
      </c>
      <c r="U532">
        <f t="shared" si="137"/>
        <v>0</v>
      </c>
      <c r="V532">
        <f t="shared" si="138"/>
        <v>0</v>
      </c>
      <c r="W532">
        <f t="shared" si="139"/>
        <v>0</v>
      </c>
      <c r="X532">
        <f t="shared" si="140"/>
        <v>0</v>
      </c>
      <c r="Y532">
        <f t="shared" si="141"/>
        <v>0</v>
      </c>
      <c r="Z532">
        <f t="shared" si="142"/>
        <v>0</v>
      </c>
      <c r="AB532">
        <v>528</v>
      </c>
      <c r="AC532">
        <f t="shared" si="143"/>
        <v>14</v>
      </c>
      <c r="AD532">
        <f t="shared" si="133"/>
        <v>0</v>
      </c>
    </row>
    <row r="533" spans="4:30" x14ac:dyDescent="0.25">
      <c r="D533" s="31">
        <f>Simulation_output!A531</f>
        <v>5295000</v>
      </c>
      <c r="E533">
        <f>Sheet2!R530</f>
        <v>0</v>
      </c>
      <c r="F533">
        <f>Sheet2!S530</f>
        <v>0</v>
      </c>
      <c r="G533">
        <f>Sheet2!T530</f>
        <v>0</v>
      </c>
      <c r="H533" s="31">
        <f>Simulation_output!E531</f>
        <v>1</v>
      </c>
      <c r="I533" s="31">
        <f>Simulation_output!F531</f>
        <v>124</v>
      </c>
      <c r="J533" s="31">
        <f>Simulation_output!G531</f>
        <v>1</v>
      </c>
      <c r="K533" s="31">
        <f>Simulation_output!H531</f>
        <v>0</v>
      </c>
      <c r="L533">
        <v>1</v>
      </c>
      <c r="M533">
        <f t="shared" si="147"/>
        <v>0</v>
      </c>
      <c r="N533">
        <f t="shared" si="146"/>
        <v>0</v>
      </c>
      <c r="O533">
        <f t="shared" si="145"/>
        <v>0</v>
      </c>
      <c r="P533">
        <f t="shared" si="148"/>
        <v>0</v>
      </c>
      <c r="Q533">
        <f t="shared" si="144"/>
        <v>0</v>
      </c>
      <c r="R533">
        <f t="shared" si="134"/>
        <v>0</v>
      </c>
      <c r="S533">
        <f t="shared" si="135"/>
        <v>0</v>
      </c>
      <c r="T533">
        <f t="shared" si="136"/>
        <v>0</v>
      </c>
      <c r="U533">
        <f t="shared" si="137"/>
        <v>0</v>
      </c>
      <c r="V533">
        <f t="shared" si="138"/>
        <v>0</v>
      </c>
      <c r="W533">
        <f t="shared" si="139"/>
        <v>0</v>
      </c>
      <c r="X533">
        <f t="shared" si="140"/>
        <v>0</v>
      </c>
      <c r="Y533">
        <f t="shared" si="141"/>
        <v>0</v>
      </c>
      <c r="Z533">
        <f t="shared" si="142"/>
        <v>0</v>
      </c>
      <c r="AB533">
        <v>529</v>
      </c>
      <c r="AC533">
        <f t="shared" si="143"/>
        <v>14</v>
      </c>
      <c r="AD533">
        <f t="shared" si="133"/>
        <v>0</v>
      </c>
    </row>
    <row r="534" spans="4:30" x14ac:dyDescent="0.25">
      <c r="D534" s="31">
        <f>Simulation_output!A532</f>
        <v>5305000</v>
      </c>
      <c r="E534">
        <f>Sheet2!R531</f>
        <v>0</v>
      </c>
      <c r="F534">
        <f>Sheet2!S531</f>
        <v>0</v>
      </c>
      <c r="G534">
        <f>Sheet2!T531</f>
        <v>0</v>
      </c>
      <c r="H534" s="31">
        <f>Simulation_output!E532</f>
        <v>1</v>
      </c>
      <c r="I534" s="31">
        <f>Simulation_output!F532</f>
        <v>1024</v>
      </c>
      <c r="J534" s="31">
        <f>Simulation_output!G532</f>
        <v>1</v>
      </c>
      <c r="K534" s="31">
        <f>Simulation_output!H532</f>
        <v>0</v>
      </c>
      <c r="L534">
        <v>1</v>
      </c>
      <c r="M534">
        <f t="shared" si="147"/>
        <v>0</v>
      </c>
      <c r="N534">
        <f t="shared" si="146"/>
        <v>0</v>
      </c>
      <c r="O534">
        <f t="shared" si="145"/>
        <v>0</v>
      </c>
      <c r="P534">
        <f t="shared" si="148"/>
        <v>0</v>
      </c>
      <c r="Q534">
        <f t="shared" si="144"/>
        <v>0</v>
      </c>
      <c r="R534">
        <f t="shared" si="134"/>
        <v>0</v>
      </c>
      <c r="S534">
        <f t="shared" si="135"/>
        <v>0</v>
      </c>
      <c r="T534">
        <f t="shared" si="136"/>
        <v>0</v>
      </c>
      <c r="U534">
        <f t="shared" si="137"/>
        <v>0</v>
      </c>
      <c r="V534">
        <f t="shared" si="138"/>
        <v>0</v>
      </c>
      <c r="W534">
        <f t="shared" si="139"/>
        <v>0</v>
      </c>
      <c r="X534">
        <f t="shared" si="140"/>
        <v>0</v>
      </c>
      <c r="Y534">
        <f t="shared" si="141"/>
        <v>0</v>
      </c>
      <c r="Z534">
        <f t="shared" si="142"/>
        <v>0</v>
      </c>
      <c r="AB534">
        <v>530</v>
      </c>
      <c r="AC534">
        <f t="shared" si="143"/>
        <v>14</v>
      </c>
      <c r="AD534">
        <f t="shared" si="133"/>
        <v>0</v>
      </c>
    </row>
    <row r="535" spans="4:30" x14ac:dyDescent="0.25">
      <c r="D535" s="31">
        <f>Simulation_output!A533</f>
        <v>5315000</v>
      </c>
      <c r="E535">
        <f>Sheet2!R532</f>
        <v>0</v>
      </c>
      <c r="F535">
        <f>Sheet2!S532</f>
        <v>0</v>
      </c>
      <c r="G535">
        <f>Sheet2!T532</f>
        <v>0</v>
      </c>
      <c r="H535" s="31">
        <f>Simulation_output!E533</f>
        <v>1</v>
      </c>
      <c r="I535" s="31">
        <f>Simulation_output!F533</f>
        <v>10024</v>
      </c>
      <c r="J535" s="31">
        <f>Simulation_output!G533</f>
        <v>1</v>
      </c>
      <c r="K535" s="31">
        <f>Simulation_output!H533</f>
        <v>0</v>
      </c>
      <c r="L535">
        <v>1</v>
      </c>
      <c r="M535">
        <f t="shared" si="147"/>
        <v>0</v>
      </c>
      <c r="N535">
        <f t="shared" si="146"/>
        <v>0</v>
      </c>
      <c r="O535">
        <f t="shared" si="145"/>
        <v>0</v>
      </c>
      <c r="P535">
        <f t="shared" si="148"/>
        <v>0</v>
      </c>
      <c r="Q535">
        <f t="shared" si="144"/>
        <v>0</v>
      </c>
      <c r="R535">
        <f t="shared" si="134"/>
        <v>0</v>
      </c>
      <c r="S535">
        <f t="shared" si="135"/>
        <v>0</v>
      </c>
      <c r="T535">
        <f t="shared" si="136"/>
        <v>0</v>
      </c>
      <c r="U535">
        <f t="shared" si="137"/>
        <v>0</v>
      </c>
      <c r="V535">
        <f t="shared" si="138"/>
        <v>0</v>
      </c>
      <c r="W535">
        <f t="shared" si="139"/>
        <v>0</v>
      </c>
      <c r="X535">
        <f t="shared" si="140"/>
        <v>0</v>
      </c>
      <c r="Y535">
        <f t="shared" si="141"/>
        <v>0</v>
      </c>
      <c r="Z535">
        <f t="shared" si="142"/>
        <v>0</v>
      </c>
      <c r="AB535">
        <v>531</v>
      </c>
      <c r="AC535">
        <f t="shared" si="143"/>
        <v>14</v>
      </c>
      <c r="AD535">
        <f t="shared" si="133"/>
        <v>0</v>
      </c>
    </row>
    <row r="536" spans="4:30" x14ac:dyDescent="0.25">
      <c r="D536" s="31">
        <f>Simulation_output!A534</f>
        <v>5325000</v>
      </c>
      <c r="E536">
        <f>Sheet2!R533</f>
        <v>0</v>
      </c>
      <c r="F536">
        <f>Sheet2!S533</f>
        <v>0</v>
      </c>
      <c r="G536">
        <f>Sheet2!T533</f>
        <v>0</v>
      </c>
      <c r="H536" s="31">
        <f>Simulation_output!E534</f>
        <v>1</v>
      </c>
      <c r="I536" s="31">
        <f>Simulation_output!F534</f>
        <v>1146</v>
      </c>
      <c r="J536" s="31">
        <f>Simulation_output!G534</f>
        <v>1</v>
      </c>
      <c r="K536" s="31">
        <f>Simulation_output!H534</f>
        <v>0</v>
      </c>
      <c r="L536">
        <v>1</v>
      </c>
      <c r="M536">
        <f t="shared" si="147"/>
        <v>0</v>
      </c>
      <c r="N536">
        <f t="shared" si="146"/>
        <v>0</v>
      </c>
      <c r="O536">
        <f t="shared" si="145"/>
        <v>0</v>
      </c>
      <c r="P536">
        <f t="shared" si="148"/>
        <v>0</v>
      </c>
      <c r="Q536">
        <f t="shared" si="144"/>
        <v>0</v>
      </c>
      <c r="R536">
        <f t="shared" si="134"/>
        <v>0</v>
      </c>
      <c r="S536">
        <f t="shared" si="135"/>
        <v>0</v>
      </c>
      <c r="T536">
        <f t="shared" si="136"/>
        <v>0</v>
      </c>
      <c r="U536">
        <f t="shared" si="137"/>
        <v>0</v>
      </c>
      <c r="V536">
        <f t="shared" si="138"/>
        <v>0</v>
      </c>
      <c r="W536">
        <f t="shared" si="139"/>
        <v>0</v>
      </c>
      <c r="X536">
        <f t="shared" si="140"/>
        <v>0</v>
      </c>
      <c r="Y536">
        <f t="shared" si="141"/>
        <v>0</v>
      </c>
      <c r="Z536">
        <f t="shared" si="142"/>
        <v>0</v>
      </c>
      <c r="AB536">
        <v>532</v>
      </c>
      <c r="AC536">
        <f t="shared" si="143"/>
        <v>14</v>
      </c>
      <c r="AD536">
        <f t="shared" si="133"/>
        <v>0</v>
      </c>
    </row>
    <row r="537" spans="4:30" x14ac:dyDescent="0.25">
      <c r="D537" s="31">
        <f>Simulation_output!A535</f>
        <v>5335000</v>
      </c>
      <c r="E537">
        <f>Sheet2!R534</f>
        <v>0</v>
      </c>
      <c r="F537">
        <f>Sheet2!S534</f>
        <v>0</v>
      </c>
      <c r="G537">
        <f>Sheet2!T534</f>
        <v>0</v>
      </c>
      <c r="H537" s="31">
        <f>Simulation_output!E535</f>
        <v>1</v>
      </c>
      <c r="I537" s="31">
        <f>Simulation_output!F535</f>
        <v>336</v>
      </c>
      <c r="J537" s="31">
        <f>Simulation_output!G535</f>
        <v>1</v>
      </c>
      <c r="K537" s="31">
        <f>Simulation_output!H535</f>
        <v>0</v>
      </c>
      <c r="L537">
        <v>1</v>
      </c>
      <c r="M537">
        <f t="shared" si="147"/>
        <v>0</v>
      </c>
      <c r="N537">
        <f t="shared" si="146"/>
        <v>0</v>
      </c>
      <c r="O537">
        <f t="shared" si="145"/>
        <v>0</v>
      </c>
      <c r="P537">
        <f t="shared" si="148"/>
        <v>0</v>
      </c>
      <c r="Q537">
        <f t="shared" si="144"/>
        <v>0</v>
      </c>
      <c r="R537">
        <f t="shared" si="134"/>
        <v>0</v>
      </c>
      <c r="S537">
        <f t="shared" si="135"/>
        <v>0</v>
      </c>
      <c r="T537">
        <f t="shared" si="136"/>
        <v>0</v>
      </c>
      <c r="U537">
        <f t="shared" si="137"/>
        <v>0</v>
      </c>
      <c r="V537">
        <f t="shared" si="138"/>
        <v>0</v>
      </c>
      <c r="W537">
        <f t="shared" si="139"/>
        <v>0</v>
      </c>
      <c r="X537">
        <f t="shared" si="140"/>
        <v>0</v>
      </c>
      <c r="Y537">
        <f t="shared" si="141"/>
        <v>0</v>
      </c>
      <c r="Z537">
        <f t="shared" si="142"/>
        <v>0</v>
      </c>
      <c r="AB537">
        <v>533</v>
      </c>
      <c r="AC537">
        <f t="shared" si="143"/>
        <v>14</v>
      </c>
      <c r="AD537">
        <f t="shared" si="133"/>
        <v>0</v>
      </c>
    </row>
    <row r="538" spans="4:30" x14ac:dyDescent="0.25">
      <c r="D538" s="31">
        <f>Simulation_output!A536</f>
        <v>5345000</v>
      </c>
      <c r="E538">
        <f>Sheet2!R535</f>
        <v>0</v>
      </c>
      <c r="F538">
        <f>Sheet2!S535</f>
        <v>0</v>
      </c>
      <c r="G538">
        <f>Sheet2!T535</f>
        <v>0</v>
      </c>
      <c r="H538" s="31">
        <f>Simulation_output!E536</f>
        <v>1</v>
      </c>
      <c r="I538" s="31">
        <f>Simulation_output!F536</f>
        <v>0</v>
      </c>
      <c r="J538" s="31">
        <f>Simulation_output!G536</f>
        <v>1</v>
      </c>
      <c r="K538" s="31">
        <f>Simulation_output!H536</f>
        <v>0</v>
      </c>
      <c r="L538">
        <v>1</v>
      </c>
      <c r="M538">
        <f t="shared" si="147"/>
        <v>0</v>
      </c>
      <c r="N538">
        <f t="shared" si="146"/>
        <v>0</v>
      </c>
      <c r="O538">
        <f t="shared" si="145"/>
        <v>0</v>
      </c>
      <c r="P538">
        <f t="shared" si="148"/>
        <v>0</v>
      </c>
      <c r="Q538">
        <f t="shared" si="144"/>
        <v>0</v>
      </c>
      <c r="R538">
        <f t="shared" si="134"/>
        <v>0</v>
      </c>
      <c r="S538">
        <f t="shared" si="135"/>
        <v>0</v>
      </c>
      <c r="T538">
        <f t="shared" si="136"/>
        <v>0</v>
      </c>
      <c r="U538">
        <f t="shared" si="137"/>
        <v>0</v>
      </c>
      <c r="V538">
        <f t="shared" si="138"/>
        <v>0</v>
      </c>
      <c r="W538">
        <f t="shared" si="139"/>
        <v>0</v>
      </c>
      <c r="X538">
        <f t="shared" si="140"/>
        <v>0</v>
      </c>
      <c r="Y538">
        <f t="shared" si="141"/>
        <v>0</v>
      </c>
      <c r="Z538">
        <f t="shared" si="142"/>
        <v>0</v>
      </c>
      <c r="AB538">
        <v>534</v>
      </c>
      <c r="AC538">
        <f t="shared" si="143"/>
        <v>14</v>
      </c>
      <c r="AD538">
        <f t="shared" si="133"/>
        <v>0</v>
      </c>
    </row>
    <row r="539" spans="4:30" x14ac:dyDescent="0.25">
      <c r="D539" s="31">
        <f>Simulation_output!A537</f>
        <v>5355000</v>
      </c>
      <c r="E539">
        <f>Sheet2!R536</f>
        <v>0</v>
      </c>
      <c r="F539">
        <f>Sheet2!S536</f>
        <v>0</v>
      </c>
      <c r="G539">
        <f>Sheet2!T536</f>
        <v>0</v>
      </c>
      <c r="H539" s="31">
        <f>Simulation_output!E537</f>
        <v>1</v>
      </c>
      <c r="I539" s="31">
        <f>Simulation_output!F537</f>
        <v>268435454</v>
      </c>
      <c r="J539" s="31">
        <f>Simulation_output!G537</f>
        <v>1</v>
      </c>
      <c r="K539" s="31">
        <f>Simulation_output!H537</f>
        <v>1</v>
      </c>
      <c r="L539">
        <v>1</v>
      </c>
      <c r="M539" t="str">
        <f t="shared" si="147"/>
        <v>FFFFFFF</v>
      </c>
      <c r="N539">
        <f t="shared" si="146"/>
        <v>15</v>
      </c>
      <c r="O539">
        <f t="shared" si="145"/>
        <v>179</v>
      </c>
      <c r="P539">
        <f t="shared" si="148"/>
        <v>327</v>
      </c>
      <c r="Q539">
        <f t="shared" si="144"/>
        <v>25</v>
      </c>
      <c r="R539">
        <f t="shared" si="134"/>
        <v>5</v>
      </c>
      <c r="S539">
        <f t="shared" si="135"/>
        <v>24</v>
      </c>
      <c r="T539">
        <f t="shared" si="136"/>
        <v>124</v>
      </c>
      <c r="U539">
        <f t="shared" si="137"/>
        <v>1024</v>
      </c>
      <c r="V539">
        <f t="shared" si="138"/>
        <v>10024</v>
      </c>
      <c r="W539">
        <f t="shared" si="139"/>
        <v>1146</v>
      </c>
      <c r="X539">
        <f t="shared" si="140"/>
        <v>336</v>
      </c>
      <c r="Y539">
        <f t="shared" si="141"/>
        <v>0</v>
      </c>
      <c r="Z539" t="str">
        <f t="shared" si="142"/>
        <v>FFFFFFE</v>
      </c>
      <c r="AB539">
        <v>535</v>
      </c>
      <c r="AC539">
        <f t="shared" si="143"/>
        <v>15</v>
      </c>
      <c r="AD539">
        <f t="shared" si="133"/>
        <v>15</v>
      </c>
    </row>
    <row r="540" spans="4:30" x14ac:dyDescent="0.25">
      <c r="D540" s="31">
        <f>Simulation_output!A538</f>
        <v>5365000</v>
      </c>
      <c r="E540">
        <f>Sheet2!R537</f>
        <v>0</v>
      </c>
      <c r="F540">
        <f>Sheet2!S537</f>
        <v>0</v>
      </c>
      <c r="G540">
        <f>Sheet2!T537</f>
        <v>0</v>
      </c>
      <c r="H540" s="31">
        <f>Simulation_output!E538</f>
        <v>1</v>
      </c>
      <c r="I540" s="31">
        <f>Simulation_output!F538</f>
        <v>268435455</v>
      </c>
      <c r="J540" s="31">
        <f>Simulation_output!G538</f>
        <v>1</v>
      </c>
      <c r="K540" s="31">
        <f>Simulation_output!H538</f>
        <v>0</v>
      </c>
      <c r="L540">
        <v>1</v>
      </c>
      <c r="M540">
        <f t="shared" si="147"/>
        <v>0</v>
      </c>
      <c r="N540">
        <f t="shared" si="146"/>
        <v>0</v>
      </c>
      <c r="O540">
        <f t="shared" si="145"/>
        <v>0</v>
      </c>
      <c r="P540">
        <f t="shared" si="148"/>
        <v>0</v>
      </c>
      <c r="Q540">
        <f t="shared" si="144"/>
        <v>0</v>
      </c>
      <c r="R540">
        <f t="shared" si="134"/>
        <v>0</v>
      </c>
      <c r="S540">
        <f t="shared" si="135"/>
        <v>0</v>
      </c>
      <c r="T540">
        <f t="shared" si="136"/>
        <v>0</v>
      </c>
      <c r="U540">
        <f t="shared" si="137"/>
        <v>0</v>
      </c>
      <c r="V540">
        <f t="shared" si="138"/>
        <v>0</v>
      </c>
      <c r="W540">
        <f t="shared" si="139"/>
        <v>0</v>
      </c>
      <c r="X540">
        <f t="shared" si="140"/>
        <v>0</v>
      </c>
      <c r="Y540">
        <f t="shared" si="141"/>
        <v>0</v>
      </c>
      <c r="Z540">
        <f t="shared" si="142"/>
        <v>0</v>
      </c>
      <c r="AB540">
        <v>536</v>
      </c>
      <c r="AC540">
        <f t="shared" si="143"/>
        <v>15</v>
      </c>
      <c r="AD540">
        <f t="shared" si="133"/>
        <v>0</v>
      </c>
    </row>
    <row r="541" spans="4:30" x14ac:dyDescent="0.25">
      <c r="D541" s="31">
        <f>Simulation_output!A539</f>
        <v>5375000</v>
      </c>
      <c r="E541">
        <f>Sheet2!R538</f>
        <v>0</v>
      </c>
      <c r="F541">
        <f>Sheet2!S538</f>
        <v>0</v>
      </c>
      <c r="G541">
        <f>Sheet2!T538</f>
        <v>0</v>
      </c>
      <c r="H541" s="31">
        <f>Simulation_output!E539</f>
        <v>1</v>
      </c>
      <c r="I541" s="31">
        <f>Simulation_output!F539</f>
        <v>16</v>
      </c>
      <c r="J541" s="31">
        <f>Simulation_output!G539</f>
        <v>1</v>
      </c>
      <c r="K541" s="31">
        <f>Simulation_output!H539</f>
        <v>0</v>
      </c>
      <c r="L541">
        <v>1</v>
      </c>
      <c r="M541">
        <f t="shared" si="147"/>
        <v>0</v>
      </c>
      <c r="N541">
        <f t="shared" si="146"/>
        <v>0</v>
      </c>
      <c r="O541">
        <f t="shared" si="145"/>
        <v>0</v>
      </c>
      <c r="P541">
        <f t="shared" si="148"/>
        <v>0</v>
      </c>
      <c r="Q541">
        <f t="shared" si="144"/>
        <v>0</v>
      </c>
      <c r="R541">
        <f t="shared" si="134"/>
        <v>0</v>
      </c>
      <c r="S541">
        <f t="shared" si="135"/>
        <v>0</v>
      </c>
      <c r="T541">
        <f t="shared" si="136"/>
        <v>0</v>
      </c>
      <c r="U541">
        <f t="shared" si="137"/>
        <v>0</v>
      </c>
      <c r="V541">
        <f t="shared" si="138"/>
        <v>0</v>
      </c>
      <c r="W541">
        <f t="shared" si="139"/>
        <v>0</v>
      </c>
      <c r="X541">
        <f t="shared" si="140"/>
        <v>0</v>
      </c>
      <c r="Y541">
        <f t="shared" si="141"/>
        <v>0</v>
      </c>
      <c r="Z541">
        <f t="shared" si="142"/>
        <v>0</v>
      </c>
      <c r="AB541">
        <v>537</v>
      </c>
      <c r="AC541">
        <f t="shared" si="143"/>
        <v>15</v>
      </c>
      <c r="AD541">
        <f t="shared" si="133"/>
        <v>0</v>
      </c>
    </row>
    <row r="542" spans="4:30" x14ac:dyDescent="0.25">
      <c r="D542" s="31">
        <f>Simulation_output!A540</f>
        <v>5385000</v>
      </c>
      <c r="E542">
        <f>Sheet2!R539</f>
        <v>0</v>
      </c>
      <c r="F542">
        <f>Sheet2!S539</f>
        <v>0</v>
      </c>
      <c r="G542">
        <f>Sheet2!T539</f>
        <v>0</v>
      </c>
      <c r="H542" s="31">
        <f>Simulation_output!E540</f>
        <v>1</v>
      </c>
      <c r="I542" s="31">
        <f>Simulation_output!F540</f>
        <v>191</v>
      </c>
      <c r="J542" s="31">
        <f>Simulation_output!G540</f>
        <v>1</v>
      </c>
      <c r="K542" s="31">
        <f>Simulation_output!H540</f>
        <v>0</v>
      </c>
      <c r="L542">
        <v>1</v>
      </c>
      <c r="M542">
        <f t="shared" si="147"/>
        <v>0</v>
      </c>
      <c r="N542">
        <f t="shared" si="146"/>
        <v>0</v>
      </c>
      <c r="O542">
        <f t="shared" si="145"/>
        <v>0</v>
      </c>
      <c r="P542">
        <f t="shared" si="148"/>
        <v>0</v>
      </c>
      <c r="Q542">
        <f t="shared" si="144"/>
        <v>0</v>
      </c>
      <c r="R542">
        <f t="shared" si="134"/>
        <v>0</v>
      </c>
      <c r="S542">
        <f t="shared" si="135"/>
        <v>0</v>
      </c>
      <c r="T542">
        <f t="shared" si="136"/>
        <v>0</v>
      </c>
      <c r="U542">
        <f t="shared" si="137"/>
        <v>0</v>
      </c>
      <c r="V542">
        <f t="shared" si="138"/>
        <v>0</v>
      </c>
      <c r="W542">
        <f t="shared" si="139"/>
        <v>0</v>
      </c>
      <c r="X542">
        <f t="shared" si="140"/>
        <v>0</v>
      </c>
      <c r="Y542">
        <f t="shared" si="141"/>
        <v>0</v>
      </c>
      <c r="Z542">
        <f t="shared" si="142"/>
        <v>0</v>
      </c>
      <c r="AB542">
        <v>538</v>
      </c>
      <c r="AC542">
        <f t="shared" si="143"/>
        <v>15</v>
      </c>
      <c r="AD542">
        <f t="shared" si="133"/>
        <v>0</v>
      </c>
    </row>
    <row r="543" spans="4:30" x14ac:dyDescent="0.25">
      <c r="D543" s="31">
        <f>Simulation_output!A541</f>
        <v>5395000</v>
      </c>
      <c r="E543">
        <f>Sheet2!R540</f>
        <v>0</v>
      </c>
      <c r="F543">
        <f>Sheet2!S540</f>
        <v>0</v>
      </c>
      <c r="G543">
        <f>Sheet2!T540</f>
        <v>0</v>
      </c>
      <c r="H543" s="31">
        <f>Simulation_output!E541</f>
        <v>1</v>
      </c>
      <c r="I543" s="31">
        <f>Simulation_output!F541</f>
        <v>328</v>
      </c>
      <c r="J543" s="31">
        <f>Simulation_output!G541</f>
        <v>1</v>
      </c>
      <c r="K543" s="31">
        <f>Simulation_output!H541</f>
        <v>0</v>
      </c>
      <c r="L543">
        <v>1</v>
      </c>
      <c r="M543">
        <f t="shared" si="147"/>
        <v>0</v>
      </c>
      <c r="N543">
        <f t="shared" si="146"/>
        <v>0</v>
      </c>
      <c r="O543">
        <f t="shared" si="145"/>
        <v>0</v>
      </c>
      <c r="P543">
        <f t="shared" si="148"/>
        <v>0</v>
      </c>
      <c r="Q543">
        <f t="shared" si="144"/>
        <v>0</v>
      </c>
      <c r="R543">
        <f t="shared" si="134"/>
        <v>0</v>
      </c>
      <c r="S543">
        <f t="shared" si="135"/>
        <v>0</v>
      </c>
      <c r="T543">
        <f t="shared" si="136"/>
        <v>0</v>
      </c>
      <c r="U543">
        <f t="shared" si="137"/>
        <v>0</v>
      </c>
      <c r="V543">
        <f t="shared" si="138"/>
        <v>0</v>
      </c>
      <c r="W543">
        <f t="shared" si="139"/>
        <v>0</v>
      </c>
      <c r="X543">
        <f t="shared" si="140"/>
        <v>0</v>
      </c>
      <c r="Y543">
        <f t="shared" si="141"/>
        <v>0</v>
      </c>
      <c r="Z543">
        <f t="shared" si="142"/>
        <v>0</v>
      </c>
      <c r="AB543">
        <v>539</v>
      </c>
      <c r="AC543">
        <f t="shared" si="143"/>
        <v>15</v>
      </c>
      <c r="AD543">
        <f t="shared" si="133"/>
        <v>0</v>
      </c>
    </row>
    <row r="544" spans="4:30" x14ac:dyDescent="0.25">
      <c r="D544" s="31">
        <f>Simulation_output!A542</f>
        <v>5405000</v>
      </c>
      <c r="E544">
        <f>Sheet2!R541</f>
        <v>0</v>
      </c>
      <c r="F544">
        <f>Sheet2!S541</f>
        <v>0</v>
      </c>
      <c r="G544">
        <f>Sheet2!T541</f>
        <v>0</v>
      </c>
      <c r="H544" s="31">
        <f>Simulation_output!E542</f>
        <v>1</v>
      </c>
      <c r="I544" s="31">
        <f>Simulation_output!F542</f>
        <v>25</v>
      </c>
      <c r="J544" s="31">
        <f>Simulation_output!G542</f>
        <v>1</v>
      </c>
      <c r="K544" s="31">
        <f>Simulation_output!H542</f>
        <v>0</v>
      </c>
      <c r="L544">
        <v>1</v>
      </c>
      <c r="M544">
        <f t="shared" si="147"/>
        <v>0</v>
      </c>
      <c r="N544">
        <f t="shared" si="146"/>
        <v>0</v>
      </c>
      <c r="O544">
        <f t="shared" si="145"/>
        <v>0</v>
      </c>
      <c r="P544">
        <f t="shared" si="148"/>
        <v>0</v>
      </c>
      <c r="Q544">
        <f t="shared" si="144"/>
        <v>0</v>
      </c>
      <c r="R544">
        <f t="shared" si="134"/>
        <v>0</v>
      </c>
      <c r="S544">
        <f t="shared" si="135"/>
        <v>0</v>
      </c>
      <c r="T544">
        <f t="shared" si="136"/>
        <v>0</v>
      </c>
      <c r="U544">
        <f t="shared" si="137"/>
        <v>0</v>
      </c>
      <c r="V544">
        <f t="shared" si="138"/>
        <v>0</v>
      </c>
      <c r="W544">
        <f t="shared" si="139"/>
        <v>0</v>
      </c>
      <c r="X544">
        <f t="shared" si="140"/>
        <v>0</v>
      </c>
      <c r="Y544">
        <f t="shared" si="141"/>
        <v>0</v>
      </c>
      <c r="Z544">
        <f t="shared" si="142"/>
        <v>0</v>
      </c>
      <c r="AB544">
        <v>540</v>
      </c>
      <c r="AC544">
        <f t="shared" si="143"/>
        <v>15</v>
      </c>
      <c r="AD544">
        <f t="shared" si="133"/>
        <v>0</v>
      </c>
    </row>
    <row r="545" spans="4:30" x14ac:dyDescent="0.25">
      <c r="D545" s="31">
        <f>Simulation_output!A543</f>
        <v>5415000</v>
      </c>
      <c r="E545">
        <f>Sheet2!R542</f>
        <v>0</v>
      </c>
      <c r="F545">
        <f>Sheet2!S542</f>
        <v>0</v>
      </c>
      <c r="G545">
        <f>Sheet2!T542</f>
        <v>0</v>
      </c>
      <c r="H545" s="31">
        <f>Simulation_output!E543</f>
        <v>1</v>
      </c>
      <c r="I545" s="31">
        <f>Simulation_output!F543</f>
        <v>5</v>
      </c>
      <c r="J545" s="31">
        <f>Simulation_output!G543</f>
        <v>1</v>
      </c>
      <c r="K545" s="31">
        <f>Simulation_output!H543</f>
        <v>0</v>
      </c>
      <c r="L545">
        <v>1</v>
      </c>
      <c r="M545">
        <f t="shared" si="147"/>
        <v>0</v>
      </c>
      <c r="N545">
        <f t="shared" si="146"/>
        <v>0</v>
      </c>
      <c r="O545">
        <f t="shared" si="145"/>
        <v>0</v>
      </c>
      <c r="P545">
        <f t="shared" si="148"/>
        <v>0</v>
      </c>
      <c r="Q545">
        <f t="shared" si="144"/>
        <v>0</v>
      </c>
      <c r="R545">
        <f t="shared" si="134"/>
        <v>0</v>
      </c>
      <c r="S545">
        <f t="shared" si="135"/>
        <v>0</v>
      </c>
      <c r="T545">
        <f t="shared" si="136"/>
        <v>0</v>
      </c>
      <c r="U545">
        <f t="shared" si="137"/>
        <v>0</v>
      </c>
      <c r="V545">
        <f t="shared" si="138"/>
        <v>0</v>
      </c>
      <c r="W545">
        <f t="shared" si="139"/>
        <v>0</v>
      </c>
      <c r="X545">
        <f t="shared" si="140"/>
        <v>0</v>
      </c>
      <c r="Y545">
        <f t="shared" si="141"/>
        <v>0</v>
      </c>
      <c r="Z545">
        <f t="shared" si="142"/>
        <v>0</v>
      </c>
      <c r="AB545">
        <v>541</v>
      </c>
      <c r="AC545">
        <f t="shared" si="143"/>
        <v>15</v>
      </c>
      <c r="AD545">
        <f t="shared" si="133"/>
        <v>0</v>
      </c>
    </row>
    <row r="546" spans="4:30" x14ac:dyDescent="0.25">
      <c r="D546" s="31">
        <f>Simulation_output!A544</f>
        <v>5425000</v>
      </c>
      <c r="E546">
        <f>Sheet2!R543</f>
        <v>0</v>
      </c>
      <c r="F546">
        <f>Sheet2!S543</f>
        <v>0</v>
      </c>
      <c r="G546">
        <f>Sheet2!T543</f>
        <v>0</v>
      </c>
      <c r="H546" s="31">
        <f>Simulation_output!E544</f>
        <v>1</v>
      </c>
      <c r="I546" s="31">
        <f>Simulation_output!F544</f>
        <v>25</v>
      </c>
      <c r="J546" s="31">
        <f>Simulation_output!G544</f>
        <v>1</v>
      </c>
      <c r="K546" s="31">
        <f>Simulation_output!H544</f>
        <v>0</v>
      </c>
      <c r="L546">
        <v>1</v>
      </c>
      <c r="M546">
        <f t="shared" si="147"/>
        <v>0</v>
      </c>
      <c r="N546">
        <f t="shared" si="146"/>
        <v>0</v>
      </c>
      <c r="O546">
        <f t="shared" si="145"/>
        <v>0</v>
      </c>
      <c r="P546">
        <f t="shared" si="148"/>
        <v>0</v>
      </c>
      <c r="Q546">
        <f t="shared" si="144"/>
        <v>0</v>
      </c>
      <c r="R546">
        <f t="shared" si="134"/>
        <v>0</v>
      </c>
      <c r="S546">
        <f t="shared" si="135"/>
        <v>0</v>
      </c>
      <c r="T546">
        <f t="shared" si="136"/>
        <v>0</v>
      </c>
      <c r="U546">
        <f t="shared" si="137"/>
        <v>0</v>
      </c>
      <c r="V546">
        <f t="shared" si="138"/>
        <v>0</v>
      </c>
      <c r="W546">
        <f t="shared" si="139"/>
        <v>0</v>
      </c>
      <c r="X546">
        <f t="shared" si="140"/>
        <v>0</v>
      </c>
      <c r="Y546">
        <f t="shared" si="141"/>
        <v>0</v>
      </c>
      <c r="Z546">
        <f t="shared" si="142"/>
        <v>0</v>
      </c>
      <c r="AB546">
        <v>542</v>
      </c>
      <c r="AC546">
        <f t="shared" si="143"/>
        <v>15</v>
      </c>
      <c r="AD546">
        <f t="shared" si="133"/>
        <v>0</v>
      </c>
    </row>
    <row r="547" spans="4:30" x14ac:dyDescent="0.25">
      <c r="D547" s="31">
        <f>Simulation_output!A545</f>
        <v>5435000</v>
      </c>
      <c r="E547">
        <f>Sheet2!R544</f>
        <v>0</v>
      </c>
      <c r="F547">
        <f>Sheet2!S544</f>
        <v>0</v>
      </c>
      <c r="G547">
        <f>Sheet2!T544</f>
        <v>0</v>
      </c>
      <c r="H547" s="31">
        <f>Simulation_output!E545</f>
        <v>1</v>
      </c>
      <c r="I547" s="31">
        <f>Simulation_output!F545</f>
        <v>125</v>
      </c>
      <c r="J547" s="31">
        <f>Simulation_output!G545</f>
        <v>1</v>
      </c>
      <c r="K547" s="31">
        <f>Simulation_output!H545</f>
        <v>0</v>
      </c>
      <c r="L547">
        <v>1</v>
      </c>
      <c r="M547">
        <f t="shared" si="147"/>
        <v>0</v>
      </c>
      <c r="N547">
        <f t="shared" si="146"/>
        <v>0</v>
      </c>
      <c r="O547">
        <f t="shared" si="145"/>
        <v>0</v>
      </c>
      <c r="P547">
        <f t="shared" si="148"/>
        <v>0</v>
      </c>
      <c r="Q547">
        <f t="shared" si="144"/>
        <v>0</v>
      </c>
      <c r="R547">
        <f t="shared" si="134"/>
        <v>0</v>
      </c>
      <c r="S547">
        <f t="shared" si="135"/>
        <v>0</v>
      </c>
      <c r="T547">
        <f t="shared" si="136"/>
        <v>0</v>
      </c>
      <c r="U547">
        <f t="shared" si="137"/>
        <v>0</v>
      </c>
      <c r="V547">
        <f t="shared" si="138"/>
        <v>0</v>
      </c>
      <c r="W547">
        <f t="shared" si="139"/>
        <v>0</v>
      </c>
      <c r="X547">
        <f t="shared" si="140"/>
        <v>0</v>
      </c>
      <c r="Y547">
        <f t="shared" si="141"/>
        <v>0</v>
      </c>
      <c r="Z547">
        <f t="shared" si="142"/>
        <v>0</v>
      </c>
      <c r="AB547">
        <v>543</v>
      </c>
      <c r="AC547">
        <f t="shared" si="143"/>
        <v>15</v>
      </c>
      <c r="AD547">
        <f t="shared" si="133"/>
        <v>0</v>
      </c>
    </row>
    <row r="548" spans="4:30" x14ac:dyDescent="0.25">
      <c r="D548" s="31">
        <f>Simulation_output!A546</f>
        <v>5445000</v>
      </c>
      <c r="E548">
        <f>Sheet2!R545</f>
        <v>0</v>
      </c>
      <c r="F548">
        <f>Sheet2!S545</f>
        <v>0</v>
      </c>
      <c r="G548">
        <f>Sheet2!T545</f>
        <v>0</v>
      </c>
      <c r="H548" s="31">
        <f>Simulation_output!E546</f>
        <v>1</v>
      </c>
      <c r="I548" s="31">
        <f>Simulation_output!F546</f>
        <v>1025</v>
      </c>
      <c r="J548" s="31">
        <f>Simulation_output!G546</f>
        <v>1</v>
      </c>
      <c r="K548" s="31">
        <f>Simulation_output!H546</f>
        <v>0</v>
      </c>
      <c r="L548">
        <v>1</v>
      </c>
      <c r="M548">
        <f t="shared" si="147"/>
        <v>0</v>
      </c>
      <c r="N548">
        <f t="shared" si="146"/>
        <v>0</v>
      </c>
      <c r="O548">
        <f t="shared" si="145"/>
        <v>0</v>
      </c>
      <c r="P548">
        <f t="shared" si="148"/>
        <v>0</v>
      </c>
      <c r="Q548">
        <f t="shared" si="144"/>
        <v>0</v>
      </c>
      <c r="R548">
        <f t="shared" si="134"/>
        <v>0</v>
      </c>
      <c r="S548">
        <f t="shared" si="135"/>
        <v>0</v>
      </c>
      <c r="T548">
        <f t="shared" si="136"/>
        <v>0</v>
      </c>
      <c r="U548">
        <f t="shared" si="137"/>
        <v>0</v>
      </c>
      <c r="V548">
        <f t="shared" si="138"/>
        <v>0</v>
      </c>
      <c r="W548">
        <f t="shared" si="139"/>
        <v>0</v>
      </c>
      <c r="X548">
        <f t="shared" si="140"/>
        <v>0</v>
      </c>
      <c r="Y548">
        <f t="shared" si="141"/>
        <v>0</v>
      </c>
      <c r="Z548">
        <f t="shared" si="142"/>
        <v>0</v>
      </c>
      <c r="AB548">
        <v>544</v>
      </c>
      <c r="AC548">
        <f t="shared" si="143"/>
        <v>15</v>
      </c>
      <c r="AD548">
        <f t="shared" si="133"/>
        <v>0</v>
      </c>
    </row>
    <row r="549" spans="4:30" x14ac:dyDescent="0.25">
      <c r="D549" s="31">
        <f>Simulation_output!A547</f>
        <v>5455000</v>
      </c>
      <c r="E549">
        <f>Sheet2!R546</f>
        <v>0</v>
      </c>
      <c r="F549">
        <f>Sheet2!S546</f>
        <v>0</v>
      </c>
      <c r="G549">
        <f>Sheet2!T546</f>
        <v>0</v>
      </c>
      <c r="H549" s="31">
        <f>Simulation_output!E547</f>
        <v>1</v>
      </c>
      <c r="I549" s="31">
        <f>Simulation_output!F547</f>
        <v>10025</v>
      </c>
      <c r="J549" s="31">
        <f>Simulation_output!G547</f>
        <v>1</v>
      </c>
      <c r="K549" s="31">
        <f>Simulation_output!H547</f>
        <v>0</v>
      </c>
      <c r="L549">
        <v>1</v>
      </c>
      <c r="M549">
        <f t="shared" si="147"/>
        <v>0</v>
      </c>
      <c r="N549">
        <f t="shared" si="146"/>
        <v>0</v>
      </c>
      <c r="O549">
        <f t="shared" si="145"/>
        <v>0</v>
      </c>
      <c r="P549">
        <f t="shared" si="148"/>
        <v>0</v>
      </c>
      <c r="Q549">
        <f t="shared" si="144"/>
        <v>0</v>
      </c>
      <c r="R549">
        <f t="shared" si="134"/>
        <v>0</v>
      </c>
      <c r="S549">
        <f t="shared" si="135"/>
        <v>0</v>
      </c>
      <c r="T549">
        <f t="shared" si="136"/>
        <v>0</v>
      </c>
      <c r="U549">
        <f t="shared" si="137"/>
        <v>0</v>
      </c>
      <c r="V549">
        <f t="shared" si="138"/>
        <v>0</v>
      </c>
      <c r="W549">
        <f t="shared" si="139"/>
        <v>0</v>
      </c>
      <c r="X549">
        <f t="shared" si="140"/>
        <v>0</v>
      </c>
      <c r="Y549">
        <f t="shared" si="141"/>
        <v>0</v>
      </c>
      <c r="Z549">
        <f t="shared" si="142"/>
        <v>0</v>
      </c>
      <c r="AB549">
        <v>545</v>
      </c>
      <c r="AC549">
        <f t="shared" si="143"/>
        <v>15</v>
      </c>
      <c r="AD549">
        <f t="shared" si="133"/>
        <v>0</v>
      </c>
    </row>
    <row r="550" spans="4:30" x14ac:dyDescent="0.25">
      <c r="D550" s="31">
        <f>Simulation_output!A548</f>
        <v>5465000</v>
      </c>
      <c r="E550">
        <f>Sheet2!R547</f>
        <v>0</v>
      </c>
      <c r="F550">
        <f>Sheet2!S547</f>
        <v>0</v>
      </c>
      <c r="G550">
        <f>Sheet2!T547</f>
        <v>0</v>
      </c>
      <c r="H550" s="31">
        <f>Simulation_output!E548</f>
        <v>1</v>
      </c>
      <c r="I550" s="31">
        <f>Simulation_output!F548</f>
        <v>1148</v>
      </c>
      <c r="J550" s="31">
        <f>Simulation_output!G548</f>
        <v>1</v>
      </c>
      <c r="K550" s="31">
        <f>Simulation_output!H548</f>
        <v>0</v>
      </c>
      <c r="L550">
        <v>1</v>
      </c>
      <c r="M550">
        <f t="shared" si="147"/>
        <v>0</v>
      </c>
      <c r="N550">
        <f t="shared" si="146"/>
        <v>0</v>
      </c>
      <c r="O550">
        <f t="shared" si="145"/>
        <v>0</v>
      </c>
      <c r="P550">
        <f t="shared" si="148"/>
        <v>0</v>
      </c>
      <c r="Q550">
        <f t="shared" si="144"/>
        <v>0</v>
      </c>
      <c r="R550">
        <f t="shared" si="134"/>
        <v>0</v>
      </c>
      <c r="S550">
        <f t="shared" si="135"/>
        <v>0</v>
      </c>
      <c r="T550">
        <f t="shared" si="136"/>
        <v>0</v>
      </c>
      <c r="U550">
        <f t="shared" si="137"/>
        <v>0</v>
      </c>
      <c r="V550">
        <f t="shared" si="138"/>
        <v>0</v>
      </c>
      <c r="W550">
        <f t="shared" si="139"/>
        <v>0</v>
      </c>
      <c r="X550">
        <f t="shared" si="140"/>
        <v>0</v>
      </c>
      <c r="Y550">
        <f t="shared" si="141"/>
        <v>0</v>
      </c>
      <c r="Z550">
        <f t="shared" si="142"/>
        <v>0</v>
      </c>
      <c r="AB550">
        <v>546</v>
      </c>
      <c r="AC550">
        <f t="shared" si="143"/>
        <v>15</v>
      </c>
      <c r="AD550">
        <f t="shared" si="133"/>
        <v>0</v>
      </c>
    </row>
    <row r="551" spans="4:30" x14ac:dyDescent="0.25">
      <c r="D551" s="31">
        <f>Simulation_output!A549</f>
        <v>5475000</v>
      </c>
      <c r="E551">
        <f>Sheet2!R548</f>
        <v>0</v>
      </c>
      <c r="F551">
        <f>Sheet2!S548</f>
        <v>0</v>
      </c>
      <c r="G551">
        <f>Sheet2!T548</f>
        <v>0</v>
      </c>
      <c r="H551" s="31">
        <f>Simulation_output!E549</f>
        <v>1</v>
      </c>
      <c r="I551" s="31">
        <f>Simulation_output!F549</f>
        <v>337</v>
      </c>
      <c r="J551" s="31">
        <f>Simulation_output!G549</f>
        <v>1</v>
      </c>
      <c r="K551" s="31">
        <f>Simulation_output!H549</f>
        <v>0</v>
      </c>
      <c r="L551">
        <v>1</v>
      </c>
      <c r="M551">
        <f t="shared" si="147"/>
        <v>0</v>
      </c>
      <c r="N551">
        <f t="shared" si="146"/>
        <v>0</v>
      </c>
      <c r="O551">
        <f t="shared" si="145"/>
        <v>0</v>
      </c>
      <c r="P551">
        <f t="shared" si="148"/>
        <v>0</v>
      </c>
      <c r="Q551">
        <f t="shared" si="144"/>
        <v>0</v>
      </c>
      <c r="R551">
        <f t="shared" si="134"/>
        <v>0</v>
      </c>
      <c r="S551">
        <f t="shared" si="135"/>
        <v>0</v>
      </c>
      <c r="T551">
        <f t="shared" si="136"/>
        <v>0</v>
      </c>
      <c r="U551">
        <f t="shared" si="137"/>
        <v>0</v>
      </c>
      <c r="V551">
        <f t="shared" si="138"/>
        <v>0</v>
      </c>
      <c r="W551">
        <f t="shared" si="139"/>
        <v>0</v>
      </c>
      <c r="X551">
        <f t="shared" si="140"/>
        <v>0</v>
      </c>
      <c r="Y551">
        <f t="shared" si="141"/>
        <v>0</v>
      </c>
      <c r="Z551">
        <f t="shared" si="142"/>
        <v>0</v>
      </c>
      <c r="AB551">
        <v>547</v>
      </c>
      <c r="AC551">
        <f t="shared" si="143"/>
        <v>15</v>
      </c>
      <c r="AD551">
        <f t="shared" si="133"/>
        <v>0</v>
      </c>
    </row>
    <row r="552" spans="4:30" x14ac:dyDescent="0.25">
      <c r="D552" s="31">
        <f>Simulation_output!A550</f>
        <v>5485000</v>
      </c>
      <c r="E552">
        <f>Sheet2!R549</f>
        <v>0</v>
      </c>
      <c r="F552">
        <f>Sheet2!S549</f>
        <v>0</v>
      </c>
      <c r="G552">
        <f>Sheet2!T549</f>
        <v>0</v>
      </c>
      <c r="H552" s="31">
        <f>Simulation_output!E550</f>
        <v>1</v>
      </c>
      <c r="I552" s="31">
        <f>Simulation_output!F550</f>
        <v>0</v>
      </c>
      <c r="J552" s="31">
        <f>Simulation_output!G550</f>
        <v>1</v>
      </c>
      <c r="K552" s="31">
        <f>Simulation_output!H550</f>
        <v>0</v>
      </c>
      <c r="L552">
        <v>1</v>
      </c>
      <c r="M552">
        <f t="shared" si="147"/>
        <v>0</v>
      </c>
      <c r="N552">
        <f t="shared" si="146"/>
        <v>0</v>
      </c>
      <c r="O552">
        <f t="shared" si="145"/>
        <v>0</v>
      </c>
      <c r="P552">
        <f t="shared" si="148"/>
        <v>0</v>
      </c>
      <c r="Q552">
        <f t="shared" si="144"/>
        <v>0</v>
      </c>
      <c r="R552">
        <f t="shared" si="134"/>
        <v>0</v>
      </c>
      <c r="S552">
        <f t="shared" si="135"/>
        <v>0</v>
      </c>
      <c r="T552">
        <f t="shared" si="136"/>
        <v>0</v>
      </c>
      <c r="U552">
        <f t="shared" si="137"/>
        <v>0</v>
      </c>
      <c r="V552">
        <f t="shared" si="138"/>
        <v>0</v>
      </c>
      <c r="W552">
        <f t="shared" si="139"/>
        <v>0</v>
      </c>
      <c r="X552">
        <f t="shared" si="140"/>
        <v>0</v>
      </c>
      <c r="Y552">
        <f t="shared" si="141"/>
        <v>0</v>
      </c>
      <c r="Z552">
        <f t="shared" si="142"/>
        <v>0</v>
      </c>
      <c r="AB552">
        <v>548</v>
      </c>
      <c r="AC552">
        <f t="shared" si="143"/>
        <v>15</v>
      </c>
      <c r="AD552">
        <f t="shared" si="133"/>
        <v>0</v>
      </c>
    </row>
    <row r="553" spans="4:30" x14ac:dyDescent="0.25">
      <c r="D553" s="31">
        <f>Simulation_output!A551</f>
        <v>5495000</v>
      </c>
      <c r="E553">
        <f>Sheet2!R550</f>
        <v>0</v>
      </c>
      <c r="F553">
        <f>Sheet2!S550</f>
        <v>0</v>
      </c>
      <c r="G553">
        <f>Sheet2!T550</f>
        <v>0</v>
      </c>
      <c r="H553" s="31">
        <f>Simulation_output!E551</f>
        <v>1</v>
      </c>
      <c r="I553" s="31">
        <f>Simulation_output!F551</f>
        <v>268435454</v>
      </c>
      <c r="J553" s="31">
        <f>Simulation_output!G551</f>
        <v>1</v>
      </c>
      <c r="K553" s="31">
        <f>Simulation_output!H551</f>
        <v>1</v>
      </c>
      <c r="L553">
        <v>1</v>
      </c>
      <c r="M553" t="str">
        <f t="shared" si="147"/>
        <v>FFFFFFF</v>
      </c>
      <c r="N553">
        <f t="shared" si="146"/>
        <v>16</v>
      </c>
      <c r="O553">
        <f t="shared" si="145"/>
        <v>191</v>
      </c>
      <c r="P553">
        <f t="shared" si="148"/>
        <v>328</v>
      </c>
      <c r="Q553">
        <f t="shared" si="144"/>
        <v>25</v>
      </c>
      <c r="R553">
        <f t="shared" si="134"/>
        <v>5</v>
      </c>
      <c r="S553">
        <f t="shared" si="135"/>
        <v>25</v>
      </c>
      <c r="T553">
        <f t="shared" si="136"/>
        <v>125</v>
      </c>
      <c r="U553">
        <f t="shared" si="137"/>
        <v>1025</v>
      </c>
      <c r="V553">
        <f t="shared" si="138"/>
        <v>10025</v>
      </c>
      <c r="W553">
        <f t="shared" si="139"/>
        <v>1148</v>
      </c>
      <c r="X553">
        <f t="shared" si="140"/>
        <v>337</v>
      </c>
      <c r="Y553">
        <f t="shared" si="141"/>
        <v>0</v>
      </c>
      <c r="Z553" t="str">
        <f t="shared" si="142"/>
        <v>FFFFFFE</v>
      </c>
      <c r="AB553">
        <v>549</v>
      </c>
      <c r="AC553">
        <f t="shared" si="143"/>
        <v>16</v>
      </c>
      <c r="AD553">
        <f t="shared" si="133"/>
        <v>16</v>
      </c>
    </row>
    <row r="554" spans="4:30" x14ac:dyDescent="0.25">
      <c r="D554" s="31">
        <f>Simulation_output!A552</f>
        <v>5505000</v>
      </c>
      <c r="E554">
        <f>Sheet2!R551</f>
        <v>0</v>
      </c>
      <c r="F554">
        <f>Sheet2!S551</f>
        <v>0</v>
      </c>
      <c r="G554">
        <f>Sheet2!T551</f>
        <v>0</v>
      </c>
      <c r="H554" s="31">
        <f>Simulation_output!E552</f>
        <v>1</v>
      </c>
      <c r="I554" s="31">
        <f>Simulation_output!F552</f>
        <v>268435455</v>
      </c>
      <c r="J554" s="31">
        <f>Simulation_output!G552</f>
        <v>1</v>
      </c>
      <c r="K554" s="31">
        <f>Simulation_output!H552</f>
        <v>0</v>
      </c>
      <c r="L554">
        <v>1</v>
      </c>
      <c r="M554">
        <f t="shared" si="147"/>
        <v>0</v>
      </c>
      <c r="N554">
        <f t="shared" si="146"/>
        <v>0</v>
      </c>
      <c r="O554">
        <f t="shared" si="145"/>
        <v>0</v>
      </c>
      <c r="P554">
        <f t="shared" si="148"/>
        <v>0</v>
      </c>
      <c r="Q554">
        <f t="shared" si="144"/>
        <v>0</v>
      </c>
      <c r="R554">
        <f t="shared" si="134"/>
        <v>0</v>
      </c>
      <c r="S554">
        <f t="shared" si="135"/>
        <v>0</v>
      </c>
      <c r="T554">
        <f t="shared" si="136"/>
        <v>0</v>
      </c>
      <c r="U554">
        <f t="shared" si="137"/>
        <v>0</v>
      </c>
      <c r="V554">
        <f t="shared" si="138"/>
        <v>0</v>
      </c>
      <c r="W554">
        <f t="shared" si="139"/>
        <v>0</v>
      </c>
      <c r="X554">
        <f t="shared" si="140"/>
        <v>0</v>
      </c>
      <c r="Y554">
        <f t="shared" si="141"/>
        <v>0</v>
      </c>
      <c r="Z554">
        <f t="shared" si="142"/>
        <v>0</v>
      </c>
      <c r="AB554">
        <v>550</v>
      </c>
      <c r="AC554">
        <f t="shared" si="143"/>
        <v>16</v>
      </c>
      <c r="AD554">
        <f t="shared" si="133"/>
        <v>0</v>
      </c>
    </row>
    <row r="555" spans="4:30" x14ac:dyDescent="0.25">
      <c r="D555" s="31">
        <f>Simulation_output!A553</f>
        <v>5515000</v>
      </c>
      <c r="E555">
        <f>Sheet2!R552</f>
        <v>0</v>
      </c>
      <c r="F555">
        <f>Sheet2!S552</f>
        <v>0</v>
      </c>
      <c r="G555">
        <f>Sheet2!T552</f>
        <v>0</v>
      </c>
      <c r="H555" s="31">
        <f>Simulation_output!E553</f>
        <v>1</v>
      </c>
      <c r="I555" s="31">
        <f>Simulation_output!F553</f>
        <v>17</v>
      </c>
      <c r="J555" s="31">
        <f>Simulation_output!G553</f>
        <v>1</v>
      </c>
      <c r="K555" s="31">
        <f>Simulation_output!H553</f>
        <v>0</v>
      </c>
      <c r="L555">
        <v>1</v>
      </c>
      <c r="M555">
        <f t="shared" si="147"/>
        <v>0</v>
      </c>
      <c r="N555">
        <f t="shared" si="146"/>
        <v>0</v>
      </c>
      <c r="O555">
        <f t="shared" si="145"/>
        <v>0</v>
      </c>
      <c r="P555">
        <f t="shared" si="148"/>
        <v>0</v>
      </c>
      <c r="Q555">
        <f t="shared" si="144"/>
        <v>0</v>
      </c>
      <c r="R555">
        <f t="shared" si="134"/>
        <v>0</v>
      </c>
      <c r="S555">
        <f t="shared" si="135"/>
        <v>0</v>
      </c>
      <c r="T555">
        <f t="shared" si="136"/>
        <v>0</v>
      </c>
      <c r="U555">
        <f t="shared" si="137"/>
        <v>0</v>
      </c>
      <c r="V555">
        <f t="shared" si="138"/>
        <v>0</v>
      </c>
      <c r="W555">
        <f t="shared" si="139"/>
        <v>0</v>
      </c>
      <c r="X555">
        <f t="shared" si="140"/>
        <v>0</v>
      </c>
      <c r="Y555">
        <f t="shared" si="141"/>
        <v>0</v>
      </c>
      <c r="Z555">
        <f t="shared" si="142"/>
        <v>0</v>
      </c>
      <c r="AB555">
        <v>551</v>
      </c>
      <c r="AC555">
        <f t="shared" si="143"/>
        <v>16</v>
      </c>
      <c r="AD555">
        <f t="shared" si="133"/>
        <v>0</v>
      </c>
    </row>
    <row r="556" spans="4:30" x14ac:dyDescent="0.25">
      <c r="D556" s="31">
        <f>Simulation_output!A554</f>
        <v>5525000</v>
      </c>
      <c r="E556">
        <f>Sheet2!R553</f>
        <v>0</v>
      </c>
      <c r="F556">
        <f>Sheet2!S553</f>
        <v>0</v>
      </c>
      <c r="G556">
        <f>Sheet2!T553</f>
        <v>0</v>
      </c>
      <c r="H556" s="31">
        <f>Simulation_output!E554</f>
        <v>1</v>
      </c>
      <c r="I556" s="31">
        <f>Simulation_output!F554</f>
        <v>203</v>
      </c>
      <c r="J556" s="31">
        <f>Simulation_output!G554</f>
        <v>1</v>
      </c>
      <c r="K556" s="31">
        <f>Simulation_output!H554</f>
        <v>0</v>
      </c>
      <c r="L556">
        <v>1</v>
      </c>
      <c r="M556">
        <f t="shared" si="147"/>
        <v>0</v>
      </c>
      <c r="N556">
        <f t="shared" si="146"/>
        <v>0</v>
      </c>
      <c r="O556">
        <f t="shared" si="145"/>
        <v>0</v>
      </c>
      <c r="P556">
        <f t="shared" si="148"/>
        <v>0</v>
      </c>
      <c r="Q556">
        <f t="shared" si="144"/>
        <v>0</v>
      </c>
      <c r="R556">
        <f t="shared" si="134"/>
        <v>0</v>
      </c>
      <c r="S556">
        <f t="shared" si="135"/>
        <v>0</v>
      </c>
      <c r="T556">
        <f t="shared" si="136"/>
        <v>0</v>
      </c>
      <c r="U556">
        <f t="shared" si="137"/>
        <v>0</v>
      </c>
      <c r="V556">
        <f t="shared" si="138"/>
        <v>0</v>
      </c>
      <c r="W556">
        <f t="shared" si="139"/>
        <v>0</v>
      </c>
      <c r="X556">
        <f t="shared" si="140"/>
        <v>0</v>
      </c>
      <c r="Y556">
        <f t="shared" si="141"/>
        <v>0</v>
      </c>
      <c r="Z556">
        <f t="shared" si="142"/>
        <v>0</v>
      </c>
      <c r="AB556">
        <v>552</v>
      </c>
      <c r="AC556">
        <f t="shared" si="143"/>
        <v>16</v>
      </c>
      <c r="AD556">
        <f t="shared" si="133"/>
        <v>0</v>
      </c>
    </row>
    <row r="557" spans="4:30" x14ac:dyDescent="0.25">
      <c r="D557" s="31">
        <f>Simulation_output!A555</f>
        <v>5535000</v>
      </c>
      <c r="E557">
        <f>Sheet2!R554</f>
        <v>0</v>
      </c>
      <c r="F557">
        <f>Sheet2!S554</f>
        <v>0</v>
      </c>
      <c r="G557">
        <f>Sheet2!T554</f>
        <v>0</v>
      </c>
      <c r="H557" s="31">
        <f>Simulation_output!E555</f>
        <v>1</v>
      </c>
      <c r="I557" s="31">
        <f>Simulation_output!F555</f>
        <v>329</v>
      </c>
      <c r="J557" s="31">
        <f>Simulation_output!G555</f>
        <v>1</v>
      </c>
      <c r="K557" s="31">
        <f>Simulation_output!H555</f>
        <v>0</v>
      </c>
      <c r="L557">
        <v>1</v>
      </c>
      <c r="M557">
        <f t="shared" si="147"/>
        <v>0</v>
      </c>
      <c r="N557">
        <f t="shared" si="146"/>
        <v>0</v>
      </c>
      <c r="O557">
        <f t="shared" si="145"/>
        <v>0</v>
      </c>
      <c r="P557">
        <f t="shared" si="148"/>
        <v>0</v>
      </c>
      <c r="Q557">
        <f t="shared" si="144"/>
        <v>0</v>
      </c>
      <c r="R557">
        <f t="shared" si="134"/>
        <v>0</v>
      </c>
      <c r="S557">
        <f t="shared" si="135"/>
        <v>0</v>
      </c>
      <c r="T557">
        <f t="shared" si="136"/>
        <v>0</v>
      </c>
      <c r="U557">
        <f t="shared" si="137"/>
        <v>0</v>
      </c>
      <c r="V557">
        <f t="shared" si="138"/>
        <v>0</v>
      </c>
      <c r="W557">
        <f t="shared" si="139"/>
        <v>0</v>
      </c>
      <c r="X557">
        <f t="shared" si="140"/>
        <v>0</v>
      </c>
      <c r="Y557">
        <f t="shared" si="141"/>
        <v>0</v>
      </c>
      <c r="Z557">
        <f t="shared" si="142"/>
        <v>0</v>
      </c>
      <c r="AB557">
        <v>553</v>
      </c>
      <c r="AC557">
        <f t="shared" si="143"/>
        <v>16</v>
      </c>
      <c r="AD557">
        <f t="shared" si="133"/>
        <v>0</v>
      </c>
    </row>
    <row r="558" spans="4:30" x14ac:dyDescent="0.25">
      <c r="D558" s="31">
        <f>Simulation_output!A556</f>
        <v>5545000</v>
      </c>
      <c r="E558">
        <f>Sheet2!R555</f>
        <v>0</v>
      </c>
      <c r="F558">
        <f>Sheet2!S555</f>
        <v>0</v>
      </c>
      <c r="G558">
        <f>Sheet2!T555</f>
        <v>0</v>
      </c>
      <c r="H558" s="31">
        <f>Simulation_output!E556</f>
        <v>1</v>
      </c>
      <c r="I558" s="31">
        <f>Simulation_output!F556</f>
        <v>25</v>
      </c>
      <c r="J558" s="31">
        <f>Simulation_output!G556</f>
        <v>1</v>
      </c>
      <c r="K558" s="31">
        <f>Simulation_output!H556</f>
        <v>0</v>
      </c>
      <c r="L558">
        <v>1</v>
      </c>
      <c r="M558">
        <f t="shared" si="147"/>
        <v>0</v>
      </c>
      <c r="N558">
        <f t="shared" si="146"/>
        <v>0</v>
      </c>
      <c r="O558">
        <f t="shared" si="145"/>
        <v>0</v>
      </c>
      <c r="P558">
        <f t="shared" si="148"/>
        <v>0</v>
      </c>
      <c r="Q558">
        <f t="shared" si="144"/>
        <v>0</v>
      </c>
      <c r="R558">
        <f t="shared" si="134"/>
        <v>0</v>
      </c>
      <c r="S558">
        <f t="shared" si="135"/>
        <v>0</v>
      </c>
      <c r="T558">
        <f t="shared" si="136"/>
        <v>0</v>
      </c>
      <c r="U558">
        <f t="shared" si="137"/>
        <v>0</v>
      </c>
      <c r="V558">
        <f t="shared" si="138"/>
        <v>0</v>
      </c>
      <c r="W558">
        <f t="shared" si="139"/>
        <v>0</v>
      </c>
      <c r="X558">
        <f t="shared" si="140"/>
        <v>0</v>
      </c>
      <c r="Y558">
        <f t="shared" si="141"/>
        <v>0</v>
      </c>
      <c r="Z558">
        <f t="shared" si="142"/>
        <v>0</v>
      </c>
      <c r="AB558">
        <v>554</v>
      </c>
      <c r="AC558">
        <f t="shared" si="143"/>
        <v>16</v>
      </c>
      <c r="AD558">
        <f t="shared" si="133"/>
        <v>0</v>
      </c>
    </row>
    <row r="559" spans="4:30" x14ac:dyDescent="0.25">
      <c r="D559" s="31">
        <f>Simulation_output!A557</f>
        <v>5555000</v>
      </c>
      <c r="E559">
        <f>Sheet2!R556</f>
        <v>0</v>
      </c>
      <c r="F559">
        <f>Sheet2!S556</f>
        <v>0</v>
      </c>
      <c r="G559">
        <f>Sheet2!T556</f>
        <v>0</v>
      </c>
      <c r="H559" s="31">
        <f>Simulation_output!E557</f>
        <v>1</v>
      </c>
      <c r="I559" s="31">
        <f>Simulation_output!F557</f>
        <v>5</v>
      </c>
      <c r="J559" s="31">
        <f>Simulation_output!G557</f>
        <v>1</v>
      </c>
      <c r="K559" s="31">
        <f>Simulation_output!H557</f>
        <v>0</v>
      </c>
      <c r="L559">
        <v>1</v>
      </c>
      <c r="M559">
        <f t="shared" si="147"/>
        <v>0</v>
      </c>
      <c r="N559">
        <f t="shared" si="146"/>
        <v>0</v>
      </c>
      <c r="O559">
        <f t="shared" si="145"/>
        <v>0</v>
      </c>
      <c r="P559">
        <f t="shared" si="148"/>
        <v>0</v>
      </c>
      <c r="Q559">
        <f t="shared" si="144"/>
        <v>0</v>
      </c>
      <c r="R559">
        <f t="shared" si="134"/>
        <v>0</v>
      </c>
      <c r="S559">
        <f t="shared" si="135"/>
        <v>0</v>
      </c>
      <c r="T559">
        <f t="shared" si="136"/>
        <v>0</v>
      </c>
      <c r="U559">
        <f t="shared" si="137"/>
        <v>0</v>
      </c>
      <c r="V559">
        <f t="shared" si="138"/>
        <v>0</v>
      </c>
      <c r="W559">
        <f t="shared" si="139"/>
        <v>0</v>
      </c>
      <c r="X559">
        <f t="shared" si="140"/>
        <v>0</v>
      </c>
      <c r="Y559">
        <f t="shared" si="141"/>
        <v>0</v>
      </c>
      <c r="Z559">
        <f t="shared" si="142"/>
        <v>0</v>
      </c>
      <c r="AB559">
        <v>555</v>
      </c>
      <c r="AC559">
        <f t="shared" si="143"/>
        <v>16</v>
      </c>
      <c r="AD559">
        <f t="shared" si="133"/>
        <v>0</v>
      </c>
    </row>
    <row r="560" spans="4:30" x14ac:dyDescent="0.25">
      <c r="D560" s="31">
        <f>Simulation_output!A558</f>
        <v>5565000</v>
      </c>
      <c r="E560">
        <f>Sheet2!R557</f>
        <v>0</v>
      </c>
      <c r="F560">
        <f>Sheet2!S557</f>
        <v>0</v>
      </c>
      <c r="G560">
        <f>Sheet2!T557</f>
        <v>0</v>
      </c>
      <c r="H560" s="31">
        <f>Simulation_output!E558</f>
        <v>1</v>
      </c>
      <c r="I560" s="31">
        <f>Simulation_output!F558</f>
        <v>26</v>
      </c>
      <c r="J560" s="31">
        <f>Simulation_output!G558</f>
        <v>1</v>
      </c>
      <c r="K560" s="31">
        <f>Simulation_output!H558</f>
        <v>0</v>
      </c>
      <c r="L560">
        <v>1</v>
      </c>
      <c r="M560">
        <f t="shared" si="147"/>
        <v>0</v>
      </c>
      <c r="N560">
        <f t="shared" si="146"/>
        <v>0</v>
      </c>
      <c r="O560">
        <f t="shared" si="145"/>
        <v>0</v>
      </c>
      <c r="P560">
        <f t="shared" si="148"/>
        <v>0</v>
      </c>
      <c r="Q560">
        <f t="shared" si="144"/>
        <v>0</v>
      </c>
      <c r="R560">
        <f t="shared" si="134"/>
        <v>0</v>
      </c>
      <c r="S560">
        <f t="shared" si="135"/>
        <v>0</v>
      </c>
      <c r="T560">
        <f t="shared" si="136"/>
        <v>0</v>
      </c>
      <c r="U560">
        <f t="shared" si="137"/>
        <v>0</v>
      </c>
      <c r="V560">
        <f t="shared" si="138"/>
        <v>0</v>
      </c>
      <c r="W560">
        <f t="shared" si="139"/>
        <v>0</v>
      </c>
      <c r="X560">
        <f t="shared" si="140"/>
        <v>0</v>
      </c>
      <c r="Y560">
        <f t="shared" si="141"/>
        <v>0</v>
      </c>
      <c r="Z560">
        <f t="shared" si="142"/>
        <v>0</v>
      </c>
      <c r="AB560">
        <v>556</v>
      </c>
      <c r="AC560">
        <f t="shared" si="143"/>
        <v>16</v>
      </c>
      <c r="AD560">
        <f t="shared" si="133"/>
        <v>0</v>
      </c>
    </row>
    <row r="561" spans="4:30" x14ac:dyDescent="0.25">
      <c r="D561" s="31">
        <f>Simulation_output!A559</f>
        <v>5575000</v>
      </c>
      <c r="E561">
        <f>Sheet2!R558</f>
        <v>0</v>
      </c>
      <c r="F561">
        <f>Sheet2!S558</f>
        <v>0</v>
      </c>
      <c r="G561">
        <f>Sheet2!T558</f>
        <v>0</v>
      </c>
      <c r="H561" s="31">
        <f>Simulation_output!E559</f>
        <v>1</v>
      </c>
      <c r="I561" s="31">
        <f>Simulation_output!F559</f>
        <v>126</v>
      </c>
      <c r="J561" s="31">
        <f>Simulation_output!G559</f>
        <v>1</v>
      </c>
      <c r="K561" s="31">
        <f>Simulation_output!H559</f>
        <v>0</v>
      </c>
      <c r="L561">
        <v>1</v>
      </c>
      <c r="M561">
        <f t="shared" si="147"/>
        <v>0</v>
      </c>
      <c r="N561">
        <f t="shared" si="146"/>
        <v>0</v>
      </c>
      <c r="O561">
        <f t="shared" si="145"/>
        <v>0</v>
      </c>
      <c r="P561">
        <f t="shared" si="148"/>
        <v>0</v>
      </c>
      <c r="Q561">
        <f t="shared" si="144"/>
        <v>0</v>
      </c>
      <c r="R561">
        <f t="shared" si="134"/>
        <v>0</v>
      </c>
      <c r="S561">
        <f t="shared" si="135"/>
        <v>0</v>
      </c>
      <c r="T561">
        <f t="shared" si="136"/>
        <v>0</v>
      </c>
      <c r="U561">
        <f t="shared" si="137"/>
        <v>0</v>
      </c>
      <c r="V561">
        <f t="shared" si="138"/>
        <v>0</v>
      </c>
      <c r="W561">
        <f t="shared" si="139"/>
        <v>0</v>
      </c>
      <c r="X561">
        <f t="shared" si="140"/>
        <v>0</v>
      </c>
      <c r="Y561">
        <f t="shared" si="141"/>
        <v>0</v>
      </c>
      <c r="Z561">
        <f t="shared" si="142"/>
        <v>0</v>
      </c>
      <c r="AB561">
        <v>557</v>
      </c>
      <c r="AC561">
        <f t="shared" si="143"/>
        <v>16</v>
      </c>
      <c r="AD561">
        <f t="shared" si="133"/>
        <v>0</v>
      </c>
    </row>
    <row r="562" spans="4:30" x14ac:dyDescent="0.25">
      <c r="D562" s="31">
        <f>Simulation_output!A560</f>
        <v>5585000</v>
      </c>
      <c r="E562">
        <f>Sheet2!R559</f>
        <v>0</v>
      </c>
      <c r="F562">
        <f>Sheet2!S559</f>
        <v>0</v>
      </c>
      <c r="G562">
        <f>Sheet2!T559</f>
        <v>0</v>
      </c>
      <c r="H562" s="31">
        <f>Simulation_output!E560</f>
        <v>1</v>
      </c>
      <c r="I562" s="31">
        <f>Simulation_output!F560</f>
        <v>1026</v>
      </c>
      <c r="J562" s="31">
        <f>Simulation_output!G560</f>
        <v>1</v>
      </c>
      <c r="K562" s="31">
        <f>Simulation_output!H560</f>
        <v>0</v>
      </c>
      <c r="L562">
        <v>1</v>
      </c>
      <c r="M562">
        <f t="shared" si="147"/>
        <v>0</v>
      </c>
      <c r="N562">
        <f t="shared" si="146"/>
        <v>0</v>
      </c>
      <c r="O562">
        <f t="shared" si="145"/>
        <v>0</v>
      </c>
      <c r="P562">
        <f t="shared" si="148"/>
        <v>0</v>
      </c>
      <c r="Q562">
        <f t="shared" si="144"/>
        <v>0</v>
      </c>
      <c r="R562">
        <f t="shared" si="134"/>
        <v>0</v>
      </c>
      <c r="S562">
        <f t="shared" si="135"/>
        <v>0</v>
      </c>
      <c r="T562">
        <f t="shared" si="136"/>
        <v>0</v>
      </c>
      <c r="U562">
        <f t="shared" si="137"/>
        <v>0</v>
      </c>
      <c r="V562">
        <f t="shared" si="138"/>
        <v>0</v>
      </c>
      <c r="W562">
        <f t="shared" si="139"/>
        <v>0</v>
      </c>
      <c r="X562">
        <f t="shared" si="140"/>
        <v>0</v>
      </c>
      <c r="Y562">
        <f t="shared" si="141"/>
        <v>0</v>
      </c>
      <c r="Z562">
        <f t="shared" si="142"/>
        <v>0</v>
      </c>
      <c r="AB562">
        <v>558</v>
      </c>
      <c r="AC562">
        <f t="shared" si="143"/>
        <v>16</v>
      </c>
      <c r="AD562">
        <f t="shared" si="133"/>
        <v>0</v>
      </c>
    </row>
    <row r="563" spans="4:30" x14ac:dyDescent="0.25">
      <c r="D563" s="31">
        <f>Simulation_output!A561</f>
        <v>5595000</v>
      </c>
      <c r="E563">
        <f>Sheet2!R560</f>
        <v>0</v>
      </c>
      <c r="F563">
        <f>Sheet2!S560</f>
        <v>0</v>
      </c>
      <c r="G563">
        <f>Sheet2!T560</f>
        <v>0</v>
      </c>
      <c r="H563" s="31">
        <f>Simulation_output!E561</f>
        <v>1</v>
      </c>
      <c r="I563" s="31">
        <f>Simulation_output!F561</f>
        <v>10026</v>
      </c>
      <c r="J563" s="31">
        <f>Simulation_output!G561</f>
        <v>1</v>
      </c>
      <c r="K563" s="31">
        <f>Simulation_output!H561</f>
        <v>0</v>
      </c>
      <c r="L563">
        <v>1</v>
      </c>
      <c r="M563">
        <f t="shared" si="147"/>
        <v>0</v>
      </c>
      <c r="N563">
        <f t="shared" si="146"/>
        <v>0</v>
      </c>
      <c r="O563">
        <f t="shared" si="145"/>
        <v>0</v>
      </c>
      <c r="P563">
        <f t="shared" si="148"/>
        <v>0</v>
      </c>
      <c r="Q563">
        <f t="shared" si="144"/>
        <v>0</v>
      </c>
      <c r="R563">
        <f t="shared" si="134"/>
        <v>0</v>
      </c>
      <c r="S563">
        <f t="shared" si="135"/>
        <v>0</v>
      </c>
      <c r="T563">
        <f t="shared" si="136"/>
        <v>0</v>
      </c>
      <c r="U563">
        <f t="shared" si="137"/>
        <v>0</v>
      </c>
      <c r="V563">
        <f t="shared" si="138"/>
        <v>0</v>
      </c>
      <c r="W563">
        <f t="shared" si="139"/>
        <v>0</v>
      </c>
      <c r="X563">
        <f t="shared" si="140"/>
        <v>0</v>
      </c>
      <c r="Y563">
        <f t="shared" si="141"/>
        <v>0</v>
      </c>
      <c r="Z563">
        <f t="shared" si="142"/>
        <v>0</v>
      </c>
      <c r="AB563">
        <v>559</v>
      </c>
      <c r="AC563">
        <f t="shared" si="143"/>
        <v>16</v>
      </c>
      <c r="AD563">
        <f t="shared" si="133"/>
        <v>0</v>
      </c>
    </row>
    <row r="564" spans="4:30" x14ac:dyDescent="0.25">
      <c r="D564" s="31">
        <f>Simulation_output!A562</f>
        <v>5605000</v>
      </c>
      <c r="E564">
        <f>Sheet2!R561</f>
        <v>0</v>
      </c>
      <c r="F564">
        <f>Sheet2!S561</f>
        <v>0</v>
      </c>
      <c r="G564">
        <f>Sheet2!T561</f>
        <v>0</v>
      </c>
      <c r="H564" s="31">
        <f>Simulation_output!E562</f>
        <v>1</v>
      </c>
      <c r="I564" s="31">
        <f>Simulation_output!F562</f>
        <v>1150</v>
      </c>
      <c r="J564" s="31">
        <f>Simulation_output!G562</f>
        <v>1</v>
      </c>
      <c r="K564" s="31">
        <f>Simulation_output!H562</f>
        <v>0</v>
      </c>
      <c r="L564">
        <v>1</v>
      </c>
      <c r="M564">
        <f t="shared" si="147"/>
        <v>0</v>
      </c>
      <c r="N564">
        <f t="shared" si="146"/>
        <v>0</v>
      </c>
      <c r="O564">
        <f t="shared" si="145"/>
        <v>0</v>
      </c>
      <c r="P564">
        <f t="shared" si="148"/>
        <v>0</v>
      </c>
      <c r="Q564">
        <f t="shared" si="144"/>
        <v>0</v>
      </c>
      <c r="R564">
        <f t="shared" si="134"/>
        <v>0</v>
      </c>
      <c r="S564">
        <f t="shared" si="135"/>
        <v>0</v>
      </c>
      <c r="T564">
        <f t="shared" si="136"/>
        <v>0</v>
      </c>
      <c r="U564">
        <f t="shared" si="137"/>
        <v>0</v>
      </c>
      <c r="V564">
        <f t="shared" si="138"/>
        <v>0</v>
      </c>
      <c r="W564">
        <f t="shared" si="139"/>
        <v>0</v>
      </c>
      <c r="X564">
        <f t="shared" si="140"/>
        <v>0</v>
      </c>
      <c r="Y564">
        <f t="shared" si="141"/>
        <v>0</v>
      </c>
      <c r="Z564">
        <f t="shared" si="142"/>
        <v>0</v>
      </c>
      <c r="AB564">
        <v>560</v>
      </c>
      <c r="AC564">
        <f t="shared" si="143"/>
        <v>16</v>
      </c>
      <c r="AD564">
        <f t="shared" si="133"/>
        <v>0</v>
      </c>
    </row>
    <row r="565" spans="4:30" x14ac:dyDescent="0.25">
      <c r="D565" s="31">
        <f>Simulation_output!A563</f>
        <v>5615000</v>
      </c>
      <c r="E565">
        <f>Sheet2!R562</f>
        <v>0</v>
      </c>
      <c r="F565">
        <f>Sheet2!S562</f>
        <v>0</v>
      </c>
      <c r="G565">
        <f>Sheet2!T562</f>
        <v>0</v>
      </c>
      <c r="H565" s="31">
        <f>Simulation_output!E563</f>
        <v>1</v>
      </c>
      <c r="I565" s="31">
        <f>Simulation_output!F563</f>
        <v>338</v>
      </c>
      <c r="J565" s="31">
        <f>Simulation_output!G563</f>
        <v>1</v>
      </c>
      <c r="K565" s="31">
        <f>Simulation_output!H563</f>
        <v>0</v>
      </c>
      <c r="L565">
        <v>1</v>
      </c>
      <c r="M565">
        <f t="shared" si="147"/>
        <v>0</v>
      </c>
      <c r="N565">
        <f t="shared" si="146"/>
        <v>0</v>
      </c>
      <c r="O565">
        <f t="shared" si="145"/>
        <v>0</v>
      </c>
      <c r="P565">
        <f t="shared" si="148"/>
        <v>0</v>
      </c>
      <c r="Q565">
        <f t="shared" si="144"/>
        <v>0</v>
      </c>
      <c r="R565">
        <f t="shared" si="134"/>
        <v>0</v>
      </c>
      <c r="S565">
        <f t="shared" si="135"/>
        <v>0</v>
      </c>
      <c r="T565">
        <f t="shared" si="136"/>
        <v>0</v>
      </c>
      <c r="U565">
        <f t="shared" si="137"/>
        <v>0</v>
      </c>
      <c r="V565">
        <f t="shared" si="138"/>
        <v>0</v>
      </c>
      <c r="W565">
        <f t="shared" si="139"/>
        <v>0</v>
      </c>
      <c r="X565">
        <f t="shared" si="140"/>
        <v>0</v>
      </c>
      <c r="Y565">
        <f t="shared" si="141"/>
        <v>0</v>
      </c>
      <c r="Z565">
        <f t="shared" si="142"/>
        <v>0</v>
      </c>
      <c r="AB565">
        <v>561</v>
      </c>
      <c r="AC565">
        <f t="shared" si="143"/>
        <v>16</v>
      </c>
      <c r="AD565">
        <f t="shared" si="133"/>
        <v>0</v>
      </c>
    </row>
    <row r="566" spans="4:30" x14ac:dyDescent="0.25">
      <c r="D566" s="31">
        <f>Simulation_output!A564</f>
        <v>5625000</v>
      </c>
      <c r="E566">
        <f>Sheet2!R563</f>
        <v>0</v>
      </c>
      <c r="F566">
        <f>Sheet2!S563</f>
        <v>0</v>
      </c>
      <c r="G566">
        <f>Sheet2!T563</f>
        <v>0</v>
      </c>
      <c r="H566" s="31">
        <f>Simulation_output!E564</f>
        <v>1</v>
      </c>
      <c r="I566" s="31">
        <f>Simulation_output!F564</f>
        <v>0</v>
      </c>
      <c r="J566" s="31">
        <f>Simulation_output!G564</f>
        <v>1</v>
      </c>
      <c r="K566" s="31">
        <f>Simulation_output!H564</f>
        <v>0</v>
      </c>
      <c r="L566">
        <v>1</v>
      </c>
      <c r="M566">
        <f t="shared" si="147"/>
        <v>0</v>
      </c>
      <c r="N566">
        <f t="shared" si="146"/>
        <v>0</v>
      </c>
      <c r="O566">
        <f t="shared" si="145"/>
        <v>0</v>
      </c>
      <c r="P566">
        <f t="shared" si="148"/>
        <v>0</v>
      </c>
      <c r="Q566">
        <f t="shared" si="144"/>
        <v>0</v>
      </c>
      <c r="R566">
        <f t="shared" si="134"/>
        <v>0</v>
      </c>
      <c r="S566">
        <f t="shared" si="135"/>
        <v>0</v>
      </c>
      <c r="T566">
        <f t="shared" si="136"/>
        <v>0</v>
      </c>
      <c r="U566">
        <f t="shared" si="137"/>
        <v>0</v>
      </c>
      <c r="V566">
        <f t="shared" si="138"/>
        <v>0</v>
      </c>
      <c r="W566">
        <f t="shared" si="139"/>
        <v>0</v>
      </c>
      <c r="X566">
        <f t="shared" si="140"/>
        <v>0</v>
      </c>
      <c r="Y566">
        <f t="shared" si="141"/>
        <v>0</v>
      </c>
      <c r="Z566">
        <f t="shared" si="142"/>
        <v>0</v>
      </c>
      <c r="AB566">
        <v>562</v>
      </c>
      <c r="AC566">
        <f t="shared" si="143"/>
        <v>16</v>
      </c>
      <c r="AD566">
        <f t="shared" si="133"/>
        <v>0</v>
      </c>
    </row>
    <row r="567" spans="4:30" x14ac:dyDescent="0.25">
      <c r="D567" s="31">
        <f>Simulation_output!A565</f>
        <v>5635000</v>
      </c>
      <c r="E567">
        <f>Sheet2!R564</f>
        <v>0</v>
      </c>
      <c r="F567">
        <f>Sheet2!S564</f>
        <v>0</v>
      </c>
      <c r="G567">
        <f>Sheet2!T564</f>
        <v>0</v>
      </c>
      <c r="H567" s="31">
        <f>Simulation_output!E565</f>
        <v>1</v>
      </c>
      <c r="I567" s="31">
        <f>Simulation_output!F565</f>
        <v>268435454</v>
      </c>
      <c r="J567" s="31">
        <f>Simulation_output!G565</f>
        <v>1</v>
      </c>
      <c r="K567" s="31">
        <f>Simulation_output!H565</f>
        <v>1</v>
      </c>
      <c r="L567">
        <v>1</v>
      </c>
      <c r="M567" t="str">
        <f t="shared" si="147"/>
        <v>FFFFFFF</v>
      </c>
      <c r="N567">
        <f t="shared" si="146"/>
        <v>17</v>
      </c>
      <c r="O567">
        <f t="shared" si="145"/>
        <v>203</v>
      </c>
      <c r="P567">
        <f t="shared" si="148"/>
        <v>329</v>
      </c>
      <c r="Q567">
        <f t="shared" si="144"/>
        <v>25</v>
      </c>
      <c r="R567">
        <f t="shared" si="134"/>
        <v>5</v>
      </c>
      <c r="S567">
        <f t="shared" si="135"/>
        <v>26</v>
      </c>
      <c r="T567">
        <f t="shared" si="136"/>
        <v>126</v>
      </c>
      <c r="U567">
        <f t="shared" si="137"/>
        <v>1026</v>
      </c>
      <c r="V567">
        <f t="shared" si="138"/>
        <v>10026</v>
      </c>
      <c r="W567">
        <f t="shared" si="139"/>
        <v>1150</v>
      </c>
      <c r="X567">
        <f t="shared" si="140"/>
        <v>338</v>
      </c>
      <c r="Y567">
        <f t="shared" si="141"/>
        <v>0</v>
      </c>
      <c r="Z567" t="str">
        <f t="shared" si="142"/>
        <v>FFFFFFE</v>
      </c>
      <c r="AB567">
        <v>563</v>
      </c>
      <c r="AC567">
        <f t="shared" si="143"/>
        <v>17</v>
      </c>
      <c r="AD567">
        <f t="shared" si="133"/>
        <v>17</v>
      </c>
    </row>
    <row r="568" spans="4:30" x14ac:dyDescent="0.25">
      <c r="D568" s="31">
        <f>Simulation_output!A566</f>
        <v>5645000</v>
      </c>
      <c r="E568">
        <f>Sheet2!R565</f>
        <v>0</v>
      </c>
      <c r="F568">
        <f>Sheet2!S565</f>
        <v>0</v>
      </c>
      <c r="G568">
        <f>Sheet2!T565</f>
        <v>0</v>
      </c>
      <c r="H568" s="31">
        <f>Simulation_output!E566</f>
        <v>1</v>
      </c>
      <c r="I568" s="31">
        <f>Simulation_output!F566</f>
        <v>268435455</v>
      </c>
      <c r="J568" s="31">
        <f>Simulation_output!G566</f>
        <v>1</v>
      </c>
      <c r="K568" s="31">
        <f>Simulation_output!H566</f>
        <v>0</v>
      </c>
      <c r="L568">
        <v>1</v>
      </c>
      <c r="M568">
        <f t="shared" si="147"/>
        <v>0</v>
      </c>
      <c r="N568">
        <f t="shared" si="146"/>
        <v>0</v>
      </c>
      <c r="O568">
        <f t="shared" si="145"/>
        <v>0</v>
      </c>
      <c r="P568">
        <f t="shared" si="148"/>
        <v>0</v>
      </c>
      <c r="Q568">
        <f t="shared" si="144"/>
        <v>0</v>
      </c>
      <c r="R568">
        <f t="shared" si="134"/>
        <v>0</v>
      </c>
      <c r="S568">
        <f t="shared" si="135"/>
        <v>0</v>
      </c>
      <c r="T568">
        <f t="shared" si="136"/>
        <v>0</v>
      </c>
      <c r="U568">
        <f t="shared" si="137"/>
        <v>0</v>
      </c>
      <c r="V568">
        <f t="shared" si="138"/>
        <v>0</v>
      </c>
      <c r="W568">
        <f t="shared" si="139"/>
        <v>0</v>
      </c>
      <c r="X568">
        <f t="shared" si="140"/>
        <v>0</v>
      </c>
      <c r="Y568">
        <f t="shared" si="141"/>
        <v>0</v>
      </c>
      <c r="Z568">
        <f t="shared" si="142"/>
        <v>0</v>
      </c>
      <c r="AB568">
        <v>564</v>
      </c>
      <c r="AC568">
        <f t="shared" si="143"/>
        <v>17</v>
      </c>
      <c r="AD568">
        <f t="shared" si="133"/>
        <v>0</v>
      </c>
    </row>
    <row r="569" spans="4:30" x14ac:dyDescent="0.25">
      <c r="D569" s="31">
        <f>Simulation_output!A567</f>
        <v>5655000</v>
      </c>
      <c r="E569">
        <f>Sheet2!R566</f>
        <v>0</v>
      </c>
      <c r="F569">
        <f>Sheet2!S566</f>
        <v>0</v>
      </c>
      <c r="G569">
        <f>Sheet2!T566</f>
        <v>0</v>
      </c>
      <c r="H569" s="31">
        <f>Simulation_output!E567</f>
        <v>1</v>
      </c>
      <c r="I569" s="31">
        <f>Simulation_output!F567</f>
        <v>18</v>
      </c>
      <c r="J569" s="31">
        <f>Simulation_output!G567</f>
        <v>1</v>
      </c>
      <c r="K569" s="31">
        <f>Simulation_output!H567</f>
        <v>0</v>
      </c>
      <c r="L569">
        <v>1</v>
      </c>
      <c r="M569">
        <f t="shared" si="147"/>
        <v>0</v>
      </c>
      <c r="N569">
        <f t="shared" si="146"/>
        <v>0</v>
      </c>
      <c r="O569">
        <f t="shared" si="145"/>
        <v>0</v>
      </c>
      <c r="P569">
        <f t="shared" si="148"/>
        <v>0</v>
      </c>
      <c r="Q569">
        <f t="shared" si="144"/>
        <v>0</v>
      </c>
      <c r="R569">
        <f t="shared" si="134"/>
        <v>0</v>
      </c>
      <c r="S569">
        <f t="shared" si="135"/>
        <v>0</v>
      </c>
      <c r="T569">
        <f t="shared" si="136"/>
        <v>0</v>
      </c>
      <c r="U569">
        <f t="shared" si="137"/>
        <v>0</v>
      </c>
      <c r="V569">
        <f t="shared" si="138"/>
        <v>0</v>
      </c>
      <c r="W569">
        <f t="shared" si="139"/>
        <v>0</v>
      </c>
      <c r="X569">
        <f t="shared" si="140"/>
        <v>0</v>
      </c>
      <c r="Y569">
        <f t="shared" si="141"/>
        <v>0</v>
      </c>
      <c r="Z569">
        <f t="shared" si="142"/>
        <v>0</v>
      </c>
      <c r="AB569">
        <v>565</v>
      </c>
      <c r="AC569">
        <f t="shared" si="143"/>
        <v>17</v>
      </c>
      <c r="AD569">
        <f t="shared" si="133"/>
        <v>0</v>
      </c>
    </row>
    <row r="570" spans="4:30" x14ac:dyDescent="0.25">
      <c r="D570" s="31">
        <f>Simulation_output!A568</f>
        <v>5665000</v>
      </c>
      <c r="E570">
        <f>Sheet2!R567</f>
        <v>0</v>
      </c>
      <c r="F570">
        <f>Sheet2!S567</f>
        <v>0</v>
      </c>
      <c r="G570">
        <f>Sheet2!T567</f>
        <v>0</v>
      </c>
      <c r="H570" s="31">
        <f>Simulation_output!E568</f>
        <v>1</v>
      </c>
      <c r="I570" s="31">
        <f>Simulation_output!F568</f>
        <v>215</v>
      </c>
      <c r="J570" s="31">
        <f>Simulation_output!G568</f>
        <v>1</v>
      </c>
      <c r="K570" s="31">
        <f>Simulation_output!H568</f>
        <v>0</v>
      </c>
      <c r="L570">
        <v>1</v>
      </c>
      <c r="M570">
        <f t="shared" si="147"/>
        <v>0</v>
      </c>
      <c r="N570">
        <f t="shared" si="146"/>
        <v>0</v>
      </c>
      <c r="O570">
        <f t="shared" si="145"/>
        <v>0</v>
      </c>
      <c r="P570">
        <f t="shared" si="148"/>
        <v>0</v>
      </c>
      <c r="Q570">
        <f t="shared" si="144"/>
        <v>0</v>
      </c>
      <c r="R570">
        <f t="shared" si="134"/>
        <v>0</v>
      </c>
      <c r="S570">
        <f t="shared" si="135"/>
        <v>0</v>
      </c>
      <c r="T570">
        <f t="shared" si="136"/>
        <v>0</v>
      </c>
      <c r="U570">
        <f t="shared" si="137"/>
        <v>0</v>
      </c>
      <c r="V570">
        <f t="shared" si="138"/>
        <v>0</v>
      </c>
      <c r="W570">
        <f t="shared" si="139"/>
        <v>0</v>
      </c>
      <c r="X570">
        <f t="shared" si="140"/>
        <v>0</v>
      </c>
      <c r="Y570">
        <f t="shared" si="141"/>
        <v>0</v>
      </c>
      <c r="Z570">
        <f t="shared" si="142"/>
        <v>0</v>
      </c>
      <c r="AB570">
        <v>566</v>
      </c>
      <c r="AC570">
        <f t="shared" si="143"/>
        <v>17</v>
      </c>
      <c r="AD570">
        <f t="shared" si="133"/>
        <v>0</v>
      </c>
    </row>
    <row r="571" spans="4:30" x14ac:dyDescent="0.25">
      <c r="D571" s="31">
        <f>Simulation_output!A569</f>
        <v>5675000</v>
      </c>
      <c r="E571">
        <f>Sheet2!R568</f>
        <v>0</v>
      </c>
      <c r="F571">
        <f>Sheet2!S568</f>
        <v>0</v>
      </c>
      <c r="G571">
        <f>Sheet2!T568</f>
        <v>0</v>
      </c>
      <c r="H571" s="31">
        <f>Simulation_output!E569</f>
        <v>1</v>
      </c>
      <c r="I571" s="31">
        <f>Simulation_output!F569</f>
        <v>330</v>
      </c>
      <c r="J571" s="31">
        <f>Simulation_output!G569</f>
        <v>1</v>
      </c>
      <c r="K571" s="31">
        <f>Simulation_output!H569</f>
        <v>0</v>
      </c>
      <c r="L571">
        <v>1</v>
      </c>
      <c r="M571">
        <f t="shared" si="147"/>
        <v>0</v>
      </c>
      <c r="N571">
        <f t="shared" si="146"/>
        <v>0</v>
      </c>
      <c r="O571">
        <f t="shared" si="145"/>
        <v>0</v>
      </c>
      <c r="P571">
        <f t="shared" si="148"/>
        <v>0</v>
      </c>
      <c r="Q571">
        <f t="shared" si="144"/>
        <v>0</v>
      </c>
      <c r="R571">
        <f t="shared" si="134"/>
        <v>0</v>
      </c>
      <c r="S571">
        <f t="shared" si="135"/>
        <v>0</v>
      </c>
      <c r="T571">
        <f t="shared" si="136"/>
        <v>0</v>
      </c>
      <c r="U571">
        <f t="shared" si="137"/>
        <v>0</v>
      </c>
      <c r="V571">
        <f t="shared" si="138"/>
        <v>0</v>
      </c>
      <c r="W571">
        <f t="shared" si="139"/>
        <v>0</v>
      </c>
      <c r="X571">
        <f t="shared" si="140"/>
        <v>0</v>
      </c>
      <c r="Y571">
        <f t="shared" si="141"/>
        <v>0</v>
      </c>
      <c r="Z571">
        <f t="shared" si="142"/>
        <v>0</v>
      </c>
      <c r="AB571">
        <v>567</v>
      </c>
      <c r="AC571">
        <f t="shared" si="143"/>
        <v>17</v>
      </c>
      <c r="AD571">
        <f t="shared" si="133"/>
        <v>0</v>
      </c>
    </row>
    <row r="572" spans="4:30" x14ac:dyDescent="0.25">
      <c r="D572" s="31">
        <f>Simulation_output!A570</f>
        <v>5685000</v>
      </c>
      <c r="E572">
        <f>Sheet2!R569</f>
        <v>0</v>
      </c>
      <c r="F572">
        <f>Sheet2!S569</f>
        <v>0</v>
      </c>
      <c r="G572">
        <f>Sheet2!T569</f>
        <v>0</v>
      </c>
      <c r="H572" s="31">
        <f>Simulation_output!E570</f>
        <v>1</v>
      </c>
      <c r="I572" s="31">
        <f>Simulation_output!F570</f>
        <v>25</v>
      </c>
      <c r="J572" s="31">
        <f>Simulation_output!G570</f>
        <v>1</v>
      </c>
      <c r="K572" s="31">
        <f>Simulation_output!H570</f>
        <v>0</v>
      </c>
      <c r="L572">
        <v>1</v>
      </c>
      <c r="M572">
        <f t="shared" si="147"/>
        <v>0</v>
      </c>
      <c r="N572">
        <f t="shared" si="146"/>
        <v>0</v>
      </c>
      <c r="O572">
        <f t="shared" si="145"/>
        <v>0</v>
      </c>
      <c r="P572">
        <f t="shared" si="148"/>
        <v>0</v>
      </c>
      <c r="Q572">
        <f t="shared" si="144"/>
        <v>0</v>
      </c>
      <c r="R572">
        <f t="shared" si="134"/>
        <v>0</v>
      </c>
      <c r="S572">
        <f t="shared" si="135"/>
        <v>0</v>
      </c>
      <c r="T572">
        <f t="shared" si="136"/>
        <v>0</v>
      </c>
      <c r="U572">
        <f t="shared" si="137"/>
        <v>0</v>
      </c>
      <c r="V572">
        <f t="shared" si="138"/>
        <v>0</v>
      </c>
      <c r="W572">
        <f t="shared" si="139"/>
        <v>0</v>
      </c>
      <c r="X572">
        <f t="shared" si="140"/>
        <v>0</v>
      </c>
      <c r="Y572">
        <f t="shared" si="141"/>
        <v>0</v>
      </c>
      <c r="Z572">
        <f t="shared" si="142"/>
        <v>0</v>
      </c>
      <c r="AB572">
        <v>568</v>
      </c>
      <c r="AC572">
        <f t="shared" si="143"/>
        <v>17</v>
      </c>
      <c r="AD572">
        <f t="shared" si="133"/>
        <v>0</v>
      </c>
    </row>
    <row r="573" spans="4:30" x14ac:dyDescent="0.25">
      <c r="D573" s="31">
        <f>Simulation_output!A571</f>
        <v>5695000</v>
      </c>
      <c r="E573">
        <f>Sheet2!R570</f>
        <v>0</v>
      </c>
      <c r="F573">
        <f>Sheet2!S570</f>
        <v>0</v>
      </c>
      <c r="G573">
        <f>Sheet2!T570</f>
        <v>0</v>
      </c>
      <c r="H573" s="31">
        <f>Simulation_output!E571</f>
        <v>1</v>
      </c>
      <c r="I573" s="31">
        <f>Simulation_output!F571</f>
        <v>5</v>
      </c>
      <c r="J573" s="31">
        <f>Simulation_output!G571</f>
        <v>1</v>
      </c>
      <c r="K573" s="31">
        <f>Simulation_output!H571</f>
        <v>0</v>
      </c>
      <c r="L573">
        <v>1</v>
      </c>
      <c r="M573">
        <f t="shared" si="147"/>
        <v>0</v>
      </c>
      <c r="N573">
        <f t="shared" si="146"/>
        <v>0</v>
      </c>
      <c r="O573">
        <f t="shared" si="145"/>
        <v>0</v>
      </c>
      <c r="P573">
        <f t="shared" si="148"/>
        <v>0</v>
      </c>
      <c r="Q573">
        <f t="shared" si="144"/>
        <v>0</v>
      </c>
      <c r="R573">
        <f t="shared" si="134"/>
        <v>0</v>
      </c>
      <c r="S573">
        <f t="shared" si="135"/>
        <v>0</v>
      </c>
      <c r="T573">
        <f t="shared" si="136"/>
        <v>0</v>
      </c>
      <c r="U573">
        <f t="shared" si="137"/>
        <v>0</v>
      </c>
      <c r="V573">
        <f t="shared" si="138"/>
        <v>0</v>
      </c>
      <c r="W573">
        <f t="shared" si="139"/>
        <v>0</v>
      </c>
      <c r="X573">
        <f t="shared" si="140"/>
        <v>0</v>
      </c>
      <c r="Y573">
        <f t="shared" si="141"/>
        <v>0</v>
      </c>
      <c r="Z573">
        <f t="shared" si="142"/>
        <v>0</v>
      </c>
      <c r="AB573">
        <v>569</v>
      </c>
      <c r="AC573">
        <f t="shared" si="143"/>
        <v>17</v>
      </c>
      <c r="AD573">
        <f t="shared" si="133"/>
        <v>0</v>
      </c>
    </row>
    <row r="574" spans="4:30" x14ac:dyDescent="0.25">
      <c r="D574" s="31">
        <f>Simulation_output!A572</f>
        <v>5705000</v>
      </c>
      <c r="E574">
        <f>Sheet2!R571</f>
        <v>0</v>
      </c>
      <c r="F574">
        <f>Sheet2!S571</f>
        <v>0</v>
      </c>
      <c r="G574">
        <f>Sheet2!T571</f>
        <v>0</v>
      </c>
      <c r="H574" s="31">
        <f>Simulation_output!E572</f>
        <v>1</v>
      </c>
      <c r="I574" s="31">
        <f>Simulation_output!F572</f>
        <v>27</v>
      </c>
      <c r="J574" s="31">
        <f>Simulation_output!G572</f>
        <v>1</v>
      </c>
      <c r="K574" s="31">
        <f>Simulation_output!H572</f>
        <v>0</v>
      </c>
      <c r="L574">
        <v>1</v>
      </c>
      <c r="M574">
        <f t="shared" si="147"/>
        <v>0</v>
      </c>
      <c r="N574">
        <f t="shared" si="146"/>
        <v>0</v>
      </c>
      <c r="O574">
        <f t="shared" si="145"/>
        <v>0</v>
      </c>
      <c r="P574">
        <f t="shared" si="148"/>
        <v>0</v>
      </c>
      <c r="Q574">
        <f t="shared" si="144"/>
        <v>0</v>
      </c>
      <c r="R574">
        <f t="shared" si="134"/>
        <v>0</v>
      </c>
      <c r="S574">
        <f t="shared" si="135"/>
        <v>0</v>
      </c>
      <c r="T574">
        <f t="shared" si="136"/>
        <v>0</v>
      </c>
      <c r="U574">
        <f t="shared" si="137"/>
        <v>0</v>
      </c>
      <c r="V574">
        <f t="shared" si="138"/>
        <v>0</v>
      </c>
      <c r="W574">
        <f t="shared" si="139"/>
        <v>0</v>
      </c>
      <c r="X574">
        <f t="shared" si="140"/>
        <v>0</v>
      </c>
      <c r="Y574">
        <f t="shared" si="141"/>
        <v>0</v>
      </c>
      <c r="Z574">
        <f t="shared" si="142"/>
        <v>0</v>
      </c>
      <c r="AB574">
        <v>570</v>
      </c>
      <c r="AC574">
        <f t="shared" si="143"/>
        <v>17</v>
      </c>
      <c r="AD574">
        <f t="shared" si="133"/>
        <v>0</v>
      </c>
    </row>
    <row r="575" spans="4:30" x14ac:dyDescent="0.25">
      <c r="D575" s="31">
        <f>Simulation_output!A573</f>
        <v>5715000</v>
      </c>
      <c r="E575">
        <f>Sheet2!R572</f>
        <v>0</v>
      </c>
      <c r="F575">
        <f>Sheet2!S572</f>
        <v>0</v>
      </c>
      <c r="G575">
        <f>Sheet2!T572</f>
        <v>0</v>
      </c>
      <c r="H575" s="31">
        <f>Simulation_output!E573</f>
        <v>1</v>
      </c>
      <c r="I575" s="31">
        <f>Simulation_output!F573</f>
        <v>127</v>
      </c>
      <c r="J575" s="31">
        <f>Simulation_output!G573</f>
        <v>1</v>
      </c>
      <c r="K575" s="31">
        <f>Simulation_output!H573</f>
        <v>0</v>
      </c>
      <c r="L575">
        <v>1</v>
      </c>
      <c r="M575">
        <f t="shared" si="147"/>
        <v>0</v>
      </c>
      <c r="N575">
        <f t="shared" si="146"/>
        <v>0</v>
      </c>
      <c r="O575">
        <f t="shared" si="145"/>
        <v>0</v>
      </c>
      <c r="P575">
        <f t="shared" si="148"/>
        <v>0</v>
      </c>
      <c r="Q575">
        <f t="shared" si="144"/>
        <v>0</v>
      </c>
      <c r="R575">
        <f t="shared" si="134"/>
        <v>0</v>
      </c>
      <c r="S575">
        <f t="shared" si="135"/>
        <v>0</v>
      </c>
      <c r="T575">
        <f t="shared" si="136"/>
        <v>0</v>
      </c>
      <c r="U575">
        <f t="shared" si="137"/>
        <v>0</v>
      </c>
      <c r="V575">
        <f t="shared" si="138"/>
        <v>0</v>
      </c>
      <c r="W575">
        <f t="shared" si="139"/>
        <v>0</v>
      </c>
      <c r="X575">
        <f t="shared" si="140"/>
        <v>0</v>
      </c>
      <c r="Y575">
        <f t="shared" si="141"/>
        <v>0</v>
      </c>
      <c r="Z575">
        <f t="shared" si="142"/>
        <v>0</v>
      </c>
      <c r="AB575">
        <v>571</v>
      </c>
      <c r="AC575">
        <f t="shared" si="143"/>
        <v>17</v>
      </c>
      <c r="AD575">
        <f t="shared" si="133"/>
        <v>0</v>
      </c>
    </row>
    <row r="576" spans="4:30" x14ac:dyDescent="0.25">
      <c r="D576" s="31">
        <f>Simulation_output!A574</f>
        <v>5725000</v>
      </c>
      <c r="E576">
        <f>Sheet2!R573</f>
        <v>0</v>
      </c>
      <c r="F576">
        <f>Sheet2!S573</f>
        <v>0</v>
      </c>
      <c r="G576">
        <f>Sheet2!T573</f>
        <v>0</v>
      </c>
      <c r="H576" s="31">
        <f>Simulation_output!E574</f>
        <v>1</v>
      </c>
      <c r="I576" s="31">
        <f>Simulation_output!F574</f>
        <v>1027</v>
      </c>
      <c r="J576" s="31">
        <f>Simulation_output!G574</f>
        <v>1</v>
      </c>
      <c r="K576" s="31">
        <f>Simulation_output!H574</f>
        <v>0</v>
      </c>
      <c r="L576">
        <v>1</v>
      </c>
      <c r="M576">
        <f t="shared" si="147"/>
        <v>0</v>
      </c>
      <c r="N576">
        <f t="shared" si="146"/>
        <v>0</v>
      </c>
      <c r="O576">
        <f t="shared" si="145"/>
        <v>0</v>
      </c>
      <c r="P576">
        <f t="shared" si="148"/>
        <v>0</v>
      </c>
      <c r="Q576">
        <f t="shared" si="144"/>
        <v>0</v>
      </c>
      <c r="R576">
        <f t="shared" si="134"/>
        <v>0</v>
      </c>
      <c r="S576">
        <f t="shared" si="135"/>
        <v>0</v>
      </c>
      <c r="T576">
        <f t="shared" si="136"/>
        <v>0</v>
      </c>
      <c r="U576">
        <f t="shared" si="137"/>
        <v>0</v>
      </c>
      <c r="V576">
        <f t="shared" si="138"/>
        <v>0</v>
      </c>
      <c r="W576">
        <f t="shared" si="139"/>
        <v>0</v>
      </c>
      <c r="X576">
        <f t="shared" si="140"/>
        <v>0</v>
      </c>
      <c r="Y576">
        <f t="shared" si="141"/>
        <v>0</v>
      </c>
      <c r="Z576">
        <f t="shared" si="142"/>
        <v>0</v>
      </c>
      <c r="AB576">
        <v>572</v>
      </c>
      <c r="AC576">
        <f t="shared" si="143"/>
        <v>17</v>
      </c>
      <c r="AD576">
        <f t="shared" si="133"/>
        <v>0</v>
      </c>
    </row>
    <row r="577" spans="4:30" x14ac:dyDescent="0.25">
      <c r="D577" s="31">
        <f>Simulation_output!A575</f>
        <v>5735000</v>
      </c>
      <c r="E577">
        <f>Sheet2!R574</f>
        <v>0</v>
      </c>
      <c r="F577">
        <f>Sheet2!S574</f>
        <v>0</v>
      </c>
      <c r="G577">
        <f>Sheet2!T574</f>
        <v>0</v>
      </c>
      <c r="H577" s="31">
        <f>Simulation_output!E575</f>
        <v>1</v>
      </c>
      <c r="I577" s="31">
        <f>Simulation_output!F575</f>
        <v>10027</v>
      </c>
      <c r="J577" s="31">
        <f>Simulation_output!G575</f>
        <v>1</v>
      </c>
      <c r="K577" s="31">
        <f>Simulation_output!H575</f>
        <v>0</v>
      </c>
      <c r="L577">
        <v>1</v>
      </c>
      <c r="M577">
        <f t="shared" si="147"/>
        <v>0</v>
      </c>
      <c r="N577">
        <f t="shared" si="146"/>
        <v>0</v>
      </c>
      <c r="O577">
        <f t="shared" si="145"/>
        <v>0</v>
      </c>
      <c r="P577">
        <f t="shared" si="148"/>
        <v>0</v>
      </c>
      <c r="Q577">
        <f t="shared" si="144"/>
        <v>0</v>
      </c>
      <c r="R577">
        <f t="shared" si="134"/>
        <v>0</v>
      </c>
      <c r="S577">
        <f t="shared" si="135"/>
        <v>0</v>
      </c>
      <c r="T577">
        <f t="shared" si="136"/>
        <v>0</v>
      </c>
      <c r="U577">
        <f t="shared" si="137"/>
        <v>0</v>
      </c>
      <c r="V577">
        <f t="shared" si="138"/>
        <v>0</v>
      </c>
      <c r="W577">
        <f t="shared" si="139"/>
        <v>0</v>
      </c>
      <c r="X577">
        <f t="shared" si="140"/>
        <v>0</v>
      </c>
      <c r="Y577">
        <f t="shared" si="141"/>
        <v>0</v>
      </c>
      <c r="Z577">
        <f t="shared" si="142"/>
        <v>0</v>
      </c>
      <c r="AB577">
        <v>573</v>
      </c>
      <c r="AC577">
        <f t="shared" si="143"/>
        <v>17</v>
      </c>
      <c r="AD577">
        <f t="shared" si="133"/>
        <v>0</v>
      </c>
    </row>
    <row r="578" spans="4:30" x14ac:dyDescent="0.25">
      <c r="D578" s="31">
        <f>Simulation_output!A576</f>
        <v>5745000</v>
      </c>
      <c r="E578">
        <f>Sheet2!R575</f>
        <v>0</v>
      </c>
      <c r="F578">
        <f>Sheet2!S575</f>
        <v>0</v>
      </c>
      <c r="G578">
        <f>Sheet2!T575</f>
        <v>0</v>
      </c>
      <c r="H578" s="31">
        <f>Simulation_output!E576</f>
        <v>1</v>
      </c>
      <c r="I578" s="31">
        <f>Simulation_output!F576</f>
        <v>1152</v>
      </c>
      <c r="J578" s="31">
        <f>Simulation_output!G576</f>
        <v>1</v>
      </c>
      <c r="K578" s="31">
        <f>Simulation_output!H576</f>
        <v>0</v>
      </c>
      <c r="L578">
        <v>1</v>
      </c>
      <c r="M578">
        <f t="shared" si="147"/>
        <v>0</v>
      </c>
      <c r="N578">
        <f t="shared" si="146"/>
        <v>0</v>
      </c>
      <c r="O578">
        <f t="shared" si="145"/>
        <v>0</v>
      </c>
      <c r="P578">
        <f t="shared" si="148"/>
        <v>0</v>
      </c>
      <c r="Q578">
        <f t="shared" si="144"/>
        <v>0</v>
      </c>
      <c r="R578">
        <f t="shared" si="134"/>
        <v>0</v>
      </c>
      <c r="S578">
        <f t="shared" si="135"/>
        <v>0</v>
      </c>
      <c r="T578">
        <f t="shared" si="136"/>
        <v>0</v>
      </c>
      <c r="U578">
        <f t="shared" si="137"/>
        <v>0</v>
      </c>
      <c r="V578">
        <f t="shared" si="138"/>
        <v>0</v>
      </c>
      <c r="W578">
        <f t="shared" si="139"/>
        <v>0</v>
      </c>
      <c r="X578">
        <f t="shared" si="140"/>
        <v>0</v>
      </c>
      <c r="Y578">
        <f t="shared" si="141"/>
        <v>0</v>
      </c>
      <c r="Z578">
        <f t="shared" si="142"/>
        <v>0</v>
      </c>
      <c r="AB578">
        <v>574</v>
      </c>
      <c r="AC578">
        <f t="shared" si="143"/>
        <v>17</v>
      </c>
      <c r="AD578">
        <f t="shared" si="133"/>
        <v>0</v>
      </c>
    </row>
    <row r="579" spans="4:30" x14ac:dyDescent="0.25">
      <c r="D579" s="31">
        <f>Simulation_output!A577</f>
        <v>5755000</v>
      </c>
      <c r="E579">
        <f>Sheet2!R576</f>
        <v>0</v>
      </c>
      <c r="F579">
        <f>Sheet2!S576</f>
        <v>0</v>
      </c>
      <c r="G579">
        <f>Sheet2!T576</f>
        <v>0</v>
      </c>
      <c r="H579" s="31">
        <f>Simulation_output!E577</f>
        <v>1</v>
      </c>
      <c r="I579" s="31">
        <f>Simulation_output!F577</f>
        <v>339</v>
      </c>
      <c r="J579" s="31">
        <f>Simulation_output!G577</f>
        <v>1</v>
      </c>
      <c r="K579" s="31">
        <f>Simulation_output!H577</f>
        <v>0</v>
      </c>
      <c r="L579">
        <v>1</v>
      </c>
      <c r="M579">
        <f t="shared" si="147"/>
        <v>0</v>
      </c>
      <c r="N579">
        <f t="shared" si="146"/>
        <v>0</v>
      </c>
      <c r="O579">
        <f t="shared" si="145"/>
        <v>0</v>
      </c>
      <c r="P579">
        <f t="shared" si="148"/>
        <v>0</v>
      </c>
      <c r="Q579">
        <f t="shared" si="144"/>
        <v>0</v>
      </c>
      <c r="R579">
        <f t="shared" si="134"/>
        <v>0</v>
      </c>
      <c r="S579">
        <f t="shared" si="135"/>
        <v>0</v>
      </c>
      <c r="T579">
        <f t="shared" si="136"/>
        <v>0</v>
      </c>
      <c r="U579">
        <f t="shared" si="137"/>
        <v>0</v>
      </c>
      <c r="V579">
        <f t="shared" si="138"/>
        <v>0</v>
      </c>
      <c r="W579">
        <f t="shared" si="139"/>
        <v>0</v>
      </c>
      <c r="X579">
        <f t="shared" si="140"/>
        <v>0</v>
      </c>
      <c r="Y579">
        <f t="shared" si="141"/>
        <v>0</v>
      </c>
      <c r="Z579">
        <f t="shared" si="142"/>
        <v>0</v>
      </c>
      <c r="AB579">
        <v>575</v>
      </c>
      <c r="AC579">
        <f t="shared" si="143"/>
        <v>17</v>
      </c>
      <c r="AD579">
        <f t="shared" si="133"/>
        <v>0</v>
      </c>
    </row>
    <row r="580" spans="4:30" x14ac:dyDescent="0.25">
      <c r="D580" s="31">
        <f>Simulation_output!A578</f>
        <v>5765000</v>
      </c>
      <c r="E580">
        <f>Sheet2!R577</f>
        <v>0</v>
      </c>
      <c r="F580">
        <f>Sheet2!S577</f>
        <v>0</v>
      </c>
      <c r="G580">
        <f>Sheet2!T577</f>
        <v>0</v>
      </c>
      <c r="H580" s="31">
        <f>Simulation_output!E578</f>
        <v>1</v>
      </c>
      <c r="I580" s="31">
        <f>Simulation_output!F578</f>
        <v>0</v>
      </c>
      <c r="J580" s="31">
        <f>Simulation_output!G578</f>
        <v>1</v>
      </c>
      <c r="K580" s="31">
        <f>Simulation_output!H578</f>
        <v>0</v>
      </c>
      <c r="L580">
        <v>1</v>
      </c>
      <c r="M580">
        <f t="shared" si="147"/>
        <v>0</v>
      </c>
      <c r="N580">
        <f t="shared" si="146"/>
        <v>0</v>
      </c>
      <c r="O580">
        <f t="shared" si="145"/>
        <v>0</v>
      </c>
      <c r="P580">
        <f t="shared" si="148"/>
        <v>0</v>
      </c>
      <c r="Q580">
        <f t="shared" si="144"/>
        <v>0</v>
      </c>
      <c r="R580">
        <f t="shared" si="134"/>
        <v>0</v>
      </c>
      <c r="S580">
        <f t="shared" si="135"/>
        <v>0</v>
      </c>
      <c r="T580">
        <f t="shared" si="136"/>
        <v>0</v>
      </c>
      <c r="U580">
        <f t="shared" si="137"/>
        <v>0</v>
      </c>
      <c r="V580">
        <f t="shared" si="138"/>
        <v>0</v>
      </c>
      <c r="W580">
        <f t="shared" si="139"/>
        <v>0</v>
      </c>
      <c r="X580">
        <f t="shared" si="140"/>
        <v>0</v>
      </c>
      <c r="Y580">
        <f t="shared" si="141"/>
        <v>0</v>
      </c>
      <c r="Z580">
        <f t="shared" si="142"/>
        <v>0</v>
      </c>
      <c r="AB580">
        <v>576</v>
      </c>
      <c r="AC580">
        <f t="shared" si="143"/>
        <v>17</v>
      </c>
      <c r="AD580">
        <f t="shared" si="133"/>
        <v>0</v>
      </c>
    </row>
    <row r="581" spans="4:30" x14ac:dyDescent="0.25">
      <c r="D581" s="31">
        <f>Simulation_output!A579</f>
        <v>5775000</v>
      </c>
      <c r="E581">
        <f>Sheet2!R578</f>
        <v>0</v>
      </c>
      <c r="F581">
        <f>Sheet2!S578</f>
        <v>0</v>
      </c>
      <c r="G581">
        <f>Sheet2!T578</f>
        <v>0</v>
      </c>
      <c r="H581" s="31">
        <f>Simulation_output!E579</f>
        <v>1</v>
      </c>
      <c r="I581" s="31">
        <f>Simulation_output!F579</f>
        <v>268435454</v>
      </c>
      <c r="J581" s="31">
        <f>Simulation_output!G579</f>
        <v>1</v>
      </c>
      <c r="K581" s="31">
        <f>Simulation_output!H579</f>
        <v>1</v>
      </c>
      <c r="L581">
        <v>1</v>
      </c>
      <c r="M581" t="str">
        <f t="shared" si="147"/>
        <v>FFFFFFF</v>
      </c>
      <c r="N581">
        <f t="shared" si="146"/>
        <v>18</v>
      </c>
      <c r="O581">
        <f t="shared" si="145"/>
        <v>215</v>
      </c>
      <c r="P581">
        <f t="shared" si="148"/>
        <v>330</v>
      </c>
      <c r="Q581">
        <f t="shared" si="144"/>
        <v>25</v>
      </c>
      <c r="R581">
        <f t="shared" si="134"/>
        <v>5</v>
      </c>
      <c r="S581">
        <f t="shared" si="135"/>
        <v>27</v>
      </c>
      <c r="T581">
        <f t="shared" si="136"/>
        <v>127</v>
      </c>
      <c r="U581">
        <f t="shared" si="137"/>
        <v>1027</v>
      </c>
      <c r="V581">
        <f t="shared" si="138"/>
        <v>10027</v>
      </c>
      <c r="W581">
        <f t="shared" si="139"/>
        <v>1152</v>
      </c>
      <c r="X581">
        <f t="shared" si="140"/>
        <v>339</v>
      </c>
      <c r="Y581">
        <f t="shared" si="141"/>
        <v>0</v>
      </c>
      <c r="Z581" t="str">
        <f t="shared" si="142"/>
        <v>FFFFFFE</v>
      </c>
      <c r="AB581">
        <v>577</v>
      </c>
      <c r="AC581">
        <f t="shared" si="143"/>
        <v>18</v>
      </c>
      <c r="AD581">
        <f t="shared" si="133"/>
        <v>18</v>
      </c>
    </row>
    <row r="582" spans="4:30" x14ac:dyDescent="0.25">
      <c r="D582" s="31">
        <f>Simulation_output!A580</f>
        <v>5785000</v>
      </c>
      <c r="E582">
        <f>Sheet2!R579</f>
        <v>0</v>
      </c>
      <c r="F582">
        <f>Sheet2!S579</f>
        <v>0</v>
      </c>
      <c r="G582">
        <f>Sheet2!T579</f>
        <v>0</v>
      </c>
      <c r="H582" s="31">
        <f>Simulation_output!E580</f>
        <v>1</v>
      </c>
      <c r="I582" s="31">
        <f>Simulation_output!F580</f>
        <v>268435455</v>
      </c>
      <c r="J582" s="31">
        <f>Simulation_output!G580</f>
        <v>1</v>
      </c>
      <c r="K582" s="31">
        <f>Simulation_output!H580</f>
        <v>0</v>
      </c>
      <c r="L582">
        <v>1</v>
      </c>
      <c r="M582">
        <f t="shared" si="147"/>
        <v>0</v>
      </c>
      <c r="N582">
        <f t="shared" si="146"/>
        <v>0</v>
      </c>
      <c r="O582">
        <f t="shared" si="145"/>
        <v>0</v>
      </c>
      <c r="P582">
        <f t="shared" si="148"/>
        <v>0</v>
      </c>
      <c r="Q582">
        <f t="shared" si="144"/>
        <v>0</v>
      </c>
      <c r="R582">
        <f t="shared" si="134"/>
        <v>0</v>
      </c>
      <c r="S582">
        <f t="shared" si="135"/>
        <v>0</v>
      </c>
      <c r="T582">
        <f t="shared" si="136"/>
        <v>0</v>
      </c>
      <c r="U582">
        <f t="shared" si="137"/>
        <v>0</v>
      </c>
      <c r="V582">
        <f t="shared" si="138"/>
        <v>0</v>
      </c>
      <c r="W582">
        <f t="shared" si="139"/>
        <v>0</v>
      </c>
      <c r="X582">
        <f t="shared" si="140"/>
        <v>0</v>
      </c>
      <c r="Y582">
        <f t="shared" si="141"/>
        <v>0</v>
      </c>
      <c r="Z582">
        <f t="shared" si="142"/>
        <v>0</v>
      </c>
      <c r="AB582">
        <v>578</v>
      </c>
      <c r="AC582">
        <f t="shared" si="143"/>
        <v>18</v>
      </c>
      <c r="AD582">
        <f t="shared" ref="AD582:AD645" si="149">IF(M582="FFFFFFF",AC582,0)</f>
        <v>0</v>
      </c>
    </row>
    <row r="583" spans="4:30" x14ac:dyDescent="0.25">
      <c r="D583" s="31">
        <f>Simulation_output!A581</f>
        <v>5795000</v>
      </c>
      <c r="E583">
        <f>Sheet2!R580</f>
        <v>0</v>
      </c>
      <c r="F583">
        <f>Sheet2!S580</f>
        <v>0</v>
      </c>
      <c r="G583">
        <f>Sheet2!T580</f>
        <v>0</v>
      </c>
      <c r="H583" s="31">
        <f>Simulation_output!E581</f>
        <v>1</v>
      </c>
      <c r="I583" s="31">
        <f>Simulation_output!F581</f>
        <v>19</v>
      </c>
      <c r="J583" s="31">
        <f>Simulation_output!G581</f>
        <v>1</v>
      </c>
      <c r="K583" s="31">
        <f>Simulation_output!H581</f>
        <v>0</v>
      </c>
      <c r="L583">
        <v>1</v>
      </c>
      <c r="M583">
        <f t="shared" si="147"/>
        <v>0</v>
      </c>
      <c r="N583">
        <f t="shared" si="146"/>
        <v>0</v>
      </c>
      <c r="O583">
        <f t="shared" si="145"/>
        <v>0</v>
      </c>
      <c r="P583">
        <f t="shared" si="148"/>
        <v>0</v>
      </c>
      <c r="Q583">
        <f t="shared" si="144"/>
        <v>0</v>
      </c>
      <c r="R583">
        <f t="shared" ref="R583:R646" si="150">IF(K583&gt;0,I575,0)</f>
        <v>0</v>
      </c>
      <c r="S583">
        <f t="shared" ref="S583:S646" si="151">IF(K583&gt;0,I576,0)</f>
        <v>0</v>
      </c>
      <c r="T583">
        <f t="shared" ref="T583:T646" si="152">IF(K583&gt;0,I577,0)</f>
        <v>0</v>
      </c>
      <c r="U583">
        <f t="shared" ref="U583:U646" si="153">IF(K583&gt;0,I578,0)</f>
        <v>0</v>
      </c>
      <c r="V583">
        <f t="shared" ref="V583:V646" si="154">IF(K583&gt;0,I579,0)</f>
        <v>0</v>
      </c>
      <c r="W583">
        <f t="shared" ref="W583:W646" si="155">IF(K583&gt;0,I580,0)</f>
        <v>0</v>
      </c>
      <c r="X583">
        <f t="shared" ref="X583:X646" si="156">IF(K583&gt;0,I581,0)</f>
        <v>0</v>
      </c>
      <c r="Y583">
        <f t="shared" ref="Y583:Y646" si="157">IF(K583&gt;0,I582,0)</f>
        <v>0</v>
      </c>
      <c r="Z583">
        <f t="shared" ref="Z583:Z646" si="158">IF(K583&gt;0,DEC2HEX(I583),0)</f>
        <v>0</v>
      </c>
      <c r="AB583">
        <v>579</v>
      </c>
      <c r="AC583">
        <f t="shared" ref="AC583:AC646" si="159">IF(M583="FFFFFFF",AC582+1,AC582)</f>
        <v>18</v>
      </c>
      <c r="AD583">
        <f t="shared" si="149"/>
        <v>0</v>
      </c>
    </row>
    <row r="584" spans="4:30" x14ac:dyDescent="0.25">
      <c r="D584" s="31">
        <f>Simulation_output!A582</f>
        <v>5805000</v>
      </c>
      <c r="E584">
        <f>Sheet2!R581</f>
        <v>0</v>
      </c>
      <c r="F584">
        <f>Sheet2!S581</f>
        <v>0</v>
      </c>
      <c r="G584">
        <f>Sheet2!T581</f>
        <v>0</v>
      </c>
      <c r="H584" s="31">
        <f>Simulation_output!E582</f>
        <v>1</v>
      </c>
      <c r="I584" s="31">
        <f>Simulation_output!F582</f>
        <v>227</v>
      </c>
      <c r="J584" s="31">
        <f>Simulation_output!G582</f>
        <v>1</v>
      </c>
      <c r="K584" s="31">
        <f>Simulation_output!H582</f>
        <v>0</v>
      </c>
      <c r="L584">
        <v>1</v>
      </c>
      <c r="M584">
        <f t="shared" si="147"/>
        <v>0</v>
      </c>
      <c r="N584">
        <f t="shared" si="146"/>
        <v>0</v>
      </c>
      <c r="O584">
        <f t="shared" si="145"/>
        <v>0</v>
      </c>
      <c r="P584">
        <f t="shared" si="148"/>
        <v>0</v>
      </c>
      <c r="Q584">
        <f t="shared" si="144"/>
        <v>0</v>
      </c>
      <c r="R584">
        <f t="shared" si="150"/>
        <v>0</v>
      </c>
      <c r="S584">
        <f t="shared" si="151"/>
        <v>0</v>
      </c>
      <c r="T584">
        <f t="shared" si="152"/>
        <v>0</v>
      </c>
      <c r="U584">
        <f t="shared" si="153"/>
        <v>0</v>
      </c>
      <c r="V584">
        <f t="shared" si="154"/>
        <v>0</v>
      </c>
      <c r="W584">
        <f t="shared" si="155"/>
        <v>0</v>
      </c>
      <c r="X584">
        <f t="shared" si="156"/>
        <v>0</v>
      </c>
      <c r="Y584">
        <f t="shared" si="157"/>
        <v>0</v>
      </c>
      <c r="Z584">
        <f t="shared" si="158"/>
        <v>0</v>
      </c>
      <c r="AB584">
        <v>580</v>
      </c>
      <c r="AC584">
        <f t="shared" si="159"/>
        <v>18</v>
      </c>
      <c r="AD584">
        <f t="shared" si="149"/>
        <v>0</v>
      </c>
    </row>
    <row r="585" spans="4:30" x14ac:dyDescent="0.25">
      <c r="D585" s="31">
        <f>Simulation_output!A583</f>
        <v>5815000</v>
      </c>
      <c r="E585">
        <f>Sheet2!R582</f>
        <v>0</v>
      </c>
      <c r="F585">
        <f>Sheet2!S582</f>
        <v>0</v>
      </c>
      <c r="G585">
        <f>Sheet2!T582</f>
        <v>0</v>
      </c>
      <c r="H585" s="31">
        <f>Simulation_output!E583</f>
        <v>1</v>
      </c>
      <c r="I585" s="31">
        <f>Simulation_output!F583</f>
        <v>331</v>
      </c>
      <c r="J585" s="31">
        <f>Simulation_output!G583</f>
        <v>1</v>
      </c>
      <c r="K585" s="31">
        <f>Simulation_output!H583</f>
        <v>0</v>
      </c>
      <c r="L585">
        <v>1</v>
      </c>
      <c r="M585">
        <f t="shared" si="147"/>
        <v>0</v>
      </c>
      <c r="N585">
        <f t="shared" si="146"/>
        <v>0</v>
      </c>
      <c r="O585">
        <f t="shared" si="145"/>
        <v>0</v>
      </c>
      <c r="P585">
        <f t="shared" si="148"/>
        <v>0</v>
      </c>
      <c r="Q585">
        <f t="shared" si="144"/>
        <v>0</v>
      </c>
      <c r="R585">
        <f t="shared" si="150"/>
        <v>0</v>
      </c>
      <c r="S585">
        <f t="shared" si="151"/>
        <v>0</v>
      </c>
      <c r="T585">
        <f t="shared" si="152"/>
        <v>0</v>
      </c>
      <c r="U585">
        <f t="shared" si="153"/>
        <v>0</v>
      </c>
      <c r="V585">
        <f t="shared" si="154"/>
        <v>0</v>
      </c>
      <c r="W585">
        <f t="shared" si="155"/>
        <v>0</v>
      </c>
      <c r="X585">
        <f t="shared" si="156"/>
        <v>0</v>
      </c>
      <c r="Y585">
        <f t="shared" si="157"/>
        <v>0</v>
      </c>
      <c r="Z585">
        <f t="shared" si="158"/>
        <v>0</v>
      </c>
      <c r="AB585">
        <v>581</v>
      </c>
      <c r="AC585">
        <f t="shared" si="159"/>
        <v>18</v>
      </c>
      <c r="AD585">
        <f t="shared" si="149"/>
        <v>0</v>
      </c>
    </row>
    <row r="586" spans="4:30" x14ac:dyDescent="0.25">
      <c r="D586" s="31">
        <f>Simulation_output!A584</f>
        <v>5825000</v>
      </c>
      <c r="E586">
        <f>Sheet2!R583</f>
        <v>0</v>
      </c>
      <c r="F586">
        <f>Sheet2!S583</f>
        <v>0</v>
      </c>
      <c r="G586">
        <f>Sheet2!T583</f>
        <v>0</v>
      </c>
      <c r="H586" s="31">
        <f>Simulation_output!E584</f>
        <v>1</v>
      </c>
      <c r="I586" s="31">
        <f>Simulation_output!F584</f>
        <v>25</v>
      </c>
      <c r="J586" s="31">
        <f>Simulation_output!G584</f>
        <v>1</v>
      </c>
      <c r="K586" s="31">
        <f>Simulation_output!H584</f>
        <v>0</v>
      </c>
      <c r="L586">
        <v>1</v>
      </c>
      <c r="M586">
        <f t="shared" si="147"/>
        <v>0</v>
      </c>
      <c r="N586">
        <f t="shared" si="146"/>
        <v>0</v>
      </c>
      <c r="O586">
        <f t="shared" si="145"/>
        <v>0</v>
      </c>
      <c r="P586">
        <f t="shared" si="148"/>
        <v>0</v>
      </c>
      <c r="Q586">
        <f t="shared" si="144"/>
        <v>0</v>
      </c>
      <c r="R586">
        <f t="shared" si="150"/>
        <v>0</v>
      </c>
      <c r="S586">
        <f t="shared" si="151"/>
        <v>0</v>
      </c>
      <c r="T586">
        <f t="shared" si="152"/>
        <v>0</v>
      </c>
      <c r="U586">
        <f t="shared" si="153"/>
        <v>0</v>
      </c>
      <c r="V586">
        <f t="shared" si="154"/>
        <v>0</v>
      </c>
      <c r="W586">
        <f t="shared" si="155"/>
        <v>0</v>
      </c>
      <c r="X586">
        <f t="shared" si="156"/>
        <v>0</v>
      </c>
      <c r="Y586">
        <f t="shared" si="157"/>
        <v>0</v>
      </c>
      <c r="Z586">
        <f t="shared" si="158"/>
        <v>0</v>
      </c>
      <c r="AB586">
        <v>582</v>
      </c>
      <c r="AC586">
        <f t="shared" si="159"/>
        <v>18</v>
      </c>
      <c r="AD586">
        <f t="shared" si="149"/>
        <v>0</v>
      </c>
    </row>
    <row r="587" spans="4:30" x14ac:dyDescent="0.25">
      <c r="D587" s="31">
        <f>Simulation_output!A585</f>
        <v>5835000</v>
      </c>
      <c r="E587">
        <f>Sheet2!R584</f>
        <v>0</v>
      </c>
      <c r="F587">
        <f>Sheet2!S584</f>
        <v>0</v>
      </c>
      <c r="G587">
        <f>Sheet2!T584</f>
        <v>0</v>
      </c>
      <c r="H587" s="31">
        <f>Simulation_output!E585</f>
        <v>1</v>
      </c>
      <c r="I587" s="31">
        <f>Simulation_output!F585</f>
        <v>5</v>
      </c>
      <c r="J587" s="31">
        <f>Simulation_output!G585</f>
        <v>1</v>
      </c>
      <c r="K587" s="31">
        <f>Simulation_output!H585</f>
        <v>0</v>
      </c>
      <c r="L587">
        <v>1</v>
      </c>
      <c r="M587">
        <f t="shared" si="147"/>
        <v>0</v>
      </c>
      <c r="N587">
        <f t="shared" si="146"/>
        <v>0</v>
      </c>
      <c r="O587">
        <f t="shared" si="145"/>
        <v>0</v>
      </c>
      <c r="P587">
        <f t="shared" si="148"/>
        <v>0</v>
      </c>
      <c r="Q587">
        <f t="shared" ref="Q587:Q650" si="160">IF(K587&gt;0,I578,0)</f>
        <v>0</v>
      </c>
      <c r="R587">
        <f t="shared" si="150"/>
        <v>0</v>
      </c>
      <c r="S587">
        <f t="shared" si="151"/>
        <v>0</v>
      </c>
      <c r="T587">
        <f t="shared" si="152"/>
        <v>0</v>
      </c>
      <c r="U587">
        <f t="shared" si="153"/>
        <v>0</v>
      </c>
      <c r="V587">
        <f t="shared" si="154"/>
        <v>0</v>
      </c>
      <c r="W587">
        <f t="shared" si="155"/>
        <v>0</v>
      </c>
      <c r="X587">
        <f t="shared" si="156"/>
        <v>0</v>
      </c>
      <c r="Y587">
        <f t="shared" si="157"/>
        <v>0</v>
      </c>
      <c r="Z587">
        <f t="shared" si="158"/>
        <v>0</v>
      </c>
      <c r="AB587">
        <v>583</v>
      </c>
      <c r="AC587">
        <f t="shared" si="159"/>
        <v>18</v>
      </c>
      <c r="AD587">
        <f t="shared" si="149"/>
        <v>0</v>
      </c>
    </row>
    <row r="588" spans="4:30" x14ac:dyDescent="0.25">
      <c r="D588" s="31">
        <f>Simulation_output!A586</f>
        <v>5845000</v>
      </c>
      <c r="E588">
        <f>Sheet2!R585</f>
        <v>0</v>
      </c>
      <c r="F588">
        <f>Sheet2!S585</f>
        <v>0</v>
      </c>
      <c r="G588">
        <f>Sheet2!T585</f>
        <v>0</v>
      </c>
      <c r="H588" s="31">
        <f>Simulation_output!E586</f>
        <v>1</v>
      </c>
      <c r="I588" s="31">
        <f>Simulation_output!F586</f>
        <v>28</v>
      </c>
      <c r="J588" s="31">
        <f>Simulation_output!G586</f>
        <v>1</v>
      </c>
      <c r="K588" s="31">
        <f>Simulation_output!H586</f>
        <v>0</v>
      </c>
      <c r="L588">
        <v>1</v>
      </c>
      <c r="M588">
        <f t="shared" si="147"/>
        <v>0</v>
      </c>
      <c r="N588">
        <f t="shared" si="146"/>
        <v>0</v>
      </c>
      <c r="O588">
        <f t="shared" si="145"/>
        <v>0</v>
      </c>
      <c r="P588">
        <f t="shared" si="148"/>
        <v>0</v>
      </c>
      <c r="Q588">
        <f t="shared" si="160"/>
        <v>0</v>
      </c>
      <c r="R588">
        <f t="shared" si="150"/>
        <v>0</v>
      </c>
      <c r="S588">
        <f t="shared" si="151"/>
        <v>0</v>
      </c>
      <c r="T588">
        <f t="shared" si="152"/>
        <v>0</v>
      </c>
      <c r="U588">
        <f t="shared" si="153"/>
        <v>0</v>
      </c>
      <c r="V588">
        <f t="shared" si="154"/>
        <v>0</v>
      </c>
      <c r="W588">
        <f t="shared" si="155"/>
        <v>0</v>
      </c>
      <c r="X588">
        <f t="shared" si="156"/>
        <v>0</v>
      </c>
      <c r="Y588">
        <f t="shared" si="157"/>
        <v>0</v>
      </c>
      <c r="Z588">
        <f t="shared" si="158"/>
        <v>0</v>
      </c>
      <c r="AB588">
        <v>584</v>
      </c>
      <c r="AC588">
        <f t="shared" si="159"/>
        <v>18</v>
      </c>
      <c r="AD588">
        <f t="shared" si="149"/>
        <v>0</v>
      </c>
    </row>
    <row r="589" spans="4:30" x14ac:dyDescent="0.25">
      <c r="D589" s="31">
        <f>Simulation_output!A587</f>
        <v>5855000</v>
      </c>
      <c r="E589">
        <f>Sheet2!R586</f>
        <v>0</v>
      </c>
      <c r="F589">
        <f>Sheet2!S586</f>
        <v>0</v>
      </c>
      <c r="G589">
        <f>Sheet2!T586</f>
        <v>0</v>
      </c>
      <c r="H589" s="31">
        <f>Simulation_output!E587</f>
        <v>1</v>
      </c>
      <c r="I589" s="31">
        <f>Simulation_output!F587</f>
        <v>128</v>
      </c>
      <c r="J589" s="31">
        <f>Simulation_output!G587</f>
        <v>1</v>
      </c>
      <c r="K589" s="31">
        <f>Simulation_output!H587</f>
        <v>0</v>
      </c>
      <c r="L589">
        <v>1</v>
      </c>
      <c r="M589">
        <f t="shared" si="147"/>
        <v>0</v>
      </c>
      <c r="N589">
        <f t="shared" si="146"/>
        <v>0</v>
      </c>
      <c r="O589">
        <f t="shared" ref="O589:O652" si="161">IF(K589&gt;0,I578,0)</f>
        <v>0</v>
      </c>
      <c r="P589">
        <f t="shared" si="148"/>
        <v>0</v>
      </c>
      <c r="Q589">
        <f t="shared" si="160"/>
        <v>0</v>
      </c>
      <c r="R589">
        <f t="shared" si="150"/>
        <v>0</v>
      </c>
      <c r="S589">
        <f t="shared" si="151"/>
        <v>0</v>
      </c>
      <c r="T589">
        <f t="shared" si="152"/>
        <v>0</v>
      </c>
      <c r="U589">
        <f t="shared" si="153"/>
        <v>0</v>
      </c>
      <c r="V589">
        <f t="shared" si="154"/>
        <v>0</v>
      </c>
      <c r="W589">
        <f t="shared" si="155"/>
        <v>0</v>
      </c>
      <c r="X589">
        <f t="shared" si="156"/>
        <v>0</v>
      </c>
      <c r="Y589">
        <f t="shared" si="157"/>
        <v>0</v>
      </c>
      <c r="Z589">
        <f t="shared" si="158"/>
        <v>0</v>
      </c>
      <c r="AB589">
        <v>585</v>
      </c>
      <c r="AC589">
        <f t="shared" si="159"/>
        <v>18</v>
      </c>
      <c r="AD589">
        <f t="shared" si="149"/>
        <v>0</v>
      </c>
    </row>
    <row r="590" spans="4:30" x14ac:dyDescent="0.25">
      <c r="D590" s="31">
        <f>Simulation_output!A588</f>
        <v>5865000</v>
      </c>
      <c r="E590">
        <f>Sheet2!R587</f>
        <v>0</v>
      </c>
      <c r="F590">
        <f>Sheet2!S587</f>
        <v>0</v>
      </c>
      <c r="G590">
        <f>Sheet2!T587</f>
        <v>0</v>
      </c>
      <c r="H590" s="31">
        <f>Simulation_output!E588</f>
        <v>1</v>
      </c>
      <c r="I590" s="31">
        <f>Simulation_output!F588</f>
        <v>1028</v>
      </c>
      <c r="J590" s="31">
        <f>Simulation_output!G588</f>
        <v>1</v>
      </c>
      <c r="K590" s="31">
        <f>Simulation_output!H588</f>
        <v>0</v>
      </c>
      <c r="L590">
        <v>1</v>
      </c>
      <c r="M590">
        <f t="shared" si="147"/>
        <v>0</v>
      </c>
      <c r="N590">
        <f t="shared" ref="N590:N653" si="162">IF(K590&gt;0,I578,0)</f>
        <v>0</v>
      </c>
      <c r="O590">
        <f t="shared" si="161"/>
        <v>0</v>
      </c>
      <c r="P590">
        <f t="shared" si="148"/>
        <v>0</v>
      </c>
      <c r="Q590">
        <f t="shared" si="160"/>
        <v>0</v>
      </c>
      <c r="R590">
        <f t="shared" si="150"/>
        <v>0</v>
      </c>
      <c r="S590">
        <f t="shared" si="151"/>
        <v>0</v>
      </c>
      <c r="T590">
        <f t="shared" si="152"/>
        <v>0</v>
      </c>
      <c r="U590">
        <f t="shared" si="153"/>
        <v>0</v>
      </c>
      <c r="V590">
        <f t="shared" si="154"/>
        <v>0</v>
      </c>
      <c r="W590">
        <f t="shared" si="155"/>
        <v>0</v>
      </c>
      <c r="X590">
        <f t="shared" si="156"/>
        <v>0</v>
      </c>
      <c r="Y590">
        <f t="shared" si="157"/>
        <v>0</v>
      </c>
      <c r="Z590">
        <f t="shared" si="158"/>
        <v>0</v>
      </c>
      <c r="AB590">
        <v>586</v>
      </c>
      <c r="AC590">
        <f t="shared" si="159"/>
        <v>18</v>
      </c>
      <c r="AD590">
        <f t="shared" si="149"/>
        <v>0</v>
      </c>
    </row>
    <row r="591" spans="4:30" x14ac:dyDescent="0.25">
      <c r="D591" s="31">
        <f>Simulation_output!A589</f>
        <v>5875000</v>
      </c>
      <c r="E591">
        <f>Sheet2!R588</f>
        <v>0</v>
      </c>
      <c r="F591">
        <f>Sheet2!S588</f>
        <v>0</v>
      </c>
      <c r="G591">
        <f>Sheet2!T588</f>
        <v>0</v>
      </c>
      <c r="H591" s="31">
        <f>Simulation_output!E589</f>
        <v>1</v>
      </c>
      <c r="I591" s="31">
        <f>Simulation_output!F589</f>
        <v>10028</v>
      </c>
      <c r="J591" s="31">
        <f>Simulation_output!G589</f>
        <v>1</v>
      </c>
      <c r="K591" s="31">
        <f>Simulation_output!H589</f>
        <v>0</v>
      </c>
      <c r="L591">
        <v>1</v>
      </c>
      <c r="M591">
        <f t="shared" ref="M591:M654" si="163">IF(K591&gt;0,DEC2HEX(I578),0)</f>
        <v>0</v>
      </c>
      <c r="N591">
        <f t="shared" si="162"/>
        <v>0</v>
      </c>
      <c r="O591">
        <f t="shared" si="161"/>
        <v>0</v>
      </c>
      <c r="P591">
        <f t="shared" ref="P591:P654" si="164">IF(K591&gt;0,I581,0)</f>
        <v>0</v>
      </c>
      <c r="Q591">
        <f t="shared" si="160"/>
        <v>0</v>
      </c>
      <c r="R591">
        <f t="shared" si="150"/>
        <v>0</v>
      </c>
      <c r="S591">
        <f t="shared" si="151"/>
        <v>0</v>
      </c>
      <c r="T591">
        <f t="shared" si="152"/>
        <v>0</v>
      </c>
      <c r="U591">
        <f t="shared" si="153"/>
        <v>0</v>
      </c>
      <c r="V591">
        <f t="shared" si="154"/>
        <v>0</v>
      </c>
      <c r="W591">
        <f t="shared" si="155"/>
        <v>0</v>
      </c>
      <c r="X591">
        <f t="shared" si="156"/>
        <v>0</v>
      </c>
      <c r="Y591">
        <f t="shared" si="157"/>
        <v>0</v>
      </c>
      <c r="Z591">
        <f t="shared" si="158"/>
        <v>0</v>
      </c>
      <c r="AB591">
        <v>587</v>
      </c>
      <c r="AC591">
        <f t="shared" si="159"/>
        <v>18</v>
      </c>
      <c r="AD591">
        <f t="shared" si="149"/>
        <v>0</v>
      </c>
    </row>
    <row r="592" spans="4:30" x14ac:dyDescent="0.25">
      <c r="D592" s="31">
        <f>Simulation_output!A590</f>
        <v>5885000</v>
      </c>
      <c r="E592">
        <f>Sheet2!R589</f>
        <v>0</v>
      </c>
      <c r="F592">
        <f>Sheet2!S589</f>
        <v>0</v>
      </c>
      <c r="G592">
        <f>Sheet2!T589</f>
        <v>0</v>
      </c>
      <c r="H592" s="31">
        <f>Simulation_output!E590</f>
        <v>1</v>
      </c>
      <c r="I592" s="31">
        <f>Simulation_output!F590</f>
        <v>1154</v>
      </c>
      <c r="J592" s="31">
        <f>Simulation_output!G590</f>
        <v>1</v>
      </c>
      <c r="K592" s="31">
        <f>Simulation_output!H590</f>
        <v>0</v>
      </c>
      <c r="L592">
        <v>1</v>
      </c>
      <c r="M592">
        <f t="shared" si="163"/>
        <v>0</v>
      </c>
      <c r="N592">
        <f t="shared" si="162"/>
        <v>0</v>
      </c>
      <c r="O592">
        <f t="shared" si="161"/>
        <v>0</v>
      </c>
      <c r="P592">
        <f t="shared" si="164"/>
        <v>0</v>
      </c>
      <c r="Q592">
        <f t="shared" si="160"/>
        <v>0</v>
      </c>
      <c r="R592">
        <f t="shared" si="150"/>
        <v>0</v>
      </c>
      <c r="S592">
        <f t="shared" si="151"/>
        <v>0</v>
      </c>
      <c r="T592">
        <f t="shared" si="152"/>
        <v>0</v>
      </c>
      <c r="U592">
        <f t="shared" si="153"/>
        <v>0</v>
      </c>
      <c r="V592">
        <f t="shared" si="154"/>
        <v>0</v>
      </c>
      <c r="W592">
        <f t="shared" si="155"/>
        <v>0</v>
      </c>
      <c r="X592">
        <f t="shared" si="156"/>
        <v>0</v>
      </c>
      <c r="Y592">
        <f t="shared" si="157"/>
        <v>0</v>
      </c>
      <c r="Z592">
        <f t="shared" si="158"/>
        <v>0</v>
      </c>
      <c r="AB592">
        <v>588</v>
      </c>
      <c r="AC592">
        <f t="shared" si="159"/>
        <v>18</v>
      </c>
      <c r="AD592">
        <f t="shared" si="149"/>
        <v>0</v>
      </c>
    </row>
    <row r="593" spans="4:30" x14ac:dyDescent="0.25">
      <c r="D593" s="31">
        <f>Simulation_output!A591</f>
        <v>5895000</v>
      </c>
      <c r="E593">
        <f>Sheet2!R590</f>
        <v>0</v>
      </c>
      <c r="F593">
        <f>Sheet2!S590</f>
        <v>0</v>
      </c>
      <c r="G593">
        <f>Sheet2!T590</f>
        <v>0</v>
      </c>
      <c r="H593" s="31">
        <f>Simulation_output!E591</f>
        <v>1</v>
      </c>
      <c r="I593" s="31">
        <f>Simulation_output!F591</f>
        <v>340</v>
      </c>
      <c r="J593" s="31">
        <f>Simulation_output!G591</f>
        <v>1</v>
      </c>
      <c r="K593" s="31">
        <f>Simulation_output!H591</f>
        <v>0</v>
      </c>
      <c r="L593">
        <v>1</v>
      </c>
      <c r="M593">
        <f t="shared" si="163"/>
        <v>0</v>
      </c>
      <c r="N593">
        <f t="shared" si="162"/>
        <v>0</v>
      </c>
      <c r="O593">
        <f t="shared" si="161"/>
        <v>0</v>
      </c>
      <c r="P593">
        <f t="shared" si="164"/>
        <v>0</v>
      </c>
      <c r="Q593">
        <f t="shared" si="160"/>
        <v>0</v>
      </c>
      <c r="R593">
        <f t="shared" si="150"/>
        <v>0</v>
      </c>
      <c r="S593">
        <f t="shared" si="151"/>
        <v>0</v>
      </c>
      <c r="T593">
        <f t="shared" si="152"/>
        <v>0</v>
      </c>
      <c r="U593">
        <f t="shared" si="153"/>
        <v>0</v>
      </c>
      <c r="V593">
        <f t="shared" si="154"/>
        <v>0</v>
      </c>
      <c r="W593">
        <f t="shared" si="155"/>
        <v>0</v>
      </c>
      <c r="X593">
        <f t="shared" si="156"/>
        <v>0</v>
      </c>
      <c r="Y593">
        <f t="shared" si="157"/>
        <v>0</v>
      </c>
      <c r="Z593">
        <f t="shared" si="158"/>
        <v>0</v>
      </c>
      <c r="AB593">
        <v>589</v>
      </c>
      <c r="AC593">
        <f t="shared" si="159"/>
        <v>18</v>
      </c>
      <c r="AD593">
        <f t="shared" si="149"/>
        <v>0</v>
      </c>
    </row>
    <row r="594" spans="4:30" x14ac:dyDescent="0.25">
      <c r="D594" s="31">
        <f>Simulation_output!A592</f>
        <v>5905000</v>
      </c>
      <c r="E594">
        <f>Sheet2!R591</f>
        <v>0</v>
      </c>
      <c r="F594">
        <f>Sheet2!S591</f>
        <v>0</v>
      </c>
      <c r="G594">
        <f>Sheet2!T591</f>
        <v>0</v>
      </c>
      <c r="H594" s="31">
        <f>Simulation_output!E592</f>
        <v>1</v>
      </c>
      <c r="I594" s="31">
        <f>Simulation_output!F592</f>
        <v>0</v>
      </c>
      <c r="J594" s="31">
        <f>Simulation_output!G592</f>
        <v>1</v>
      </c>
      <c r="K594" s="31">
        <f>Simulation_output!H592</f>
        <v>0</v>
      </c>
      <c r="L594">
        <v>1</v>
      </c>
      <c r="M594">
        <f t="shared" si="163"/>
        <v>0</v>
      </c>
      <c r="N594">
        <f t="shared" si="162"/>
        <v>0</v>
      </c>
      <c r="O594">
        <f t="shared" si="161"/>
        <v>0</v>
      </c>
      <c r="P594">
        <f t="shared" si="164"/>
        <v>0</v>
      </c>
      <c r="Q594">
        <f t="shared" si="160"/>
        <v>0</v>
      </c>
      <c r="R594">
        <f t="shared" si="150"/>
        <v>0</v>
      </c>
      <c r="S594">
        <f t="shared" si="151"/>
        <v>0</v>
      </c>
      <c r="T594">
        <f t="shared" si="152"/>
        <v>0</v>
      </c>
      <c r="U594">
        <f t="shared" si="153"/>
        <v>0</v>
      </c>
      <c r="V594">
        <f t="shared" si="154"/>
        <v>0</v>
      </c>
      <c r="W594">
        <f t="shared" si="155"/>
        <v>0</v>
      </c>
      <c r="X594">
        <f t="shared" si="156"/>
        <v>0</v>
      </c>
      <c r="Y594">
        <f t="shared" si="157"/>
        <v>0</v>
      </c>
      <c r="Z594">
        <f t="shared" si="158"/>
        <v>0</v>
      </c>
      <c r="AB594">
        <v>590</v>
      </c>
      <c r="AC594">
        <f t="shared" si="159"/>
        <v>18</v>
      </c>
      <c r="AD594">
        <f t="shared" si="149"/>
        <v>0</v>
      </c>
    </row>
    <row r="595" spans="4:30" x14ac:dyDescent="0.25">
      <c r="D595" s="31">
        <f>Simulation_output!A593</f>
        <v>5915000</v>
      </c>
      <c r="E595">
        <f>Sheet2!R592</f>
        <v>0</v>
      </c>
      <c r="F595">
        <f>Sheet2!S592</f>
        <v>0</v>
      </c>
      <c r="G595">
        <f>Sheet2!T592</f>
        <v>0</v>
      </c>
      <c r="H595" s="31">
        <f>Simulation_output!E593</f>
        <v>1</v>
      </c>
      <c r="I595" s="31">
        <f>Simulation_output!F593</f>
        <v>268435454</v>
      </c>
      <c r="J595" s="31">
        <f>Simulation_output!G593</f>
        <v>1</v>
      </c>
      <c r="K595" s="31">
        <f>Simulation_output!H593</f>
        <v>1</v>
      </c>
      <c r="L595">
        <v>1</v>
      </c>
      <c r="M595" t="str">
        <f t="shared" si="163"/>
        <v>FFFFFFF</v>
      </c>
      <c r="N595">
        <f t="shared" si="162"/>
        <v>19</v>
      </c>
      <c r="O595">
        <f t="shared" si="161"/>
        <v>227</v>
      </c>
      <c r="P595">
        <f t="shared" si="164"/>
        <v>331</v>
      </c>
      <c r="Q595">
        <f t="shared" si="160"/>
        <v>25</v>
      </c>
      <c r="R595">
        <f t="shared" si="150"/>
        <v>5</v>
      </c>
      <c r="S595">
        <f t="shared" si="151"/>
        <v>28</v>
      </c>
      <c r="T595">
        <f t="shared" si="152"/>
        <v>128</v>
      </c>
      <c r="U595">
        <f t="shared" si="153"/>
        <v>1028</v>
      </c>
      <c r="V595">
        <f t="shared" si="154"/>
        <v>10028</v>
      </c>
      <c r="W595">
        <f t="shared" si="155"/>
        <v>1154</v>
      </c>
      <c r="X595">
        <f t="shared" si="156"/>
        <v>340</v>
      </c>
      <c r="Y595">
        <f t="shared" si="157"/>
        <v>0</v>
      </c>
      <c r="Z595" t="str">
        <f t="shared" si="158"/>
        <v>FFFFFFE</v>
      </c>
      <c r="AB595">
        <v>591</v>
      </c>
      <c r="AC595">
        <f t="shared" si="159"/>
        <v>19</v>
      </c>
      <c r="AD595">
        <f t="shared" si="149"/>
        <v>19</v>
      </c>
    </row>
    <row r="596" spans="4:30" x14ac:dyDescent="0.25">
      <c r="D596" s="31">
        <f>Simulation_output!A594</f>
        <v>5925000</v>
      </c>
      <c r="E596">
        <f>Sheet2!R593</f>
        <v>0</v>
      </c>
      <c r="F596">
        <f>Sheet2!S593</f>
        <v>0</v>
      </c>
      <c r="G596">
        <f>Sheet2!T593</f>
        <v>0</v>
      </c>
      <c r="H596" s="31">
        <f>Simulation_output!E594</f>
        <v>1</v>
      </c>
      <c r="I596" s="31">
        <f>Simulation_output!F594</f>
        <v>268435455</v>
      </c>
      <c r="J596" s="31">
        <f>Simulation_output!G594</f>
        <v>1</v>
      </c>
      <c r="K596" s="31">
        <f>Simulation_output!H594</f>
        <v>0</v>
      </c>
      <c r="L596">
        <v>1</v>
      </c>
      <c r="M596">
        <f t="shared" si="163"/>
        <v>0</v>
      </c>
      <c r="N596">
        <f t="shared" si="162"/>
        <v>0</v>
      </c>
      <c r="O596">
        <f t="shared" si="161"/>
        <v>0</v>
      </c>
      <c r="P596">
        <f t="shared" si="164"/>
        <v>0</v>
      </c>
      <c r="Q596">
        <f t="shared" si="160"/>
        <v>0</v>
      </c>
      <c r="R596">
        <f t="shared" si="150"/>
        <v>0</v>
      </c>
      <c r="S596">
        <f t="shared" si="151"/>
        <v>0</v>
      </c>
      <c r="T596">
        <f t="shared" si="152"/>
        <v>0</v>
      </c>
      <c r="U596">
        <f t="shared" si="153"/>
        <v>0</v>
      </c>
      <c r="V596">
        <f t="shared" si="154"/>
        <v>0</v>
      </c>
      <c r="W596">
        <f t="shared" si="155"/>
        <v>0</v>
      </c>
      <c r="X596">
        <f t="shared" si="156"/>
        <v>0</v>
      </c>
      <c r="Y596">
        <f t="shared" si="157"/>
        <v>0</v>
      </c>
      <c r="Z596">
        <f t="shared" si="158"/>
        <v>0</v>
      </c>
      <c r="AB596">
        <v>592</v>
      </c>
      <c r="AC596">
        <f t="shared" si="159"/>
        <v>19</v>
      </c>
      <c r="AD596">
        <f t="shared" si="149"/>
        <v>0</v>
      </c>
    </row>
    <row r="597" spans="4:30" x14ac:dyDescent="0.25">
      <c r="D597" s="31">
        <f>Simulation_output!A595</f>
        <v>5935000</v>
      </c>
      <c r="E597">
        <f>Sheet2!R594</f>
        <v>0</v>
      </c>
      <c r="F597">
        <f>Sheet2!S594</f>
        <v>0</v>
      </c>
      <c r="G597">
        <f>Sheet2!T594</f>
        <v>0</v>
      </c>
      <c r="H597" s="31">
        <f>Simulation_output!E595</f>
        <v>1</v>
      </c>
      <c r="I597" s="31">
        <f>Simulation_output!F595</f>
        <v>20</v>
      </c>
      <c r="J597" s="31">
        <f>Simulation_output!G595</f>
        <v>1</v>
      </c>
      <c r="K597" s="31">
        <f>Simulation_output!H595</f>
        <v>0</v>
      </c>
      <c r="L597">
        <v>1</v>
      </c>
      <c r="M597">
        <f t="shared" si="163"/>
        <v>0</v>
      </c>
      <c r="N597">
        <f t="shared" si="162"/>
        <v>0</v>
      </c>
      <c r="O597">
        <f t="shared" si="161"/>
        <v>0</v>
      </c>
      <c r="P597">
        <f t="shared" si="164"/>
        <v>0</v>
      </c>
      <c r="Q597">
        <f t="shared" si="160"/>
        <v>0</v>
      </c>
      <c r="R597">
        <f t="shared" si="150"/>
        <v>0</v>
      </c>
      <c r="S597">
        <f t="shared" si="151"/>
        <v>0</v>
      </c>
      <c r="T597">
        <f t="shared" si="152"/>
        <v>0</v>
      </c>
      <c r="U597">
        <f t="shared" si="153"/>
        <v>0</v>
      </c>
      <c r="V597">
        <f t="shared" si="154"/>
        <v>0</v>
      </c>
      <c r="W597">
        <f t="shared" si="155"/>
        <v>0</v>
      </c>
      <c r="X597">
        <f t="shared" si="156"/>
        <v>0</v>
      </c>
      <c r="Y597">
        <f t="shared" si="157"/>
        <v>0</v>
      </c>
      <c r="Z597">
        <f t="shared" si="158"/>
        <v>0</v>
      </c>
      <c r="AB597">
        <v>593</v>
      </c>
      <c r="AC597">
        <f t="shared" si="159"/>
        <v>19</v>
      </c>
      <c r="AD597">
        <f t="shared" si="149"/>
        <v>0</v>
      </c>
    </row>
    <row r="598" spans="4:30" x14ac:dyDescent="0.25">
      <c r="D598" s="31">
        <f>Simulation_output!A596</f>
        <v>5945000</v>
      </c>
      <c r="E598">
        <f>Sheet2!R595</f>
        <v>0</v>
      </c>
      <c r="F598">
        <f>Sheet2!S595</f>
        <v>0</v>
      </c>
      <c r="G598">
        <f>Sheet2!T595</f>
        <v>0</v>
      </c>
      <c r="H598" s="31">
        <f>Simulation_output!E596</f>
        <v>1</v>
      </c>
      <c r="I598" s="31">
        <f>Simulation_output!F596</f>
        <v>239</v>
      </c>
      <c r="J598" s="31">
        <f>Simulation_output!G596</f>
        <v>1</v>
      </c>
      <c r="K598" s="31">
        <f>Simulation_output!H596</f>
        <v>0</v>
      </c>
      <c r="L598">
        <v>1</v>
      </c>
      <c r="M598">
        <f t="shared" si="163"/>
        <v>0</v>
      </c>
      <c r="N598">
        <f t="shared" si="162"/>
        <v>0</v>
      </c>
      <c r="O598">
        <f t="shared" si="161"/>
        <v>0</v>
      </c>
      <c r="P598">
        <f t="shared" si="164"/>
        <v>0</v>
      </c>
      <c r="Q598">
        <f t="shared" si="160"/>
        <v>0</v>
      </c>
      <c r="R598">
        <f t="shared" si="150"/>
        <v>0</v>
      </c>
      <c r="S598">
        <f t="shared" si="151"/>
        <v>0</v>
      </c>
      <c r="T598">
        <f t="shared" si="152"/>
        <v>0</v>
      </c>
      <c r="U598">
        <f t="shared" si="153"/>
        <v>0</v>
      </c>
      <c r="V598">
        <f t="shared" si="154"/>
        <v>0</v>
      </c>
      <c r="W598">
        <f t="shared" si="155"/>
        <v>0</v>
      </c>
      <c r="X598">
        <f t="shared" si="156"/>
        <v>0</v>
      </c>
      <c r="Y598">
        <f t="shared" si="157"/>
        <v>0</v>
      </c>
      <c r="Z598">
        <f t="shared" si="158"/>
        <v>0</v>
      </c>
      <c r="AB598">
        <v>594</v>
      </c>
      <c r="AC598">
        <f t="shared" si="159"/>
        <v>19</v>
      </c>
      <c r="AD598">
        <f t="shared" si="149"/>
        <v>0</v>
      </c>
    </row>
    <row r="599" spans="4:30" x14ac:dyDescent="0.25">
      <c r="D599" s="31">
        <f>Simulation_output!A597</f>
        <v>5955000</v>
      </c>
      <c r="E599">
        <f>Sheet2!R596</f>
        <v>0</v>
      </c>
      <c r="F599">
        <f>Sheet2!S596</f>
        <v>0</v>
      </c>
      <c r="G599">
        <f>Sheet2!T596</f>
        <v>0</v>
      </c>
      <c r="H599" s="31">
        <f>Simulation_output!E597</f>
        <v>1</v>
      </c>
      <c r="I599" s="31">
        <f>Simulation_output!F597</f>
        <v>332</v>
      </c>
      <c r="J599" s="31">
        <f>Simulation_output!G597</f>
        <v>1</v>
      </c>
      <c r="K599" s="31">
        <f>Simulation_output!H597</f>
        <v>0</v>
      </c>
      <c r="L599">
        <v>1</v>
      </c>
      <c r="M599">
        <f t="shared" si="163"/>
        <v>0</v>
      </c>
      <c r="N599">
        <f t="shared" si="162"/>
        <v>0</v>
      </c>
      <c r="O599">
        <f t="shared" si="161"/>
        <v>0</v>
      </c>
      <c r="P599">
        <f t="shared" si="164"/>
        <v>0</v>
      </c>
      <c r="Q599">
        <f t="shared" si="160"/>
        <v>0</v>
      </c>
      <c r="R599">
        <f t="shared" si="150"/>
        <v>0</v>
      </c>
      <c r="S599">
        <f t="shared" si="151"/>
        <v>0</v>
      </c>
      <c r="T599">
        <f t="shared" si="152"/>
        <v>0</v>
      </c>
      <c r="U599">
        <f t="shared" si="153"/>
        <v>0</v>
      </c>
      <c r="V599">
        <f t="shared" si="154"/>
        <v>0</v>
      </c>
      <c r="W599">
        <f t="shared" si="155"/>
        <v>0</v>
      </c>
      <c r="X599">
        <f t="shared" si="156"/>
        <v>0</v>
      </c>
      <c r="Y599">
        <f t="shared" si="157"/>
        <v>0</v>
      </c>
      <c r="Z599">
        <f t="shared" si="158"/>
        <v>0</v>
      </c>
      <c r="AB599">
        <v>595</v>
      </c>
      <c r="AC599">
        <f t="shared" si="159"/>
        <v>19</v>
      </c>
      <c r="AD599">
        <f t="shared" si="149"/>
        <v>0</v>
      </c>
    </row>
    <row r="600" spans="4:30" x14ac:dyDescent="0.25">
      <c r="D600" s="31">
        <f>Simulation_output!A598</f>
        <v>5965000</v>
      </c>
      <c r="E600">
        <f>Sheet2!R597</f>
        <v>0</v>
      </c>
      <c r="F600">
        <f>Sheet2!S597</f>
        <v>0</v>
      </c>
      <c r="G600">
        <f>Sheet2!T597</f>
        <v>0</v>
      </c>
      <c r="H600" s="31">
        <f>Simulation_output!E598</f>
        <v>1</v>
      </c>
      <c r="I600" s="31">
        <f>Simulation_output!F598</f>
        <v>25</v>
      </c>
      <c r="J600" s="31">
        <f>Simulation_output!G598</f>
        <v>1</v>
      </c>
      <c r="K600" s="31">
        <f>Simulation_output!H598</f>
        <v>0</v>
      </c>
      <c r="L600">
        <v>1</v>
      </c>
      <c r="M600">
        <f t="shared" si="163"/>
        <v>0</v>
      </c>
      <c r="N600">
        <f t="shared" si="162"/>
        <v>0</v>
      </c>
      <c r="O600">
        <f t="shared" si="161"/>
        <v>0</v>
      </c>
      <c r="P600">
        <f t="shared" si="164"/>
        <v>0</v>
      </c>
      <c r="Q600">
        <f t="shared" si="160"/>
        <v>0</v>
      </c>
      <c r="R600">
        <f t="shared" si="150"/>
        <v>0</v>
      </c>
      <c r="S600">
        <f t="shared" si="151"/>
        <v>0</v>
      </c>
      <c r="T600">
        <f t="shared" si="152"/>
        <v>0</v>
      </c>
      <c r="U600">
        <f t="shared" si="153"/>
        <v>0</v>
      </c>
      <c r="V600">
        <f t="shared" si="154"/>
        <v>0</v>
      </c>
      <c r="W600">
        <f t="shared" si="155"/>
        <v>0</v>
      </c>
      <c r="X600">
        <f t="shared" si="156"/>
        <v>0</v>
      </c>
      <c r="Y600">
        <f t="shared" si="157"/>
        <v>0</v>
      </c>
      <c r="Z600">
        <f t="shared" si="158"/>
        <v>0</v>
      </c>
      <c r="AB600">
        <v>596</v>
      </c>
      <c r="AC600">
        <f t="shared" si="159"/>
        <v>19</v>
      </c>
      <c r="AD600">
        <f t="shared" si="149"/>
        <v>0</v>
      </c>
    </row>
    <row r="601" spans="4:30" x14ac:dyDescent="0.25">
      <c r="D601" s="31">
        <f>Simulation_output!A599</f>
        <v>5975000</v>
      </c>
      <c r="E601">
        <f>Sheet2!R598</f>
        <v>0</v>
      </c>
      <c r="F601">
        <f>Sheet2!S598</f>
        <v>0</v>
      </c>
      <c r="G601">
        <f>Sheet2!T598</f>
        <v>0</v>
      </c>
      <c r="H601" s="31">
        <f>Simulation_output!E599</f>
        <v>1</v>
      </c>
      <c r="I601" s="31">
        <f>Simulation_output!F599</f>
        <v>5</v>
      </c>
      <c r="J601" s="31">
        <f>Simulation_output!G599</f>
        <v>1</v>
      </c>
      <c r="K601" s="31">
        <f>Simulation_output!H599</f>
        <v>0</v>
      </c>
      <c r="L601">
        <v>1</v>
      </c>
      <c r="M601">
        <f t="shared" si="163"/>
        <v>0</v>
      </c>
      <c r="N601">
        <f t="shared" si="162"/>
        <v>0</v>
      </c>
      <c r="O601">
        <f t="shared" si="161"/>
        <v>0</v>
      </c>
      <c r="P601">
        <f t="shared" si="164"/>
        <v>0</v>
      </c>
      <c r="Q601">
        <f t="shared" si="160"/>
        <v>0</v>
      </c>
      <c r="R601">
        <f t="shared" si="150"/>
        <v>0</v>
      </c>
      <c r="S601">
        <f t="shared" si="151"/>
        <v>0</v>
      </c>
      <c r="T601">
        <f t="shared" si="152"/>
        <v>0</v>
      </c>
      <c r="U601">
        <f t="shared" si="153"/>
        <v>0</v>
      </c>
      <c r="V601">
        <f t="shared" si="154"/>
        <v>0</v>
      </c>
      <c r="W601">
        <f t="shared" si="155"/>
        <v>0</v>
      </c>
      <c r="X601">
        <f t="shared" si="156"/>
        <v>0</v>
      </c>
      <c r="Y601">
        <f t="shared" si="157"/>
        <v>0</v>
      </c>
      <c r="Z601">
        <f t="shared" si="158"/>
        <v>0</v>
      </c>
      <c r="AB601">
        <v>597</v>
      </c>
      <c r="AC601">
        <f t="shared" si="159"/>
        <v>19</v>
      </c>
      <c r="AD601">
        <f t="shared" si="149"/>
        <v>0</v>
      </c>
    </row>
    <row r="602" spans="4:30" x14ac:dyDescent="0.25">
      <c r="D602" s="31">
        <f>Simulation_output!A600</f>
        <v>5985000</v>
      </c>
      <c r="E602">
        <f>Sheet2!R599</f>
        <v>0</v>
      </c>
      <c r="F602">
        <f>Sheet2!S599</f>
        <v>0</v>
      </c>
      <c r="G602">
        <f>Sheet2!T599</f>
        <v>0</v>
      </c>
      <c r="H602" s="31">
        <f>Simulation_output!E600</f>
        <v>1</v>
      </c>
      <c r="I602" s="31">
        <f>Simulation_output!F600</f>
        <v>29</v>
      </c>
      <c r="J602" s="31">
        <f>Simulation_output!G600</f>
        <v>1</v>
      </c>
      <c r="K602" s="31">
        <f>Simulation_output!H600</f>
        <v>0</v>
      </c>
      <c r="L602">
        <v>1</v>
      </c>
      <c r="M602">
        <f t="shared" si="163"/>
        <v>0</v>
      </c>
      <c r="N602">
        <f t="shared" si="162"/>
        <v>0</v>
      </c>
      <c r="O602">
        <f t="shared" si="161"/>
        <v>0</v>
      </c>
      <c r="P602">
        <f t="shared" si="164"/>
        <v>0</v>
      </c>
      <c r="Q602">
        <f t="shared" si="160"/>
        <v>0</v>
      </c>
      <c r="R602">
        <f t="shared" si="150"/>
        <v>0</v>
      </c>
      <c r="S602">
        <f t="shared" si="151"/>
        <v>0</v>
      </c>
      <c r="T602">
        <f t="shared" si="152"/>
        <v>0</v>
      </c>
      <c r="U602">
        <f t="shared" si="153"/>
        <v>0</v>
      </c>
      <c r="V602">
        <f t="shared" si="154"/>
        <v>0</v>
      </c>
      <c r="W602">
        <f t="shared" si="155"/>
        <v>0</v>
      </c>
      <c r="X602">
        <f t="shared" si="156"/>
        <v>0</v>
      </c>
      <c r="Y602">
        <f t="shared" si="157"/>
        <v>0</v>
      </c>
      <c r="Z602">
        <f t="shared" si="158"/>
        <v>0</v>
      </c>
      <c r="AB602">
        <v>598</v>
      </c>
      <c r="AC602">
        <f t="shared" si="159"/>
        <v>19</v>
      </c>
      <c r="AD602">
        <f t="shared" si="149"/>
        <v>0</v>
      </c>
    </row>
    <row r="603" spans="4:30" x14ac:dyDescent="0.25">
      <c r="D603" s="31">
        <f>Simulation_output!A601</f>
        <v>5995000</v>
      </c>
      <c r="E603">
        <f>Sheet2!R600</f>
        <v>0</v>
      </c>
      <c r="F603">
        <f>Sheet2!S600</f>
        <v>0</v>
      </c>
      <c r="G603">
        <f>Sheet2!T600</f>
        <v>0</v>
      </c>
      <c r="H603" s="31">
        <f>Simulation_output!E601</f>
        <v>1</v>
      </c>
      <c r="I603" s="31">
        <f>Simulation_output!F601</f>
        <v>129</v>
      </c>
      <c r="J603" s="31">
        <f>Simulation_output!G601</f>
        <v>1</v>
      </c>
      <c r="K603" s="31">
        <f>Simulation_output!H601</f>
        <v>0</v>
      </c>
      <c r="L603">
        <v>1</v>
      </c>
      <c r="M603">
        <f t="shared" si="163"/>
        <v>0</v>
      </c>
      <c r="N603">
        <f t="shared" si="162"/>
        <v>0</v>
      </c>
      <c r="O603">
        <f t="shared" si="161"/>
        <v>0</v>
      </c>
      <c r="P603">
        <f t="shared" si="164"/>
        <v>0</v>
      </c>
      <c r="Q603">
        <f t="shared" si="160"/>
        <v>0</v>
      </c>
      <c r="R603">
        <f t="shared" si="150"/>
        <v>0</v>
      </c>
      <c r="S603">
        <f t="shared" si="151"/>
        <v>0</v>
      </c>
      <c r="T603">
        <f t="shared" si="152"/>
        <v>0</v>
      </c>
      <c r="U603">
        <f t="shared" si="153"/>
        <v>0</v>
      </c>
      <c r="V603">
        <f t="shared" si="154"/>
        <v>0</v>
      </c>
      <c r="W603">
        <f t="shared" si="155"/>
        <v>0</v>
      </c>
      <c r="X603">
        <f t="shared" si="156"/>
        <v>0</v>
      </c>
      <c r="Y603">
        <f t="shared" si="157"/>
        <v>0</v>
      </c>
      <c r="Z603">
        <f t="shared" si="158"/>
        <v>0</v>
      </c>
      <c r="AB603">
        <v>599</v>
      </c>
      <c r="AC603">
        <f t="shared" si="159"/>
        <v>19</v>
      </c>
      <c r="AD603">
        <f t="shared" si="149"/>
        <v>0</v>
      </c>
    </row>
    <row r="604" spans="4:30" x14ac:dyDescent="0.25">
      <c r="D604" s="31">
        <f>Simulation_output!A602</f>
        <v>6005000</v>
      </c>
      <c r="E604">
        <f>Sheet2!R601</f>
        <v>0</v>
      </c>
      <c r="F604">
        <f>Sheet2!S601</f>
        <v>0</v>
      </c>
      <c r="G604">
        <f>Sheet2!T601</f>
        <v>0</v>
      </c>
      <c r="H604" s="31">
        <f>Simulation_output!E602</f>
        <v>1</v>
      </c>
      <c r="I604" s="31">
        <f>Simulation_output!F602</f>
        <v>1029</v>
      </c>
      <c r="J604" s="31">
        <f>Simulation_output!G602</f>
        <v>1</v>
      </c>
      <c r="K604" s="31">
        <f>Simulation_output!H602</f>
        <v>0</v>
      </c>
      <c r="L604">
        <v>1</v>
      </c>
      <c r="M604">
        <f t="shared" si="163"/>
        <v>0</v>
      </c>
      <c r="N604">
        <f t="shared" si="162"/>
        <v>0</v>
      </c>
      <c r="O604">
        <f t="shared" si="161"/>
        <v>0</v>
      </c>
      <c r="P604">
        <f t="shared" si="164"/>
        <v>0</v>
      </c>
      <c r="Q604">
        <f t="shared" si="160"/>
        <v>0</v>
      </c>
      <c r="R604">
        <f t="shared" si="150"/>
        <v>0</v>
      </c>
      <c r="S604">
        <f t="shared" si="151"/>
        <v>0</v>
      </c>
      <c r="T604">
        <f t="shared" si="152"/>
        <v>0</v>
      </c>
      <c r="U604">
        <f t="shared" si="153"/>
        <v>0</v>
      </c>
      <c r="V604">
        <f t="shared" si="154"/>
        <v>0</v>
      </c>
      <c r="W604">
        <f t="shared" si="155"/>
        <v>0</v>
      </c>
      <c r="X604">
        <f t="shared" si="156"/>
        <v>0</v>
      </c>
      <c r="Y604">
        <f t="shared" si="157"/>
        <v>0</v>
      </c>
      <c r="Z604">
        <f t="shared" si="158"/>
        <v>0</v>
      </c>
      <c r="AB604">
        <v>600</v>
      </c>
      <c r="AC604">
        <f t="shared" si="159"/>
        <v>19</v>
      </c>
      <c r="AD604">
        <f t="shared" si="149"/>
        <v>0</v>
      </c>
    </row>
    <row r="605" spans="4:30" x14ac:dyDescent="0.25">
      <c r="D605" s="31">
        <f>Simulation_output!A603</f>
        <v>6015000</v>
      </c>
      <c r="E605">
        <f>Sheet2!R602</f>
        <v>0</v>
      </c>
      <c r="F605">
        <f>Sheet2!S602</f>
        <v>0</v>
      </c>
      <c r="G605">
        <f>Sheet2!T602</f>
        <v>0</v>
      </c>
      <c r="H605" s="31">
        <f>Simulation_output!E603</f>
        <v>1</v>
      </c>
      <c r="I605" s="31">
        <f>Simulation_output!F603</f>
        <v>10029</v>
      </c>
      <c r="J605" s="31">
        <f>Simulation_output!G603</f>
        <v>1</v>
      </c>
      <c r="K605" s="31">
        <f>Simulation_output!H603</f>
        <v>0</v>
      </c>
      <c r="L605">
        <v>1</v>
      </c>
      <c r="M605">
        <f t="shared" si="163"/>
        <v>0</v>
      </c>
      <c r="N605">
        <f t="shared" si="162"/>
        <v>0</v>
      </c>
      <c r="O605">
        <f t="shared" si="161"/>
        <v>0</v>
      </c>
      <c r="P605">
        <f t="shared" si="164"/>
        <v>0</v>
      </c>
      <c r="Q605">
        <f t="shared" si="160"/>
        <v>0</v>
      </c>
      <c r="R605">
        <f t="shared" si="150"/>
        <v>0</v>
      </c>
      <c r="S605">
        <f t="shared" si="151"/>
        <v>0</v>
      </c>
      <c r="T605">
        <f t="shared" si="152"/>
        <v>0</v>
      </c>
      <c r="U605">
        <f t="shared" si="153"/>
        <v>0</v>
      </c>
      <c r="V605">
        <f t="shared" si="154"/>
        <v>0</v>
      </c>
      <c r="W605">
        <f t="shared" si="155"/>
        <v>0</v>
      </c>
      <c r="X605">
        <f t="shared" si="156"/>
        <v>0</v>
      </c>
      <c r="Y605">
        <f t="shared" si="157"/>
        <v>0</v>
      </c>
      <c r="Z605">
        <f t="shared" si="158"/>
        <v>0</v>
      </c>
      <c r="AB605">
        <v>601</v>
      </c>
      <c r="AC605">
        <f t="shared" si="159"/>
        <v>19</v>
      </c>
      <c r="AD605">
        <f t="shared" si="149"/>
        <v>0</v>
      </c>
    </row>
    <row r="606" spans="4:30" x14ac:dyDescent="0.25">
      <c r="D606" s="31">
        <f>Simulation_output!A604</f>
        <v>6025000</v>
      </c>
      <c r="E606">
        <f>Sheet2!R603</f>
        <v>0</v>
      </c>
      <c r="F606">
        <f>Sheet2!S603</f>
        <v>0</v>
      </c>
      <c r="G606">
        <f>Sheet2!T603</f>
        <v>0</v>
      </c>
      <c r="H606" s="31">
        <f>Simulation_output!E604</f>
        <v>1</v>
      </c>
      <c r="I606" s="31">
        <f>Simulation_output!F604</f>
        <v>1156</v>
      </c>
      <c r="J606" s="31">
        <f>Simulation_output!G604</f>
        <v>1</v>
      </c>
      <c r="K606" s="31">
        <f>Simulation_output!H604</f>
        <v>0</v>
      </c>
      <c r="L606">
        <v>1</v>
      </c>
      <c r="M606">
        <f t="shared" si="163"/>
        <v>0</v>
      </c>
      <c r="N606">
        <f t="shared" si="162"/>
        <v>0</v>
      </c>
      <c r="O606">
        <f t="shared" si="161"/>
        <v>0</v>
      </c>
      <c r="P606">
        <f t="shared" si="164"/>
        <v>0</v>
      </c>
      <c r="Q606">
        <f t="shared" si="160"/>
        <v>0</v>
      </c>
      <c r="R606">
        <f t="shared" si="150"/>
        <v>0</v>
      </c>
      <c r="S606">
        <f t="shared" si="151"/>
        <v>0</v>
      </c>
      <c r="T606">
        <f t="shared" si="152"/>
        <v>0</v>
      </c>
      <c r="U606">
        <f t="shared" si="153"/>
        <v>0</v>
      </c>
      <c r="V606">
        <f t="shared" si="154"/>
        <v>0</v>
      </c>
      <c r="W606">
        <f t="shared" si="155"/>
        <v>0</v>
      </c>
      <c r="X606">
        <f t="shared" si="156"/>
        <v>0</v>
      </c>
      <c r="Y606">
        <f t="shared" si="157"/>
        <v>0</v>
      </c>
      <c r="Z606">
        <f t="shared" si="158"/>
        <v>0</v>
      </c>
      <c r="AB606">
        <v>602</v>
      </c>
      <c r="AC606">
        <f t="shared" si="159"/>
        <v>19</v>
      </c>
      <c r="AD606">
        <f t="shared" si="149"/>
        <v>0</v>
      </c>
    </row>
    <row r="607" spans="4:30" x14ac:dyDescent="0.25">
      <c r="D607" s="31">
        <f>Simulation_output!A605</f>
        <v>6035000</v>
      </c>
      <c r="E607">
        <f>Sheet2!R604</f>
        <v>0</v>
      </c>
      <c r="F607">
        <f>Sheet2!S604</f>
        <v>0</v>
      </c>
      <c r="G607">
        <f>Sheet2!T604</f>
        <v>0</v>
      </c>
      <c r="H607" s="31">
        <f>Simulation_output!E605</f>
        <v>1</v>
      </c>
      <c r="I607" s="31">
        <f>Simulation_output!F605</f>
        <v>341</v>
      </c>
      <c r="J607" s="31">
        <f>Simulation_output!G605</f>
        <v>1</v>
      </c>
      <c r="K607" s="31">
        <f>Simulation_output!H605</f>
        <v>0</v>
      </c>
      <c r="L607">
        <v>1</v>
      </c>
      <c r="M607">
        <f t="shared" si="163"/>
        <v>0</v>
      </c>
      <c r="N607">
        <f t="shared" si="162"/>
        <v>0</v>
      </c>
      <c r="O607">
        <f t="shared" si="161"/>
        <v>0</v>
      </c>
      <c r="P607">
        <f t="shared" si="164"/>
        <v>0</v>
      </c>
      <c r="Q607">
        <f t="shared" si="160"/>
        <v>0</v>
      </c>
      <c r="R607">
        <f t="shared" si="150"/>
        <v>0</v>
      </c>
      <c r="S607">
        <f t="shared" si="151"/>
        <v>0</v>
      </c>
      <c r="T607">
        <f t="shared" si="152"/>
        <v>0</v>
      </c>
      <c r="U607">
        <f t="shared" si="153"/>
        <v>0</v>
      </c>
      <c r="V607">
        <f t="shared" si="154"/>
        <v>0</v>
      </c>
      <c r="W607">
        <f t="shared" si="155"/>
        <v>0</v>
      </c>
      <c r="X607">
        <f t="shared" si="156"/>
        <v>0</v>
      </c>
      <c r="Y607">
        <f t="shared" si="157"/>
        <v>0</v>
      </c>
      <c r="Z607">
        <f t="shared" si="158"/>
        <v>0</v>
      </c>
      <c r="AB607">
        <v>603</v>
      </c>
      <c r="AC607">
        <f t="shared" si="159"/>
        <v>19</v>
      </c>
      <c r="AD607">
        <f t="shared" si="149"/>
        <v>0</v>
      </c>
    </row>
    <row r="608" spans="4:30" x14ac:dyDescent="0.25">
      <c r="D608" s="31">
        <f>Simulation_output!A606</f>
        <v>6045000</v>
      </c>
      <c r="E608">
        <f>Sheet2!R605</f>
        <v>0</v>
      </c>
      <c r="F608">
        <f>Sheet2!S605</f>
        <v>0</v>
      </c>
      <c r="G608">
        <f>Sheet2!T605</f>
        <v>0</v>
      </c>
      <c r="H608" s="31">
        <f>Simulation_output!E606</f>
        <v>1</v>
      </c>
      <c r="I608" s="31">
        <f>Simulation_output!F606</f>
        <v>0</v>
      </c>
      <c r="J608" s="31">
        <f>Simulation_output!G606</f>
        <v>1</v>
      </c>
      <c r="K608" s="31">
        <f>Simulation_output!H606</f>
        <v>0</v>
      </c>
      <c r="L608">
        <v>1</v>
      </c>
      <c r="M608">
        <f t="shared" si="163"/>
        <v>0</v>
      </c>
      <c r="N608">
        <f t="shared" si="162"/>
        <v>0</v>
      </c>
      <c r="O608">
        <f t="shared" si="161"/>
        <v>0</v>
      </c>
      <c r="P608">
        <f t="shared" si="164"/>
        <v>0</v>
      </c>
      <c r="Q608">
        <f t="shared" si="160"/>
        <v>0</v>
      </c>
      <c r="R608">
        <f t="shared" si="150"/>
        <v>0</v>
      </c>
      <c r="S608">
        <f t="shared" si="151"/>
        <v>0</v>
      </c>
      <c r="T608">
        <f t="shared" si="152"/>
        <v>0</v>
      </c>
      <c r="U608">
        <f t="shared" si="153"/>
        <v>0</v>
      </c>
      <c r="V608">
        <f t="shared" si="154"/>
        <v>0</v>
      </c>
      <c r="W608">
        <f t="shared" si="155"/>
        <v>0</v>
      </c>
      <c r="X608">
        <f t="shared" si="156"/>
        <v>0</v>
      </c>
      <c r="Y608">
        <f t="shared" si="157"/>
        <v>0</v>
      </c>
      <c r="Z608">
        <f t="shared" si="158"/>
        <v>0</v>
      </c>
      <c r="AB608">
        <v>604</v>
      </c>
      <c r="AC608">
        <f t="shared" si="159"/>
        <v>19</v>
      </c>
      <c r="AD608">
        <f t="shared" si="149"/>
        <v>0</v>
      </c>
    </row>
    <row r="609" spans="4:30" x14ac:dyDescent="0.25">
      <c r="D609" s="31">
        <f>Simulation_output!A607</f>
        <v>6055000</v>
      </c>
      <c r="E609">
        <f>Sheet2!R606</f>
        <v>0</v>
      </c>
      <c r="F609">
        <f>Sheet2!S606</f>
        <v>0</v>
      </c>
      <c r="G609">
        <f>Sheet2!T606</f>
        <v>0</v>
      </c>
      <c r="H609" s="31">
        <f>Simulation_output!E607</f>
        <v>1</v>
      </c>
      <c r="I609" s="31">
        <f>Simulation_output!F607</f>
        <v>268435454</v>
      </c>
      <c r="J609" s="31">
        <f>Simulation_output!G607</f>
        <v>1</v>
      </c>
      <c r="K609" s="31">
        <f>Simulation_output!H607</f>
        <v>1</v>
      </c>
      <c r="L609">
        <v>1</v>
      </c>
      <c r="M609" t="str">
        <f t="shared" si="163"/>
        <v>FFFFFFF</v>
      </c>
      <c r="N609">
        <f t="shared" si="162"/>
        <v>20</v>
      </c>
      <c r="O609">
        <f t="shared" si="161"/>
        <v>239</v>
      </c>
      <c r="P609">
        <f t="shared" si="164"/>
        <v>332</v>
      </c>
      <c r="Q609">
        <f t="shared" si="160"/>
        <v>25</v>
      </c>
      <c r="R609">
        <f t="shared" si="150"/>
        <v>5</v>
      </c>
      <c r="S609">
        <f t="shared" si="151"/>
        <v>29</v>
      </c>
      <c r="T609">
        <f t="shared" si="152"/>
        <v>129</v>
      </c>
      <c r="U609">
        <f t="shared" si="153"/>
        <v>1029</v>
      </c>
      <c r="V609">
        <f t="shared" si="154"/>
        <v>10029</v>
      </c>
      <c r="W609">
        <f t="shared" si="155"/>
        <v>1156</v>
      </c>
      <c r="X609">
        <f t="shared" si="156"/>
        <v>341</v>
      </c>
      <c r="Y609">
        <f t="shared" si="157"/>
        <v>0</v>
      </c>
      <c r="Z609" t="str">
        <f t="shared" si="158"/>
        <v>FFFFFFE</v>
      </c>
      <c r="AB609">
        <v>605</v>
      </c>
      <c r="AC609">
        <f t="shared" si="159"/>
        <v>20</v>
      </c>
      <c r="AD609">
        <f t="shared" si="149"/>
        <v>20</v>
      </c>
    </row>
    <row r="610" spans="4:30" x14ac:dyDescent="0.25">
      <c r="D610" s="31">
        <f>Simulation_output!A608</f>
        <v>6065000</v>
      </c>
      <c r="E610">
        <f>Sheet2!R607</f>
        <v>0</v>
      </c>
      <c r="F610">
        <f>Sheet2!S607</f>
        <v>0</v>
      </c>
      <c r="G610">
        <f>Sheet2!T607</f>
        <v>0</v>
      </c>
      <c r="H610" s="31">
        <f>Simulation_output!E608</f>
        <v>1</v>
      </c>
      <c r="I610" s="31">
        <f>Simulation_output!F608</f>
        <v>268435455</v>
      </c>
      <c r="J610" s="31">
        <f>Simulation_output!G608</f>
        <v>1</v>
      </c>
      <c r="K610" s="31">
        <f>Simulation_output!H608</f>
        <v>0</v>
      </c>
      <c r="L610">
        <v>1</v>
      </c>
      <c r="M610">
        <f t="shared" si="163"/>
        <v>0</v>
      </c>
      <c r="N610">
        <f t="shared" si="162"/>
        <v>0</v>
      </c>
      <c r="O610">
        <f t="shared" si="161"/>
        <v>0</v>
      </c>
      <c r="P610">
        <f t="shared" si="164"/>
        <v>0</v>
      </c>
      <c r="Q610">
        <f t="shared" si="160"/>
        <v>0</v>
      </c>
      <c r="R610">
        <f t="shared" si="150"/>
        <v>0</v>
      </c>
      <c r="S610">
        <f t="shared" si="151"/>
        <v>0</v>
      </c>
      <c r="T610">
        <f t="shared" si="152"/>
        <v>0</v>
      </c>
      <c r="U610">
        <f t="shared" si="153"/>
        <v>0</v>
      </c>
      <c r="V610">
        <f t="shared" si="154"/>
        <v>0</v>
      </c>
      <c r="W610">
        <f t="shared" si="155"/>
        <v>0</v>
      </c>
      <c r="X610">
        <f t="shared" si="156"/>
        <v>0</v>
      </c>
      <c r="Y610">
        <f t="shared" si="157"/>
        <v>0</v>
      </c>
      <c r="Z610">
        <f t="shared" si="158"/>
        <v>0</v>
      </c>
      <c r="AB610">
        <v>606</v>
      </c>
      <c r="AC610">
        <f t="shared" si="159"/>
        <v>20</v>
      </c>
      <c r="AD610">
        <f t="shared" si="149"/>
        <v>0</v>
      </c>
    </row>
    <row r="611" spans="4:30" x14ac:dyDescent="0.25">
      <c r="D611" s="31">
        <f>Simulation_output!A609</f>
        <v>6075000</v>
      </c>
      <c r="E611">
        <f>Sheet2!R608</f>
        <v>0</v>
      </c>
      <c r="F611">
        <f>Sheet2!S608</f>
        <v>0</v>
      </c>
      <c r="G611">
        <f>Sheet2!T608</f>
        <v>0</v>
      </c>
      <c r="H611" s="31">
        <f>Simulation_output!E609</f>
        <v>1</v>
      </c>
      <c r="I611" s="31">
        <f>Simulation_output!F609</f>
        <v>21</v>
      </c>
      <c r="J611" s="31">
        <f>Simulation_output!G609</f>
        <v>1</v>
      </c>
      <c r="K611" s="31">
        <f>Simulation_output!H609</f>
        <v>0</v>
      </c>
      <c r="L611">
        <v>1</v>
      </c>
      <c r="M611">
        <f t="shared" si="163"/>
        <v>0</v>
      </c>
      <c r="N611">
        <f t="shared" si="162"/>
        <v>0</v>
      </c>
      <c r="O611">
        <f t="shared" si="161"/>
        <v>0</v>
      </c>
      <c r="P611">
        <f t="shared" si="164"/>
        <v>0</v>
      </c>
      <c r="Q611">
        <f t="shared" si="160"/>
        <v>0</v>
      </c>
      <c r="R611">
        <f t="shared" si="150"/>
        <v>0</v>
      </c>
      <c r="S611">
        <f t="shared" si="151"/>
        <v>0</v>
      </c>
      <c r="T611">
        <f t="shared" si="152"/>
        <v>0</v>
      </c>
      <c r="U611">
        <f t="shared" si="153"/>
        <v>0</v>
      </c>
      <c r="V611">
        <f t="shared" si="154"/>
        <v>0</v>
      </c>
      <c r="W611">
        <f t="shared" si="155"/>
        <v>0</v>
      </c>
      <c r="X611">
        <f t="shared" si="156"/>
        <v>0</v>
      </c>
      <c r="Y611">
        <f t="shared" si="157"/>
        <v>0</v>
      </c>
      <c r="Z611">
        <f t="shared" si="158"/>
        <v>0</v>
      </c>
      <c r="AB611">
        <v>607</v>
      </c>
      <c r="AC611">
        <f t="shared" si="159"/>
        <v>20</v>
      </c>
      <c r="AD611">
        <f t="shared" si="149"/>
        <v>0</v>
      </c>
    </row>
    <row r="612" spans="4:30" x14ac:dyDescent="0.25">
      <c r="D612" s="31">
        <f>Simulation_output!A610</f>
        <v>6085000</v>
      </c>
      <c r="E612">
        <f>Sheet2!R609</f>
        <v>0</v>
      </c>
      <c r="F612">
        <f>Sheet2!S609</f>
        <v>0</v>
      </c>
      <c r="G612">
        <f>Sheet2!T609</f>
        <v>0</v>
      </c>
      <c r="H612" s="31">
        <f>Simulation_output!E610</f>
        <v>1</v>
      </c>
      <c r="I612" s="31">
        <f>Simulation_output!F610</f>
        <v>251</v>
      </c>
      <c r="J612" s="31">
        <f>Simulation_output!G610</f>
        <v>1</v>
      </c>
      <c r="K612" s="31">
        <f>Simulation_output!H610</f>
        <v>0</v>
      </c>
      <c r="L612">
        <v>1</v>
      </c>
      <c r="M612">
        <f t="shared" si="163"/>
        <v>0</v>
      </c>
      <c r="N612">
        <f t="shared" si="162"/>
        <v>0</v>
      </c>
      <c r="O612">
        <f t="shared" si="161"/>
        <v>0</v>
      </c>
      <c r="P612">
        <f t="shared" si="164"/>
        <v>0</v>
      </c>
      <c r="Q612">
        <f t="shared" si="160"/>
        <v>0</v>
      </c>
      <c r="R612">
        <f t="shared" si="150"/>
        <v>0</v>
      </c>
      <c r="S612">
        <f t="shared" si="151"/>
        <v>0</v>
      </c>
      <c r="T612">
        <f t="shared" si="152"/>
        <v>0</v>
      </c>
      <c r="U612">
        <f t="shared" si="153"/>
        <v>0</v>
      </c>
      <c r="V612">
        <f t="shared" si="154"/>
        <v>0</v>
      </c>
      <c r="W612">
        <f t="shared" si="155"/>
        <v>0</v>
      </c>
      <c r="X612">
        <f t="shared" si="156"/>
        <v>0</v>
      </c>
      <c r="Y612">
        <f t="shared" si="157"/>
        <v>0</v>
      </c>
      <c r="Z612">
        <f t="shared" si="158"/>
        <v>0</v>
      </c>
      <c r="AB612">
        <v>608</v>
      </c>
      <c r="AC612">
        <f t="shared" si="159"/>
        <v>20</v>
      </c>
      <c r="AD612">
        <f t="shared" si="149"/>
        <v>0</v>
      </c>
    </row>
    <row r="613" spans="4:30" x14ac:dyDescent="0.25">
      <c r="D613" s="31">
        <f>Simulation_output!A611</f>
        <v>6095000</v>
      </c>
      <c r="E613">
        <f>Sheet2!R610</f>
        <v>0</v>
      </c>
      <c r="F613">
        <f>Sheet2!S610</f>
        <v>0</v>
      </c>
      <c r="G613">
        <f>Sheet2!T610</f>
        <v>0</v>
      </c>
      <c r="H613" s="31">
        <f>Simulation_output!E611</f>
        <v>1</v>
      </c>
      <c r="I613" s="31">
        <f>Simulation_output!F611</f>
        <v>333</v>
      </c>
      <c r="J613" s="31">
        <f>Simulation_output!G611</f>
        <v>1</v>
      </c>
      <c r="K613" s="31">
        <f>Simulation_output!H611</f>
        <v>0</v>
      </c>
      <c r="L613">
        <v>1</v>
      </c>
      <c r="M613">
        <f t="shared" si="163"/>
        <v>0</v>
      </c>
      <c r="N613">
        <f t="shared" si="162"/>
        <v>0</v>
      </c>
      <c r="O613">
        <f t="shared" si="161"/>
        <v>0</v>
      </c>
      <c r="P613">
        <f t="shared" si="164"/>
        <v>0</v>
      </c>
      <c r="Q613">
        <f t="shared" si="160"/>
        <v>0</v>
      </c>
      <c r="R613">
        <f t="shared" si="150"/>
        <v>0</v>
      </c>
      <c r="S613">
        <f t="shared" si="151"/>
        <v>0</v>
      </c>
      <c r="T613">
        <f t="shared" si="152"/>
        <v>0</v>
      </c>
      <c r="U613">
        <f t="shared" si="153"/>
        <v>0</v>
      </c>
      <c r="V613">
        <f t="shared" si="154"/>
        <v>0</v>
      </c>
      <c r="W613">
        <f t="shared" si="155"/>
        <v>0</v>
      </c>
      <c r="X613">
        <f t="shared" si="156"/>
        <v>0</v>
      </c>
      <c r="Y613">
        <f t="shared" si="157"/>
        <v>0</v>
      </c>
      <c r="Z613">
        <f t="shared" si="158"/>
        <v>0</v>
      </c>
      <c r="AB613">
        <v>609</v>
      </c>
      <c r="AC613">
        <f t="shared" si="159"/>
        <v>20</v>
      </c>
      <c r="AD613">
        <f t="shared" si="149"/>
        <v>0</v>
      </c>
    </row>
    <row r="614" spans="4:30" x14ac:dyDescent="0.25">
      <c r="D614" s="31">
        <f>Simulation_output!A612</f>
        <v>6105000</v>
      </c>
      <c r="E614">
        <f>Sheet2!R611</f>
        <v>0</v>
      </c>
      <c r="F614">
        <f>Sheet2!S611</f>
        <v>0</v>
      </c>
      <c r="G614">
        <f>Sheet2!T611</f>
        <v>0</v>
      </c>
      <c r="H614" s="31">
        <f>Simulation_output!E612</f>
        <v>1</v>
      </c>
      <c r="I614" s="31">
        <f>Simulation_output!F612</f>
        <v>25</v>
      </c>
      <c r="J614" s="31">
        <f>Simulation_output!G612</f>
        <v>1</v>
      </c>
      <c r="K614" s="31">
        <f>Simulation_output!H612</f>
        <v>0</v>
      </c>
      <c r="L614">
        <v>1</v>
      </c>
      <c r="M614">
        <f t="shared" si="163"/>
        <v>0</v>
      </c>
      <c r="N614">
        <f t="shared" si="162"/>
        <v>0</v>
      </c>
      <c r="O614">
        <f t="shared" si="161"/>
        <v>0</v>
      </c>
      <c r="P614">
        <f t="shared" si="164"/>
        <v>0</v>
      </c>
      <c r="Q614">
        <f t="shared" si="160"/>
        <v>0</v>
      </c>
      <c r="R614">
        <f t="shared" si="150"/>
        <v>0</v>
      </c>
      <c r="S614">
        <f t="shared" si="151"/>
        <v>0</v>
      </c>
      <c r="T614">
        <f t="shared" si="152"/>
        <v>0</v>
      </c>
      <c r="U614">
        <f t="shared" si="153"/>
        <v>0</v>
      </c>
      <c r="V614">
        <f t="shared" si="154"/>
        <v>0</v>
      </c>
      <c r="W614">
        <f t="shared" si="155"/>
        <v>0</v>
      </c>
      <c r="X614">
        <f t="shared" si="156"/>
        <v>0</v>
      </c>
      <c r="Y614">
        <f t="shared" si="157"/>
        <v>0</v>
      </c>
      <c r="Z614">
        <f t="shared" si="158"/>
        <v>0</v>
      </c>
      <c r="AB614">
        <v>610</v>
      </c>
      <c r="AC614">
        <f t="shared" si="159"/>
        <v>20</v>
      </c>
      <c r="AD614">
        <f t="shared" si="149"/>
        <v>0</v>
      </c>
    </row>
    <row r="615" spans="4:30" x14ac:dyDescent="0.25">
      <c r="D615" s="31">
        <f>Simulation_output!A613</f>
        <v>6115000</v>
      </c>
      <c r="E615">
        <f>Sheet2!R612</f>
        <v>0</v>
      </c>
      <c r="F615">
        <f>Sheet2!S612</f>
        <v>0</v>
      </c>
      <c r="G615">
        <f>Sheet2!T612</f>
        <v>0</v>
      </c>
      <c r="H615" s="31">
        <f>Simulation_output!E613</f>
        <v>1</v>
      </c>
      <c r="I615" s="31">
        <f>Simulation_output!F613</f>
        <v>5</v>
      </c>
      <c r="J615" s="31">
        <f>Simulation_output!G613</f>
        <v>1</v>
      </c>
      <c r="K615" s="31">
        <f>Simulation_output!H613</f>
        <v>0</v>
      </c>
      <c r="L615">
        <v>1</v>
      </c>
      <c r="M615">
        <f t="shared" si="163"/>
        <v>0</v>
      </c>
      <c r="N615">
        <f t="shared" si="162"/>
        <v>0</v>
      </c>
      <c r="O615">
        <f t="shared" si="161"/>
        <v>0</v>
      </c>
      <c r="P615">
        <f t="shared" si="164"/>
        <v>0</v>
      </c>
      <c r="Q615">
        <f t="shared" si="160"/>
        <v>0</v>
      </c>
      <c r="R615">
        <f t="shared" si="150"/>
        <v>0</v>
      </c>
      <c r="S615">
        <f t="shared" si="151"/>
        <v>0</v>
      </c>
      <c r="T615">
        <f t="shared" si="152"/>
        <v>0</v>
      </c>
      <c r="U615">
        <f t="shared" si="153"/>
        <v>0</v>
      </c>
      <c r="V615">
        <f t="shared" si="154"/>
        <v>0</v>
      </c>
      <c r="W615">
        <f t="shared" si="155"/>
        <v>0</v>
      </c>
      <c r="X615">
        <f t="shared" si="156"/>
        <v>0</v>
      </c>
      <c r="Y615">
        <f t="shared" si="157"/>
        <v>0</v>
      </c>
      <c r="Z615">
        <f t="shared" si="158"/>
        <v>0</v>
      </c>
      <c r="AB615">
        <v>611</v>
      </c>
      <c r="AC615">
        <f t="shared" si="159"/>
        <v>20</v>
      </c>
      <c r="AD615">
        <f t="shared" si="149"/>
        <v>0</v>
      </c>
    </row>
    <row r="616" spans="4:30" x14ac:dyDescent="0.25">
      <c r="D616" s="31">
        <f>Simulation_output!A614</f>
        <v>6125000</v>
      </c>
      <c r="E616">
        <f>Sheet2!R613</f>
        <v>0</v>
      </c>
      <c r="F616">
        <f>Sheet2!S613</f>
        <v>0</v>
      </c>
      <c r="G616">
        <f>Sheet2!T613</f>
        <v>0</v>
      </c>
      <c r="H616" s="31">
        <f>Simulation_output!E614</f>
        <v>1</v>
      </c>
      <c r="I616" s="31">
        <f>Simulation_output!F614</f>
        <v>30</v>
      </c>
      <c r="J616" s="31">
        <f>Simulation_output!G614</f>
        <v>1</v>
      </c>
      <c r="K616" s="31">
        <f>Simulation_output!H614</f>
        <v>0</v>
      </c>
      <c r="L616">
        <v>1</v>
      </c>
      <c r="M616">
        <f t="shared" si="163"/>
        <v>0</v>
      </c>
      <c r="N616">
        <f t="shared" si="162"/>
        <v>0</v>
      </c>
      <c r="O616">
        <f t="shared" si="161"/>
        <v>0</v>
      </c>
      <c r="P616">
        <f t="shared" si="164"/>
        <v>0</v>
      </c>
      <c r="Q616">
        <f t="shared" si="160"/>
        <v>0</v>
      </c>
      <c r="R616">
        <f t="shared" si="150"/>
        <v>0</v>
      </c>
      <c r="S616">
        <f t="shared" si="151"/>
        <v>0</v>
      </c>
      <c r="T616">
        <f t="shared" si="152"/>
        <v>0</v>
      </c>
      <c r="U616">
        <f t="shared" si="153"/>
        <v>0</v>
      </c>
      <c r="V616">
        <f t="shared" si="154"/>
        <v>0</v>
      </c>
      <c r="W616">
        <f t="shared" si="155"/>
        <v>0</v>
      </c>
      <c r="X616">
        <f t="shared" si="156"/>
        <v>0</v>
      </c>
      <c r="Y616">
        <f t="shared" si="157"/>
        <v>0</v>
      </c>
      <c r="Z616">
        <f t="shared" si="158"/>
        <v>0</v>
      </c>
      <c r="AB616">
        <v>612</v>
      </c>
      <c r="AC616">
        <f t="shared" si="159"/>
        <v>20</v>
      </c>
      <c r="AD616">
        <f t="shared" si="149"/>
        <v>0</v>
      </c>
    </row>
    <row r="617" spans="4:30" x14ac:dyDescent="0.25">
      <c r="D617" s="31">
        <f>Simulation_output!A615</f>
        <v>6135000</v>
      </c>
      <c r="E617">
        <f>Sheet2!R614</f>
        <v>0</v>
      </c>
      <c r="F617">
        <f>Sheet2!S614</f>
        <v>0</v>
      </c>
      <c r="G617">
        <f>Sheet2!T614</f>
        <v>0</v>
      </c>
      <c r="H617" s="31">
        <f>Simulation_output!E615</f>
        <v>1</v>
      </c>
      <c r="I617" s="31">
        <f>Simulation_output!F615</f>
        <v>130</v>
      </c>
      <c r="J617" s="31">
        <f>Simulation_output!G615</f>
        <v>1</v>
      </c>
      <c r="K617" s="31">
        <f>Simulation_output!H615</f>
        <v>0</v>
      </c>
      <c r="L617">
        <v>1</v>
      </c>
      <c r="M617">
        <f t="shared" si="163"/>
        <v>0</v>
      </c>
      <c r="N617">
        <f t="shared" si="162"/>
        <v>0</v>
      </c>
      <c r="O617">
        <f t="shared" si="161"/>
        <v>0</v>
      </c>
      <c r="P617">
        <f t="shared" si="164"/>
        <v>0</v>
      </c>
      <c r="Q617">
        <f t="shared" si="160"/>
        <v>0</v>
      </c>
      <c r="R617">
        <f t="shared" si="150"/>
        <v>0</v>
      </c>
      <c r="S617">
        <f t="shared" si="151"/>
        <v>0</v>
      </c>
      <c r="T617">
        <f t="shared" si="152"/>
        <v>0</v>
      </c>
      <c r="U617">
        <f t="shared" si="153"/>
        <v>0</v>
      </c>
      <c r="V617">
        <f t="shared" si="154"/>
        <v>0</v>
      </c>
      <c r="W617">
        <f t="shared" si="155"/>
        <v>0</v>
      </c>
      <c r="X617">
        <f t="shared" si="156"/>
        <v>0</v>
      </c>
      <c r="Y617">
        <f t="shared" si="157"/>
        <v>0</v>
      </c>
      <c r="Z617">
        <f t="shared" si="158"/>
        <v>0</v>
      </c>
      <c r="AB617">
        <v>613</v>
      </c>
      <c r="AC617">
        <f t="shared" si="159"/>
        <v>20</v>
      </c>
      <c r="AD617">
        <f t="shared" si="149"/>
        <v>0</v>
      </c>
    </row>
    <row r="618" spans="4:30" x14ac:dyDescent="0.25">
      <c r="D618" s="31">
        <f>Simulation_output!A616</f>
        <v>6145000</v>
      </c>
      <c r="E618">
        <f>Sheet2!R615</f>
        <v>0</v>
      </c>
      <c r="F618">
        <f>Sheet2!S615</f>
        <v>0</v>
      </c>
      <c r="G618">
        <f>Sheet2!T615</f>
        <v>0</v>
      </c>
      <c r="H618" s="31">
        <f>Simulation_output!E616</f>
        <v>1</v>
      </c>
      <c r="I618" s="31">
        <f>Simulation_output!F616</f>
        <v>1030</v>
      </c>
      <c r="J618" s="31">
        <f>Simulation_output!G616</f>
        <v>1</v>
      </c>
      <c r="K618" s="31">
        <f>Simulation_output!H616</f>
        <v>0</v>
      </c>
      <c r="L618">
        <v>1</v>
      </c>
      <c r="M618">
        <f t="shared" si="163"/>
        <v>0</v>
      </c>
      <c r="N618">
        <f t="shared" si="162"/>
        <v>0</v>
      </c>
      <c r="O618">
        <f t="shared" si="161"/>
        <v>0</v>
      </c>
      <c r="P618">
        <f t="shared" si="164"/>
        <v>0</v>
      </c>
      <c r="Q618">
        <f t="shared" si="160"/>
        <v>0</v>
      </c>
      <c r="R618">
        <f t="shared" si="150"/>
        <v>0</v>
      </c>
      <c r="S618">
        <f t="shared" si="151"/>
        <v>0</v>
      </c>
      <c r="T618">
        <f t="shared" si="152"/>
        <v>0</v>
      </c>
      <c r="U618">
        <f t="shared" si="153"/>
        <v>0</v>
      </c>
      <c r="V618">
        <f t="shared" si="154"/>
        <v>0</v>
      </c>
      <c r="W618">
        <f t="shared" si="155"/>
        <v>0</v>
      </c>
      <c r="X618">
        <f t="shared" si="156"/>
        <v>0</v>
      </c>
      <c r="Y618">
        <f t="shared" si="157"/>
        <v>0</v>
      </c>
      <c r="Z618">
        <f t="shared" si="158"/>
        <v>0</v>
      </c>
      <c r="AB618">
        <v>614</v>
      </c>
      <c r="AC618">
        <f t="shared" si="159"/>
        <v>20</v>
      </c>
      <c r="AD618">
        <f t="shared" si="149"/>
        <v>0</v>
      </c>
    </row>
    <row r="619" spans="4:30" x14ac:dyDescent="0.25">
      <c r="D619" s="31">
        <f>Simulation_output!A617</f>
        <v>6155000</v>
      </c>
      <c r="E619">
        <f>Sheet2!R616</f>
        <v>0</v>
      </c>
      <c r="F619">
        <f>Sheet2!S616</f>
        <v>0</v>
      </c>
      <c r="G619">
        <f>Sheet2!T616</f>
        <v>0</v>
      </c>
      <c r="H619" s="31">
        <f>Simulation_output!E617</f>
        <v>1</v>
      </c>
      <c r="I619" s="31">
        <f>Simulation_output!F617</f>
        <v>10030</v>
      </c>
      <c r="J619" s="31">
        <f>Simulation_output!G617</f>
        <v>1</v>
      </c>
      <c r="K619" s="31">
        <f>Simulation_output!H617</f>
        <v>0</v>
      </c>
      <c r="L619">
        <v>1</v>
      </c>
      <c r="M619">
        <f t="shared" si="163"/>
        <v>0</v>
      </c>
      <c r="N619">
        <f t="shared" si="162"/>
        <v>0</v>
      </c>
      <c r="O619">
        <f t="shared" si="161"/>
        <v>0</v>
      </c>
      <c r="P619">
        <f t="shared" si="164"/>
        <v>0</v>
      </c>
      <c r="Q619">
        <f t="shared" si="160"/>
        <v>0</v>
      </c>
      <c r="R619">
        <f t="shared" si="150"/>
        <v>0</v>
      </c>
      <c r="S619">
        <f t="shared" si="151"/>
        <v>0</v>
      </c>
      <c r="T619">
        <f t="shared" si="152"/>
        <v>0</v>
      </c>
      <c r="U619">
        <f t="shared" si="153"/>
        <v>0</v>
      </c>
      <c r="V619">
        <f t="shared" si="154"/>
        <v>0</v>
      </c>
      <c r="W619">
        <f t="shared" si="155"/>
        <v>0</v>
      </c>
      <c r="X619">
        <f t="shared" si="156"/>
        <v>0</v>
      </c>
      <c r="Y619">
        <f t="shared" si="157"/>
        <v>0</v>
      </c>
      <c r="Z619">
        <f t="shared" si="158"/>
        <v>0</v>
      </c>
      <c r="AB619">
        <v>615</v>
      </c>
      <c r="AC619">
        <f t="shared" si="159"/>
        <v>20</v>
      </c>
      <c r="AD619">
        <f t="shared" si="149"/>
        <v>0</v>
      </c>
    </row>
    <row r="620" spans="4:30" x14ac:dyDescent="0.25">
      <c r="D620" s="31">
        <f>Simulation_output!A618</f>
        <v>6165000</v>
      </c>
      <c r="E620">
        <f>Sheet2!R617</f>
        <v>0</v>
      </c>
      <c r="F620">
        <f>Sheet2!S617</f>
        <v>0</v>
      </c>
      <c r="G620">
        <f>Sheet2!T617</f>
        <v>0</v>
      </c>
      <c r="H620" s="31">
        <f>Simulation_output!E618</f>
        <v>1</v>
      </c>
      <c r="I620" s="31">
        <f>Simulation_output!F618</f>
        <v>1158</v>
      </c>
      <c r="J620" s="31">
        <f>Simulation_output!G618</f>
        <v>1</v>
      </c>
      <c r="K620" s="31">
        <f>Simulation_output!H618</f>
        <v>0</v>
      </c>
      <c r="L620">
        <v>1</v>
      </c>
      <c r="M620">
        <f t="shared" si="163"/>
        <v>0</v>
      </c>
      <c r="N620">
        <f t="shared" si="162"/>
        <v>0</v>
      </c>
      <c r="O620">
        <f t="shared" si="161"/>
        <v>0</v>
      </c>
      <c r="P620">
        <f t="shared" si="164"/>
        <v>0</v>
      </c>
      <c r="Q620">
        <f t="shared" si="160"/>
        <v>0</v>
      </c>
      <c r="R620">
        <f t="shared" si="150"/>
        <v>0</v>
      </c>
      <c r="S620">
        <f t="shared" si="151"/>
        <v>0</v>
      </c>
      <c r="T620">
        <f t="shared" si="152"/>
        <v>0</v>
      </c>
      <c r="U620">
        <f t="shared" si="153"/>
        <v>0</v>
      </c>
      <c r="V620">
        <f t="shared" si="154"/>
        <v>0</v>
      </c>
      <c r="W620">
        <f t="shared" si="155"/>
        <v>0</v>
      </c>
      <c r="X620">
        <f t="shared" si="156"/>
        <v>0</v>
      </c>
      <c r="Y620">
        <f t="shared" si="157"/>
        <v>0</v>
      </c>
      <c r="Z620">
        <f t="shared" si="158"/>
        <v>0</v>
      </c>
      <c r="AB620">
        <v>616</v>
      </c>
      <c r="AC620">
        <f t="shared" si="159"/>
        <v>20</v>
      </c>
      <c r="AD620">
        <f t="shared" si="149"/>
        <v>0</v>
      </c>
    </row>
    <row r="621" spans="4:30" x14ac:dyDescent="0.25">
      <c r="D621" s="31">
        <f>Simulation_output!A619</f>
        <v>6175000</v>
      </c>
      <c r="E621">
        <f>Sheet2!R618</f>
        <v>0</v>
      </c>
      <c r="F621">
        <f>Sheet2!S618</f>
        <v>0</v>
      </c>
      <c r="G621">
        <f>Sheet2!T618</f>
        <v>0</v>
      </c>
      <c r="H621" s="31">
        <f>Simulation_output!E619</f>
        <v>1</v>
      </c>
      <c r="I621" s="31">
        <f>Simulation_output!F619</f>
        <v>342</v>
      </c>
      <c r="J621" s="31">
        <f>Simulation_output!G619</f>
        <v>1</v>
      </c>
      <c r="K621" s="31">
        <f>Simulation_output!H619</f>
        <v>0</v>
      </c>
      <c r="L621">
        <v>1</v>
      </c>
      <c r="M621">
        <f t="shared" si="163"/>
        <v>0</v>
      </c>
      <c r="N621">
        <f t="shared" si="162"/>
        <v>0</v>
      </c>
      <c r="O621">
        <f t="shared" si="161"/>
        <v>0</v>
      </c>
      <c r="P621">
        <f t="shared" si="164"/>
        <v>0</v>
      </c>
      <c r="Q621">
        <f t="shared" si="160"/>
        <v>0</v>
      </c>
      <c r="R621">
        <f t="shared" si="150"/>
        <v>0</v>
      </c>
      <c r="S621">
        <f t="shared" si="151"/>
        <v>0</v>
      </c>
      <c r="T621">
        <f t="shared" si="152"/>
        <v>0</v>
      </c>
      <c r="U621">
        <f t="shared" si="153"/>
        <v>0</v>
      </c>
      <c r="V621">
        <f t="shared" si="154"/>
        <v>0</v>
      </c>
      <c r="W621">
        <f t="shared" si="155"/>
        <v>0</v>
      </c>
      <c r="X621">
        <f t="shared" si="156"/>
        <v>0</v>
      </c>
      <c r="Y621">
        <f t="shared" si="157"/>
        <v>0</v>
      </c>
      <c r="Z621">
        <f t="shared" si="158"/>
        <v>0</v>
      </c>
      <c r="AB621">
        <v>617</v>
      </c>
      <c r="AC621">
        <f t="shared" si="159"/>
        <v>20</v>
      </c>
      <c r="AD621">
        <f t="shared" si="149"/>
        <v>0</v>
      </c>
    </row>
    <row r="622" spans="4:30" x14ac:dyDescent="0.25">
      <c r="D622" s="31">
        <f>Simulation_output!A620</f>
        <v>6185000</v>
      </c>
      <c r="E622">
        <f>Sheet2!R619</f>
        <v>0</v>
      </c>
      <c r="F622">
        <f>Sheet2!S619</f>
        <v>0</v>
      </c>
      <c r="G622">
        <f>Sheet2!T619</f>
        <v>0</v>
      </c>
      <c r="H622" s="31">
        <f>Simulation_output!E620</f>
        <v>1</v>
      </c>
      <c r="I622" s="31">
        <f>Simulation_output!F620</f>
        <v>0</v>
      </c>
      <c r="J622" s="31">
        <f>Simulation_output!G620</f>
        <v>1</v>
      </c>
      <c r="K622" s="31">
        <f>Simulation_output!H620</f>
        <v>0</v>
      </c>
      <c r="L622">
        <v>1</v>
      </c>
      <c r="M622">
        <f t="shared" si="163"/>
        <v>0</v>
      </c>
      <c r="N622">
        <f t="shared" si="162"/>
        <v>0</v>
      </c>
      <c r="O622">
        <f t="shared" si="161"/>
        <v>0</v>
      </c>
      <c r="P622">
        <f t="shared" si="164"/>
        <v>0</v>
      </c>
      <c r="Q622">
        <f t="shared" si="160"/>
        <v>0</v>
      </c>
      <c r="R622">
        <f t="shared" si="150"/>
        <v>0</v>
      </c>
      <c r="S622">
        <f t="shared" si="151"/>
        <v>0</v>
      </c>
      <c r="T622">
        <f t="shared" si="152"/>
        <v>0</v>
      </c>
      <c r="U622">
        <f t="shared" si="153"/>
        <v>0</v>
      </c>
      <c r="V622">
        <f t="shared" si="154"/>
        <v>0</v>
      </c>
      <c r="W622">
        <f t="shared" si="155"/>
        <v>0</v>
      </c>
      <c r="X622">
        <f t="shared" si="156"/>
        <v>0</v>
      </c>
      <c r="Y622">
        <f t="shared" si="157"/>
        <v>0</v>
      </c>
      <c r="Z622">
        <f t="shared" si="158"/>
        <v>0</v>
      </c>
      <c r="AB622">
        <v>618</v>
      </c>
      <c r="AC622">
        <f t="shared" si="159"/>
        <v>20</v>
      </c>
      <c r="AD622">
        <f t="shared" si="149"/>
        <v>0</v>
      </c>
    </row>
    <row r="623" spans="4:30" x14ac:dyDescent="0.25">
      <c r="D623" s="31">
        <f>Simulation_output!A621</f>
        <v>6195000</v>
      </c>
      <c r="E623">
        <f>Sheet2!R620</f>
        <v>0</v>
      </c>
      <c r="F623">
        <f>Sheet2!S620</f>
        <v>0</v>
      </c>
      <c r="G623">
        <f>Sheet2!T620</f>
        <v>0</v>
      </c>
      <c r="H623" s="31">
        <f>Simulation_output!E621</f>
        <v>1</v>
      </c>
      <c r="I623" s="31">
        <f>Simulation_output!F621</f>
        <v>268435454</v>
      </c>
      <c r="J623" s="31">
        <f>Simulation_output!G621</f>
        <v>1</v>
      </c>
      <c r="K623" s="31">
        <f>Simulation_output!H621</f>
        <v>1</v>
      </c>
      <c r="L623">
        <v>1</v>
      </c>
      <c r="M623" t="str">
        <f t="shared" si="163"/>
        <v>FFFFFFF</v>
      </c>
      <c r="N623">
        <f t="shared" si="162"/>
        <v>21</v>
      </c>
      <c r="O623">
        <f t="shared" si="161"/>
        <v>251</v>
      </c>
      <c r="P623">
        <f t="shared" si="164"/>
        <v>333</v>
      </c>
      <c r="Q623">
        <f t="shared" si="160"/>
        <v>25</v>
      </c>
      <c r="R623">
        <f t="shared" si="150"/>
        <v>5</v>
      </c>
      <c r="S623">
        <f t="shared" si="151"/>
        <v>30</v>
      </c>
      <c r="T623">
        <f t="shared" si="152"/>
        <v>130</v>
      </c>
      <c r="U623">
        <f t="shared" si="153"/>
        <v>1030</v>
      </c>
      <c r="V623">
        <f t="shared" si="154"/>
        <v>10030</v>
      </c>
      <c r="W623">
        <f t="shared" si="155"/>
        <v>1158</v>
      </c>
      <c r="X623">
        <f t="shared" si="156"/>
        <v>342</v>
      </c>
      <c r="Y623">
        <f t="shared" si="157"/>
        <v>0</v>
      </c>
      <c r="Z623" t="str">
        <f t="shared" si="158"/>
        <v>FFFFFFE</v>
      </c>
      <c r="AB623">
        <v>619</v>
      </c>
      <c r="AC623">
        <f t="shared" si="159"/>
        <v>21</v>
      </c>
      <c r="AD623">
        <f t="shared" si="149"/>
        <v>21</v>
      </c>
    </row>
    <row r="624" spans="4:30" x14ac:dyDescent="0.25">
      <c r="D624" s="31">
        <f>Simulation_output!A622</f>
        <v>6205000</v>
      </c>
      <c r="E624">
        <f>Sheet2!R621</f>
        <v>0</v>
      </c>
      <c r="F624">
        <f>Sheet2!S621</f>
        <v>0</v>
      </c>
      <c r="G624">
        <f>Sheet2!T621</f>
        <v>0</v>
      </c>
      <c r="H624" s="31">
        <f>Simulation_output!E622</f>
        <v>1</v>
      </c>
      <c r="I624" s="31">
        <f>Simulation_output!F622</f>
        <v>268435455</v>
      </c>
      <c r="J624" s="31">
        <f>Simulation_output!G622</f>
        <v>1</v>
      </c>
      <c r="K624" s="31">
        <f>Simulation_output!H622</f>
        <v>0</v>
      </c>
      <c r="L624">
        <v>1</v>
      </c>
      <c r="M624">
        <f t="shared" si="163"/>
        <v>0</v>
      </c>
      <c r="N624">
        <f t="shared" si="162"/>
        <v>0</v>
      </c>
      <c r="O624">
        <f t="shared" si="161"/>
        <v>0</v>
      </c>
      <c r="P624">
        <f t="shared" si="164"/>
        <v>0</v>
      </c>
      <c r="Q624">
        <f t="shared" si="160"/>
        <v>0</v>
      </c>
      <c r="R624">
        <f t="shared" si="150"/>
        <v>0</v>
      </c>
      <c r="S624">
        <f t="shared" si="151"/>
        <v>0</v>
      </c>
      <c r="T624">
        <f t="shared" si="152"/>
        <v>0</v>
      </c>
      <c r="U624">
        <f t="shared" si="153"/>
        <v>0</v>
      </c>
      <c r="V624">
        <f t="shared" si="154"/>
        <v>0</v>
      </c>
      <c r="W624">
        <f t="shared" si="155"/>
        <v>0</v>
      </c>
      <c r="X624">
        <f t="shared" si="156"/>
        <v>0</v>
      </c>
      <c r="Y624">
        <f t="shared" si="157"/>
        <v>0</v>
      </c>
      <c r="Z624">
        <f t="shared" si="158"/>
        <v>0</v>
      </c>
      <c r="AB624">
        <v>620</v>
      </c>
      <c r="AC624">
        <f t="shared" si="159"/>
        <v>21</v>
      </c>
      <c r="AD624">
        <f t="shared" si="149"/>
        <v>0</v>
      </c>
    </row>
    <row r="625" spans="4:30" x14ac:dyDescent="0.25">
      <c r="D625" s="31">
        <f>Simulation_output!A623</f>
        <v>6215000</v>
      </c>
      <c r="E625">
        <f>Sheet2!R622</f>
        <v>0</v>
      </c>
      <c r="F625">
        <f>Sheet2!S622</f>
        <v>0</v>
      </c>
      <c r="G625">
        <f>Sheet2!T622</f>
        <v>0</v>
      </c>
      <c r="H625" s="31">
        <f>Simulation_output!E623</f>
        <v>1</v>
      </c>
      <c r="I625" s="31">
        <f>Simulation_output!F623</f>
        <v>22</v>
      </c>
      <c r="J625" s="31">
        <f>Simulation_output!G623</f>
        <v>1</v>
      </c>
      <c r="K625" s="31">
        <f>Simulation_output!H623</f>
        <v>0</v>
      </c>
      <c r="L625">
        <v>1</v>
      </c>
      <c r="M625">
        <f t="shared" si="163"/>
        <v>0</v>
      </c>
      <c r="N625">
        <f t="shared" si="162"/>
        <v>0</v>
      </c>
      <c r="O625">
        <f t="shared" si="161"/>
        <v>0</v>
      </c>
      <c r="P625">
        <f t="shared" si="164"/>
        <v>0</v>
      </c>
      <c r="Q625">
        <f t="shared" si="160"/>
        <v>0</v>
      </c>
      <c r="R625">
        <f t="shared" si="150"/>
        <v>0</v>
      </c>
      <c r="S625">
        <f t="shared" si="151"/>
        <v>0</v>
      </c>
      <c r="T625">
        <f t="shared" si="152"/>
        <v>0</v>
      </c>
      <c r="U625">
        <f t="shared" si="153"/>
        <v>0</v>
      </c>
      <c r="V625">
        <f t="shared" si="154"/>
        <v>0</v>
      </c>
      <c r="W625">
        <f t="shared" si="155"/>
        <v>0</v>
      </c>
      <c r="X625">
        <f t="shared" si="156"/>
        <v>0</v>
      </c>
      <c r="Y625">
        <f t="shared" si="157"/>
        <v>0</v>
      </c>
      <c r="Z625">
        <f t="shared" si="158"/>
        <v>0</v>
      </c>
      <c r="AB625">
        <v>621</v>
      </c>
      <c r="AC625">
        <f t="shared" si="159"/>
        <v>21</v>
      </c>
      <c r="AD625">
        <f t="shared" si="149"/>
        <v>0</v>
      </c>
    </row>
    <row r="626" spans="4:30" x14ac:dyDescent="0.25">
      <c r="D626" s="31">
        <f>Simulation_output!A624</f>
        <v>6225000</v>
      </c>
      <c r="E626">
        <f>Sheet2!R623</f>
        <v>0</v>
      </c>
      <c r="F626">
        <f>Sheet2!S623</f>
        <v>0</v>
      </c>
      <c r="G626">
        <f>Sheet2!T623</f>
        <v>0</v>
      </c>
      <c r="H626" s="31">
        <f>Simulation_output!E624</f>
        <v>1</v>
      </c>
      <c r="I626" s="31">
        <f>Simulation_output!F624</f>
        <v>263</v>
      </c>
      <c r="J626" s="31">
        <f>Simulation_output!G624</f>
        <v>1</v>
      </c>
      <c r="K626" s="31">
        <f>Simulation_output!H624</f>
        <v>0</v>
      </c>
      <c r="L626">
        <v>1</v>
      </c>
      <c r="M626">
        <f t="shared" si="163"/>
        <v>0</v>
      </c>
      <c r="N626">
        <f t="shared" si="162"/>
        <v>0</v>
      </c>
      <c r="O626">
        <f t="shared" si="161"/>
        <v>0</v>
      </c>
      <c r="P626">
        <f t="shared" si="164"/>
        <v>0</v>
      </c>
      <c r="Q626">
        <f t="shared" si="160"/>
        <v>0</v>
      </c>
      <c r="R626">
        <f t="shared" si="150"/>
        <v>0</v>
      </c>
      <c r="S626">
        <f t="shared" si="151"/>
        <v>0</v>
      </c>
      <c r="T626">
        <f t="shared" si="152"/>
        <v>0</v>
      </c>
      <c r="U626">
        <f t="shared" si="153"/>
        <v>0</v>
      </c>
      <c r="V626">
        <f t="shared" si="154"/>
        <v>0</v>
      </c>
      <c r="W626">
        <f t="shared" si="155"/>
        <v>0</v>
      </c>
      <c r="X626">
        <f t="shared" si="156"/>
        <v>0</v>
      </c>
      <c r="Y626">
        <f t="shared" si="157"/>
        <v>0</v>
      </c>
      <c r="Z626">
        <f t="shared" si="158"/>
        <v>0</v>
      </c>
      <c r="AB626">
        <v>622</v>
      </c>
      <c r="AC626">
        <f t="shared" si="159"/>
        <v>21</v>
      </c>
      <c r="AD626">
        <f t="shared" si="149"/>
        <v>0</v>
      </c>
    </row>
    <row r="627" spans="4:30" x14ac:dyDescent="0.25">
      <c r="D627" s="31">
        <f>Simulation_output!A625</f>
        <v>6235000</v>
      </c>
      <c r="E627">
        <f>Sheet2!R624</f>
        <v>0</v>
      </c>
      <c r="F627">
        <f>Sheet2!S624</f>
        <v>0</v>
      </c>
      <c r="G627">
        <f>Sheet2!T624</f>
        <v>0</v>
      </c>
      <c r="H627" s="31">
        <f>Simulation_output!E625</f>
        <v>1</v>
      </c>
      <c r="I627" s="31">
        <f>Simulation_output!F625</f>
        <v>334</v>
      </c>
      <c r="J627" s="31">
        <f>Simulation_output!G625</f>
        <v>1</v>
      </c>
      <c r="K627" s="31">
        <f>Simulation_output!H625</f>
        <v>0</v>
      </c>
      <c r="L627">
        <v>1</v>
      </c>
      <c r="M627">
        <f t="shared" si="163"/>
        <v>0</v>
      </c>
      <c r="N627">
        <f t="shared" si="162"/>
        <v>0</v>
      </c>
      <c r="O627">
        <f t="shared" si="161"/>
        <v>0</v>
      </c>
      <c r="P627">
        <f t="shared" si="164"/>
        <v>0</v>
      </c>
      <c r="Q627">
        <f t="shared" si="160"/>
        <v>0</v>
      </c>
      <c r="R627">
        <f t="shared" si="150"/>
        <v>0</v>
      </c>
      <c r="S627">
        <f t="shared" si="151"/>
        <v>0</v>
      </c>
      <c r="T627">
        <f t="shared" si="152"/>
        <v>0</v>
      </c>
      <c r="U627">
        <f t="shared" si="153"/>
        <v>0</v>
      </c>
      <c r="V627">
        <f t="shared" si="154"/>
        <v>0</v>
      </c>
      <c r="W627">
        <f t="shared" si="155"/>
        <v>0</v>
      </c>
      <c r="X627">
        <f t="shared" si="156"/>
        <v>0</v>
      </c>
      <c r="Y627">
        <f t="shared" si="157"/>
        <v>0</v>
      </c>
      <c r="Z627">
        <f t="shared" si="158"/>
        <v>0</v>
      </c>
      <c r="AB627">
        <v>623</v>
      </c>
      <c r="AC627">
        <f t="shared" si="159"/>
        <v>21</v>
      </c>
      <c r="AD627">
        <f t="shared" si="149"/>
        <v>0</v>
      </c>
    </row>
    <row r="628" spans="4:30" x14ac:dyDescent="0.25">
      <c r="D628" s="31">
        <f>Simulation_output!A626</f>
        <v>6245000</v>
      </c>
      <c r="E628">
        <f>Sheet2!R625</f>
        <v>0</v>
      </c>
      <c r="F628">
        <f>Sheet2!S625</f>
        <v>0</v>
      </c>
      <c r="G628">
        <f>Sheet2!T625</f>
        <v>0</v>
      </c>
      <c r="H628" s="31">
        <f>Simulation_output!E626</f>
        <v>1</v>
      </c>
      <c r="I628" s="31">
        <f>Simulation_output!F626</f>
        <v>25</v>
      </c>
      <c r="J628" s="31">
        <f>Simulation_output!G626</f>
        <v>1</v>
      </c>
      <c r="K628" s="31">
        <f>Simulation_output!H626</f>
        <v>0</v>
      </c>
      <c r="L628">
        <v>1</v>
      </c>
      <c r="M628">
        <f t="shared" si="163"/>
        <v>0</v>
      </c>
      <c r="N628">
        <f t="shared" si="162"/>
        <v>0</v>
      </c>
      <c r="O628">
        <f t="shared" si="161"/>
        <v>0</v>
      </c>
      <c r="P628">
        <f t="shared" si="164"/>
        <v>0</v>
      </c>
      <c r="Q628">
        <f t="shared" si="160"/>
        <v>0</v>
      </c>
      <c r="R628">
        <f t="shared" si="150"/>
        <v>0</v>
      </c>
      <c r="S628">
        <f t="shared" si="151"/>
        <v>0</v>
      </c>
      <c r="T628">
        <f t="shared" si="152"/>
        <v>0</v>
      </c>
      <c r="U628">
        <f t="shared" si="153"/>
        <v>0</v>
      </c>
      <c r="V628">
        <f t="shared" si="154"/>
        <v>0</v>
      </c>
      <c r="W628">
        <f t="shared" si="155"/>
        <v>0</v>
      </c>
      <c r="X628">
        <f t="shared" si="156"/>
        <v>0</v>
      </c>
      <c r="Y628">
        <f t="shared" si="157"/>
        <v>0</v>
      </c>
      <c r="Z628">
        <f t="shared" si="158"/>
        <v>0</v>
      </c>
      <c r="AB628">
        <v>624</v>
      </c>
      <c r="AC628">
        <f t="shared" si="159"/>
        <v>21</v>
      </c>
      <c r="AD628">
        <f t="shared" si="149"/>
        <v>0</v>
      </c>
    </row>
    <row r="629" spans="4:30" x14ac:dyDescent="0.25">
      <c r="D629" s="31">
        <f>Simulation_output!A627</f>
        <v>6255000</v>
      </c>
      <c r="E629">
        <f>Sheet2!R626</f>
        <v>0</v>
      </c>
      <c r="F629">
        <f>Sheet2!S626</f>
        <v>0</v>
      </c>
      <c r="G629">
        <f>Sheet2!T626</f>
        <v>0</v>
      </c>
      <c r="H629" s="31">
        <f>Simulation_output!E627</f>
        <v>1</v>
      </c>
      <c r="I629" s="31">
        <f>Simulation_output!F627</f>
        <v>5</v>
      </c>
      <c r="J629" s="31">
        <f>Simulation_output!G627</f>
        <v>1</v>
      </c>
      <c r="K629" s="31">
        <f>Simulation_output!H627</f>
        <v>0</v>
      </c>
      <c r="L629">
        <v>1</v>
      </c>
      <c r="M629">
        <f t="shared" si="163"/>
        <v>0</v>
      </c>
      <c r="N629">
        <f t="shared" si="162"/>
        <v>0</v>
      </c>
      <c r="O629">
        <f t="shared" si="161"/>
        <v>0</v>
      </c>
      <c r="P629">
        <f t="shared" si="164"/>
        <v>0</v>
      </c>
      <c r="Q629">
        <f t="shared" si="160"/>
        <v>0</v>
      </c>
      <c r="R629">
        <f t="shared" si="150"/>
        <v>0</v>
      </c>
      <c r="S629">
        <f t="shared" si="151"/>
        <v>0</v>
      </c>
      <c r="T629">
        <f t="shared" si="152"/>
        <v>0</v>
      </c>
      <c r="U629">
        <f t="shared" si="153"/>
        <v>0</v>
      </c>
      <c r="V629">
        <f t="shared" si="154"/>
        <v>0</v>
      </c>
      <c r="W629">
        <f t="shared" si="155"/>
        <v>0</v>
      </c>
      <c r="X629">
        <f t="shared" si="156"/>
        <v>0</v>
      </c>
      <c r="Y629">
        <f t="shared" si="157"/>
        <v>0</v>
      </c>
      <c r="Z629">
        <f t="shared" si="158"/>
        <v>0</v>
      </c>
      <c r="AB629">
        <v>625</v>
      </c>
      <c r="AC629">
        <f t="shared" si="159"/>
        <v>21</v>
      </c>
      <c r="AD629">
        <f t="shared" si="149"/>
        <v>0</v>
      </c>
    </row>
    <row r="630" spans="4:30" x14ac:dyDescent="0.25">
      <c r="D630" s="31">
        <f>Simulation_output!A628</f>
        <v>6265000</v>
      </c>
      <c r="E630">
        <f>Sheet2!R627</f>
        <v>0</v>
      </c>
      <c r="F630">
        <f>Sheet2!S627</f>
        <v>0</v>
      </c>
      <c r="G630">
        <f>Sheet2!T627</f>
        <v>0</v>
      </c>
      <c r="H630" s="31">
        <f>Simulation_output!E628</f>
        <v>1</v>
      </c>
      <c r="I630" s="31">
        <f>Simulation_output!F628</f>
        <v>31</v>
      </c>
      <c r="J630" s="31">
        <f>Simulation_output!G628</f>
        <v>1</v>
      </c>
      <c r="K630" s="31">
        <f>Simulation_output!H628</f>
        <v>0</v>
      </c>
      <c r="L630">
        <v>1</v>
      </c>
      <c r="M630">
        <f t="shared" si="163"/>
        <v>0</v>
      </c>
      <c r="N630">
        <f t="shared" si="162"/>
        <v>0</v>
      </c>
      <c r="O630">
        <f t="shared" si="161"/>
        <v>0</v>
      </c>
      <c r="P630">
        <f t="shared" si="164"/>
        <v>0</v>
      </c>
      <c r="Q630">
        <f t="shared" si="160"/>
        <v>0</v>
      </c>
      <c r="R630">
        <f t="shared" si="150"/>
        <v>0</v>
      </c>
      <c r="S630">
        <f t="shared" si="151"/>
        <v>0</v>
      </c>
      <c r="T630">
        <f t="shared" si="152"/>
        <v>0</v>
      </c>
      <c r="U630">
        <f t="shared" si="153"/>
        <v>0</v>
      </c>
      <c r="V630">
        <f t="shared" si="154"/>
        <v>0</v>
      </c>
      <c r="W630">
        <f t="shared" si="155"/>
        <v>0</v>
      </c>
      <c r="X630">
        <f t="shared" si="156"/>
        <v>0</v>
      </c>
      <c r="Y630">
        <f t="shared" si="157"/>
        <v>0</v>
      </c>
      <c r="Z630">
        <f t="shared" si="158"/>
        <v>0</v>
      </c>
      <c r="AB630">
        <v>626</v>
      </c>
      <c r="AC630">
        <f t="shared" si="159"/>
        <v>21</v>
      </c>
      <c r="AD630">
        <f t="shared" si="149"/>
        <v>0</v>
      </c>
    </row>
    <row r="631" spans="4:30" x14ac:dyDescent="0.25">
      <c r="D631" s="31">
        <f>Simulation_output!A629</f>
        <v>6275000</v>
      </c>
      <c r="E631">
        <f>Sheet2!R628</f>
        <v>0</v>
      </c>
      <c r="F631">
        <f>Sheet2!S628</f>
        <v>0</v>
      </c>
      <c r="G631">
        <f>Sheet2!T628</f>
        <v>0</v>
      </c>
      <c r="H631" s="31">
        <f>Simulation_output!E629</f>
        <v>1</v>
      </c>
      <c r="I631" s="31">
        <f>Simulation_output!F629</f>
        <v>131</v>
      </c>
      <c r="J631" s="31">
        <f>Simulation_output!G629</f>
        <v>1</v>
      </c>
      <c r="K631" s="31">
        <f>Simulation_output!H629</f>
        <v>0</v>
      </c>
      <c r="L631">
        <v>1</v>
      </c>
      <c r="M631">
        <f t="shared" si="163"/>
        <v>0</v>
      </c>
      <c r="N631">
        <f t="shared" si="162"/>
        <v>0</v>
      </c>
      <c r="O631">
        <f t="shared" si="161"/>
        <v>0</v>
      </c>
      <c r="P631">
        <f t="shared" si="164"/>
        <v>0</v>
      </c>
      <c r="Q631">
        <f t="shared" si="160"/>
        <v>0</v>
      </c>
      <c r="R631">
        <f t="shared" si="150"/>
        <v>0</v>
      </c>
      <c r="S631">
        <f t="shared" si="151"/>
        <v>0</v>
      </c>
      <c r="T631">
        <f t="shared" si="152"/>
        <v>0</v>
      </c>
      <c r="U631">
        <f t="shared" si="153"/>
        <v>0</v>
      </c>
      <c r="V631">
        <f t="shared" si="154"/>
        <v>0</v>
      </c>
      <c r="W631">
        <f t="shared" si="155"/>
        <v>0</v>
      </c>
      <c r="X631">
        <f t="shared" si="156"/>
        <v>0</v>
      </c>
      <c r="Y631">
        <f t="shared" si="157"/>
        <v>0</v>
      </c>
      <c r="Z631">
        <f t="shared" si="158"/>
        <v>0</v>
      </c>
      <c r="AB631">
        <v>627</v>
      </c>
      <c r="AC631">
        <f t="shared" si="159"/>
        <v>21</v>
      </c>
      <c r="AD631">
        <f t="shared" si="149"/>
        <v>0</v>
      </c>
    </row>
    <row r="632" spans="4:30" x14ac:dyDescent="0.25">
      <c r="D632" s="31">
        <f>Simulation_output!A630</f>
        <v>6285000</v>
      </c>
      <c r="E632">
        <f>Sheet2!R629</f>
        <v>0</v>
      </c>
      <c r="F632">
        <f>Sheet2!S629</f>
        <v>0</v>
      </c>
      <c r="G632">
        <f>Sheet2!T629</f>
        <v>0</v>
      </c>
      <c r="H632" s="31">
        <f>Simulation_output!E630</f>
        <v>1</v>
      </c>
      <c r="I632" s="31">
        <f>Simulation_output!F630</f>
        <v>1031</v>
      </c>
      <c r="J632" s="31">
        <f>Simulation_output!G630</f>
        <v>1</v>
      </c>
      <c r="K632" s="31">
        <f>Simulation_output!H630</f>
        <v>0</v>
      </c>
      <c r="L632">
        <v>1</v>
      </c>
      <c r="M632">
        <f t="shared" si="163"/>
        <v>0</v>
      </c>
      <c r="N632">
        <f t="shared" si="162"/>
        <v>0</v>
      </c>
      <c r="O632">
        <f t="shared" si="161"/>
        <v>0</v>
      </c>
      <c r="P632">
        <f t="shared" si="164"/>
        <v>0</v>
      </c>
      <c r="Q632">
        <f t="shared" si="160"/>
        <v>0</v>
      </c>
      <c r="R632">
        <f t="shared" si="150"/>
        <v>0</v>
      </c>
      <c r="S632">
        <f t="shared" si="151"/>
        <v>0</v>
      </c>
      <c r="T632">
        <f t="shared" si="152"/>
        <v>0</v>
      </c>
      <c r="U632">
        <f t="shared" si="153"/>
        <v>0</v>
      </c>
      <c r="V632">
        <f t="shared" si="154"/>
        <v>0</v>
      </c>
      <c r="W632">
        <f t="shared" si="155"/>
        <v>0</v>
      </c>
      <c r="X632">
        <f t="shared" si="156"/>
        <v>0</v>
      </c>
      <c r="Y632">
        <f t="shared" si="157"/>
        <v>0</v>
      </c>
      <c r="Z632">
        <f t="shared" si="158"/>
        <v>0</v>
      </c>
      <c r="AB632">
        <v>628</v>
      </c>
      <c r="AC632">
        <f t="shared" si="159"/>
        <v>21</v>
      </c>
      <c r="AD632">
        <f t="shared" si="149"/>
        <v>0</v>
      </c>
    </row>
    <row r="633" spans="4:30" x14ac:dyDescent="0.25">
      <c r="D633" s="31">
        <f>Simulation_output!A631</f>
        <v>6295000</v>
      </c>
      <c r="E633">
        <f>Sheet2!R630</f>
        <v>0</v>
      </c>
      <c r="F633">
        <f>Sheet2!S630</f>
        <v>0</v>
      </c>
      <c r="G633">
        <f>Sheet2!T630</f>
        <v>0</v>
      </c>
      <c r="H633" s="31">
        <f>Simulation_output!E631</f>
        <v>1</v>
      </c>
      <c r="I633" s="31">
        <f>Simulation_output!F631</f>
        <v>10031</v>
      </c>
      <c r="J633" s="31">
        <f>Simulation_output!G631</f>
        <v>1</v>
      </c>
      <c r="K633" s="31">
        <f>Simulation_output!H631</f>
        <v>0</v>
      </c>
      <c r="L633">
        <v>1</v>
      </c>
      <c r="M633">
        <f t="shared" si="163"/>
        <v>0</v>
      </c>
      <c r="N633">
        <f t="shared" si="162"/>
        <v>0</v>
      </c>
      <c r="O633">
        <f t="shared" si="161"/>
        <v>0</v>
      </c>
      <c r="P633">
        <f t="shared" si="164"/>
        <v>0</v>
      </c>
      <c r="Q633">
        <f t="shared" si="160"/>
        <v>0</v>
      </c>
      <c r="R633">
        <f t="shared" si="150"/>
        <v>0</v>
      </c>
      <c r="S633">
        <f t="shared" si="151"/>
        <v>0</v>
      </c>
      <c r="T633">
        <f t="shared" si="152"/>
        <v>0</v>
      </c>
      <c r="U633">
        <f t="shared" si="153"/>
        <v>0</v>
      </c>
      <c r="V633">
        <f t="shared" si="154"/>
        <v>0</v>
      </c>
      <c r="W633">
        <f t="shared" si="155"/>
        <v>0</v>
      </c>
      <c r="X633">
        <f t="shared" si="156"/>
        <v>0</v>
      </c>
      <c r="Y633">
        <f t="shared" si="157"/>
        <v>0</v>
      </c>
      <c r="Z633">
        <f t="shared" si="158"/>
        <v>0</v>
      </c>
      <c r="AB633">
        <v>629</v>
      </c>
      <c r="AC633">
        <f t="shared" si="159"/>
        <v>21</v>
      </c>
      <c r="AD633">
        <f t="shared" si="149"/>
        <v>0</v>
      </c>
    </row>
    <row r="634" spans="4:30" x14ac:dyDescent="0.25">
      <c r="D634" s="31">
        <f>Simulation_output!A632</f>
        <v>6305000</v>
      </c>
      <c r="E634">
        <f>Sheet2!R631</f>
        <v>0</v>
      </c>
      <c r="F634">
        <f>Sheet2!S631</f>
        <v>0</v>
      </c>
      <c r="G634">
        <f>Sheet2!T631</f>
        <v>0</v>
      </c>
      <c r="H634" s="31">
        <f>Simulation_output!E632</f>
        <v>1</v>
      </c>
      <c r="I634" s="31">
        <f>Simulation_output!F632</f>
        <v>1160</v>
      </c>
      <c r="J634" s="31">
        <f>Simulation_output!G632</f>
        <v>1</v>
      </c>
      <c r="K634" s="31">
        <f>Simulation_output!H632</f>
        <v>0</v>
      </c>
      <c r="L634">
        <v>1</v>
      </c>
      <c r="M634">
        <f t="shared" si="163"/>
        <v>0</v>
      </c>
      <c r="N634">
        <f t="shared" si="162"/>
        <v>0</v>
      </c>
      <c r="O634">
        <f t="shared" si="161"/>
        <v>0</v>
      </c>
      <c r="P634">
        <f t="shared" si="164"/>
        <v>0</v>
      </c>
      <c r="Q634">
        <f t="shared" si="160"/>
        <v>0</v>
      </c>
      <c r="R634">
        <f t="shared" si="150"/>
        <v>0</v>
      </c>
      <c r="S634">
        <f t="shared" si="151"/>
        <v>0</v>
      </c>
      <c r="T634">
        <f t="shared" si="152"/>
        <v>0</v>
      </c>
      <c r="U634">
        <f t="shared" si="153"/>
        <v>0</v>
      </c>
      <c r="V634">
        <f t="shared" si="154"/>
        <v>0</v>
      </c>
      <c r="W634">
        <f t="shared" si="155"/>
        <v>0</v>
      </c>
      <c r="X634">
        <f t="shared" si="156"/>
        <v>0</v>
      </c>
      <c r="Y634">
        <f t="shared" si="157"/>
        <v>0</v>
      </c>
      <c r="Z634">
        <f t="shared" si="158"/>
        <v>0</v>
      </c>
      <c r="AB634">
        <v>630</v>
      </c>
      <c r="AC634">
        <f t="shared" si="159"/>
        <v>21</v>
      </c>
      <c r="AD634">
        <f t="shared" si="149"/>
        <v>0</v>
      </c>
    </row>
    <row r="635" spans="4:30" x14ac:dyDescent="0.25">
      <c r="D635" s="31">
        <f>Simulation_output!A633</f>
        <v>6315000</v>
      </c>
      <c r="E635">
        <f>Sheet2!R632</f>
        <v>0</v>
      </c>
      <c r="F635">
        <f>Sheet2!S632</f>
        <v>0</v>
      </c>
      <c r="G635">
        <f>Sheet2!T632</f>
        <v>0</v>
      </c>
      <c r="H635" s="31">
        <f>Simulation_output!E633</f>
        <v>1</v>
      </c>
      <c r="I635" s="31">
        <f>Simulation_output!F633</f>
        <v>343</v>
      </c>
      <c r="J635" s="31">
        <f>Simulation_output!G633</f>
        <v>1</v>
      </c>
      <c r="K635" s="31">
        <f>Simulation_output!H633</f>
        <v>0</v>
      </c>
      <c r="L635">
        <v>1</v>
      </c>
      <c r="M635">
        <f t="shared" si="163"/>
        <v>0</v>
      </c>
      <c r="N635">
        <f t="shared" si="162"/>
        <v>0</v>
      </c>
      <c r="O635">
        <f t="shared" si="161"/>
        <v>0</v>
      </c>
      <c r="P635">
        <f t="shared" si="164"/>
        <v>0</v>
      </c>
      <c r="Q635">
        <f t="shared" si="160"/>
        <v>0</v>
      </c>
      <c r="R635">
        <f t="shared" si="150"/>
        <v>0</v>
      </c>
      <c r="S635">
        <f t="shared" si="151"/>
        <v>0</v>
      </c>
      <c r="T635">
        <f t="shared" si="152"/>
        <v>0</v>
      </c>
      <c r="U635">
        <f t="shared" si="153"/>
        <v>0</v>
      </c>
      <c r="V635">
        <f t="shared" si="154"/>
        <v>0</v>
      </c>
      <c r="W635">
        <f t="shared" si="155"/>
        <v>0</v>
      </c>
      <c r="X635">
        <f t="shared" si="156"/>
        <v>0</v>
      </c>
      <c r="Y635">
        <f t="shared" si="157"/>
        <v>0</v>
      </c>
      <c r="Z635">
        <f t="shared" si="158"/>
        <v>0</v>
      </c>
      <c r="AB635">
        <v>631</v>
      </c>
      <c r="AC635">
        <f t="shared" si="159"/>
        <v>21</v>
      </c>
      <c r="AD635">
        <f t="shared" si="149"/>
        <v>0</v>
      </c>
    </row>
    <row r="636" spans="4:30" x14ac:dyDescent="0.25">
      <c r="D636" s="31">
        <f>Simulation_output!A634</f>
        <v>6325000</v>
      </c>
      <c r="E636">
        <f>Sheet2!R633</f>
        <v>0</v>
      </c>
      <c r="F636">
        <f>Sheet2!S633</f>
        <v>0</v>
      </c>
      <c r="G636">
        <f>Sheet2!T633</f>
        <v>0</v>
      </c>
      <c r="H636" s="31">
        <f>Simulation_output!E634</f>
        <v>1</v>
      </c>
      <c r="I636" s="31">
        <f>Simulation_output!F634</f>
        <v>0</v>
      </c>
      <c r="J636" s="31">
        <f>Simulation_output!G634</f>
        <v>1</v>
      </c>
      <c r="K636" s="31">
        <f>Simulation_output!H634</f>
        <v>0</v>
      </c>
      <c r="L636">
        <v>1</v>
      </c>
      <c r="M636">
        <f t="shared" si="163"/>
        <v>0</v>
      </c>
      <c r="N636">
        <f t="shared" si="162"/>
        <v>0</v>
      </c>
      <c r="O636">
        <f t="shared" si="161"/>
        <v>0</v>
      </c>
      <c r="P636">
        <f t="shared" si="164"/>
        <v>0</v>
      </c>
      <c r="Q636">
        <f t="shared" si="160"/>
        <v>0</v>
      </c>
      <c r="R636">
        <f t="shared" si="150"/>
        <v>0</v>
      </c>
      <c r="S636">
        <f t="shared" si="151"/>
        <v>0</v>
      </c>
      <c r="T636">
        <f t="shared" si="152"/>
        <v>0</v>
      </c>
      <c r="U636">
        <f t="shared" si="153"/>
        <v>0</v>
      </c>
      <c r="V636">
        <f t="shared" si="154"/>
        <v>0</v>
      </c>
      <c r="W636">
        <f t="shared" si="155"/>
        <v>0</v>
      </c>
      <c r="X636">
        <f t="shared" si="156"/>
        <v>0</v>
      </c>
      <c r="Y636">
        <f t="shared" si="157"/>
        <v>0</v>
      </c>
      <c r="Z636">
        <f t="shared" si="158"/>
        <v>0</v>
      </c>
      <c r="AB636">
        <v>632</v>
      </c>
      <c r="AC636">
        <f t="shared" si="159"/>
        <v>21</v>
      </c>
      <c r="AD636">
        <f t="shared" si="149"/>
        <v>0</v>
      </c>
    </row>
    <row r="637" spans="4:30" x14ac:dyDescent="0.25">
      <c r="D637" s="31">
        <f>Simulation_output!A635</f>
        <v>6335000</v>
      </c>
      <c r="E637">
        <f>Sheet2!R634</f>
        <v>0</v>
      </c>
      <c r="F637">
        <f>Sheet2!S634</f>
        <v>0</v>
      </c>
      <c r="G637">
        <f>Sheet2!T634</f>
        <v>0</v>
      </c>
      <c r="H637" s="31">
        <f>Simulation_output!E635</f>
        <v>1</v>
      </c>
      <c r="I637" s="31">
        <f>Simulation_output!F635</f>
        <v>268435454</v>
      </c>
      <c r="J637" s="31">
        <f>Simulation_output!G635</f>
        <v>1</v>
      </c>
      <c r="K637" s="31">
        <f>Simulation_output!H635</f>
        <v>1</v>
      </c>
      <c r="L637">
        <v>1</v>
      </c>
      <c r="M637" t="str">
        <f t="shared" si="163"/>
        <v>FFFFFFF</v>
      </c>
      <c r="N637">
        <f t="shared" si="162"/>
        <v>22</v>
      </c>
      <c r="O637">
        <f t="shared" si="161"/>
        <v>263</v>
      </c>
      <c r="P637">
        <f t="shared" si="164"/>
        <v>334</v>
      </c>
      <c r="Q637">
        <f t="shared" si="160"/>
        <v>25</v>
      </c>
      <c r="R637">
        <f t="shared" si="150"/>
        <v>5</v>
      </c>
      <c r="S637">
        <f t="shared" si="151"/>
        <v>31</v>
      </c>
      <c r="T637">
        <f t="shared" si="152"/>
        <v>131</v>
      </c>
      <c r="U637">
        <f t="shared" si="153"/>
        <v>1031</v>
      </c>
      <c r="V637">
        <f t="shared" si="154"/>
        <v>10031</v>
      </c>
      <c r="W637">
        <f t="shared" si="155"/>
        <v>1160</v>
      </c>
      <c r="X637">
        <f t="shared" si="156"/>
        <v>343</v>
      </c>
      <c r="Y637">
        <f t="shared" si="157"/>
        <v>0</v>
      </c>
      <c r="Z637" t="str">
        <f t="shared" si="158"/>
        <v>FFFFFFE</v>
      </c>
      <c r="AB637">
        <v>633</v>
      </c>
      <c r="AC637">
        <f t="shared" si="159"/>
        <v>22</v>
      </c>
      <c r="AD637">
        <f t="shared" si="149"/>
        <v>22</v>
      </c>
    </row>
    <row r="638" spans="4:30" x14ac:dyDescent="0.25">
      <c r="D638" s="31">
        <f>Simulation_output!A636</f>
        <v>6345000</v>
      </c>
      <c r="E638">
        <f>Sheet2!R635</f>
        <v>0</v>
      </c>
      <c r="F638">
        <f>Sheet2!S635</f>
        <v>0</v>
      </c>
      <c r="G638">
        <f>Sheet2!T635</f>
        <v>0</v>
      </c>
      <c r="H638" s="31">
        <f>Simulation_output!E636</f>
        <v>1</v>
      </c>
      <c r="I638" s="31">
        <f>Simulation_output!F636</f>
        <v>268435455</v>
      </c>
      <c r="J638" s="31">
        <f>Simulation_output!G636</f>
        <v>1</v>
      </c>
      <c r="K638" s="31">
        <f>Simulation_output!H636</f>
        <v>0</v>
      </c>
      <c r="L638">
        <v>1</v>
      </c>
      <c r="M638">
        <f t="shared" si="163"/>
        <v>0</v>
      </c>
      <c r="N638">
        <f t="shared" si="162"/>
        <v>0</v>
      </c>
      <c r="O638">
        <f t="shared" si="161"/>
        <v>0</v>
      </c>
      <c r="P638">
        <f t="shared" si="164"/>
        <v>0</v>
      </c>
      <c r="Q638">
        <f t="shared" si="160"/>
        <v>0</v>
      </c>
      <c r="R638">
        <f t="shared" si="150"/>
        <v>0</v>
      </c>
      <c r="S638">
        <f t="shared" si="151"/>
        <v>0</v>
      </c>
      <c r="T638">
        <f t="shared" si="152"/>
        <v>0</v>
      </c>
      <c r="U638">
        <f t="shared" si="153"/>
        <v>0</v>
      </c>
      <c r="V638">
        <f t="shared" si="154"/>
        <v>0</v>
      </c>
      <c r="W638">
        <f t="shared" si="155"/>
        <v>0</v>
      </c>
      <c r="X638">
        <f t="shared" si="156"/>
        <v>0</v>
      </c>
      <c r="Y638">
        <f t="shared" si="157"/>
        <v>0</v>
      </c>
      <c r="Z638">
        <f t="shared" si="158"/>
        <v>0</v>
      </c>
      <c r="AB638">
        <v>634</v>
      </c>
      <c r="AC638">
        <f t="shared" si="159"/>
        <v>22</v>
      </c>
      <c r="AD638">
        <f t="shared" si="149"/>
        <v>0</v>
      </c>
    </row>
    <row r="639" spans="4:30" x14ac:dyDescent="0.25">
      <c r="D639" s="31">
        <f>Simulation_output!A637</f>
        <v>6355000</v>
      </c>
      <c r="E639">
        <f>Sheet2!R636</f>
        <v>0</v>
      </c>
      <c r="F639">
        <f>Sheet2!S636</f>
        <v>0</v>
      </c>
      <c r="G639">
        <f>Sheet2!T636</f>
        <v>0</v>
      </c>
      <c r="H639" s="31">
        <f>Simulation_output!E637</f>
        <v>1</v>
      </c>
      <c r="I639" s="31">
        <f>Simulation_output!F637</f>
        <v>23</v>
      </c>
      <c r="J639" s="31">
        <f>Simulation_output!G637</f>
        <v>1</v>
      </c>
      <c r="K639" s="31">
        <f>Simulation_output!H637</f>
        <v>0</v>
      </c>
      <c r="L639">
        <v>1</v>
      </c>
      <c r="M639">
        <f t="shared" si="163"/>
        <v>0</v>
      </c>
      <c r="N639">
        <f t="shared" si="162"/>
        <v>0</v>
      </c>
      <c r="O639">
        <f t="shared" si="161"/>
        <v>0</v>
      </c>
      <c r="P639">
        <f t="shared" si="164"/>
        <v>0</v>
      </c>
      <c r="Q639">
        <f t="shared" si="160"/>
        <v>0</v>
      </c>
      <c r="R639">
        <f t="shared" si="150"/>
        <v>0</v>
      </c>
      <c r="S639">
        <f t="shared" si="151"/>
        <v>0</v>
      </c>
      <c r="T639">
        <f t="shared" si="152"/>
        <v>0</v>
      </c>
      <c r="U639">
        <f t="shared" si="153"/>
        <v>0</v>
      </c>
      <c r="V639">
        <f t="shared" si="154"/>
        <v>0</v>
      </c>
      <c r="W639">
        <f t="shared" si="155"/>
        <v>0</v>
      </c>
      <c r="X639">
        <f t="shared" si="156"/>
        <v>0</v>
      </c>
      <c r="Y639">
        <f t="shared" si="157"/>
        <v>0</v>
      </c>
      <c r="Z639">
        <f t="shared" si="158"/>
        <v>0</v>
      </c>
      <c r="AB639">
        <v>635</v>
      </c>
      <c r="AC639">
        <f t="shared" si="159"/>
        <v>22</v>
      </c>
      <c r="AD639">
        <f t="shared" si="149"/>
        <v>0</v>
      </c>
    </row>
    <row r="640" spans="4:30" x14ac:dyDescent="0.25">
      <c r="D640" s="31">
        <f>Simulation_output!A638</f>
        <v>6365000</v>
      </c>
      <c r="E640">
        <f>Sheet2!R637</f>
        <v>0</v>
      </c>
      <c r="F640">
        <f>Sheet2!S637</f>
        <v>0</v>
      </c>
      <c r="G640">
        <f>Sheet2!T637</f>
        <v>0</v>
      </c>
      <c r="H640" s="31">
        <f>Simulation_output!E638</f>
        <v>1</v>
      </c>
      <c r="I640" s="31">
        <f>Simulation_output!F638</f>
        <v>275</v>
      </c>
      <c r="J640" s="31">
        <f>Simulation_output!G638</f>
        <v>1</v>
      </c>
      <c r="K640" s="31">
        <f>Simulation_output!H638</f>
        <v>0</v>
      </c>
      <c r="L640">
        <v>1</v>
      </c>
      <c r="M640">
        <f t="shared" si="163"/>
        <v>0</v>
      </c>
      <c r="N640">
        <f t="shared" si="162"/>
        <v>0</v>
      </c>
      <c r="O640">
        <f t="shared" si="161"/>
        <v>0</v>
      </c>
      <c r="P640">
        <f t="shared" si="164"/>
        <v>0</v>
      </c>
      <c r="Q640">
        <f t="shared" si="160"/>
        <v>0</v>
      </c>
      <c r="R640">
        <f t="shared" si="150"/>
        <v>0</v>
      </c>
      <c r="S640">
        <f t="shared" si="151"/>
        <v>0</v>
      </c>
      <c r="T640">
        <f t="shared" si="152"/>
        <v>0</v>
      </c>
      <c r="U640">
        <f t="shared" si="153"/>
        <v>0</v>
      </c>
      <c r="V640">
        <f t="shared" si="154"/>
        <v>0</v>
      </c>
      <c r="W640">
        <f t="shared" si="155"/>
        <v>0</v>
      </c>
      <c r="X640">
        <f t="shared" si="156"/>
        <v>0</v>
      </c>
      <c r="Y640">
        <f t="shared" si="157"/>
        <v>0</v>
      </c>
      <c r="Z640">
        <f t="shared" si="158"/>
        <v>0</v>
      </c>
      <c r="AB640">
        <v>636</v>
      </c>
      <c r="AC640">
        <f t="shared" si="159"/>
        <v>22</v>
      </c>
      <c r="AD640">
        <f t="shared" si="149"/>
        <v>0</v>
      </c>
    </row>
    <row r="641" spans="4:30" x14ac:dyDescent="0.25">
      <c r="D641" s="31">
        <f>Simulation_output!A639</f>
        <v>6375000</v>
      </c>
      <c r="E641">
        <f>Sheet2!R638</f>
        <v>0</v>
      </c>
      <c r="F641">
        <f>Sheet2!S638</f>
        <v>0</v>
      </c>
      <c r="G641">
        <f>Sheet2!T638</f>
        <v>0</v>
      </c>
      <c r="H641" s="31">
        <f>Simulation_output!E639</f>
        <v>1</v>
      </c>
      <c r="I641" s="31">
        <f>Simulation_output!F639</f>
        <v>335</v>
      </c>
      <c r="J641" s="31">
        <f>Simulation_output!G639</f>
        <v>1</v>
      </c>
      <c r="K641" s="31">
        <f>Simulation_output!H639</f>
        <v>0</v>
      </c>
      <c r="L641">
        <v>1</v>
      </c>
      <c r="M641">
        <f t="shared" si="163"/>
        <v>0</v>
      </c>
      <c r="N641">
        <f t="shared" si="162"/>
        <v>0</v>
      </c>
      <c r="O641">
        <f t="shared" si="161"/>
        <v>0</v>
      </c>
      <c r="P641">
        <f t="shared" si="164"/>
        <v>0</v>
      </c>
      <c r="Q641">
        <f t="shared" si="160"/>
        <v>0</v>
      </c>
      <c r="R641">
        <f t="shared" si="150"/>
        <v>0</v>
      </c>
      <c r="S641">
        <f t="shared" si="151"/>
        <v>0</v>
      </c>
      <c r="T641">
        <f t="shared" si="152"/>
        <v>0</v>
      </c>
      <c r="U641">
        <f t="shared" si="153"/>
        <v>0</v>
      </c>
      <c r="V641">
        <f t="shared" si="154"/>
        <v>0</v>
      </c>
      <c r="W641">
        <f t="shared" si="155"/>
        <v>0</v>
      </c>
      <c r="X641">
        <f t="shared" si="156"/>
        <v>0</v>
      </c>
      <c r="Y641">
        <f t="shared" si="157"/>
        <v>0</v>
      </c>
      <c r="Z641">
        <f t="shared" si="158"/>
        <v>0</v>
      </c>
      <c r="AB641">
        <v>637</v>
      </c>
      <c r="AC641">
        <f t="shared" si="159"/>
        <v>22</v>
      </c>
      <c r="AD641">
        <f t="shared" si="149"/>
        <v>0</v>
      </c>
    </row>
    <row r="642" spans="4:30" x14ac:dyDescent="0.25">
      <c r="D642" s="31">
        <f>Simulation_output!A640</f>
        <v>6385000</v>
      </c>
      <c r="E642">
        <f>Sheet2!R639</f>
        <v>0</v>
      </c>
      <c r="F642">
        <f>Sheet2!S639</f>
        <v>0</v>
      </c>
      <c r="G642">
        <f>Sheet2!T639</f>
        <v>0</v>
      </c>
      <c r="H642" s="31">
        <f>Simulation_output!E640</f>
        <v>1</v>
      </c>
      <c r="I642" s="31">
        <f>Simulation_output!F640</f>
        <v>25</v>
      </c>
      <c r="J642" s="31">
        <f>Simulation_output!G640</f>
        <v>1</v>
      </c>
      <c r="K642" s="31">
        <f>Simulation_output!H640</f>
        <v>0</v>
      </c>
      <c r="L642">
        <v>1</v>
      </c>
      <c r="M642">
        <f t="shared" si="163"/>
        <v>0</v>
      </c>
      <c r="N642">
        <f t="shared" si="162"/>
        <v>0</v>
      </c>
      <c r="O642">
        <f t="shared" si="161"/>
        <v>0</v>
      </c>
      <c r="P642">
        <f t="shared" si="164"/>
        <v>0</v>
      </c>
      <c r="Q642">
        <f t="shared" si="160"/>
        <v>0</v>
      </c>
      <c r="R642">
        <f t="shared" si="150"/>
        <v>0</v>
      </c>
      <c r="S642">
        <f t="shared" si="151"/>
        <v>0</v>
      </c>
      <c r="T642">
        <f t="shared" si="152"/>
        <v>0</v>
      </c>
      <c r="U642">
        <f t="shared" si="153"/>
        <v>0</v>
      </c>
      <c r="V642">
        <f t="shared" si="154"/>
        <v>0</v>
      </c>
      <c r="W642">
        <f t="shared" si="155"/>
        <v>0</v>
      </c>
      <c r="X642">
        <f t="shared" si="156"/>
        <v>0</v>
      </c>
      <c r="Y642">
        <f t="shared" si="157"/>
        <v>0</v>
      </c>
      <c r="Z642">
        <f t="shared" si="158"/>
        <v>0</v>
      </c>
      <c r="AB642">
        <v>638</v>
      </c>
      <c r="AC642">
        <f t="shared" si="159"/>
        <v>22</v>
      </c>
      <c r="AD642">
        <f t="shared" si="149"/>
        <v>0</v>
      </c>
    </row>
    <row r="643" spans="4:30" x14ac:dyDescent="0.25">
      <c r="D643" s="31">
        <f>Simulation_output!A641</f>
        <v>6395000</v>
      </c>
      <c r="E643">
        <f>Sheet2!R640</f>
        <v>0</v>
      </c>
      <c r="F643">
        <f>Sheet2!S640</f>
        <v>0</v>
      </c>
      <c r="G643">
        <f>Sheet2!T640</f>
        <v>0</v>
      </c>
      <c r="H643" s="31">
        <f>Simulation_output!E641</f>
        <v>1</v>
      </c>
      <c r="I643" s="31">
        <f>Simulation_output!F641</f>
        <v>5</v>
      </c>
      <c r="J643" s="31">
        <f>Simulation_output!G641</f>
        <v>1</v>
      </c>
      <c r="K643" s="31">
        <f>Simulation_output!H641</f>
        <v>0</v>
      </c>
      <c r="L643">
        <v>1</v>
      </c>
      <c r="M643">
        <f t="shared" si="163"/>
        <v>0</v>
      </c>
      <c r="N643">
        <f t="shared" si="162"/>
        <v>0</v>
      </c>
      <c r="O643">
        <f t="shared" si="161"/>
        <v>0</v>
      </c>
      <c r="P643">
        <f t="shared" si="164"/>
        <v>0</v>
      </c>
      <c r="Q643">
        <f t="shared" si="160"/>
        <v>0</v>
      </c>
      <c r="R643">
        <f t="shared" si="150"/>
        <v>0</v>
      </c>
      <c r="S643">
        <f t="shared" si="151"/>
        <v>0</v>
      </c>
      <c r="T643">
        <f t="shared" si="152"/>
        <v>0</v>
      </c>
      <c r="U643">
        <f t="shared" si="153"/>
        <v>0</v>
      </c>
      <c r="V643">
        <f t="shared" si="154"/>
        <v>0</v>
      </c>
      <c r="W643">
        <f t="shared" si="155"/>
        <v>0</v>
      </c>
      <c r="X643">
        <f t="shared" si="156"/>
        <v>0</v>
      </c>
      <c r="Y643">
        <f t="shared" si="157"/>
        <v>0</v>
      </c>
      <c r="Z643">
        <f t="shared" si="158"/>
        <v>0</v>
      </c>
      <c r="AB643">
        <v>639</v>
      </c>
      <c r="AC643">
        <f t="shared" si="159"/>
        <v>22</v>
      </c>
      <c r="AD643">
        <f t="shared" si="149"/>
        <v>0</v>
      </c>
    </row>
    <row r="644" spans="4:30" x14ac:dyDescent="0.25">
      <c r="D644" s="31">
        <f>Simulation_output!A642</f>
        <v>6405000</v>
      </c>
      <c r="E644">
        <f>Sheet2!R641</f>
        <v>0</v>
      </c>
      <c r="F644">
        <f>Sheet2!S641</f>
        <v>0</v>
      </c>
      <c r="G644">
        <f>Sheet2!T641</f>
        <v>0</v>
      </c>
      <c r="H644" s="31">
        <f>Simulation_output!E642</f>
        <v>1</v>
      </c>
      <c r="I644" s="31">
        <f>Simulation_output!F642</f>
        <v>32</v>
      </c>
      <c r="J644" s="31">
        <f>Simulation_output!G642</f>
        <v>1</v>
      </c>
      <c r="K644" s="31">
        <f>Simulation_output!H642</f>
        <v>0</v>
      </c>
      <c r="L644">
        <v>1</v>
      </c>
      <c r="M644">
        <f t="shared" si="163"/>
        <v>0</v>
      </c>
      <c r="N644">
        <f t="shared" si="162"/>
        <v>0</v>
      </c>
      <c r="O644">
        <f t="shared" si="161"/>
        <v>0</v>
      </c>
      <c r="P644">
        <f t="shared" si="164"/>
        <v>0</v>
      </c>
      <c r="Q644">
        <f t="shared" si="160"/>
        <v>0</v>
      </c>
      <c r="R644">
        <f t="shared" si="150"/>
        <v>0</v>
      </c>
      <c r="S644">
        <f t="shared" si="151"/>
        <v>0</v>
      </c>
      <c r="T644">
        <f t="shared" si="152"/>
        <v>0</v>
      </c>
      <c r="U644">
        <f t="shared" si="153"/>
        <v>0</v>
      </c>
      <c r="V644">
        <f t="shared" si="154"/>
        <v>0</v>
      </c>
      <c r="W644">
        <f t="shared" si="155"/>
        <v>0</v>
      </c>
      <c r="X644">
        <f t="shared" si="156"/>
        <v>0</v>
      </c>
      <c r="Y644">
        <f t="shared" si="157"/>
        <v>0</v>
      </c>
      <c r="Z644">
        <f t="shared" si="158"/>
        <v>0</v>
      </c>
      <c r="AB644">
        <v>640</v>
      </c>
      <c r="AC644">
        <f t="shared" si="159"/>
        <v>22</v>
      </c>
      <c r="AD644">
        <f t="shared" si="149"/>
        <v>0</v>
      </c>
    </row>
    <row r="645" spans="4:30" x14ac:dyDescent="0.25">
      <c r="D645" s="31">
        <f>Simulation_output!A643</f>
        <v>6415000</v>
      </c>
      <c r="E645">
        <f>Sheet2!R642</f>
        <v>0</v>
      </c>
      <c r="F645">
        <f>Sheet2!S642</f>
        <v>0</v>
      </c>
      <c r="G645">
        <f>Sheet2!T642</f>
        <v>0</v>
      </c>
      <c r="H645" s="31">
        <f>Simulation_output!E643</f>
        <v>1</v>
      </c>
      <c r="I645" s="31">
        <f>Simulation_output!F643</f>
        <v>132</v>
      </c>
      <c r="J645" s="31">
        <f>Simulation_output!G643</f>
        <v>1</v>
      </c>
      <c r="K645" s="31">
        <f>Simulation_output!H643</f>
        <v>0</v>
      </c>
      <c r="L645">
        <v>1</v>
      </c>
      <c r="M645">
        <f t="shared" si="163"/>
        <v>0</v>
      </c>
      <c r="N645">
        <f t="shared" si="162"/>
        <v>0</v>
      </c>
      <c r="O645">
        <f t="shared" si="161"/>
        <v>0</v>
      </c>
      <c r="P645">
        <f t="shared" si="164"/>
        <v>0</v>
      </c>
      <c r="Q645">
        <f t="shared" si="160"/>
        <v>0</v>
      </c>
      <c r="R645">
        <f t="shared" si="150"/>
        <v>0</v>
      </c>
      <c r="S645">
        <f t="shared" si="151"/>
        <v>0</v>
      </c>
      <c r="T645">
        <f t="shared" si="152"/>
        <v>0</v>
      </c>
      <c r="U645">
        <f t="shared" si="153"/>
        <v>0</v>
      </c>
      <c r="V645">
        <f t="shared" si="154"/>
        <v>0</v>
      </c>
      <c r="W645">
        <f t="shared" si="155"/>
        <v>0</v>
      </c>
      <c r="X645">
        <f t="shared" si="156"/>
        <v>0</v>
      </c>
      <c r="Y645">
        <f t="shared" si="157"/>
        <v>0</v>
      </c>
      <c r="Z645">
        <f t="shared" si="158"/>
        <v>0</v>
      </c>
      <c r="AB645">
        <v>641</v>
      </c>
      <c r="AC645">
        <f t="shared" si="159"/>
        <v>22</v>
      </c>
      <c r="AD645">
        <f t="shared" si="149"/>
        <v>0</v>
      </c>
    </row>
    <row r="646" spans="4:30" x14ac:dyDescent="0.25">
      <c r="D646" s="31">
        <f>Simulation_output!A644</f>
        <v>6425000</v>
      </c>
      <c r="E646">
        <f>Sheet2!R643</f>
        <v>0</v>
      </c>
      <c r="F646">
        <f>Sheet2!S643</f>
        <v>0</v>
      </c>
      <c r="G646">
        <f>Sheet2!T643</f>
        <v>0</v>
      </c>
      <c r="H646" s="31">
        <f>Simulation_output!E644</f>
        <v>1</v>
      </c>
      <c r="I646" s="31">
        <f>Simulation_output!F644</f>
        <v>1032</v>
      </c>
      <c r="J646" s="31">
        <f>Simulation_output!G644</f>
        <v>1</v>
      </c>
      <c r="K646" s="31">
        <f>Simulation_output!H644</f>
        <v>0</v>
      </c>
      <c r="L646">
        <v>1</v>
      </c>
      <c r="M646">
        <f t="shared" si="163"/>
        <v>0</v>
      </c>
      <c r="N646">
        <f t="shared" si="162"/>
        <v>0</v>
      </c>
      <c r="O646">
        <f t="shared" si="161"/>
        <v>0</v>
      </c>
      <c r="P646">
        <f t="shared" si="164"/>
        <v>0</v>
      </c>
      <c r="Q646">
        <f t="shared" si="160"/>
        <v>0</v>
      </c>
      <c r="R646">
        <f t="shared" si="150"/>
        <v>0</v>
      </c>
      <c r="S646">
        <f t="shared" si="151"/>
        <v>0</v>
      </c>
      <c r="T646">
        <f t="shared" si="152"/>
        <v>0</v>
      </c>
      <c r="U646">
        <f t="shared" si="153"/>
        <v>0</v>
      </c>
      <c r="V646">
        <f t="shared" si="154"/>
        <v>0</v>
      </c>
      <c r="W646">
        <f t="shared" si="155"/>
        <v>0</v>
      </c>
      <c r="X646">
        <f t="shared" si="156"/>
        <v>0</v>
      </c>
      <c r="Y646">
        <f t="shared" si="157"/>
        <v>0</v>
      </c>
      <c r="Z646">
        <f t="shared" si="158"/>
        <v>0</v>
      </c>
      <c r="AB646">
        <v>642</v>
      </c>
      <c r="AC646">
        <f t="shared" si="159"/>
        <v>22</v>
      </c>
      <c r="AD646">
        <f t="shared" ref="AD646:AD709" si="165">IF(M646="FFFFFFF",AC646,0)</f>
        <v>0</v>
      </c>
    </row>
    <row r="647" spans="4:30" x14ac:dyDescent="0.25">
      <c r="D647" s="31">
        <f>Simulation_output!A645</f>
        <v>6435000</v>
      </c>
      <c r="E647">
        <f>Sheet2!R644</f>
        <v>0</v>
      </c>
      <c r="F647">
        <f>Sheet2!S644</f>
        <v>0</v>
      </c>
      <c r="G647">
        <f>Sheet2!T644</f>
        <v>0</v>
      </c>
      <c r="H647" s="31">
        <f>Simulation_output!E645</f>
        <v>1</v>
      </c>
      <c r="I647" s="31">
        <f>Simulation_output!F645</f>
        <v>10032</v>
      </c>
      <c r="J647" s="31">
        <f>Simulation_output!G645</f>
        <v>1</v>
      </c>
      <c r="K647" s="31">
        <f>Simulation_output!H645</f>
        <v>0</v>
      </c>
      <c r="L647">
        <v>1</v>
      </c>
      <c r="M647">
        <f t="shared" si="163"/>
        <v>0</v>
      </c>
      <c r="N647">
        <f t="shared" si="162"/>
        <v>0</v>
      </c>
      <c r="O647">
        <f t="shared" si="161"/>
        <v>0</v>
      </c>
      <c r="P647">
        <f t="shared" si="164"/>
        <v>0</v>
      </c>
      <c r="Q647">
        <f t="shared" si="160"/>
        <v>0</v>
      </c>
      <c r="R647">
        <f t="shared" ref="R647:R710" si="166">IF(K647&gt;0,I639,0)</f>
        <v>0</v>
      </c>
      <c r="S647">
        <f t="shared" ref="S647:S710" si="167">IF(K647&gt;0,I640,0)</f>
        <v>0</v>
      </c>
      <c r="T647">
        <f t="shared" ref="T647:T710" si="168">IF(K647&gt;0,I641,0)</f>
        <v>0</v>
      </c>
      <c r="U647">
        <f t="shared" ref="U647:U710" si="169">IF(K647&gt;0,I642,0)</f>
        <v>0</v>
      </c>
      <c r="V647">
        <f t="shared" ref="V647:V710" si="170">IF(K647&gt;0,I643,0)</f>
        <v>0</v>
      </c>
      <c r="W647">
        <f t="shared" ref="W647:W710" si="171">IF(K647&gt;0,I644,0)</f>
        <v>0</v>
      </c>
      <c r="X647">
        <f t="shared" ref="X647:X710" si="172">IF(K647&gt;0,I645,0)</f>
        <v>0</v>
      </c>
      <c r="Y647">
        <f t="shared" ref="Y647:Y710" si="173">IF(K647&gt;0,I646,0)</f>
        <v>0</v>
      </c>
      <c r="Z647">
        <f t="shared" ref="Z647:Z710" si="174">IF(K647&gt;0,DEC2HEX(I647),0)</f>
        <v>0</v>
      </c>
      <c r="AB647">
        <v>643</v>
      </c>
      <c r="AC647">
        <f t="shared" ref="AC647:AC710" si="175">IF(M647="FFFFFFF",AC646+1,AC646)</f>
        <v>22</v>
      </c>
      <c r="AD647">
        <f t="shared" si="165"/>
        <v>0</v>
      </c>
    </row>
    <row r="648" spans="4:30" x14ac:dyDescent="0.25">
      <c r="D648" s="31">
        <f>Simulation_output!A646</f>
        <v>6445000</v>
      </c>
      <c r="E648">
        <f>Sheet2!R645</f>
        <v>0</v>
      </c>
      <c r="F648">
        <f>Sheet2!S645</f>
        <v>0</v>
      </c>
      <c r="G648">
        <f>Sheet2!T645</f>
        <v>0</v>
      </c>
      <c r="H648" s="31">
        <f>Simulation_output!E646</f>
        <v>1</v>
      </c>
      <c r="I648" s="31">
        <f>Simulation_output!F646</f>
        <v>1162</v>
      </c>
      <c r="J648" s="31">
        <f>Simulation_output!G646</f>
        <v>1</v>
      </c>
      <c r="K648" s="31">
        <f>Simulation_output!H646</f>
        <v>0</v>
      </c>
      <c r="L648">
        <v>1</v>
      </c>
      <c r="M648">
        <f t="shared" si="163"/>
        <v>0</v>
      </c>
      <c r="N648">
        <f t="shared" si="162"/>
        <v>0</v>
      </c>
      <c r="O648">
        <f t="shared" si="161"/>
        <v>0</v>
      </c>
      <c r="P648">
        <f t="shared" si="164"/>
        <v>0</v>
      </c>
      <c r="Q648">
        <f t="shared" si="160"/>
        <v>0</v>
      </c>
      <c r="R648">
        <f t="shared" si="166"/>
        <v>0</v>
      </c>
      <c r="S648">
        <f t="shared" si="167"/>
        <v>0</v>
      </c>
      <c r="T648">
        <f t="shared" si="168"/>
        <v>0</v>
      </c>
      <c r="U648">
        <f t="shared" si="169"/>
        <v>0</v>
      </c>
      <c r="V648">
        <f t="shared" si="170"/>
        <v>0</v>
      </c>
      <c r="W648">
        <f t="shared" si="171"/>
        <v>0</v>
      </c>
      <c r="X648">
        <f t="shared" si="172"/>
        <v>0</v>
      </c>
      <c r="Y648">
        <f t="shared" si="173"/>
        <v>0</v>
      </c>
      <c r="Z648">
        <f t="shared" si="174"/>
        <v>0</v>
      </c>
      <c r="AB648">
        <v>644</v>
      </c>
      <c r="AC648">
        <f t="shared" si="175"/>
        <v>22</v>
      </c>
      <c r="AD648">
        <f t="shared" si="165"/>
        <v>0</v>
      </c>
    </row>
    <row r="649" spans="4:30" x14ac:dyDescent="0.25">
      <c r="D649" s="31">
        <f>Simulation_output!A647</f>
        <v>6455000</v>
      </c>
      <c r="E649">
        <f>Sheet2!R646</f>
        <v>0</v>
      </c>
      <c r="F649">
        <f>Sheet2!S646</f>
        <v>0</v>
      </c>
      <c r="G649">
        <f>Sheet2!T646</f>
        <v>0</v>
      </c>
      <c r="H649" s="31">
        <f>Simulation_output!E647</f>
        <v>1</v>
      </c>
      <c r="I649" s="31">
        <f>Simulation_output!F647</f>
        <v>344</v>
      </c>
      <c r="J649" s="31">
        <f>Simulation_output!G647</f>
        <v>1</v>
      </c>
      <c r="K649" s="31">
        <f>Simulation_output!H647</f>
        <v>0</v>
      </c>
      <c r="L649">
        <v>1</v>
      </c>
      <c r="M649">
        <f t="shared" si="163"/>
        <v>0</v>
      </c>
      <c r="N649">
        <f t="shared" si="162"/>
        <v>0</v>
      </c>
      <c r="O649">
        <f t="shared" si="161"/>
        <v>0</v>
      </c>
      <c r="P649">
        <f t="shared" si="164"/>
        <v>0</v>
      </c>
      <c r="Q649">
        <f t="shared" si="160"/>
        <v>0</v>
      </c>
      <c r="R649">
        <f t="shared" si="166"/>
        <v>0</v>
      </c>
      <c r="S649">
        <f t="shared" si="167"/>
        <v>0</v>
      </c>
      <c r="T649">
        <f t="shared" si="168"/>
        <v>0</v>
      </c>
      <c r="U649">
        <f t="shared" si="169"/>
        <v>0</v>
      </c>
      <c r="V649">
        <f t="shared" si="170"/>
        <v>0</v>
      </c>
      <c r="W649">
        <f t="shared" si="171"/>
        <v>0</v>
      </c>
      <c r="X649">
        <f t="shared" si="172"/>
        <v>0</v>
      </c>
      <c r="Y649">
        <f t="shared" si="173"/>
        <v>0</v>
      </c>
      <c r="Z649">
        <f t="shared" si="174"/>
        <v>0</v>
      </c>
      <c r="AB649">
        <v>645</v>
      </c>
      <c r="AC649">
        <f t="shared" si="175"/>
        <v>22</v>
      </c>
      <c r="AD649">
        <f t="shared" si="165"/>
        <v>0</v>
      </c>
    </row>
    <row r="650" spans="4:30" x14ac:dyDescent="0.25">
      <c r="D650" s="31">
        <f>Simulation_output!A648</f>
        <v>6465000</v>
      </c>
      <c r="E650">
        <f>Sheet2!R647</f>
        <v>0</v>
      </c>
      <c r="F650">
        <f>Sheet2!S647</f>
        <v>0</v>
      </c>
      <c r="G650">
        <f>Sheet2!T647</f>
        <v>0</v>
      </c>
      <c r="H650" s="31">
        <f>Simulation_output!E648</f>
        <v>1</v>
      </c>
      <c r="I650" s="31">
        <f>Simulation_output!F648</f>
        <v>0</v>
      </c>
      <c r="J650" s="31">
        <f>Simulation_output!G648</f>
        <v>1</v>
      </c>
      <c r="K650" s="31">
        <f>Simulation_output!H648</f>
        <v>0</v>
      </c>
      <c r="L650">
        <v>1</v>
      </c>
      <c r="M650">
        <f t="shared" si="163"/>
        <v>0</v>
      </c>
      <c r="N650">
        <f t="shared" si="162"/>
        <v>0</v>
      </c>
      <c r="O650">
        <f t="shared" si="161"/>
        <v>0</v>
      </c>
      <c r="P650">
        <f t="shared" si="164"/>
        <v>0</v>
      </c>
      <c r="Q650">
        <f t="shared" si="160"/>
        <v>0</v>
      </c>
      <c r="R650">
        <f t="shared" si="166"/>
        <v>0</v>
      </c>
      <c r="S650">
        <f t="shared" si="167"/>
        <v>0</v>
      </c>
      <c r="T650">
        <f t="shared" si="168"/>
        <v>0</v>
      </c>
      <c r="U650">
        <f t="shared" si="169"/>
        <v>0</v>
      </c>
      <c r="V650">
        <f t="shared" si="170"/>
        <v>0</v>
      </c>
      <c r="W650">
        <f t="shared" si="171"/>
        <v>0</v>
      </c>
      <c r="X650">
        <f t="shared" si="172"/>
        <v>0</v>
      </c>
      <c r="Y650">
        <f t="shared" si="173"/>
        <v>0</v>
      </c>
      <c r="Z650">
        <f t="shared" si="174"/>
        <v>0</v>
      </c>
      <c r="AB650">
        <v>646</v>
      </c>
      <c r="AC650">
        <f t="shared" si="175"/>
        <v>22</v>
      </c>
      <c r="AD650">
        <f t="shared" si="165"/>
        <v>0</v>
      </c>
    </row>
    <row r="651" spans="4:30" x14ac:dyDescent="0.25">
      <c r="D651" s="31">
        <f>Simulation_output!A649</f>
        <v>6475000</v>
      </c>
      <c r="E651">
        <f>Sheet2!R648</f>
        <v>0</v>
      </c>
      <c r="F651">
        <f>Sheet2!S648</f>
        <v>0</v>
      </c>
      <c r="G651">
        <f>Sheet2!T648</f>
        <v>0</v>
      </c>
      <c r="H651" s="31">
        <f>Simulation_output!E649</f>
        <v>1</v>
      </c>
      <c r="I651" s="31">
        <f>Simulation_output!F649</f>
        <v>268435454</v>
      </c>
      <c r="J651" s="31">
        <f>Simulation_output!G649</f>
        <v>1</v>
      </c>
      <c r="K651" s="31">
        <f>Simulation_output!H649</f>
        <v>1</v>
      </c>
      <c r="L651">
        <v>1</v>
      </c>
      <c r="M651" t="str">
        <f t="shared" si="163"/>
        <v>FFFFFFF</v>
      </c>
      <c r="N651">
        <f t="shared" si="162"/>
        <v>23</v>
      </c>
      <c r="O651">
        <f t="shared" si="161"/>
        <v>275</v>
      </c>
      <c r="P651">
        <f t="shared" si="164"/>
        <v>335</v>
      </c>
      <c r="Q651">
        <f t="shared" ref="Q651:Q714" si="176">IF(K651&gt;0,I642,0)</f>
        <v>25</v>
      </c>
      <c r="R651">
        <f t="shared" si="166"/>
        <v>5</v>
      </c>
      <c r="S651">
        <f t="shared" si="167"/>
        <v>32</v>
      </c>
      <c r="T651">
        <f t="shared" si="168"/>
        <v>132</v>
      </c>
      <c r="U651">
        <f t="shared" si="169"/>
        <v>1032</v>
      </c>
      <c r="V651">
        <f t="shared" si="170"/>
        <v>10032</v>
      </c>
      <c r="W651">
        <f t="shared" si="171"/>
        <v>1162</v>
      </c>
      <c r="X651">
        <f t="shared" si="172"/>
        <v>344</v>
      </c>
      <c r="Y651">
        <f t="shared" si="173"/>
        <v>0</v>
      </c>
      <c r="Z651" t="str">
        <f t="shared" si="174"/>
        <v>FFFFFFE</v>
      </c>
      <c r="AB651">
        <v>647</v>
      </c>
      <c r="AC651">
        <f t="shared" si="175"/>
        <v>23</v>
      </c>
      <c r="AD651">
        <f t="shared" si="165"/>
        <v>23</v>
      </c>
    </row>
    <row r="652" spans="4:30" x14ac:dyDescent="0.25">
      <c r="D652" s="31">
        <f>Simulation_output!A650</f>
        <v>6485000</v>
      </c>
      <c r="E652">
        <f>Sheet2!R649</f>
        <v>0</v>
      </c>
      <c r="F652">
        <f>Sheet2!S649</f>
        <v>0</v>
      </c>
      <c r="G652">
        <f>Sheet2!T649</f>
        <v>0</v>
      </c>
      <c r="H652" s="31">
        <f>Simulation_output!E650</f>
        <v>1</v>
      </c>
      <c r="I652" s="31">
        <f>Simulation_output!F650</f>
        <v>268435455</v>
      </c>
      <c r="J652" s="31">
        <f>Simulation_output!G650</f>
        <v>1</v>
      </c>
      <c r="K652" s="31">
        <f>Simulation_output!H650</f>
        <v>0</v>
      </c>
      <c r="L652">
        <v>1</v>
      </c>
      <c r="M652">
        <f t="shared" si="163"/>
        <v>0</v>
      </c>
      <c r="N652">
        <f t="shared" si="162"/>
        <v>0</v>
      </c>
      <c r="O652">
        <f t="shared" si="161"/>
        <v>0</v>
      </c>
      <c r="P652">
        <f t="shared" si="164"/>
        <v>0</v>
      </c>
      <c r="Q652">
        <f t="shared" si="176"/>
        <v>0</v>
      </c>
      <c r="R652">
        <f t="shared" si="166"/>
        <v>0</v>
      </c>
      <c r="S652">
        <f t="shared" si="167"/>
        <v>0</v>
      </c>
      <c r="T652">
        <f t="shared" si="168"/>
        <v>0</v>
      </c>
      <c r="U652">
        <f t="shared" si="169"/>
        <v>0</v>
      </c>
      <c r="V652">
        <f t="shared" si="170"/>
        <v>0</v>
      </c>
      <c r="W652">
        <f t="shared" si="171"/>
        <v>0</v>
      </c>
      <c r="X652">
        <f t="shared" si="172"/>
        <v>0</v>
      </c>
      <c r="Y652">
        <f t="shared" si="173"/>
        <v>0</v>
      </c>
      <c r="Z652">
        <f t="shared" si="174"/>
        <v>0</v>
      </c>
      <c r="AB652">
        <v>648</v>
      </c>
      <c r="AC652">
        <f t="shared" si="175"/>
        <v>23</v>
      </c>
      <c r="AD652">
        <f t="shared" si="165"/>
        <v>0</v>
      </c>
    </row>
    <row r="653" spans="4:30" x14ac:dyDescent="0.25">
      <c r="D653" s="31">
        <f>Simulation_output!A651</f>
        <v>6495000</v>
      </c>
      <c r="E653">
        <f>Sheet2!R650</f>
        <v>0</v>
      </c>
      <c r="F653">
        <f>Sheet2!S650</f>
        <v>0</v>
      </c>
      <c r="G653">
        <f>Sheet2!T650</f>
        <v>0</v>
      </c>
      <c r="H653" s="31">
        <f>Simulation_output!E651</f>
        <v>1</v>
      </c>
      <c r="I653" s="31">
        <f>Simulation_output!F651</f>
        <v>24</v>
      </c>
      <c r="J653" s="31">
        <f>Simulation_output!G651</f>
        <v>1</v>
      </c>
      <c r="K653" s="31">
        <f>Simulation_output!H651</f>
        <v>0</v>
      </c>
      <c r="L653">
        <v>1</v>
      </c>
      <c r="M653">
        <f t="shared" si="163"/>
        <v>0</v>
      </c>
      <c r="N653">
        <f t="shared" si="162"/>
        <v>0</v>
      </c>
      <c r="O653">
        <f t="shared" ref="O653:O716" si="177">IF(K653&gt;0,I642,0)</f>
        <v>0</v>
      </c>
      <c r="P653">
        <f t="shared" si="164"/>
        <v>0</v>
      </c>
      <c r="Q653">
        <f t="shared" si="176"/>
        <v>0</v>
      </c>
      <c r="R653">
        <f t="shared" si="166"/>
        <v>0</v>
      </c>
      <c r="S653">
        <f t="shared" si="167"/>
        <v>0</v>
      </c>
      <c r="T653">
        <f t="shared" si="168"/>
        <v>0</v>
      </c>
      <c r="U653">
        <f t="shared" si="169"/>
        <v>0</v>
      </c>
      <c r="V653">
        <f t="shared" si="170"/>
        <v>0</v>
      </c>
      <c r="W653">
        <f t="shared" si="171"/>
        <v>0</v>
      </c>
      <c r="X653">
        <f t="shared" si="172"/>
        <v>0</v>
      </c>
      <c r="Y653">
        <f t="shared" si="173"/>
        <v>0</v>
      </c>
      <c r="Z653">
        <f t="shared" si="174"/>
        <v>0</v>
      </c>
      <c r="AB653">
        <v>649</v>
      </c>
      <c r="AC653">
        <f t="shared" si="175"/>
        <v>23</v>
      </c>
      <c r="AD653">
        <f t="shared" si="165"/>
        <v>0</v>
      </c>
    </row>
    <row r="654" spans="4:30" x14ac:dyDescent="0.25">
      <c r="D654" s="31">
        <f>Simulation_output!A652</f>
        <v>6505000</v>
      </c>
      <c r="E654">
        <f>Sheet2!R651</f>
        <v>0</v>
      </c>
      <c r="F654">
        <f>Sheet2!S651</f>
        <v>0</v>
      </c>
      <c r="G654">
        <f>Sheet2!T651</f>
        <v>0</v>
      </c>
      <c r="H654" s="31">
        <f>Simulation_output!E652</f>
        <v>1</v>
      </c>
      <c r="I654" s="31">
        <f>Simulation_output!F652</f>
        <v>287</v>
      </c>
      <c r="J654" s="31">
        <f>Simulation_output!G652</f>
        <v>1</v>
      </c>
      <c r="K654" s="31">
        <f>Simulation_output!H652</f>
        <v>0</v>
      </c>
      <c r="L654">
        <v>1</v>
      </c>
      <c r="M654">
        <f t="shared" si="163"/>
        <v>0</v>
      </c>
      <c r="N654">
        <f t="shared" ref="N654:N717" si="178">IF(K654&gt;0,I642,0)</f>
        <v>0</v>
      </c>
      <c r="O654">
        <f t="shared" si="177"/>
        <v>0</v>
      </c>
      <c r="P654">
        <f t="shared" si="164"/>
        <v>0</v>
      </c>
      <c r="Q654">
        <f t="shared" si="176"/>
        <v>0</v>
      </c>
      <c r="R654">
        <f t="shared" si="166"/>
        <v>0</v>
      </c>
      <c r="S654">
        <f t="shared" si="167"/>
        <v>0</v>
      </c>
      <c r="T654">
        <f t="shared" si="168"/>
        <v>0</v>
      </c>
      <c r="U654">
        <f t="shared" si="169"/>
        <v>0</v>
      </c>
      <c r="V654">
        <f t="shared" si="170"/>
        <v>0</v>
      </c>
      <c r="W654">
        <f t="shared" si="171"/>
        <v>0</v>
      </c>
      <c r="X654">
        <f t="shared" si="172"/>
        <v>0</v>
      </c>
      <c r="Y654">
        <f t="shared" si="173"/>
        <v>0</v>
      </c>
      <c r="Z654">
        <f t="shared" si="174"/>
        <v>0</v>
      </c>
      <c r="AB654">
        <v>650</v>
      </c>
      <c r="AC654">
        <f t="shared" si="175"/>
        <v>23</v>
      </c>
      <c r="AD654">
        <f t="shared" si="165"/>
        <v>0</v>
      </c>
    </row>
    <row r="655" spans="4:30" x14ac:dyDescent="0.25">
      <c r="D655" s="31">
        <f>Simulation_output!A653</f>
        <v>6515000</v>
      </c>
      <c r="E655">
        <f>Sheet2!R652</f>
        <v>0</v>
      </c>
      <c r="F655">
        <f>Sheet2!S652</f>
        <v>0</v>
      </c>
      <c r="G655">
        <f>Sheet2!T652</f>
        <v>0</v>
      </c>
      <c r="H655" s="31">
        <f>Simulation_output!E653</f>
        <v>1</v>
      </c>
      <c r="I655" s="31">
        <f>Simulation_output!F653</f>
        <v>336</v>
      </c>
      <c r="J655" s="31">
        <f>Simulation_output!G653</f>
        <v>1</v>
      </c>
      <c r="K655" s="31">
        <f>Simulation_output!H653</f>
        <v>0</v>
      </c>
      <c r="L655">
        <v>1</v>
      </c>
      <c r="M655">
        <f t="shared" ref="M655:M718" si="179">IF(K655&gt;0,DEC2HEX(I642),0)</f>
        <v>0</v>
      </c>
      <c r="N655">
        <f t="shared" si="178"/>
        <v>0</v>
      </c>
      <c r="O655">
        <f t="shared" si="177"/>
        <v>0</v>
      </c>
      <c r="P655">
        <f t="shared" ref="P655:P718" si="180">IF(K655&gt;0,I645,0)</f>
        <v>0</v>
      </c>
      <c r="Q655">
        <f t="shared" si="176"/>
        <v>0</v>
      </c>
      <c r="R655">
        <f t="shared" si="166"/>
        <v>0</v>
      </c>
      <c r="S655">
        <f t="shared" si="167"/>
        <v>0</v>
      </c>
      <c r="T655">
        <f t="shared" si="168"/>
        <v>0</v>
      </c>
      <c r="U655">
        <f t="shared" si="169"/>
        <v>0</v>
      </c>
      <c r="V655">
        <f t="shared" si="170"/>
        <v>0</v>
      </c>
      <c r="W655">
        <f t="shared" si="171"/>
        <v>0</v>
      </c>
      <c r="X655">
        <f t="shared" si="172"/>
        <v>0</v>
      </c>
      <c r="Y655">
        <f t="shared" si="173"/>
        <v>0</v>
      </c>
      <c r="Z655">
        <f t="shared" si="174"/>
        <v>0</v>
      </c>
      <c r="AB655">
        <v>651</v>
      </c>
      <c r="AC655">
        <f t="shared" si="175"/>
        <v>23</v>
      </c>
      <c r="AD655">
        <f t="shared" si="165"/>
        <v>0</v>
      </c>
    </row>
    <row r="656" spans="4:30" x14ac:dyDescent="0.25">
      <c r="D656" s="31">
        <f>Simulation_output!A654</f>
        <v>6525000</v>
      </c>
      <c r="E656">
        <f>Sheet2!R653</f>
        <v>0</v>
      </c>
      <c r="F656">
        <f>Sheet2!S653</f>
        <v>0</v>
      </c>
      <c r="G656">
        <f>Sheet2!T653</f>
        <v>0</v>
      </c>
      <c r="H656" s="31">
        <f>Simulation_output!E654</f>
        <v>1</v>
      </c>
      <c r="I656" s="31">
        <f>Simulation_output!F654</f>
        <v>25</v>
      </c>
      <c r="J656" s="31">
        <f>Simulation_output!G654</f>
        <v>1</v>
      </c>
      <c r="K656" s="31">
        <f>Simulation_output!H654</f>
        <v>0</v>
      </c>
      <c r="L656">
        <v>1</v>
      </c>
      <c r="M656">
        <f t="shared" si="179"/>
        <v>0</v>
      </c>
      <c r="N656">
        <f t="shared" si="178"/>
        <v>0</v>
      </c>
      <c r="O656">
        <f t="shared" si="177"/>
        <v>0</v>
      </c>
      <c r="P656">
        <f t="shared" si="180"/>
        <v>0</v>
      </c>
      <c r="Q656">
        <f t="shared" si="176"/>
        <v>0</v>
      </c>
      <c r="R656">
        <f t="shared" si="166"/>
        <v>0</v>
      </c>
      <c r="S656">
        <f t="shared" si="167"/>
        <v>0</v>
      </c>
      <c r="T656">
        <f t="shared" si="168"/>
        <v>0</v>
      </c>
      <c r="U656">
        <f t="shared" si="169"/>
        <v>0</v>
      </c>
      <c r="V656">
        <f t="shared" si="170"/>
        <v>0</v>
      </c>
      <c r="W656">
        <f t="shared" si="171"/>
        <v>0</v>
      </c>
      <c r="X656">
        <f t="shared" si="172"/>
        <v>0</v>
      </c>
      <c r="Y656">
        <f t="shared" si="173"/>
        <v>0</v>
      </c>
      <c r="Z656">
        <f t="shared" si="174"/>
        <v>0</v>
      </c>
      <c r="AB656">
        <v>652</v>
      </c>
      <c r="AC656">
        <f t="shared" si="175"/>
        <v>23</v>
      </c>
      <c r="AD656">
        <f t="shared" si="165"/>
        <v>0</v>
      </c>
    </row>
    <row r="657" spans="4:30" x14ac:dyDescent="0.25">
      <c r="D657" s="31">
        <f>Simulation_output!A655</f>
        <v>6535000</v>
      </c>
      <c r="E657">
        <f>Sheet2!R654</f>
        <v>0</v>
      </c>
      <c r="F657">
        <f>Sheet2!S654</f>
        <v>0</v>
      </c>
      <c r="G657">
        <f>Sheet2!T654</f>
        <v>0</v>
      </c>
      <c r="H657" s="31">
        <f>Simulation_output!E655</f>
        <v>1</v>
      </c>
      <c r="I657" s="31">
        <f>Simulation_output!F655</f>
        <v>5</v>
      </c>
      <c r="J657" s="31">
        <f>Simulation_output!G655</f>
        <v>1</v>
      </c>
      <c r="K657" s="31">
        <f>Simulation_output!H655</f>
        <v>0</v>
      </c>
      <c r="L657">
        <v>1</v>
      </c>
      <c r="M657">
        <f t="shared" si="179"/>
        <v>0</v>
      </c>
      <c r="N657">
        <f t="shared" si="178"/>
        <v>0</v>
      </c>
      <c r="O657">
        <f t="shared" si="177"/>
        <v>0</v>
      </c>
      <c r="P657">
        <f t="shared" si="180"/>
        <v>0</v>
      </c>
      <c r="Q657">
        <f t="shared" si="176"/>
        <v>0</v>
      </c>
      <c r="R657">
        <f t="shared" si="166"/>
        <v>0</v>
      </c>
      <c r="S657">
        <f t="shared" si="167"/>
        <v>0</v>
      </c>
      <c r="T657">
        <f t="shared" si="168"/>
        <v>0</v>
      </c>
      <c r="U657">
        <f t="shared" si="169"/>
        <v>0</v>
      </c>
      <c r="V657">
        <f t="shared" si="170"/>
        <v>0</v>
      </c>
      <c r="W657">
        <f t="shared" si="171"/>
        <v>0</v>
      </c>
      <c r="X657">
        <f t="shared" si="172"/>
        <v>0</v>
      </c>
      <c r="Y657">
        <f t="shared" si="173"/>
        <v>0</v>
      </c>
      <c r="Z657">
        <f t="shared" si="174"/>
        <v>0</v>
      </c>
      <c r="AB657">
        <v>653</v>
      </c>
      <c r="AC657">
        <f t="shared" si="175"/>
        <v>23</v>
      </c>
      <c r="AD657">
        <f t="shared" si="165"/>
        <v>0</v>
      </c>
    </row>
    <row r="658" spans="4:30" x14ac:dyDescent="0.25">
      <c r="D658" s="31">
        <f>Simulation_output!A656</f>
        <v>6545000</v>
      </c>
      <c r="E658">
        <f>Sheet2!R655</f>
        <v>0</v>
      </c>
      <c r="F658">
        <f>Sheet2!S655</f>
        <v>0</v>
      </c>
      <c r="G658">
        <f>Sheet2!T655</f>
        <v>0</v>
      </c>
      <c r="H658" s="31">
        <f>Simulation_output!E656</f>
        <v>1</v>
      </c>
      <c r="I658" s="31">
        <f>Simulation_output!F656</f>
        <v>33</v>
      </c>
      <c r="J658" s="31">
        <f>Simulation_output!G656</f>
        <v>1</v>
      </c>
      <c r="K658" s="31">
        <f>Simulation_output!H656</f>
        <v>0</v>
      </c>
      <c r="L658">
        <v>1</v>
      </c>
      <c r="M658">
        <f t="shared" si="179"/>
        <v>0</v>
      </c>
      <c r="N658">
        <f t="shared" si="178"/>
        <v>0</v>
      </c>
      <c r="O658">
        <f t="shared" si="177"/>
        <v>0</v>
      </c>
      <c r="P658">
        <f t="shared" si="180"/>
        <v>0</v>
      </c>
      <c r="Q658">
        <f t="shared" si="176"/>
        <v>0</v>
      </c>
      <c r="R658">
        <f t="shared" si="166"/>
        <v>0</v>
      </c>
      <c r="S658">
        <f t="shared" si="167"/>
        <v>0</v>
      </c>
      <c r="T658">
        <f t="shared" si="168"/>
        <v>0</v>
      </c>
      <c r="U658">
        <f t="shared" si="169"/>
        <v>0</v>
      </c>
      <c r="V658">
        <f t="shared" si="170"/>
        <v>0</v>
      </c>
      <c r="W658">
        <f t="shared" si="171"/>
        <v>0</v>
      </c>
      <c r="X658">
        <f t="shared" si="172"/>
        <v>0</v>
      </c>
      <c r="Y658">
        <f t="shared" si="173"/>
        <v>0</v>
      </c>
      <c r="Z658">
        <f t="shared" si="174"/>
        <v>0</v>
      </c>
      <c r="AB658">
        <v>654</v>
      </c>
      <c r="AC658">
        <f t="shared" si="175"/>
        <v>23</v>
      </c>
      <c r="AD658">
        <f t="shared" si="165"/>
        <v>0</v>
      </c>
    </row>
    <row r="659" spans="4:30" x14ac:dyDescent="0.25">
      <c r="D659" s="31">
        <f>Simulation_output!A657</f>
        <v>6555000</v>
      </c>
      <c r="E659">
        <f>Sheet2!R656</f>
        <v>0</v>
      </c>
      <c r="F659">
        <f>Sheet2!S656</f>
        <v>0</v>
      </c>
      <c r="G659">
        <f>Sheet2!T656</f>
        <v>0</v>
      </c>
      <c r="H659" s="31">
        <f>Simulation_output!E657</f>
        <v>1</v>
      </c>
      <c r="I659" s="31">
        <f>Simulation_output!F657</f>
        <v>133</v>
      </c>
      <c r="J659" s="31">
        <f>Simulation_output!G657</f>
        <v>1</v>
      </c>
      <c r="K659" s="31">
        <f>Simulation_output!H657</f>
        <v>0</v>
      </c>
      <c r="L659">
        <v>1</v>
      </c>
      <c r="M659">
        <f t="shared" si="179"/>
        <v>0</v>
      </c>
      <c r="N659">
        <f t="shared" si="178"/>
        <v>0</v>
      </c>
      <c r="O659">
        <f t="shared" si="177"/>
        <v>0</v>
      </c>
      <c r="P659">
        <f t="shared" si="180"/>
        <v>0</v>
      </c>
      <c r="Q659">
        <f t="shared" si="176"/>
        <v>0</v>
      </c>
      <c r="R659">
        <f t="shared" si="166"/>
        <v>0</v>
      </c>
      <c r="S659">
        <f t="shared" si="167"/>
        <v>0</v>
      </c>
      <c r="T659">
        <f t="shared" si="168"/>
        <v>0</v>
      </c>
      <c r="U659">
        <f t="shared" si="169"/>
        <v>0</v>
      </c>
      <c r="V659">
        <f t="shared" si="170"/>
        <v>0</v>
      </c>
      <c r="W659">
        <f t="shared" si="171"/>
        <v>0</v>
      </c>
      <c r="X659">
        <f t="shared" si="172"/>
        <v>0</v>
      </c>
      <c r="Y659">
        <f t="shared" si="173"/>
        <v>0</v>
      </c>
      <c r="Z659">
        <f t="shared" si="174"/>
        <v>0</v>
      </c>
      <c r="AB659">
        <v>655</v>
      </c>
      <c r="AC659">
        <f t="shared" si="175"/>
        <v>23</v>
      </c>
      <c r="AD659">
        <f t="shared" si="165"/>
        <v>0</v>
      </c>
    </row>
    <row r="660" spans="4:30" x14ac:dyDescent="0.25">
      <c r="D660" s="31">
        <f>Simulation_output!A658</f>
        <v>6565000</v>
      </c>
      <c r="E660">
        <f>Sheet2!R657</f>
        <v>0</v>
      </c>
      <c r="F660">
        <f>Sheet2!S657</f>
        <v>0</v>
      </c>
      <c r="G660">
        <f>Sheet2!T657</f>
        <v>0</v>
      </c>
      <c r="H660" s="31">
        <f>Simulation_output!E658</f>
        <v>1</v>
      </c>
      <c r="I660" s="31">
        <f>Simulation_output!F658</f>
        <v>1033</v>
      </c>
      <c r="J660" s="31">
        <f>Simulation_output!G658</f>
        <v>1</v>
      </c>
      <c r="K660" s="31">
        <f>Simulation_output!H658</f>
        <v>0</v>
      </c>
      <c r="L660">
        <v>1</v>
      </c>
      <c r="M660">
        <f t="shared" si="179"/>
        <v>0</v>
      </c>
      <c r="N660">
        <f t="shared" si="178"/>
        <v>0</v>
      </c>
      <c r="O660">
        <f t="shared" si="177"/>
        <v>0</v>
      </c>
      <c r="P660">
        <f t="shared" si="180"/>
        <v>0</v>
      </c>
      <c r="Q660">
        <f t="shared" si="176"/>
        <v>0</v>
      </c>
      <c r="R660">
        <f t="shared" si="166"/>
        <v>0</v>
      </c>
      <c r="S660">
        <f t="shared" si="167"/>
        <v>0</v>
      </c>
      <c r="T660">
        <f t="shared" si="168"/>
        <v>0</v>
      </c>
      <c r="U660">
        <f t="shared" si="169"/>
        <v>0</v>
      </c>
      <c r="V660">
        <f t="shared" si="170"/>
        <v>0</v>
      </c>
      <c r="W660">
        <f t="shared" si="171"/>
        <v>0</v>
      </c>
      <c r="X660">
        <f t="shared" si="172"/>
        <v>0</v>
      </c>
      <c r="Y660">
        <f t="shared" si="173"/>
        <v>0</v>
      </c>
      <c r="Z660">
        <f t="shared" si="174"/>
        <v>0</v>
      </c>
      <c r="AB660">
        <v>656</v>
      </c>
      <c r="AC660">
        <f t="shared" si="175"/>
        <v>23</v>
      </c>
      <c r="AD660">
        <f t="shared" si="165"/>
        <v>0</v>
      </c>
    </row>
    <row r="661" spans="4:30" x14ac:dyDescent="0.25">
      <c r="D661" s="31">
        <f>Simulation_output!A659</f>
        <v>6575000</v>
      </c>
      <c r="E661">
        <f>Sheet2!R658</f>
        <v>0</v>
      </c>
      <c r="F661">
        <f>Sheet2!S658</f>
        <v>0</v>
      </c>
      <c r="G661">
        <f>Sheet2!T658</f>
        <v>0</v>
      </c>
      <c r="H661" s="31">
        <f>Simulation_output!E659</f>
        <v>1</v>
      </c>
      <c r="I661" s="31">
        <f>Simulation_output!F659</f>
        <v>10033</v>
      </c>
      <c r="J661" s="31">
        <f>Simulation_output!G659</f>
        <v>1</v>
      </c>
      <c r="K661" s="31">
        <f>Simulation_output!H659</f>
        <v>0</v>
      </c>
      <c r="L661">
        <v>1</v>
      </c>
      <c r="M661">
        <f t="shared" si="179"/>
        <v>0</v>
      </c>
      <c r="N661">
        <f t="shared" si="178"/>
        <v>0</v>
      </c>
      <c r="O661">
        <f t="shared" si="177"/>
        <v>0</v>
      </c>
      <c r="P661">
        <f t="shared" si="180"/>
        <v>0</v>
      </c>
      <c r="Q661">
        <f t="shared" si="176"/>
        <v>0</v>
      </c>
      <c r="R661">
        <f t="shared" si="166"/>
        <v>0</v>
      </c>
      <c r="S661">
        <f t="shared" si="167"/>
        <v>0</v>
      </c>
      <c r="T661">
        <f t="shared" si="168"/>
        <v>0</v>
      </c>
      <c r="U661">
        <f t="shared" si="169"/>
        <v>0</v>
      </c>
      <c r="V661">
        <f t="shared" si="170"/>
        <v>0</v>
      </c>
      <c r="W661">
        <f t="shared" si="171"/>
        <v>0</v>
      </c>
      <c r="X661">
        <f t="shared" si="172"/>
        <v>0</v>
      </c>
      <c r="Y661">
        <f t="shared" si="173"/>
        <v>0</v>
      </c>
      <c r="Z661">
        <f t="shared" si="174"/>
        <v>0</v>
      </c>
      <c r="AB661">
        <v>657</v>
      </c>
      <c r="AC661">
        <f t="shared" si="175"/>
        <v>23</v>
      </c>
      <c r="AD661">
        <f t="shared" si="165"/>
        <v>0</v>
      </c>
    </row>
    <row r="662" spans="4:30" x14ac:dyDescent="0.25">
      <c r="D662" s="31">
        <f>Simulation_output!A660</f>
        <v>6585000</v>
      </c>
      <c r="E662">
        <f>Sheet2!R659</f>
        <v>0</v>
      </c>
      <c r="F662">
        <f>Sheet2!S659</f>
        <v>0</v>
      </c>
      <c r="G662">
        <f>Sheet2!T659</f>
        <v>0</v>
      </c>
      <c r="H662" s="31">
        <f>Simulation_output!E660</f>
        <v>1</v>
      </c>
      <c r="I662" s="31">
        <f>Simulation_output!F660</f>
        <v>1164</v>
      </c>
      <c r="J662" s="31">
        <f>Simulation_output!G660</f>
        <v>1</v>
      </c>
      <c r="K662" s="31">
        <f>Simulation_output!H660</f>
        <v>0</v>
      </c>
      <c r="L662">
        <v>1</v>
      </c>
      <c r="M662">
        <f t="shared" si="179"/>
        <v>0</v>
      </c>
      <c r="N662">
        <f t="shared" si="178"/>
        <v>0</v>
      </c>
      <c r="O662">
        <f t="shared" si="177"/>
        <v>0</v>
      </c>
      <c r="P662">
        <f t="shared" si="180"/>
        <v>0</v>
      </c>
      <c r="Q662">
        <f t="shared" si="176"/>
        <v>0</v>
      </c>
      <c r="R662">
        <f t="shared" si="166"/>
        <v>0</v>
      </c>
      <c r="S662">
        <f t="shared" si="167"/>
        <v>0</v>
      </c>
      <c r="T662">
        <f t="shared" si="168"/>
        <v>0</v>
      </c>
      <c r="U662">
        <f t="shared" si="169"/>
        <v>0</v>
      </c>
      <c r="V662">
        <f t="shared" si="170"/>
        <v>0</v>
      </c>
      <c r="W662">
        <f t="shared" si="171"/>
        <v>0</v>
      </c>
      <c r="X662">
        <f t="shared" si="172"/>
        <v>0</v>
      </c>
      <c r="Y662">
        <f t="shared" si="173"/>
        <v>0</v>
      </c>
      <c r="Z662">
        <f t="shared" si="174"/>
        <v>0</v>
      </c>
      <c r="AB662">
        <v>658</v>
      </c>
      <c r="AC662">
        <f t="shared" si="175"/>
        <v>23</v>
      </c>
      <c r="AD662">
        <f t="shared" si="165"/>
        <v>0</v>
      </c>
    </row>
    <row r="663" spans="4:30" x14ac:dyDescent="0.25">
      <c r="D663" s="31">
        <f>Simulation_output!A661</f>
        <v>6595000</v>
      </c>
      <c r="E663">
        <f>Sheet2!R660</f>
        <v>0</v>
      </c>
      <c r="F663">
        <f>Sheet2!S660</f>
        <v>0</v>
      </c>
      <c r="G663">
        <f>Sheet2!T660</f>
        <v>0</v>
      </c>
      <c r="H663" s="31">
        <f>Simulation_output!E661</f>
        <v>1</v>
      </c>
      <c r="I663" s="31">
        <f>Simulation_output!F661</f>
        <v>345</v>
      </c>
      <c r="J663" s="31">
        <f>Simulation_output!G661</f>
        <v>1</v>
      </c>
      <c r="K663" s="31">
        <f>Simulation_output!H661</f>
        <v>0</v>
      </c>
      <c r="L663">
        <v>1</v>
      </c>
      <c r="M663">
        <f t="shared" si="179"/>
        <v>0</v>
      </c>
      <c r="N663">
        <f t="shared" si="178"/>
        <v>0</v>
      </c>
      <c r="O663">
        <f t="shared" si="177"/>
        <v>0</v>
      </c>
      <c r="P663">
        <f t="shared" si="180"/>
        <v>0</v>
      </c>
      <c r="Q663">
        <f t="shared" si="176"/>
        <v>0</v>
      </c>
      <c r="R663">
        <f t="shared" si="166"/>
        <v>0</v>
      </c>
      <c r="S663">
        <f t="shared" si="167"/>
        <v>0</v>
      </c>
      <c r="T663">
        <f t="shared" si="168"/>
        <v>0</v>
      </c>
      <c r="U663">
        <f t="shared" si="169"/>
        <v>0</v>
      </c>
      <c r="V663">
        <f t="shared" si="170"/>
        <v>0</v>
      </c>
      <c r="W663">
        <f t="shared" si="171"/>
        <v>0</v>
      </c>
      <c r="X663">
        <f t="shared" si="172"/>
        <v>0</v>
      </c>
      <c r="Y663">
        <f t="shared" si="173"/>
        <v>0</v>
      </c>
      <c r="Z663">
        <f t="shared" si="174"/>
        <v>0</v>
      </c>
      <c r="AB663">
        <v>659</v>
      </c>
      <c r="AC663">
        <f t="shared" si="175"/>
        <v>23</v>
      </c>
      <c r="AD663">
        <f t="shared" si="165"/>
        <v>0</v>
      </c>
    </row>
    <row r="664" spans="4:30" x14ac:dyDescent="0.25">
      <c r="D664" s="31">
        <f>Simulation_output!A662</f>
        <v>6605000</v>
      </c>
      <c r="E664">
        <f>Sheet2!R661</f>
        <v>0</v>
      </c>
      <c r="F664">
        <f>Sheet2!S661</f>
        <v>0</v>
      </c>
      <c r="G664">
        <f>Sheet2!T661</f>
        <v>0</v>
      </c>
      <c r="H664" s="31">
        <f>Simulation_output!E662</f>
        <v>1</v>
      </c>
      <c r="I664" s="31">
        <f>Simulation_output!F662</f>
        <v>0</v>
      </c>
      <c r="J664" s="31">
        <f>Simulation_output!G662</f>
        <v>1</v>
      </c>
      <c r="K664" s="31">
        <f>Simulation_output!H662</f>
        <v>0</v>
      </c>
      <c r="L664">
        <v>1</v>
      </c>
      <c r="M664">
        <f t="shared" si="179"/>
        <v>0</v>
      </c>
      <c r="N664">
        <f t="shared" si="178"/>
        <v>0</v>
      </c>
      <c r="O664">
        <f t="shared" si="177"/>
        <v>0</v>
      </c>
      <c r="P664">
        <f t="shared" si="180"/>
        <v>0</v>
      </c>
      <c r="Q664">
        <f t="shared" si="176"/>
        <v>0</v>
      </c>
      <c r="R664">
        <f t="shared" si="166"/>
        <v>0</v>
      </c>
      <c r="S664">
        <f t="shared" si="167"/>
        <v>0</v>
      </c>
      <c r="T664">
        <f t="shared" si="168"/>
        <v>0</v>
      </c>
      <c r="U664">
        <f t="shared" si="169"/>
        <v>0</v>
      </c>
      <c r="V664">
        <f t="shared" si="170"/>
        <v>0</v>
      </c>
      <c r="W664">
        <f t="shared" si="171"/>
        <v>0</v>
      </c>
      <c r="X664">
        <f t="shared" si="172"/>
        <v>0</v>
      </c>
      <c r="Y664">
        <f t="shared" si="173"/>
        <v>0</v>
      </c>
      <c r="Z664">
        <f t="shared" si="174"/>
        <v>0</v>
      </c>
      <c r="AB664">
        <v>660</v>
      </c>
      <c r="AC664">
        <f t="shared" si="175"/>
        <v>23</v>
      </c>
      <c r="AD664">
        <f t="shared" si="165"/>
        <v>0</v>
      </c>
    </row>
    <row r="665" spans="4:30" x14ac:dyDescent="0.25">
      <c r="D665" s="31">
        <f>Simulation_output!A663</f>
        <v>6615000</v>
      </c>
      <c r="E665">
        <f>Sheet2!R662</f>
        <v>0</v>
      </c>
      <c r="F665">
        <f>Sheet2!S662</f>
        <v>0</v>
      </c>
      <c r="G665">
        <f>Sheet2!T662</f>
        <v>0</v>
      </c>
      <c r="H665" s="31">
        <f>Simulation_output!E663</f>
        <v>1</v>
      </c>
      <c r="I665" s="31">
        <f>Simulation_output!F663</f>
        <v>268435454</v>
      </c>
      <c r="J665" s="31">
        <f>Simulation_output!G663</f>
        <v>1</v>
      </c>
      <c r="K665" s="31">
        <f>Simulation_output!H663</f>
        <v>1</v>
      </c>
      <c r="L665">
        <v>1</v>
      </c>
      <c r="M665" t="str">
        <f t="shared" si="179"/>
        <v>FFFFFFF</v>
      </c>
      <c r="N665">
        <f t="shared" si="178"/>
        <v>24</v>
      </c>
      <c r="O665">
        <f t="shared" si="177"/>
        <v>287</v>
      </c>
      <c r="P665">
        <f t="shared" si="180"/>
        <v>336</v>
      </c>
      <c r="Q665">
        <f t="shared" si="176"/>
        <v>25</v>
      </c>
      <c r="R665">
        <f t="shared" si="166"/>
        <v>5</v>
      </c>
      <c r="S665">
        <f t="shared" si="167"/>
        <v>33</v>
      </c>
      <c r="T665">
        <f t="shared" si="168"/>
        <v>133</v>
      </c>
      <c r="U665">
        <f t="shared" si="169"/>
        <v>1033</v>
      </c>
      <c r="V665">
        <f t="shared" si="170"/>
        <v>10033</v>
      </c>
      <c r="W665">
        <f t="shared" si="171"/>
        <v>1164</v>
      </c>
      <c r="X665">
        <f t="shared" si="172"/>
        <v>345</v>
      </c>
      <c r="Y665">
        <f t="shared" si="173"/>
        <v>0</v>
      </c>
      <c r="Z665" t="str">
        <f t="shared" si="174"/>
        <v>FFFFFFE</v>
      </c>
      <c r="AB665">
        <v>661</v>
      </c>
      <c r="AC665">
        <f t="shared" si="175"/>
        <v>24</v>
      </c>
      <c r="AD665">
        <f t="shared" si="165"/>
        <v>24</v>
      </c>
    </row>
    <row r="666" spans="4:30" x14ac:dyDescent="0.25">
      <c r="D666" s="31">
        <f>Simulation_output!A664</f>
        <v>6625000</v>
      </c>
      <c r="E666">
        <f>Sheet2!R663</f>
        <v>0</v>
      </c>
      <c r="F666">
        <f>Sheet2!S663</f>
        <v>0</v>
      </c>
      <c r="G666">
        <f>Sheet2!T663</f>
        <v>0</v>
      </c>
      <c r="H666" s="31">
        <f>Simulation_output!E664</f>
        <v>1</v>
      </c>
      <c r="I666" s="31">
        <f>Simulation_output!F664</f>
        <v>268435455</v>
      </c>
      <c r="J666" s="31">
        <f>Simulation_output!G664</f>
        <v>1</v>
      </c>
      <c r="K666" s="31">
        <f>Simulation_output!H664</f>
        <v>0</v>
      </c>
      <c r="L666">
        <v>1</v>
      </c>
      <c r="M666">
        <f t="shared" si="179"/>
        <v>0</v>
      </c>
      <c r="N666">
        <f t="shared" si="178"/>
        <v>0</v>
      </c>
      <c r="O666">
        <f t="shared" si="177"/>
        <v>0</v>
      </c>
      <c r="P666">
        <f t="shared" si="180"/>
        <v>0</v>
      </c>
      <c r="Q666">
        <f t="shared" si="176"/>
        <v>0</v>
      </c>
      <c r="R666">
        <f t="shared" si="166"/>
        <v>0</v>
      </c>
      <c r="S666">
        <f t="shared" si="167"/>
        <v>0</v>
      </c>
      <c r="T666">
        <f t="shared" si="168"/>
        <v>0</v>
      </c>
      <c r="U666">
        <f t="shared" si="169"/>
        <v>0</v>
      </c>
      <c r="V666">
        <f t="shared" si="170"/>
        <v>0</v>
      </c>
      <c r="W666">
        <f t="shared" si="171"/>
        <v>0</v>
      </c>
      <c r="X666">
        <f t="shared" si="172"/>
        <v>0</v>
      </c>
      <c r="Y666">
        <f t="shared" si="173"/>
        <v>0</v>
      </c>
      <c r="Z666">
        <f t="shared" si="174"/>
        <v>0</v>
      </c>
      <c r="AB666">
        <v>662</v>
      </c>
      <c r="AC666">
        <f t="shared" si="175"/>
        <v>24</v>
      </c>
      <c r="AD666">
        <f t="shared" si="165"/>
        <v>0</v>
      </c>
    </row>
    <row r="667" spans="4:30" x14ac:dyDescent="0.25">
      <c r="D667" s="31">
        <f>Simulation_output!A665</f>
        <v>6635000</v>
      </c>
      <c r="E667">
        <f>Sheet2!R664</f>
        <v>0</v>
      </c>
      <c r="F667">
        <f>Sheet2!S664</f>
        <v>0</v>
      </c>
      <c r="G667">
        <f>Sheet2!T664</f>
        <v>0</v>
      </c>
      <c r="H667" s="31">
        <f>Simulation_output!E665</f>
        <v>1</v>
      </c>
      <c r="I667" s="31">
        <f>Simulation_output!F665</f>
        <v>25</v>
      </c>
      <c r="J667" s="31">
        <f>Simulation_output!G665</f>
        <v>1</v>
      </c>
      <c r="K667" s="31">
        <f>Simulation_output!H665</f>
        <v>0</v>
      </c>
      <c r="L667">
        <v>1</v>
      </c>
      <c r="M667">
        <f t="shared" si="179"/>
        <v>0</v>
      </c>
      <c r="N667">
        <f t="shared" si="178"/>
        <v>0</v>
      </c>
      <c r="O667">
        <f t="shared" si="177"/>
        <v>0</v>
      </c>
      <c r="P667">
        <f t="shared" si="180"/>
        <v>0</v>
      </c>
      <c r="Q667">
        <f t="shared" si="176"/>
        <v>0</v>
      </c>
      <c r="R667">
        <f t="shared" si="166"/>
        <v>0</v>
      </c>
      <c r="S667">
        <f t="shared" si="167"/>
        <v>0</v>
      </c>
      <c r="T667">
        <f t="shared" si="168"/>
        <v>0</v>
      </c>
      <c r="U667">
        <f t="shared" si="169"/>
        <v>0</v>
      </c>
      <c r="V667">
        <f t="shared" si="170"/>
        <v>0</v>
      </c>
      <c r="W667">
        <f t="shared" si="171"/>
        <v>0</v>
      </c>
      <c r="X667">
        <f t="shared" si="172"/>
        <v>0</v>
      </c>
      <c r="Y667">
        <f t="shared" si="173"/>
        <v>0</v>
      </c>
      <c r="Z667">
        <f t="shared" si="174"/>
        <v>0</v>
      </c>
      <c r="AB667">
        <v>663</v>
      </c>
      <c r="AC667">
        <f t="shared" si="175"/>
        <v>24</v>
      </c>
      <c r="AD667">
        <f t="shared" si="165"/>
        <v>0</v>
      </c>
    </row>
    <row r="668" spans="4:30" x14ac:dyDescent="0.25">
      <c r="D668" s="31">
        <f>Simulation_output!A666</f>
        <v>6645000</v>
      </c>
      <c r="E668">
        <f>Sheet2!R665</f>
        <v>0</v>
      </c>
      <c r="F668">
        <f>Sheet2!S665</f>
        <v>0</v>
      </c>
      <c r="G668">
        <f>Sheet2!T665</f>
        <v>0</v>
      </c>
      <c r="H668" s="31">
        <f>Simulation_output!E666</f>
        <v>1</v>
      </c>
      <c r="I668" s="31">
        <f>Simulation_output!F666</f>
        <v>299</v>
      </c>
      <c r="J668" s="31">
        <f>Simulation_output!G666</f>
        <v>1</v>
      </c>
      <c r="K668" s="31">
        <f>Simulation_output!H666</f>
        <v>0</v>
      </c>
      <c r="L668">
        <v>1</v>
      </c>
      <c r="M668">
        <f t="shared" si="179"/>
        <v>0</v>
      </c>
      <c r="N668">
        <f t="shared" si="178"/>
        <v>0</v>
      </c>
      <c r="O668">
        <f t="shared" si="177"/>
        <v>0</v>
      </c>
      <c r="P668">
        <f t="shared" si="180"/>
        <v>0</v>
      </c>
      <c r="Q668">
        <f t="shared" si="176"/>
        <v>0</v>
      </c>
      <c r="R668">
        <f t="shared" si="166"/>
        <v>0</v>
      </c>
      <c r="S668">
        <f t="shared" si="167"/>
        <v>0</v>
      </c>
      <c r="T668">
        <f t="shared" si="168"/>
        <v>0</v>
      </c>
      <c r="U668">
        <f t="shared" si="169"/>
        <v>0</v>
      </c>
      <c r="V668">
        <f t="shared" si="170"/>
        <v>0</v>
      </c>
      <c r="W668">
        <f t="shared" si="171"/>
        <v>0</v>
      </c>
      <c r="X668">
        <f t="shared" si="172"/>
        <v>0</v>
      </c>
      <c r="Y668">
        <f t="shared" si="173"/>
        <v>0</v>
      </c>
      <c r="Z668">
        <f t="shared" si="174"/>
        <v>0</v>
      </c>
      <c r="AB668">
        <v>664</v>
      </c>
      <c r="AC668">
        <f t="shared" si="175"/>
        <v>24</v>
      </c>
      <c r="AD668">
        <f t="shared" si="165"/>
        <v>0</v>
      </c>
    </row>
    <row r="669" spans="4:30" x14ac:dyDescent="0.25">
      <c r="D669" s="31">
        <f>Simulation_output!A667</f>
        <v>6655000</v>
      </c>
      <c r="E669">
        <f>Sheet2!R666</f>
        <v>0</v>
      </c>
      <c r="F669">
        <f>Sheet2!S666</f>
        <v>0</v>
      </c>
      <c r="G669">
        <f>Sheet2!T666</f>
        <v>0</v>
      </c>
      <c r="H669" s="31">
        <f>Simulation_output!E667</f>
        <v>1</v>
      </c>
      <c r="I669" s="31">
        <f>Simulation_output!F667</f>
        <v>337</v>
      </c>
      <c r="J669" s="31">
        <f>Simulation_output!G667</f>
        <v>1</v>
      </c>
      <c r="K669" s="31">
        <f>Simulation_output!H667</f>
        <v>0</v>
      </c>
      <c r="L669">
        <v>1</v>
      </c>
      <c r="M669">
        <f t="shared" si="179"/>
        <v>0</v>
      </c>
      <c r="N669">
        <f t="shared" si="178"/>
        <v>0</v>
      </c>
      <c r="O669">
        <f t="shared" si="177"/>
        <v>0</v>
      </c>
      <c r="P669">
        <f t="shared" si="180"/>
        <v>0</v>
      </c>
      <c r="Q669">
        <f t="shared" si="176"/>
        <v>0</v>
      </c>
      <c r="R669">
        <f t="shared" si="166"/>
        <v>0</v>
      </c>
      <c r="S669">
        <f t="shared" si="167"/>
        <v>0</v>
      </c>
      <c r="T669">
        <f t="shared" si="168"/>
        <v>0</v>
      </c>
      <c r="U669">
        <f t="shared" si="169"/>
        <v>0</v>
      </c>
      <c r="V669">
        <f t="shared" si="170"/>
        <v>0</v>
      </c>
      <c r="W669">
        <f t="shared" si="171"/>
        <v>0</v>
      </c>
      <c r="X669">
        <f t="shared" si="172"/>
        <v>0</v>
      </c>
      <c r="Y669">
        <f t="shared" si="173"/>
        <v>0</v>
      </c>
      <c r="Z669">
        <f t="shared" si="174"/>
        <v>0</v>
      </c>
      <c r="AB669">
        <v>665</v>
      </c>
      <c r="AC669">
        <f t="shared" si="175"/>
        <v>24</v>
      </c>
      <c r="AD669">
        <f t="shared" si="165"/>
        <v>0</v>
      </c>
    </row>
    <row r="670" spans="4:30" x14ac:dyDescent="0.25">
      <c r="D670" s="31">
        <f>Simulation_output!A668</f>
        <v>6665000</v>
      </c>
      <c r="E670">
        <f>Sheet2!R667</f>
        <v>0</v>
      </c>
      <c r="F670">
        <f>Sheet2!S667</f>
        <v>0</v>
      </c>
      <c r="G670">
        <f>Sheet2!T667</f>
        <v>0</v>
      </c>
      <c r="H670" s="31">
        <f>Simulation_output!E668</f>
        <v>1</v>
      </c>
      <c r="I670" s="31">
        <f>Simulation_output!F668</f>
        <v>25</v>
      </c>
      <c r="J670" s="31">
        <f>Simulation_output!G668</f>
        <v>1</v>
      </c>
      <c r="K670" s="31">
        <f>Simulation_output!H668</f>
        <v>0</v>
      </c>
      <c r="L670">
        <v>1</v>
      </c>
      <c r="M670">
        <f t="shared" si="179"/>
        <v>0</v>
      </c>
      <c r="N670">
        <f t="shared" si="178"/>
        <v>0</v>
      </c>
      <c r="O670">
        <f t="shared" si="177"/>
        <v>0</v>
      </c>
      <c r="P670">
        <f t="shared" si="180"/>
        <v>0</v>
      </c>
      <c r="Q670">
        <f t="shared" si="176"/>
        <v>0</v>
      </c>
      <c r="R670">
        <f t="shared" si="166"/>
        <v>0</v>
      </c>
      <c r="S670">
        <f t="shared" si="167"/>
        <v>0</v>
      </c>
      <c r="T670">
        <f t="shared" si="168"/>
        <v>0</v>
      </c>
      <c r="U670">
        <f t="shared" si="169"/>
        <v>0</v>
      </c>
      <c r="V670">
        <f t="shared" si="170"/>
        <v>0</v>
      </c>
      <c r="W670">
        <f t="shared" si="171"/>
        <v>0</v>
      </c>
      <c r="X670">
        <f t="shared" si="172"/>
        <v>0</v>
      </c>
      <c r="Y670">
        <f t="shared" si="173"/>
        <v>0</v>
      </c>
      <c r="Z670">
        <f t="shared" si="174"/>
        <v>0</v>
      </c>
      <c r="AB670">
        <v>666</v>
      </c>
      <c r="AC670">
        <f t="shared" si="175"/>
        <v>24</v>
      </c>
      <c r="AD670">
        <f t="shared" si="165"/>
        <v>0</v>
      </c>
    </row>
    <row r="671" spans="4:30" x14ac:dyDescent="0.25">
      <c r="D671" s="31">
        <f>Simulation_output!A669</f>
        <v>6675000</v>
      </c>
      <c r="E671">
        <f>Sheet2!R668</f>
        <v>0</v>
      </c>
      <c r="F671">
        <f>Sheet2!S668</f>
        <v>0</v>
      </c>
      <c r="G671">
        <f>Sheet2!T668</f>
        <v>0</v>
      </c>
      <c r="H671" s="31">
        <f>Simulation_output!E669</f>
        <v>1</v>
      </c>
      <c r="I671" s="31">
        <f>Simulation_output!F669</f>
        <v>5</v>
      </c>
      <c r="J671" s="31">
        <f>Simulation_output!G669</f>
        <v>1</v>
      </c>
      <c r="K671" s="31">
        <f>Simulation_output!H669</f>
        <v>0</v>
      </c>
      <c r="L671">
        <v>1</v>
      </c>
      <c r="M671">
        <f t="shared" si="179"/>
        <v>0</v>
      </c>
      <c r="N671">
        <f t="shared" si="178"/>
        <v>0</v>
      </c>
      <c r="O671">
        <f t="shared" si="177"/>
        <v>0</v>
      </c>
      <c r="P671">
        <f t="shared" si="180"/>
        <v>0</v>
      </c>
      <c r="Q671">
        <f t="shared" si="176"/>
        <v>0</v>
      </c>
      <c r="R671">
        <f t="shared" si="166"/>
        <v>0</v>
      </c>
      <c r="S671">
        <f t="shared" si="167"/>
        <v>0</v>
      </c>
      <c r="T671">
        <f t="shared" si="168"/>
        <v>0</v>
      </c>
      <c r="U671">
        <f t="shared" si="169"/>
        <v>0</v>
      </c>
      <c r="V671">
        <f t="shared" si="170"/>
        <v>0</v>
      </c>
      <c r="W671">
        <f t="shared" si="171"/>
        <v>0</v>
      </c>
      <c r="X671">
        <f t="shared" si="172"/>
        <v>0</v>
      </c>
      <c r="Y671">
        <f t="shared" si="173"/>
        <v>0</v>
      </c>
      <c r="Z671">
        <f t="shared" si="174"/>
        <v>0</v>
      </c>
      <c r="AB671">
        <v>667</v>
      </c>
      <c r="AC671">
        <f t="shared" si="175"/>
        <v>24</v>
      </c>
      <c r="AD671">
        <f t="shared" si="165"/>
        <v>0</v>
      </c>
    </row>
    <row r="672" spans="4:30" x14ac:dyDescent="0.25">
      <c r="D672" s="31">
        <f>Simulation_output!A670</f>
        <v>6685000</v>
      </c>
      <c r="E672">
        <f>Sheet2!R669</f>
        <v>0</v>
      </c>
      <c r="F672">
        <f>Sheet2!S669</f>
        <v>0</v>
      </c>
      <c r="G672">
        <f>Sheet2!T669</f>
        <v>0</v>
      </c>
      <c r="H672" s="31">
        <f>Simulation_output!E670</f>
        <v>1</v>
      </c>
      <c r="I672" s="31">
        <f>Simulation_output!F670</f>
        <v>34</v>
      </c>
      <c r="J672" s="31">
        <f>Simulation_output!G670</f>
        <v>1</v>
      </c>
      <c r="K672" s="31">
        <f>Simulation_output!H670</f>
        <v>0</v>
      </c>
      <c r="L672">
        <v>1</v>
      </c>
      <c r="M672">
        <f t="shared" si="179"/>
        <v>0</v>
      </c>
      <c r="N672">
        <f t="shared" si="178"/>
        <v>0</v>
      </c>
      <c r="O672">
        <f t="shared" si="177"/>
        <v>0</v>
      </c>
      <c r="P672">
        <f t="shared" si="180"/>
        <v>0</v>
      </c>
      <c r="Q672">
        <f t="shared" si="176"/>
        <v>0</v>
      </c>
      <c r="R672">
        <f t="shared" si="166"/>
        <v>0</v>
      </c>
      <c r="S672">
        <f t="shared" si="167"/>
        <v>0</v>
      </c>
      <c r="T672">
        <f t="shared" si="168"/>
        <v>0</v>
      </c>
      <c r="U672">
        <f t="shared" si="169"/>
        <v>0</v>
      </c>
      <c r="V672">
        <f t="shared" si="170"/>
        <v>0</v>
      </c>
      <c r="W672">
        <f t="shared" si="171"/>
        <v>0</v>
      </c>
      <c r="X672">
        <f t="shared" si="172"/>
        <v>0</v>
      </c>
      <c r="Y672">
        <f t="shared" si="173"/>
        <v>0</v>
      </c>
      <c r="Z672">
        <f t="shared" si="174"/>
        <v>0</v>
      </c>
      <c r="AB672">
        <v>668</v>
      </c>
      <c r="AC672">
        <f t="shared" si="175"/>
        <v>24</v>
      </c>
      <c r="AD672">
        <f t="shared" si="165"/>
        <v>0</v>
      </c>
    </row>
    <row r="673" spans="4:30" x14ac:dyDescent="0.25">
      <c r="D673" s="31">
        <f>Simulation_output!A671</f>
        <v>6695000</v>
      </c>
      <c r="E673">
        <f>Sheet2!R670</f>
        <v>0</v>
      </c>
      <c r="F673">
        <f>Sheet2!S670</f>
        <v>0</v>
      </c>
      <c r="G673">
        <f>Sheet2!T670</f>
        <v>0</v>
      </c>
      <c r="H673" s="31">
        <f>Simulation_output!E671</f>
        <v>1</v>
      </c>
      <c r="I673" s="31">
        <f>Simulation_output!F671</f>
        <v>134</v>
      </c>
      <c r="J673" s="31">
        <f>Simulation_output!G671</f>
        <v>1</v>
      </c>
      <c r="K673" s="31">
        <f>Simulation_output!H671</f>
        <v>0</v>
      </c>
      <c r="L673">
        <v>1</v>
      </c>
      <c r="M673">
        <f t="shared" si="179"/>
        <v>0</v>
      </c>
      <c r="N673">
        <f t="shared" si="178"/>
        <v>0</v>
      </c>
      <c r="O673">
        <f t="shared" si="177"/>
        <v>0</v>
      </c>
      <c r="P673">
        <f t="shared" si="180"/>
        <v>0</v>
      </c>
      <c r="Q673">
        <f t="shared" si="176"/>
        <v>0</v>
      </c>
      <c r="R673">
        <f t="shared" si="166"/>
        <v>0</v>
      </c>
      <c r="S673">
        <f t="shared" si="167"/>
        <v>0</v>
      </c>
      <c r="T673">
        <f t="shared" si="168"/>
        <v>0</v>
      </c>
      <c r="U673">
        <f t="shared" si="169"/>
        <v>0</v>
      </c>
      <c r="V673">
        <f t="shared" si="170"/>
        <v>0</v>
      </c>
      <c r="W673">
        <f t="shared" si="171"/>
        <v>0</v>
      </c>
      <c r="X673">
        <f t="shared" si="172"/>
        <v>0</v>
      </c>
      <c r="Y673">
        <f t="shared" si="173"/>
        <v>0</v>
      </c>
      <c r="Z673">
        <f t="shared" si="174"/>
        <v>0</v>
      </c>
      <c r="AB673">
        <v>669</v>
      </c>
      <c r="AC673">
        <f t="shared" si="175"/>
        <v>24</v>
      </c>
      <c r="AD673">
        <f t="shared" si="165"/>
        <v>0</v>
      </c>
    </row>
    <row r="674" spans="4:30" x14ac:dyDescent="0.25">
      <c r="D674" s="31">
        <f>Simulation_output!A672</f>
        <v>6705000</v>
      </c>
      <c r="E674">
        <f>Sheet2!R671</f>
        <v>0</v>
      </c>
      <c r="F674">
        <f>Sheet2!S671</f>
        <v>0</v>
      </c>
      <c r="G674">
        <f>Sheet2!T671</f>
        <v>0</v>
      </c>
      <c r="H674" s="31">
        <f>Simulation_output!E672</f>
        <v>1</v>
      </c>
      <c r="I674" s="31">
        <f>Simulation_output!F672</f>
        <v>1034</v>
      </c>
      <c r="J674" s="31">
        <f>Simulation_output!G672</f>
        <v>1</v>
      </c>
      <c r="K674" s="31">
        <f>Simulation_output!H672</f>
        <v>0</v>
      </c>
      <c r="L674">
        <v>1</v>
      </c>
      <c r="M674">
        <f t="shared" si="179"/>
        <v>0</v>
      </c>
      <c r="N674">
        <f t="shared" si="178"/>
        <v>0</v>
      </c>
      <c r="O674">
        <f t="shared" si="177"/>
        <v>0</v>
      </c>
      <c r="P674">
        <f t="shared" si="180"/>
        <v>0</v>
      </c>
      <c r="Q674">
        <f t="shared" si="176"/>
        <v>0</v>
      </c>
      <c r="R674">
        <f t="shared" si="166"/>
        <v>0</v>
      </c>
      <c r="S674">
        <f t="shared" si="167"/>
        <v>0</v>
      </c>
      <c r="T674">
        <f t="shared" si="168"/>
        <v>0</v>
      </c>
      <c r="U674">
        <f t="shared" si="169"/>
        <v>0</v>
      </c>
      <c r="V674">
        <f t="shared" si="170"/>
        <v>0</v>
      </c>
      <c r="W674">
        <f t="shared" si="171"/>
        <v>0</v>
      </c>
      <c r="X674">
        <f t="shared" si="172"/>
        <v>0</v>
      </c>
      <c r="Y674">
        <f t="shared" si="173"/>
        <v>0</v>
      </c>
      <c r="Z674">
        <f t="shared" si="174"/>
        <v>0</v>
      </c>
      <c r="AB674">
        <v>670</v>
      </c>
      <c r="AC674">
        <f t="shared" si="175"/>
        <v>24</v>
      </c>
      <c r="AD674">
        <f t="shared" si="165"/>
        <v>0</v>
      </c>
    </row>
    <row r="675" spans="4:30" x14ac:dyDescent="0.25">
      <c r="D675" s="31">
        <f>Simulation_output!A673</f>
        <v>6715000</v>
      </c>
      <c r="E675">
        <f>Sheet2!R672</f>
        <v>0</v>
      </c>
      <c r="F675">
        <f>Sheet2!S672</f>
        <v>0</v>
      </c>
      <c r="G675">
        <f>Sheet2!T672</f>
        <v>0</v>
      </c>
      <c r="H675" s="31">
        <f>Simulation_output!E673</f>
        <v>1</v>
      </c>
      <c r="I675" s="31">
        <f>Simulation_output!F673</f>
        <v>10034</v>
      </c>
      <c r="J675" s="31">
        <f>Simulation_output!G673</f>
        <v>1</v>
      </c>
      <c r="K675" s="31">
        <f>Simulation_output!H673</f>
        <v>0</v>
      </c>
      <c r="L675">
        <v>1</v>
      </c>
      <c r="M675">
        <f t="shared" si="179"/>
        <v>0</v>
      </c>
      <c r="N675">
        <f t="shared" si="178"/>
        <v>0</v>
      </c>
      <c r="O675">
        <f t="shared" si="177"/>
        <v>0</v>
      </c>
      <c r="P675">
        <f t="shared" si="180"/>
        <v>0</v>
      </c>
      <c r="Q675">
        <f t="shared" si="176"/>
        <v>0</v>
      </c>
      <c r="R675">
        <f t="shared" si="166"/>
        <v>0</v>
      </c>
      <c r="S675">
        <f t="shared" si="167"/>
        <v>0</v>
      </c>
      <c r="T675">
        <f t="shared" si="168"/>
        <v>0</v>
      </c>
      <c r="U675">
        <f t="shared" si="169"/>
        <v>0</v>
      </c>
      <c r="V675">
        <f t="shared" si="170"/>
        <v>0</v>
      </c>
      <c r="W675">
        <f t="shared" si="171"/>
        <v>0</v>
      </c>
      <c r="X675">
        <f t="shared" si="172"/>
        <v>0</v>
      </c>
      <c r="Y675">
        <f t="shared" si="173"/>
        <v>0</v>
      </c>
      <c r="Z675">
        <f t="shared" si="174"/>
        <v>0</v>
      </c>
      <c r="AB675">
        <v>671</v>
      </c>
      <c r="AC675">
        <f t="shared" si="175"/>
        <v>24</v>
      </c>
      <c r="AD675">
        <f t="shared" si="165"/>
        <v>0</v>
      </c>
    </row>
    <row r="676" spans="4:30" x14ac:dyDescent="0.25">
      <c r="D676" s="31">
        <f>Simulation_output!A674</f>
        <v>6725000</v>
      </c>
      <c r="E676">
        <f>Sheet2!R673</f>
        <v>0</v>
      </c>
      <c r="F676">
        <f>Sheet2!S673</f>
        <v>0</v>
      </c>
      <c r="G676">
        <f>Sheet2!T673</f>
        <v>0</v>
      </c>
      <c r="H676" s="31">
        <f>Simulation_output!E674</f>
        <v>1</v>
      </c>
      <c r="I676" s="31">
        <f>Simulation_output!F674</f>
        <v>1166</v>
      </c>
      <c r="J676" s="31">
        <f>Simulation_output!G674</f>
        <v>1</v>
      </c>
      <c r="K676" s="31">
        <f>Simulation_output!H674</f>
        <v>0</v>
      </c>
      <c r="L676">
        <v>1</v>
      </c>
      <c r="M676">
        <f t="shared" si="179"/>
        <v>0</v>
      </c>
      <c r="N676">
        <f t="shared" si="178"/>
        <v>0</v>
      </c>
      <c r="O676">
        <f t="shared" si="177"/>
        <v>0</v>
      </c>
      <c r="P676">
        <f t="shared" si="180"/>
        <v>0</v>
      </c>
      <c r="Q676">
        <f t="shared" si="176"/>
        <v>0</v>
      </c>
      <c r="R676">
        <f t="shared" si="166"/>
        <v>0</v>
      </c>
      <c r="S676">
        <f t="shared" si="167"/>
        <v>0</v>
      </c>
      <c r="T676">
        <f t="shared" si="168"/>
        <v>0</v>
      </c>
      <c r="U676">
        <f t="shared" si="169"/>
        <v>0</v>
      </c>
      <c r="V676">
        <f t="shared" si="170"/>
        <v>0</v>
      </c>
      <c r="W676">
        <f t="shared" si="171"/>
        <v>0</v>
      </c>
      <c r="X676">
        <f t="shared" si="172"/>
        <v>0</v>
      </c>
      <c r="Y676">
        <f t="shared" si="173"/>
        <v>0</v>
      </c>
      <c r="Z676">
        <f t="shared" si="174"/>
        <v>0</v>
      </c>
      <c r="AB676">
        <v>672</v>
      </c>
      <c r="AC676">
        <f t="shared" si="175"/>
        <v>24</v>
      </c>
      <c r="AD676">
        <f t="shared" si="165"/>
        <v>0</v>
      </c>
    </row>
    <row r="677" spans="4:30" x14ac:dyDescent="0.25">
      <c r="D677" s="31">
        <f>Simulation_output!A675</f>
        <v>6735000</v>
      </c>
      <c r="E677">
        <f>Sheet2!R674</f>
        <v>0</v>
      </c>
      <c r="F677">
        <f>Sheet2!S674</f>
        <v>0</v>
      </c>
      <c r="G677">
        <f>Sheet2!T674</f>
        <v>0</v>
      </c>
      <c r="H677" s="31">
        <f>Simulation_output!E675</f>
        <v>1</v>
      </c>
      <c r="I677" s="31">
        <f>Simulation_output!F675</f>
        <v>346</v>
      </c>
      <c r="J677" s="31">
        <f>Simulation_output!G675</f>
        <v>1</v>
      </c>
      <c r="K677" s="31">
        <f>Simulation_output!H675</f>
        <v>0</v>
      </c>
      <c r="L677">
        <v>1</v>
      </c>
      <c r="M677">
        <f t="shared" si="179"/>
        <v>0</v>
      </c>
      <c r="N677">
        <f t="shared" si="178"/>
        <v>0</v>
      </c>
      <c r="O677">
        <f t="shared" si="177"/>
        <v>0</v>
      </c>
      <c r="P677">
        <f t="shared" si="180"/>
        <v>0</v>
      </c>
      <c r="Q677">
        <f t="shared" si="176"/>
        <v>0</v>
      </c>
      <c r="R677">
        <f t="shared" si="166"/>
        <v>0</v>
      </c>
      <c r="S677">
        <f t="shared" si="167"/>
        <v>0</v>
      </c>
      <c r="T677">
        <f t="shared" si="168"/>
        <v>0</v>
      </c>
      <c r="U677">
        <f t="shared" si="169"/>
        <v>0</v>
      </c>
      <c r="V677">
        <f t="shared" si="170"/>
        <v>0</v>
      </c>
      <c r="W677">
        <f t="shared" si="171"/>
        <v>0</v>
      </c>
      <c r="X677">
        <f t="shared" si="172"/>
        <v>0</v>
      </c>
      <c r="Y677">
        <f t="shared" si="173"/>
        <v>0</v>
      </c>
      <c r="Z677">
        <f t="shared" si="174"/>
        <v>0</v>
      </c>
      <c r="AB677">
        <v>673</v>
      </c>
      <c r="AC677">
        <f t="shared" si="175"/>
        <v>24</v>
      </c>
      <c r="AD677">
        <f t="shared" si="165"/>
        <v>0</v>
      </c>
    </row>
    <row r="678" spans="4:30" x14ac:dyDescent="0.25">
      <c r="D678" s="31">
        <f>Simulation_output!A676</f>
        <v>6745000</v>
      </c>
      <c r="E678">
        <f>Sheet2!R675</f>
        <v>0</v>
      </c>
      <c r="F678">
        <f>Sheet2!S675</f>
        <v>0</v>
      </c>
      <c r="G678">
        <f>Sheet2!T675</f>
        <v>0</v>
      </c>
      <c r="H678" s="31">
        <f>Simulation_output!E676</f>
        <v>1</v>
      </c>
      <c r="I678" s="31">
        <f>Simulation_output!F676</f>
        <v>0</v>
      </c>
      <c r="J678" s="31">
        <f>Simulation_output!G676</f>
        <v>1</v>
      </c>
      <c r="K678" s="31">
        <f>Simulation_output!H676</f>
        <v>0</v>
      </c>
      <c r="L678">
        <v>1</v>
      </c>
      <c r="M678">
        <f t="shared" si="179"/>
        <v>0</v>
      </c>
      <c r="N678">
        <f t="shared" si="178"/>
        <v>0</v>
      </c>
      <c r="O678">
        <f t="shared" si="177"/>
        <v>0</v>
      </c>
      <c r="P678">
        <f t="shared" si="180"/>
        <v>0</v>
      </c>
      <c r="Q678">
        <f t="shared" si="176"/>
        <v>0</v>
      </c>
      <c r="R678">
        <f t="shared" si="166"/>
        <v>0</v>
      </c>
      <c r="S678">
        <f t="shared" si="167"/>
        <v>0</v>
      </c>
      <c r="T678">
        <f t="shared" si="168"/>
        <v>0</v>
      </c>
      <c r="U678">
        <f t="shared" si="169"/>
        <v>0</v>
      </c>
      <c r="V678">
        <f t="shared" si="170"/>
        <v>0</v>
      </c>
      <c r="W678">
        <f t="shared" si="171"/>
        <v>0</v>
      </c>
      <c r="X678">
        <f t="shared" si="172"/>
        <v>0</v>
      </c>
      <c r="Y678">
        <f t="shared" si="173"/>
        <v>0</v>
      </c>
      <c r="Z678">
        <f t="shared" si="174"/>
        <v>0</v>
      </c>
      <c r="AB678">
        <v>674</v>
      </c>
      <c r="AC678">
        <f t="shared" si="175"/>
        <v>24</v>
      </c>
      <c r="AD678">
        <f t="shared" si="165"/>
        <v>0</v>
      </c>
    </row>
    <row r="679" spans="4:30" x14ac:dyDescent="0.25">
      <c r="D679" s="31">
        <f>Simulation_output!A677</f>
        <v>6755000</v>
      </c>
      <c r="E679">
        <f>Sheet2!R676</f>
        <v>0</v>
      </c>
      <c r="F679">
        <f>Sheet2!S676</f>
        <v>0</v>
      </c>
      <c r="G679">
        <f>Sheet2!T676</f>
        <v>0</v>
      </c>
      <c r="H679" s="31">
        <f>Simulation_output!E677</f>
        <v>1</v>
      </c>
      <c r="I679" s="31">
        <f>Simulation_output!F677</f>
        <v>268435454</v>
      </c>
      <c r="J679" s="31">
        <f>Simulation_output!G677</f>
        <v>1</v>
      </c>
      <c r="K679" s="31">
        <f>Simulation_output!H677</f>
        <v>1</v>
      </c>
      <c r="L679">
        <v>1</v>
      </c>
      <c r="M679" t="str">
        <f t="shared" si="179"/>
        <v>FFFFFFF</v>
      </c>
      <c r="N679">
        <f t="shared" si="178"/>
        <v>25</v>
      </c>
      <c r="O679">
        <f t="shared" si="177"/>
        <v>299</v>
      </c>
      <c r="P679">
        <f t="shared" si="180"/>
        <v>337</v>
      </c>
      <c r="Q679">
        <f t="shared" si="176"/>
        <v>25</v>
      </c>
      <c r="R679">
        <f t="shared" si="166"/>
        <v>5</v>
      </c>
      <c r="S679">
        <f t="shared" si="167"/>
        <v>34</v>
      </c>
      <c r="T679">
        <f t="shared" si="168"/>
        <v>134</v>
      </c>
      <c r="U679">
        <f t="shared" si="169"/>
        <v>1034</v>
      </c>
      <c r="V679">
        <f t="shared" si="170"/>
        <v>10034</v>
      </c>
      <c r="W679">
        <f t="shared" si="171"/>
        <v>1166</v>
      </c>
      <c r="X679">
        <f t="shared" si="172"/>
        <v>346</v>
      </c>
      <c r="Y679">
        <f t="shared" si="173"/>
        <v>0</v>
      </c>
      <c r="Z679" t="str">
        <f t="shared" si="174"/>
        <v>FFFFFFE</v>
      </c>
      <c r="AB679">
        <v>675</v>
      </c>
      <c r="AC679">
        <f t="shared" si="175"/>
        <v>25</v>
      </c>
      <c r="AD679">
        <f t="shared" si="165"/>
        <v>25</v>
      </c>
    </row>
    <row r="680" spans="4:30" x14ac:dyDescent="0.25">
      <c r="D680" s="31">
        <f>Simulation_output!A678</f>
        <v>6765000</v>
      </c>
      <c r="E680">
        <f>Sheet2!R677</f>
        <v>0</v>
      </c>
      <c r="F680">
        <f>Sheet2!S677</f>
        <v>0</v>
      </c>
      <c r="G680">
        <f>Sheet2!T677</f>
        <v>0</v>
      </c>
      <c r="H680" s="31">
        <f>Simulation_output!E678</f>
        <v>1</v>
      </c>
      <c r="I680" s="31">
        <f>Simulation_output!F678</f>
        <v>268435455</v>
      </c>
      <c r="J680" s="31">
        <f>Simulation_output!G678</f>
        <v>1</v>
      </c>
      <c r="K680" s="31">
        <f>Simulation_output!H678</f>
        <v>0</v>
      </c>
      <c r="L680">
        <v>1</v>
      </c>
      <c r="M680">
        <f t="shared" si="179"/>
        <v>0</v>
      </c>
      <c r="N680">
        <f t="shared" si="178"/>
        <v>0</v>
      </c>
      <c r="O680">
        <f t="shared" si="177"/>
        <v>0</v>
      </c>
      <c r="P680">
        <f t="shared" si="180"/>
        <v>0</v>
      </c>
      <c r="Q680">
        <f t="shared" si="176"/>
        <v>0</v>
      </c>
      <c r="R680">
        <f t="shared" si="166"/>
        <v>0</v>
      </c>
      <c r="S680">
        <f t="shared" si="167"/>
        <v>0</v>
      </c>
      <c r="T680">
        <f t="shared" si="168"/>
        <v>0</v>
      </c>
      <c r="U680">
        <f t="shared" si="169"/>
        <v>0</v>
      </c>
      <c r="V680">
        <f t="shared" si="170"/>
        <v>0</v>
      </c>
      <c r="W680">
        <f t="shared" si="171"/>
        <v>0</v>
      </c>
      <c r="X680">
        <f t="shared" si="172"/>
        <v>0</v>
      </c>
      <c r="Y680">
        <f t="shared" si="173"/>
        <v>0</v>
      </c>
      <c r="Z680">
        <f t="shared" si="174"/>
        <v>0</v>
      </c>
      <c r="AB680">
        <v>676</v>
      </c>
      <c r="AC680">
        <f t="shared" si="175"/>
        <v>25</v>
      </c>
      <c r="AD680">
        <f t="shared" si="165"/>
        <v>0</v>
      </c>
    </row>
    <row r="681" spans="4:30" x14ac:dyDescent="0.25">
      <c r="D681" s="31">
        <f>Simulation_output!A679</f>
        <v>6775000</v>
      </c>
      <c r="E681">
        <f>Sheet2!R678</f>
        <v>0</v>
      </c>
      <c r="F681">
        <f>Sheet2!S678</f>
        <v>0</v>
      </c>
      <c r="G681">
        <f>Sheet2!T678</f>
        <v>0</v>
      </c>
      <c r="H681" s="31">
        <f>Simulation_output!E679</f>
        <v>1</v>
      </c>
      <c r="I681" s="31">
        <f>Simulation_output!F679</f>
        <v>26</v>
      </c>
      <c r="J681" s="31">
        <f>Simulation_output!G679</f>
        <v>1</v>
      </c>
      <c r="K681" s="31">
        <f>Simulation_output!H679</f>
        <v>0</v>
      </c>
      <c r="L681">
        <v>1</v>
      </c>
      <c r="M681">
        <f t="shared" si="179"/>
        <v>0</v>
      </c>
      <c r="N681">
        <f t="shared" si="178"/>
        <v>0</v>
      </c>
      <c r="O681">
        <f t="shared" si="177"/>
        <v>0</v>
      </c>
      <c r="P681">
        <f t="shared" si="180"/>
        <v>0</v>
      </c>
      <c r="Q681">
        <f t="shared" si="176"/>
        <v>0</v>
      </c>
      <c r="R681">
        <f t="shared" si="166"/>
        <v>0</v>
      </c>
      <c r="S681">
        <f t="shared" si="167"/>
        <v>0</v>
      </c>
      <c r="T681">
        <f t="shared" si="168"/>
        <v>0</v>
      </c>
      <c r="U681">
        <f t="shared" si="169"/>
        <v>0</v>
      </c>
      <c r="V681">
        <f t="shared" si="170"/>
        <v>0</v>
      </c>
      <c r="W681">
        <f t="shared" si="171"/>
        <v>0</v>
      </c>
      <c r="X681">
        <f t="shared" si="172"/>
        <v>0</v>
      </c>
      <c r="Y681">
        <f t="shared" si="173"/>
        <v>0</v>
      </c>
      <c r="Z681">
        <f t="shared" si="174"/>
        <v>0</v>
      </c>
      <c r="AB681">
        <v>677</v>
      </c>
      <c r="AC681">
        <f t="shared" si="175"/>
        <v>25</v>
      </c>
      <c r="AD681">
        <f t="shared" si="165"/>
        <v>0</v>
      </c>
    </row>
    <row r="682" spans="4:30" x14ac:dyDescent="0.25">
      <c r="D682" s="31">
        <f>Simulation_output!A680</f>
        <v>6785000</v>
      </c>
      <c r="E682">
        <f>Sheet2!R679</f>
        <v>0</v>
      </c>
      <c r="F682">
        <f>Sheet2!S679</f>
        <v>0</v>
      </c>
      <c r="G682">
        <f>Sheet2!T679</f>
        <v>0</v>
      </c>
      <c r="H682" s="31">
        <f>Simulation_output!E680</f>
        <v>1</v>
      </c>
      <c r="I682" s="31">
        <f>Simulation_output!F680</f>
        <v>311</v>
      </c>
      <c r="J682" s="31">
        <f>Simulation_output!G680</f>
        <v>1</v>
      </c>
      <c r="K682" s="31">
        <f>Simulation_output!H680</f>
        <v>0</v>
      </c>
      <c r="L682">
        <v>1</v>
      </c>
      <c r="M682">
        <f t="shared" si="179"/>
        <v>0</v>
      </c>
      <c r="N682">
        <f t="shared" si="178"/>
        <v>0</v>
      </c>
      <c r="O682">
        <f t="shared" si="177"/>
        <v>0</v>
      </c>
      <c r="P682">
        <f t="shared" si="180"/>
        <v>0</v>
      </c>
      <c r="Q682">
        <f t="shared" si="176"/>
        <v>0</v>
      </c>
      <c r="R682">
        <f t="shared" si="166"/>
        <v>0</v>
      </c>
      <c r="S682">
        <f t="shared" si="167"/>
        <v>0</v>
      </c>
      <c r="T682">
        <f t="shared" si="168"/>
        <v>0</v>
      </c>
      <c r="U682">
        <f t="shared" si="169"/>
        <v>0</v>
      </c>
      <c r="V682">
        <f t="shared" si="170"/>
        <v>0</v>
      </c>
      <c r="W682">
        <f t="shared" si="171"/>
        <v>0</v>
      </c>
      <c r="X682">
        <f t="shared" si="172"/>
        <v>0</v>
      </c>
      <c r="Y682">
        <f t="shared" si="173"/>
        <v>0</v>
      </c>
      <c r="Z682">
        <f t="shared" si="174"/>
        <v>0</v>
      </c>
      <c r="AB682">
        <v>678</v>
      </c>
      <c r="AC682">
        <f t="shared" si="175"/>
        <v>25</v>
      </c>
      <c r="AD682">
        <f t="shared" si="165"/>
        <v>0</v>
      </c>
    </row>
    <row r="683" spans="4:30" x14ac:dyDescent="0.25">
      <c r="D683" s="31">
        <f>Simulation_output!A681</f>
        <v>6795000</v>
      </c>
      <c r="E683">
        <f>Sheet2!R680</f>
        <v>0</v>
      </c>
      <c r="F683">
        <f>Sheet2!S680</f>
        <v>0</v>
      </c>
      <c r="G683">
        <f>Sheet2!T680</f>
        <v>0</v>
      </c>
      <c r="H683" s="31">
        <f>Simulation_output!E681</f>
        <v>1</v>
      </c>
      <c r="I683" s="31">
        <f>Simulation_output!F681</f>
        <v>338</v>
      </c>
      <c r="J683" s="31">
        <f>Simulation_output!G681</f>
        <v>1</v>
      </c>
      <c r="K683" s="31">
        <f>Simulation_output!H681</f>
        <v>0</v>
      </c>
      <c r="L683">
        <v>1</v>
      </c>
      <c r="M683">
        <f t="shared" si="179"/>
        <v>0</v>
      </c>
      <c r="N683">
        <f t="shared" si="178"/>
        <v>0</v>
      </c>
      <c r="O683">
        <f t="shared" si="177"/>
        <v>0</v>
      </c>
      <c r="P683">
        <f t="shared" si="180"/>
        <v>0</v>
      </c>
      <c r="Q683">
        <f t="shared" si="176"/>
        <v>0</v>
      </c>
      <c r="R683">
        <f t="shared" si="166"/>
        <v>0</v>
      </c>
      <c r="S683">
        <f t="shared" si="167"/>
        <v>0</v>
      </c>
      <c r="T683">
        <f t="shared" si="168"/>
        <v>0</v>
      </c>
      <c r="U683">
        <f t="shared" si="169"/>
        <v>0</v>
      </c>
      <c r="V683">
        <f t="shared" si="170"/>
        <v>0</v>
      </c>
      <c r="W683">
        <f t="shared" si="171"/>
        <v>0</v>
      </c>
      <c r="X683">
        <f t="shared" si="172"/>
        <v>0</v>
      </c>
      <c r="Y683">
        <f t="shared" si="173"/>
        <v>0</v>
      </c>
      <c r="Z683">
        <f t="shared" si="174"/>
        <v>0</v>
      </c>
      <c r="AB683">
        <v>679</v>
      </c>
      <c r="AC683">
        <f t="shared" si="175"/>
        <v>25</v>
      </c>
      <c r="AD683">
        <f t="shared" si="165"/>
        <v>0</v>
      </c>
    </row>
    <row r="684" spans="4:30" x14ac:dyDescent="0.25">
      <c r="D684" s="31">
        <f>Simulation_output!A682</f>
        <v>6805000</v>
      </c>
      <c r="E684">
        <f>Sheet2!R681</f>
        <v>0</v>
      </c>
      <c r="F684">
        <f>Sheet2!S681</f>
        <v>0</v>
      </c>
      <c r="G684">
        <f>Sheet2!T681</f>
        <v>0</v>
      </c>
      <c r="H684" s="31">
        <f>Simulation_output!E682</f>
        <v>1</v>
      </c>
      <c r="I684" s="31">
        <f>Simulation_output!F682</f>
        <v>25</v>
      </c>
      <c r="J684" s="31">
        <f>Simulation_output!G682</f>
        <v>1</v>
      </c>
      <c r="K684" s="31">
        <f>Simulation_output!H682</f>
        <v>0</v>
      </c>
      <c r="L684">
        <v>1</v>
      </c>
      <c r="M684">
        <f t="shared" si="179"/>
        <v>0</v>
      </c>
      <c r="N684">
        <f t="shared" si="178"/>
        <v>0</v>
      </c>
      <c r="O684">
        <f t="shared" si="177"/>
        <v>0</v>
      </c>
      <c r="P684">
        <f t="shared" si="180"/>
        <v>0</v>
      </c>
      <c r="Q684">
        <f t="shared" si="176"/>
        <v>0</v>
      </c>
      <c r="R684">
        <f t="shared" si="166"/>
        <v>0</v>
      </c>
      <c r="S684">
        <f t="shared" si="167"/>
        <v>0</v>
      </c>
      <c r="T684">
        <f t="shared" si="168"/>
        <v>0</v>
      </c>
      <c r="U684">
        <f t="shared" si="169"/>
        <v>0</v>
      </c>
      <c r="V684">
        <f t="shared" si="170"/>
        <v>0</v>
      </c>
      <c r="W684">
        <f t="shared" si="171"/>
        <v>0</v>
      </c>
      <c r="X684">
        <f t="shared" si="172"/>
        <v>0</v>
      </c>
      <c r="Y684">
        <f t="shared" si="173"/>
        <v>0</v>
      </c>
      <c r="Z684">
        <f t="shared" si="174"/>
        <v>0</v>
      </c>
      <c r="AB684">
        <v>680</v>
      </c>
      <c r="AC684">
        <f t="shared" si="175"/>
        <v>25</v>
      </c>
      <c r="AD684">
        <f t="shared" si="165"/>
        <v>0</v>
      </c>
    </row>
    <row r="685" spans="4:30" x14ac:dyDescent="0.25">
      <c r="D685" s="31">
        <f>Simulation_output!A683</f>
        <v>6815000</v>
      </c>
      <c r="E685">
        <f>Sheet2!R682</f>
        <v>0</v>
      </c>
      <c r="F685">
        <f>Sheet2!S682</f>
        <v>0</v>
      </c>
      <c r="G685">
        <f>Sheet2!T682</f>
        <v>0</v>
      </c>
      <c r="H685" s="31">
        <f>Simulation_output!E683</f>
        <v>1</v>
      </c>
      <c r="I685" s="31">
        <f>Simulation_output!F683</f>
        <v>5</v>
      </c>
      <c r="J685" s="31">
        <f>Simulation_output!G683</f>
        <v>1</v>
      </c>
      <c r="K685" s="31">
        <f>Simulation_output!H683</f>
        <v>0</v>
      </c>
      <c r="L685">
        <v>1</v>
      </c>
      <c r="M685">
        <f t="shared" si="179"/>
        <v>0</v>
      </c>
      <c r="N685">
        <f t="shared" si="178"/>
        <v>0</v>
      </c>
      <c r="O685">
        <f t="shared" si="177"/>
        <v>0</v>
      </c>
      <c r="P685">
        <f t="shared" si="180"/>
        <v>0</v>
      </c>
      <c r="Q685">
        <f t="shared" si="176"/>
        <v>0</v>
      </c>
      <c r="R685">
        <f t="shared" si="166"/>
        <v>0</v>
      </c>
      <c r="S685">
        <f t="shared" si="167"/>
        <v>0</v>
      </c>
      <c r="T685">
        <f t="shared" si="168"/>
        <v>0</v>
      </c>
      <c r="U685">
        <f t="shared" si="169"/>
        <v>0</v>
      </c>
      <c r="V685">
        <f t="shared" si="170"/>
        <v>0</v>
      </c>
      <c r="W685">
        <f t="shared" si="171"/>
        <v>0</v>
      </c>
      <c r="X685">
        <f t="shared" si="172"/>
        <v>0</v>
      </c>
      <c r="Y685">
        <f t="shared" si="173"/>
        <v>0</v>
      </c>
      <c r="Z685">
        <f t="shared" si="174"/>
        <v>0</v>
      </c>
      <c r="AB685">
        <v>681</v>
      </c>
      <c r="AC685">
        <f t="shared" si="175"/>
        <v>25</v>
      </c>
      <c r="AD685">
        <f t="shared" si="165"/>
        <v>0</v>
      </c>
    </row>
    <row r="686" spans="4:30" x14ac:dyDescent="0.25">
      <c r="D686" s="31">
        <f>Simulation_output!A684</f>
        <v>6825000</v>
      </c>
      <c r="E686">
        <f>Sheet2!R683</f>
        <v>0</v>
      </c>
      <c r="F686">
        <f>Sheet2!S683</f>
        <v>0</v>
      </c>
      <c r="G686">
        <f>Sheet2!T683</f>
        <v>0</v>
      </c>
      <c r="H686" s="31">
        <f>Simulation_output!E684</f>
        <v>1</v>
      </c>
      <c r="I686" s="31">
        <f>Simulation_output!F684</f>
        <v>35</v>
      </c>
      <c r="J686" s="31">
        <f>Simulation_output!G684</f>
        <v>1</v>
      </c>
      <c r="K686" s="31">
        <f>Simulation_output!H684</f>
        <v>0</v>
      </c>
      <c r="L686">
        <v>1</v>
      </c>
      <c r="M686">
        <f t="shared" si="179"/>
        <v>0</v>
      </c>
      <c r="N686">
        <f t="shared" si="178"/>
        <v>0</v>
      </c>
      <c r="O686">
        <f t="shared" si="177"/>
        <v>0</v>
      </c>
      <c r="P686">
        <f t="shared" si="180"/>
        <v>0</v>
      </c>
      <c r="Q686">
        <f t="shared" si="176"/>
        <v>0</v>
      </c>
      <c r="R686">
        <f t="shared" si="166"/>
        <v>0</v>
      </c>
      <c r="S686">
        <f t="shared" si="167"/>
        <v>0</v>
      </c>
      <c r="T686">
        <f t="shared" si="168"/>
        <v>0</v>
      </c>
      <c r="U686">
        <f t="shared" si="169"/>
        <v>0</v>
      </c>
      <c r="V686">
        <f t="shared" si="170"/>
        <v>0</v>
      </c>
      <c r="W686">
        <f t="shared" si="171"/>
        <v>0</v>
      </c>
      <c r="X686">
        <f t="shared" si="172"/>
        <v>0</v>
      </c>
      <c r="Y686">
        <f t="shared" si="173"/>
        <v>0</v>
      </c>
      <c r="Z686">
        <f t="shared" si="174"/>
        <v>0</v>
      </c>
      <c r="AB686">
        <v>682</v>
      </c>
      <c r="AC686">
        <f t="shared" si="175"/>
        <v>25</v>
      </c>
      <c r="AD686">
        <f t="shared" si="165"/>
        <v>0</v>
      </c>
    </row>
    <row r="687" spans="4:30" x14ac:dyDescent="0.25">
      <c r="D687" s="31">
        <f>Simulation_output!A685</f>
        <v>6835000</v>
      </c>
      <c r="E687">
        <f>Sheet2!R684</f>
        <v>0</v>
      </c>
      <c r="F687">
        <f>Sheet2!S684</f>
        <v>0</v>
      </c>
      <c r="G687">
        <f>Sheet2!T684</f>
        <v>0</v>
      </c>
      <c r="H687" s="31">
        <f>Simulation_output!E685</f>
        <v>1</v>
      </c>
      <c r="I687" s="31">
        <f>Simulation_output!F685</f>
        <v>135</v>
      </c>
      <c r="J687" s="31">
        <f>Simulation_output!G685</f>
        <v>1</v>
      </c>
      <c r="K687" s="31">
        <f>Simulation_output!H685</f>
        <v>0</v>
      </c>
      <c r="L687">
        <v>1</v>
      </c>
      <c r="M687">
        <f t="shared" si="179"/>
        <v>0</v>
      </c>
      <c r="N687">
        <f t="shared" si="178"/>
        <v>0</v>
      </c>
      <c r="O687">
        <f t="shared" si="177"/>
        <v>0</v>
      </c>
      <c r="P687">
        <f t="shared" si="180"/>
        <v>0</v>
      </c>
      <c r="Q687">
        <f t="shared" si="176"/>
        <v>0</v>
      </c>
      <c r="R687">
        <f t="shared" si="166"/>
        <v>0</v>
      </c>
      <c r="S687">
        <f t="shared" si="167"/>
        <v>0</v>
      </c>
      <c r="T687">
        <f t="shared" si="168"/>
        <v>0</v>
      </c>
      <c r="U687">
        <f t="shared" si="169"/>
        <v>0</v>
      </c>
      <c r="V687">
        <f t="shared" si="170"/>
        <v>0</v>
      </c>
      <c r="W687">
        <f t="shared" si="171"/>
        <v>0</v>
      </c>
      <c r="X687">
        <f t="shared" si="172"/>
        <v>0</v>
      </c>
      <c r="Y687">
        <f t="shared" si="173"/>
        <v>0</v>
      </c>
      <c r="Z687">
        <f t="shared" si="174"/>
        <v>0</v>
      </c>
      <c r="AB687">
        <v>683</v>
      </c>
      <c r="AC687">
        <f t="shared" si="175"/>
        <v>25</v>
      </c>
      <c r="AD687">
        <f t="shared" si="165"/>
        <v>0</v>
      </c>
    </row>
    <row r="688" spans="4:30" x14ac:dyDescent="0.25">
      <c r="D688" s="31">
        <f>Simulation_output!A686</f>
        <v>6845000</v>
      </c>
      <c r="E688">
        <f>Sheet2!R685</f>
        <v>0</v>
      </c>
      <c r="F688">
        <f>Sheet2!S685</f>
        <v>0</v>
      </c>
      <c r="G688">
        <f>Sheet2!T685</f>
        <v>0</v>
      </c>
      <c r="H688" s="31">
        <f>Simulation_output!E686</f>
        <v>1</v>
      </c>
      <c r="I688" s="31">
        <f>Simulation_output!F686</f>
        <v>1035</v>
      </c>
      <c r="J688" s="31">
        <f>Simulation_output!G686</f>
        <v>1</v>
      </c>
      <c r="K688" s="31">
        <f>Simulation_output!H686</f>
        <v>0</v>
      </c>
      <c r="L688">
        <v>1</v>
      </c>
      <c r="M688">
        <f t="shared" si="179"/>
        <v>0</v>
      </c>
      <c r="N688">
        <f t="shared" si="178"/>
        <v>0</v>
      </c>
      <c r="O688">
        <f t="shared" si="177"/>
        <v>0</v>
      </c>
      <c r="P688">
        <f t="shared" si="180"/>
        <v>0</v>
      </c>
      <c r="Q688">
        <f t="shared" si="176"/>
        <v>0</v>
      </c>
      <c r="R688">
        <f t="shared" si="166"/>
        <v>0</v>
      </c>
      <c r="S688">
        <f t="shared" si="167"/>
        <v>0</v>
      </c>
      <c r="T688">
        <f t="shared" si="168"/>
        <v>0</v>
      </c>
      <c r="U688">
        <f t="shared" si="169"/>
        <v>0</v>
      </c>
      <c r="V688">
        <f t="shared" si="170"/>
        <v>0</v>
      </c>
      <c r="W688">
        <f t="shared" si="171"/>
        <v>0</v>
      </c>
      <c r="X688">
        <f t="shared" si="172"/>
        <v>0</v>
      </c>
      <c r="Y688">
        <f t="shared" si="173"/>
        <v>0</v>
      </c>
      <c r="Z688">
        <f t="shared" si="174"/>
        <v>0</v>
      </c>
      <c r="AB688">
        <v>684</v>
      </c>
      <c r="AC688">
        <f t="shared" si="175"/>
        <v>25</v>
      </c>
      <c r="AD688">
        <f t="shared" si="165"/>
        <v>0</v>
      </c>
    </row>
    <row r="689" spans="4:30" x14ac:dyDescent="0.25">
      <c r="D689" s="31">
        <f>Simulation_output!A687</f>
        <v>6855000</v>
      </c>
      <c r="E689">
        <f>Sheet2!R686</f>
        <v>0</v>
      </c>
      <c r="F689">
        <f>Sheet2!S686</f>
        <v>0</v>
      </c>
      <c r="G689">
        <f>Sheet2!T686</f>
        <v>0</v>
      </c>
      <c r="H689" s="31">
        <f>Simulation_output!E687</f>
        <v>1</v>
      </c>
      <c r="I689" s="31">
        <f>Simulation_output!F687</f>
        <v>10035</v>
      </c>
      <c r="J689" s="31">
        <f>Simulation_output!G687</f>
        <v>1</v>
      </c>
      <c r="K689" s="31">
        <f>Simulation_output!H687</f>
        <v>0</v>
      </c>
      <c r="L689">
        <v>1</v>
      </c>
      <c r="M689">
        <f t="shared" si="179"/>
        <v>0</v>
      </c>
      <c r="N689">
        <f t="shared" si="178"/>
        <v>0</v>
      </c>
      <c r="O689">
        <f t="shared" si="177"/>
        <v>0</v>
      </c>
      <c r="P689">
        <f t="shared" si="180"/>
        <v>0</v>
      </c>
      <c r="Q689">
        <f t="shared" si="176"/>
        <v>0</v>
      </c>
      <c r="R689">
        <f t="shared" si="166"/>
        <v>0</v>
      </c>
      <c r="S689">
        <f t="shared" si="167"/>
        <v>0</v>
      </c>
      <c r="T689">
        <f t="shared" si="168"/>
        <v>0</v>
      </c>
      <c r="U689">
        <f t="shared" si="169"/>
        <v>0</v>
      </c>
      <c r="V689">
        <f t="shared" si="170"/>
        <v>0</v>
      </c>
      <c r="W689">
        <f t="shared" si="171"/>
        <v>0</v>
      </c>
      <c r="X689">
        <f t="shared" si="172"/>
        <v>0</v>
      </c>
      <c r="Y689">
        <f t="shared" si="173"/>
        <v>0</v>
      </c>
      <c r="Z689">
        <f t="shared" si="174"/>
        <v>0</v>
      </c>
      <c r="AB689">
        <v>685</v>
      </c>
      <c r="AC689">
        <f t="shared" si="175"/>
        <v>25</v>
      </c>
      <c r="AD689">
        <f t="shared" si="165"/>
        <v>0</v>
      </c>
    </row>
    <row r="690" spans="4:30" x14ac:dyDescent="0.25">
      <c r="D690" s="31">
        <f>Simulation_output!A688</f>
        <v>6865000</v>
      </c>
      <c r="E690">
        <f>Sheet2!R687</f>
        <v>0</v>
      </c>
      <c r="F690">
        <f>Sheet2!S687</f>
        <v>0</v>
      </c>
      <c r="G690">
        <f>Sheet2!T687</f>
        <v>0</v>
      </c>
      <c r="H690" s="31">
        <f>Simulation_output!E688</f>
        <v>1</v>
      </c>
      <c r="I690" s="31">
        <f>Simulation_output!F688</f>
        <v>1168</v>
      </c>
      <c r="J690" s="31">
        <f>Simulation_output!G688</f>
        <v>1</v>
      </c>
      <c r="K690" s="31">
        <f>Simulation_output!H688</f>
        <v>0</v>
      </c>
      <c r="L690">
        <v>1</v>
      </c>
      <c r="M690">
        <f t="shared" si="179"/>
        <v>0</v>
      </c>
      <c r="N690">
        <f t="shared" si="178"/>
        <v>0</v>
      </c>
      <c r="O690">
        <f t="shared" si="177"/>
        <v>0</v>
      </c>
      <c r="P690">
        <f t="shared" si="180"/>
        <v>0</v>
      </c>
      <c r="Q690">
        <f t="shared" si="176"/>
        <v>0</v>
      </c>
      <c r="R690">
        <f t="shared" si="166"/>
        <v>0</v>
      </c>
      <c r="S690">
        <f t="shared" si="167"/>
        <v>0</v>
      </c>
      <c r="T690">
        <f t="shared" si="168"/>
        <v>0</v>
      </c>
      <c r="U690">
        <f t="shared" si="169"/>
        <v>0</v>
      </c>
      <c r="V690">
        <f t="shared" si="170"/>
        <v>0</v>
      </c>
      <c r="W690">
        <f t="shared" si="171"/>
        <v>0</v>
      </c>
      <c r="X690">
        <f t="shared" si="172"/>
        <v>0</v>
      </c>
      <c r="Y690">
        <f t="shared" si="173"/>
        <v>0</v>
      </c>
      <c r="Z690">
        <f t="shared" si="174"/>
        <v>0</v>
      </c>
      <c r="AB690">
        <v>686</v>
      </c>
      <c r="AC690">
        <f t="shared" si="175"/>
        <v>25</v>
      </c>
      <c r="AD690">
        <f t="shared" si="165"/>
        <v>0</v>
      </c>
    </row>
    <row r="691" spans="4:30" x14ac:dyDescent="0.25">
      <c r="D691" s="31">
        <f>Simulation_output!A689</f>
        <v>6875000</v>
      </c>
      <c r="E691">
        <f>Sheet2!R688</f>
        <v>0</v>
      </c>
      <c r="F691">
        <f>Sheet2!S688</f>
        <v>0</v>
      </c>
      <c r="G691">
        <f>Sheet2!T688</f>
        <v>0</v>
      </c>
      <c r="H691" s="31">
        <f>Simulation_output!E689</f>
        <v>1</v>
      </c>
      <c r="I691" s="31">
        <f>Simulation_output!F689</f>
        <v>347</v>
      </c>
      <c r="J691" s="31">
        <f>Simulation_output!G689</f>
        <v>1</v>
      </c>
      <c r="K691" s="31">
        <f>Simulation_output!H689</f>
        <v>0</v>
      </c>
      <c r="L691">
        <v>1</v>
      </c>
      <c r="M691">
        <f t="shared" si="179"/>
        <v>0</v>
      </c>
      <c r="N691">
        <f t="shared" si="178"/>
        <v>0</v>
      </c>
      <c r="O691">
        <f t="shared" si="177"/>
        <v>0</v>
      </c>
      <c r="P691">
        <f t="shared" si="180"/>
        <v>0</v>
      </c>
      <c r="Q691">
        <f t="shared" si="176"/>
        <v>0</v>
      </c>
      <c r="R691">
        <f t="shared" si="166"/>
        <v>0</v>
      </c>
      <c r="S691">
        <f t="shared" si="167"/>
        <v>0</v>
      </c>
      <c r="T691">
        <f t="shared" si="168"/>
        <v>0</v>
      </c>
      <c r="U691">
        <f t="shared" si="169"/>
        <v>0</v>
      </c>
      <c r="V691">
        <f t="shared" si="170"/>
        <v>0</v>
      </c>
      <c r="W691">
        <f t="shared" si="171"/>
        <v>0</v>
      </c>
      <c r="X691">
        <f t="shared" si="172"/>
        <v>0</v>
      </c>
      <c r="Y691">
        <f t="shared" si="173"/>
        <v>0</v>
      </c>
      <c r="Z691">
        <f t="shared" si="174"/>
        <v>0</v>
      </c>
      <c r="AB691">
        <v>687</v>
      </c>
      <c r="AC691">
        <f t="shared" si="175"/>
        <v>25</v>
      </c>
      <c r="AD691">
        <f t="shared" si="165"/>
        <v>0</v>
      </c>
    </row>
    <row r="692" spans="4:30" x14ac:dyDescent="0.25">
      <c r="D692" s="31">
        <f>Simulation_output!A690</f>
        <v>6885000</v>
      </c>
      <c r="E692">
        <f>Sheet2!R689</f>
        <v>0</v>
      </c>
      <c r="F692">
        <f>Sheet2!S689</f>
        <v>0</v>
      </c>
      <c r="G692">
        <f>Sheet2!T689</f>
        <v>0</v>
      </c>
      <c r="H692" s="31">
        <f>Simulation_output!E690</f>
        <v>1</v>
      </c>
      <c r="I692" s="31">
        <f>Simulation_output!F690</f>
        <v>0</v>
      </c>
      <c r="J692" s="31">
        <f>Simulation_output!G690</f>
        <v>1</v>
      </c>
      <c r="K692" s="31">
        <f>Simulation_output!H690</f>
        <v>0</v>
      </c>
      <c r="L692">
        <v>1</v>
      </c>
      <c r="M692">
        <f t="shared" si="179"/>
        <v>0</v>
      </c>
      <c r="N692">
        <f t="shared" si="178"/>
        <v>0</v>
      </c>
      <c r="O692">
        <f t="shared" si="177"/>
        <v>0</v>
      </c>
      <c r="P692">
        <f t="shared" si="180"/>
        <v>0</v>
      </c>
      <c r="Q692">
        <f t="shared" si="176"/>
        <v>0</v>
      </c>
      <c r="R692">
        <f t="shared" si="166"/>
        <v>0</v>
      </c>
      <c r="S692">
        <f t="shared" si="167"/>
        <v>0</v>
      </c>
      <c r="T692">
        <f t="shared" si="168"/>
        <v>0</v>
      </c>
      <c r="U692">
        <f t="shared" si="169"/>
        <v>0</v>
      </c>
      <c r="V692">
        <f t="shared" si="170"/>
        <v>0</v>
      </c>
      <c r="W692">
        <f t="shared" si="171"/>
        <v>0</v>
      </c>
      <c r="X692">
        <f t="shared" si="172"/>
        <v>0</v>
      </c>
      <c r="Y692">
        <f t="shared" si="173"/>
        <v>0</v>
      </c>
      <c r="Z692">
        <f t="shared" si="174"/>
        <v>0</v>
      </c>
      <c r="AB692">
        <v>688</v>
      </c>
      <c r="AC692">
        <f t="shared" si="175"/>
        <v>25</v>
      </c>
      <c r="AD692">
        <f t="shared" si="165"/>
        <v>0</v>
      </c>
    </row>
    <row r="693" spans="4:30" x14ac:dyDescent="0.25">
      <c r="D693" s="31">
        <f>Simulation_output!A691</f>
        <v>6895000</v>
      </c>
      <c r="E693">
        <f>Sheet2!R690</f>
        <v>0</v>
      </c>
      <c r="F693">
        <f>Sheet2!S690</f>
        <v>0</v>
      </c>
      <c r="G693">
        <f>Sheet2!T690</f>
        <v>0</v>
      </c>
      <c r="H693" s="31">
        <f>Simulation_output!E691</f>
        <v>1</v>
      </c>
      <c r="I693" s="31">
        <f>Simulation_output!F691</f>
        <v>268435454</v>
      </c>
      <c r="J693" s="31">
        <f>Simulation_output!G691</f>
        <v>1</v>
      </c>
      <c r="K693" s="31">
        <f>Simulation_output!H691</f>
        <v>1</v>
      </c>
      <c r="L693">
        <v>1</v>
      </c>
      <c r="M693" t="str">
        <f t="shared" si="179"/>
        <v>FFFFFFF</v>
      </c>
      <c r="N693">
        <f t="shared" si="178"/>
        <v>26</v>
      </c>
      <c r="O693">
        <f t="shared" si="177"/>
        <v>311</v>
      </c>
      <c r="P693">
        <f t="shared" si="180"/>
        <v>338</v>
      </c>
      <c r="Q693">
        <f t="shared" si="176"/>
        <v>25</v>
      </c>
      <c r="R693">
        <f t="shared" si="166"/>
        <v>5</v>
      </c>
      <c r="S693">
        <f t="shared" si="167"/>
        <v>35</v>
      </c>
      <c r="T693">
        <f t="shared" si="168"/>
        <v>135</v>
      </c>
      <c r="U693">
        <f t="shared" si="169"/>
        <v>1035</v>
      </c>
      <c r="V693">
        <f t="shared" si="170"/>
        <v>10035</v>
      </c>
      <c r="W693">
        <f t="shared" si="171"/>
        <v>1168</v>
      </c>
      <c r="X693">
        <f t="shared" si="172"/>
        <v>347</v>
      </c>
      <c r="Y693">
        <f t="shared" si="173"/>
        <v>0</v>
      </c>
      <c r="Z693" t="str">
        <f t="shared" si="174"/>
        <v>FFFFFFE</v>
      </c>
      <c r="AB693">
        <v>689</v>
      </c>
      <c r="AC693">
        <f t="shared" si="175"/>
        <v>26</v>
      </c>
      <c r="AD693">
        <f t="shared" si="165"/>
        <v>26</v>
      </c>
    </row>
    <row r="694" spans="4:30" x14ac:dyDescent="0.25">
      <c r="D694" s="31">
        <f>Simulation_output!A692</f>
        <v>6905000</v>
      </c>
      <c r="E694">
        <f>Sheet2!R691</f>
        <v>0</v>
      </c>
      <c r="F694">
        <f>Sheet2!S691</f>
        <v>0</v>
      </c>
      <c r="G694">
        <f>Sheet2!T691</f>
        <v>0</v>
      </c>
      <c r="H694" s="31">
        <f>Simulation_output!E692</f>
        <v>1</v>
      </c>
      <c r="I694" s="31">
        <f>Simulation_output!F692</f>
        <v>268435455</v>
      </c>
      <c r="J694" s="31">
        <f>Simulation_output!G692</f>
        <v>1</v>
      </c>
      <c r="K694" s="31">
        <f>Simulation_output!H692</f>
        <v>0</v>
      </c>
      <c r="L694">
        <v>1</v>
      </c>
      <c r="M694">
        <f t="shared" si="179"/>
        <v>0</v>
      </c>
      <c r="N694">
        <f t="shared" si="178"/>
        <v>0</v>
      </c>
      <c r="O694">
        <f t="shared" si="177"/>
        <v>0</v>
      </c>
      <c r="P694">
        <f t="shared" si="180"/>
        <v>0</v>
      </c>
      <c r="Q694">
        <f t="shared" si="176"/>
        <v>0</v>
      </c>
      <c r="R694">
        <f t="shared" si="166"/>
        <v>0</v>
      </c>
      <c r="S694">
        <f t="shared" si="167"/>
        <v>0</v>
      </c>
      <c r="T694">
        <f t="shared" si="168"/>
        <v>0</v>
      </c>
      <c r="U694">
        <f t="shared" si="169"/>
        <v>0</v>
      </c>
      <c r="V694">
        <f t="shared" si="170"/>
        <v>0</v>
      </c>
      <c r="W694">
        <f t="shared" si="171"/>
        <v>0</v>
      </c>
      <c r="X694">
        <f t="shared" si="172"/>
        <v>0</v>
      </c>
      <c r="Y694">
        <f t="shared" si="173"/>
        <v>0</v>
      </c>
      <c r="Z694">
        <f t="shared" si="174"/>
        <v>0</v>
      </c>
      <c r="AB694">
        <v>690</v>
      </c>
      <c r="AC694">
        <f t="shared" si="175"/>
        <v>26</v>
      </c>
      <c r="AD694">
        <f t="shared" si="165"/>
        <v>0</v>
      </c>
    </row>
    <row r="695" spans="4:30" x14ac:dyDescent="0.25">
      <c r="D695" s="31">
        <f>Simulation_output!A693</f>
        <v>6915000</v>
      </c>
      <c r="E695">
        <f>Sheet2!R692</f>
        <v>0</v>
      </c>
      <c r="F695">
        <f>Sheet2!S692</f>
        <v>0</v>
      </c>
      <c r="G695">
        <f>Sheet2!T692</f>
        <v>0</v>
      </c>
      <c r="H695" s="31">
        <f>Simulation_output!E693</f>
        <v>1</v>
      </c>
      <c r="I695" s="31">
        <f>Simulation_output!F693</f>
        <v>27</v>
      </c>
      <c r="J695" s="31">
        <f>Simulation_output!G693</f>
        <v>1</v>
      </c>
      <c r="K695" s="31">
        <f>Simulation_output!H693</f>
        <v>0</v>
      </c>
      <c r="L695">
        <v>1</v>
      </c>
      <c r="M695">
        <f t="shared" si="179"/>
        <v>0</v>
      </c>
      <c r="N695">
        <f t="shared" si="178"/>
        <v>0</v>
      </c>
      <c r="O695">
        <f t="shared" si="177"/>
        <v>0</v>
      </c>
      <c r="P695">
        <f t="shared" si="180"/>
        <v>0</v>
      </c>
      <c r="Q695">
        <f t="shared" si="176"/>
        <v>0</v>
      </c>
      <c r="R695">
        <f t="shared" si="166"/>
        <v>0</v>
      </c>
      <c r="S695">
        <f t="shared" si="167"/>
        <v>0</v>
      </c>
      <c r="T695">
        <f t="shared" si="168"/>
        <v>0</v>
      </c>
      <c r="U695">
        <f t="shared" si="169"/>
        <v>0</v>
      </c>
      <c r="V695">
        <f t="shared" si="170"/>
        <v>0</v>
      </c>
      <c r="W695">
        <f t="shared" si="171"/>
        <v>0</v>
      </c>
      <c r="X695">
        <f t="shared" si="172"/>
        <v>0</v>
      </c>
      <c r="Y695">
        <f t="shared" si="173"/>
        <v>0</v>
      </c>
      <c r="Z695">
        <f t="shared" si="174"/>
        <v>0</v>
      </c>
      <c r="AB695">
        <v>691</v>
      </c>
      <c r="AC695">
        <f t="shared" si="175"/>
        <v>26</v>
      </c>
      <c r="AD695">
        <f t="shared" si="165"/>
        <v>0</v>
      </c>
    </row>
    <row r="696" spans="4:30" x14ac:dyDescent="0.25">
      <c r="D696" s="31">
        <f>Simulation_output!A694</f>
        <v>6925000</v>
      </c>
      <c r="E696">
        <f>Sheet2!R693</f>
        <v>0</v>
      </c>
      <c r="F696">
        <f>Sheet2!S693</f>
        <v>0</v>
      </c>
      <c r="G696">
        <f>Sheet2!T693</f>
        <v>0</v>
      </c>
      <c r="H696" s="31">
        <f>Simulation_output!E694</f>
        <v>1</v>
      </c>
      <c r="I696" s="31">
        <f>Simulation_output!F694</f>
        <v>11</v>
      </c>
      <c r="J696" s="31">
        <f>Simulation_output!G694</f>
        <v>1</v>
      </c>
      <c r="K696" s="31">
        <f>Simulation_output!H694</f>
        <v>0</v>
      </c>
      <c r="L696">
        <v>1</v>
      </c>
      <c r="M696">
        <f t="shared" si="179"/>
        <v>0</v>
      </c>
      <c r="N696">
        <f t="shared" si="178"/>
        <v>0</v>
      </c>
      <c r="O696">
        <f t="shared" si="177"/>
        <v>0</v>
      </c>
      <c r="P696">
        <f t="shared" si="180"/>
        <v>0</v>
      </c>
      <c r="Q696">
        <f t="shared" si="176"/>
        <v>0</v>
      </c>
      <c r="R696">
        <f t="shared" si="166"/>
        <v>0</v>
      </c>
      <c r="S696">
        <f t="shared" si="167"/>
        <v>0</v>
      </c>
      <c r="T696">
        <f t="shared" si="168"/>
        <v>0</v>
      </c>
      <c r="U696">
        <f t="shared" si="169"/>
        <v>0</v>
      </c>
      <c r="V696">
        <f t="shared" si="170"/>
        <v>0</v>
      </c>
      <c r="W696">
        <f t="shared" si="171"/>
        <v>0</v>
      </c>
      <c r="X696">
        <f t="shared" si="172"/>
        <v>0</v>
      </c>
      <c r="Y696">
        <f t="shared" si="173"/>
        <v>0</v>
      </c>
      <c r="Z696">
        <f t="shared" si="174"/>
        <v>0</v>
      </c>
      <c r="AB696">
        <v>692</v>
      </c>
      <c r="AC696">
        <f t="shared" si="175"/>
        <v>26</v>
      </c>
      <c r="AD696">
        <f t="shared" si="165"/>
        <v>0</v>
      </c>
    </row>
    <row r="697" spans="4:30" x14ac:dyDescent="0.25">
      <c r="D697" s="31">
        <f>Simulation_output!A695</f>
        <v>6935000</v>
      </c>
      <c r="E697">
        <f>Sheet2!R694</f>
        <v>0</v>
      </c>
      <c r="F697">
        <f>Sheet2!S694</f>
        <v>0</v>
      </c>
      <c r="G697">
        <f>Sheet2!T694</f>
        <v>0</v>
      </c>
      <c r="H697" s="31">
        <f>Simulation_output!E695</f>
        <v>1</v>
      </c>
      <c r="I697" s="31">
        <f>Simulation_output!F695</f>
        <v>97</v>
      </c>
      <c r="J697" s="31">
        <f>Simulation_output!G695</f>
        <v>1</v>
      </c>
      <c r="K697" s="31">
        <f>Simulation_output!H695</f>
        <v>0</v>
      </c>
      <c r="L697">
        <v>1</v>
      </c>
      <c r="M697">
        <f t="shared" si="179"/>
        <v>0</v>
      </c>
      <c r="N697">
        <f t="shared" si="178"/>
        <v>0</v>
      </c>
      <c r="O697">
        <f t="shared" si="177"/>
        <v>0</v>
      </c>
      <c r="P697">
        <f t="shared" si="180"/>
        <v>0</v>
      </c>
      <c r="Q697">
        <f t="shared" si="176"/>
        <v>0</v>
      </c>
      <c r="R697">
        <f t="shared" si="166"/>
        <v>0</v>
      </c>
      <c r="S697">
        <f t="shared" si="167"/>
        <v>0</v>
      </c>
      <c r="T697">
        <f t="shared" si="168"/>
        <v>0</v>
      </c>
      <c r="U697">
        <f t="shared" si="169"/>
        <v>0</v>
      </c>
      <c r="V697">
        <f t="shared" si="170"/>
        <v>0</v>
      </c>
      <c r="W697">
        <f t="shared" si="171"/>
        <v>0</v>
      </c>
      <c r="X697">
        <f t="shared" si="172"/>
        <v>0</v>
      </c>
      <c r="Y697">
        <f t="shared" si="173"/>
        <v>0</v>
      </c>
      <c r="Z697">
        <f t="shared" si="174"/>
        <v>0</v>
      </c>
      <c r="AB697">
        <v>693</v>
      </c>
      <c r="AC697">
        <f t="shared" si="175"/>
        <v>26</v>
      </c>
      <c r="AD697">
        <f t="shared" si="165"/>
        <v>0</v>
      </c>
    </row>
    <row r="698" spans="4:30" x14ac:dyDescent="0.25">
      <c r="D698" s="31">
        <f>Simulation_output!A696</f>
        <v>6945000</v>
      </c>
      <c r="E698">
        <f>Sheet2!R695</f>
        <v>0</v>
      </c>
      <c r="F698">
        <f>Sheet2!S695</f>
        <v>0</v>
      </c>
      <c r="G698">
        <f>Sheet2!T695</f>
        <v>0</v>
      </c>
      <c r="H698" s="31">
        <f>Simulation_output!E696</f>
        <v>1</v>
      </c>
      <c r="I698" s="31">
        <f>Simulation_output!F696</f>
        <v>6</v>
      </c>
      <c r="J698" s="31">
        <f>Simulation_output!G696</f>
        <v>1</v>
      </c>
      <c r="K698" s="31">
        <f>Simulation_output!H696</f>
        <v>0</v>
      </c>
      <c r="L698">
        <v>1</v>
      </c>
      <c r="M698">
        <f t="shared" si="179"/>
        <v>0</v>
      </c>
      <c r="N698">
        <f t="shared" si="178"/>
        <v>0</v>
      </c>
      <c r="O698">
        <f t="shared" si="177"/>
        <v>0</v>
      </c>
      <c r="P698">
        <f t="shared" si="180"/>
        <v>0</v>
      </c>
      <c r="Q698">
        <f t="shared" si="176"/>
        <v>0</v>
      </c>
      <c r="R698">
        <f t="shared" si="166"/>
        <v>0</v>
      </c>
      <c r="S698">
        <f t="shared" si="167"/>
        <v>0</v>
      </c>
      <c r="T698">
        <f t="shared" si="168"/>
        <v>0</v>
      </c>
      <c r="U698">
        <f t="shared" si="169"/>
        <v>0</v>
      </c>
      <c r="V698">
        <f t="shared" si="170"/>
        <v>0</v>
      </c>
      <c r="W698">
        <f t="shared" si="171"/>
        <v>0</v>
      </c>
      <c r="X698">
        <f t="shared" si="172"/>
        <v>0</v>
      </c>
      <c r="Y698">
        <f t="shared" si="173"/>
        <v>0</v>
      </c>
      <c r="Z698">
        <f t="shared" si="174"/>
        <v>0</v>
      </c>
      <c r="AB698">
        <v>694</v>
      </c>
      <c r="AC698">
        <f t="shared" si="175"/>
        <v>26</v>
      </c>
      <c r="AD698">
        <f t="shared" si="165"/>
        <v>0</v>
      </c>
    </row>
    <row r="699" spans="4:30" x14ac:dyDescent="0.25">
      <c r="D699" s="31">
        <f>Simulation_output!A697</f>
        <v>6955000</v>
      </c>
      <c r="E699">
        <f>Sheet2!R696</f>
        <v>0</v>
      </c>
      <c r="F699">
        <f>Sheet2!S696</f>
        <v>0</v>
      </c>
      <c r="G699">
        <f>Sheet2!T696</f>
        <v>0</v>
      </c>
      <c r="H699" s="31">
        <f>Simulation_output!E697</f>
        <v>1</v>
      </c>
      <c r="I699" s="31">
        <f>Simulation_output!F697</f>
        <v>8</v>
      </c>
      <c r="J699" s="31">
        <f>Simulation_output!G697</f>
        <v>1</v>
      </c>
      <c r="K699" s="31">
        <f>Simulation_output!H697</f>
        <v>0</v>
      </c>
      <c r="L699">
        <v>1</v>
      </c>
      <c r="M699">
        <f t="shared" si="179"/>
        <v>0</v>
      </c>
      <c r="N699">
        <f t="shared" si="178"/>
        <v>0</v>
      </c>
      <c r="O699">
        <f t="shared" si="177"/>
        <v>0</v>
      </c>
      <c r="P699">
        <f t="shared" si="180"/>
        <v>0</v>
      </c>
      <c r="Q699">
        <f t="shared" si="176"/>
        <v>0</v>
      </c>
      <c r="R699">
        <f t="shared" si="166"/>
        <v>0</v>
      </c>
      <c r="S699">
        <f t="shared" si="167"/>
        <v>0</v>
      </c>
      <c r="T699">
        <f t="shared" si="168"/>
        <v>0</v>
      </c>
      <c r="U699">
        <f t="shared" si="169"/>
        <v>0</v>
      </c>
      <c r="V699">
        <f t="shared" si="170"/>
        <v>0</v>
      </c>
      <c r="W699">
        <f t="shared" si="171"/>
        <v>0</v>
      </c>
      <c r="X699">
        <f t="shared" si="172"/>
        <v>0</v>
      </c>
      <c r="Y699">
        <f t="shared" si="173"/>
        <v>0</v>
      </c>
      <c r="Z699">
        <f t="shared" si="174"/>
        <v>0</v>
      </c>
      <c r="AB699">
        <v>695</v>
      </c>
      <c r="AC699">
        <f t="shared" si="175"/>
        <v>26</v>
      </c>
      <c r="AD699">
        <f t="shared" si="165"/>
        <v>0</v>
      </c>
    </row>
    <row r="700" spans="4:30" x14ac:dyDescent="0.25">
      <c r="D700" s="31">
        <f>Simulation_output!A698</f>
        <v>6965000</v>
      </c>
      <c r="E700">
        <f>Sheet2!R697</f>
        <v>0</v>
      </c>
      <c r="F700">
        <f>Sheet2!S697</f>
        <v>0</v>
      </c>
      <c r="G700">
        <f>Sheet2!T697</f>
        <v>0</v>
      </c>
      <c r="H700" s="31">
        <f>Simulation_output!E698</f>
        <v>1</v>
      </c>
      <c r="I700" s="31">
        <f>Simulation_output!F698</f>
        <v>39</v>
      </c>
      <c r="J700" s="31">
        <f>Simulation_output!G698</f>
        <v>1</v>
      </c>
      <c r="K700" s="31">
        <f>Simulation_output!H698</f>
        <v>0</v>
      </c>
      <c r="L700">
        <v>1</v>
      </c>
      <c r="M700">
        <f t="shared" si="179"/>
        <v>0</v>
      </c>
      <c r="N700">
        <f t="shared" si="178"/>
        <v>0</v>
      </c>
      <c r="O700">
        <f t="shared" si="177"/>
        <v>0</v>
      </c>
      <c r="P700">
        <f t="shared" si="180"/>
        <v>0</v>
      </c>
      <c r="Q700">
        <f t="shared" si="176"/>
        <v>0</v>
      </c>
      <c r="R700">
        <f t="shared" si="166"/>
        <v>0</v>
      </c>
      <c r="S700">
        <f t="shared" si="167"/>
        <v>0</v>
      </c>
      <c r="T700">
        <f t="shared" si="168"/>
        <v>0</v>
      </c>
      <c r="U700">
        <f t="shared" si="169"/>
        <v>0</v>
      </c>
      <c r="V700">
        <f t="shared" si="170"/>
        <v>0</v>
      </c>
      <c r="W700">
        <f t="shared" si="171"/>
        <v>0</v>
      </c>
      <c r="X700">
        <f t="shared" si="172"/>
        <v>0</v>
      </c>
      <c r="Y700">
        <f t="shared" si="173"/>
        <v>0</v>
      </c>
      <c r="Z700">
        <f t="shared" si="174"/>
        <v>0</v>
      </c>
      <c r="AB700">
        <v>696</v>
      </c>
      <c r="AC700">
        <f t="shared" si="175"/>
        <v>26</v>
      </c>
      <c r="AD700">
        <f t="shared" si="165"/>
        <v>0</v>
      </c>
    </row>
    <row r="701" spans="4:30" x14ac:dyDescent="0.25">
      <c r="D701" s="31">
        <f>Simulation_output!A699</f>
        <v>6975000</v>
      </c>
      <c r="E701">
        <f>Sheet2!R698</f>
        <v>0</v>
      </c>
      <c r="F701">
        <f>Sheet2!S698</f>
        <v>0</v>
      </c>
      <c r="G701">
        <f>Sheet2!T698</f>
        <v>0</v>
      </c>
      <c r="H701" s="31">
        <f>Simulation_output!E699</f>
        <v>1</v>
      </c>
      <c r="I701" s="31">
        <f>Simulation_output!F699</f>
        <v>139</v>
      </c>
      <c r="J701" s="31">
        <f>Simulation_output!G699</f>
        <v>1</v>
      </c>
      <c r="K701" s="31">
        <f>Simulation_output!H699</f>
        <v>0</v>
      </c>
      <c r="L701">
        <v>1</v>
      </c>
      <c r="M701">
        <f t="shared" si="179"/>
        <v>0</v>
      </c>
      <c r="N701">
        <f t="shared" si="178"/>
        <v>0</v>
      </c>
      <c r="O701">
        <f t="shared" si="177"/>
        <v>0</v>
      </c>
      <c r="P701">
        <f t="shared" si="180"/>
        <v>0</v>
      </c>
      <c r="Q701">
        <f t="shared" si="176"/>
        <v>0</v>
      </c>
      <c r="R701">
        <f t="shared" si="166"/>
        <v>0</v>
      </c>
      <c r="S701">
        <f t="shared" si="167"/>
        <v>0</v>
      </c>
      <c r="T701">
        <f t="shared" si="168"/>
        <v>0</v>
      </c>
      <c r="U701">
        <f t="shared" si="169"/>
        <v>0</v>
      </c>
      <c r="V701">
        <f t="shared" si="170"/>
        <v>0</v>
      </c>
      <c r="W701">
        <f t="shared" si="171"/>
        <v>0</v>
      </c>
      <c r="X701">
        <f t="shared" si="172"/>
        <v>0</v>
      </c>
      <c r="Y701">
        <f t="shared" si="173"/>
        <v>0</v>
      </c>
      <c r="Z701">
        <f t="shared" si="174"/>
        <v>0</v>
      </c>
      <c r="AB701">
        <v>697</v>
      </c>
      <c r="AC701">
        <f t="shared" si="175"/>
        <v>26</v>
      </c>
      <c r="AD701">
        <f t="shared" si="165"/>
        <v>0</v>
      </c>
    </row>
    <row r="702" spans="4:30" x14ac:dyDescent="0.25">
      <c r="D702" s="31">
        <f>Simulation_output!A700</f>
        <v>6985000</v>
      </c>
      <c r="E702">
        <f>Sheet2!R699</f>
        <v>0</v>
      </c>
      <c r="F702">
        <f>Sheet2!S699</f>
        <v>0</v>
      </c>
      <c r="G702">
        <f>Sheet2!T699</f>
        <v>0</v>
      </c>
      <c r="H702" s="31">
        <f>Simulation_output!E700</f>
        <v>1</v>
      </c>
      <c r="I702" s="31">
        <f>Simulation_output!F700</f>
        <v>1039</v>
      </c>
      <c r="J702" s="31">
        <f>Simulation_output!G700</f>
        <v>1</v>
      </c>
      <c r="K702" s="31">
        <f>Simulation_output!H700</f>
        <v>0</v>
      </c>
      <c r="L702">
        <v>1</v>
      </c>
      <c r="M702">
        <f t="shared" si="179"/>
        <v>0</v>
      </c>
      <c r="N702">
        <f t="shared" si="178"/>
        <v>0</v>
      </c>
      <c r="O702">
        <f t="shared" si="177"/>
        <v>0</v>
      </c>
      <c r="P702">
        <f t="shared" si="180"/>
        <v>0</v>
      </c>
      <c r="Q702">
        <f t="shared" si="176"/>
        <v>0</v>
      </c>
      <c r="R702">
        <f t="shared" si="166"/>
        <v>0</v>
      </c>
      <c r="S702">
        <f t="shared" si="167"/>
        <v>0</v>
      </c>
      <c r="T702">
        <f t="shared" si="168"/>
        <v>0</v>
      </c>
      <c r="U702">
        <f t="shared" si="169"/>
        <v>0</v>
      </c>
      <c r="V702">
        <f t="shared" si="170"/>
        <v>0</v>
      </c>
      <c r="W702">
        <f t="shared" si="171"/>
        <v>0</v>
      </c>
      <c r="X702">
        <f t="shared" si="172"/>
        <v>0</v>
      </c>
      <c r="Y702">
        <f t="shared" si="173"/>
        <v>0</v>
      </c>
      <c r="Z702">
        <f t="shared" si="174"/>
        <v>0</v>
      </c>
      <c r="AB702">
        <v>698</v>
      </c>
      <c r="AC702">
        <f t="shared" si="175"/>
        <v>26</v>
      </c>
      <c r="AD702">
        <f t="shared" si="165"/>
        <v>0</v>
      </c>
    </row>
    <row r="703" spans="4:30" x14ac:dyDescent="0.25">
      <c r="D703" s="31">
        <f>Simulation_output!A701</f>
        <v>6995000</v>
      </c>
      <c r="E703">
        <f>Sheet2!R700</f>
        <v>0</v>
      </c>
      <c r="F703">
        <f>Sheet2!S700</f>
        <v>0</v>
      </c>
      <c r="G703">
        <f>Sheet2!T700</f>
        <v>0</v>
      </c>
      <c r="H703" s="31">
        <f>Simulation_output!E701</f>
        <v>1</v>
      </c>
      <c r="I703" s="31">
        <f>Simulation_output!F701</f>
        <v>10039</v>
      </c>
      <c r="J703" s="31">
        <f>Simulation_output!G701</f>
        <v>1</v>
      </c>
      <c r="K703" s="31">
        <f>Simulation_output!H701</f>
        <v>0</v>
      </c>
      <c r="L703">
        <v>1</v>
      </c>
      <c r="M703">
        <f t="shared" si="179"/>
        <v>0</v>
      </c>
      <c r="N703">
        <f t="shared" si="178"/>
        <v>0</v>
      </c>
      <c r="O703">
        <f t="shared" si="177"/>
        <v>0</v>
      </c>
      <c r="P703">
        <f t="shared" si="180"/>
        <v>0</v>
      </c>
      <c r="Q703">
        <f t="shared" si="176"/>
        <v>0</v>
      </c>
      <c r="R703">
        <f t="shared" si="166"/>
        <v>0</v>
      </c>
      <c r="S703">
        <f t="shared" si="167"/>
        <v>0</v>
      </c>
      <c r="T703">
        <f t="shared" si="168"/>
        <v>0</v>
      </c>
      <c r="U703">
        <f t="shared" si="169"/>
        <v>0</v>
      </c>
      <c r="V703">
        <f t="shared" si="170"/>
        <v>0</v>
      </c>
      <c r="W703">
        <f t="shared" si="171"/>
        <v>0</v>
      </c>
      <c r="X703">
        <f t="shared" si="172"/>
        <v>0</v>
      </c>
      <c r="Y703">
        <f t="shared" si="173"/>
        <v>0</v>
      </c>
      <c r="Z703">
        <f t="shared" si="174"/>
        <v>0</v>
      </c>
      <c r="AB703">
        <v>699</v>
      </c>
      <c r="AC703">
        <f t="shared" si="175"/>
        <v>26</v>
      </c>
      <c r="AD703">
        <f t="shared" si="165"/>
        <v>0</v>
      </c>
    </row>
    <row r="704" spans="4:30" x14ac:dyDescent="0.25">
      <c r="D704" s="31">
        <f>Simulation_output!A702</f>
        <v>7005000</v>
      </c>
      <c r="E704">
        <f>Sheet2!R701</f>
        <v>0</v>
      </c>
      <c r="F704">
        <f>Sheet2!S701</f>
        <v>0</v>
      </c>
      <c r="G704">
        <f>Sheet2!T701</f>
        <v>0</v>
      </c>
      <c r="H704" s="31">
        <f>Simulation_output!E702</f>
        <v>1</v>
      </c>
      <c r="I704" s="31">
        <f>Simulation_output!F702</f>
        <v>1178</v>
      </c>
      <c r="J704" s="31">
        <f>Simulation_output!G702</f>
        <v>1</v>
      </c>
      <c r="K704" s="31">
        <f>Simulation_output!H702</f>
        <v>0</v>
      </c>
      <c r="L704">
        <v>1</v>
      </c>
      <c r="M704">
        <f t="shared" si="179"/>
        <v>0</v>
      </c>
      <c r="N704">
        <f t="shared" si="178"/>
        <v>0</v>
      </c>
      <c r="O704">
        <f t="shared" si="177"/>
        <v>0</v>
      </c>
      <c r="P704">
        <f t="shared" si="180"/>
        <v>0</v>
      </c>
      <c r="Q704">
        <f t="shared" si="176"/>
        <v>0</v>
      </c>
      <c r="R704">
        <f t="shared" si="166"/>
        <v>0</v>
      </c>
      <c r="S704">
        <f t="shared" si="167"/>
        <v>0</v>
      </c>
      <c r="T704">
        <f t="shared" si="168"/>
        <v>0</v>
      </c>
      <c r="U704">
        <f t="shared" si="169"/>
        <v>0</v>
      </c>
      <c r="V704">
        <f t="shared" si="170"/>
        <v>0</v>
      </c>
      <c r="W704">
        <f t="shared" si="171"/>
        <v>0</v>
      </c>
      <c r="X704">
        <f t="shared" si="172"/>
        <v>0</v>
      </c>
      <c r="Y704">
        <f t="shared" si="173"/>
        <v>0</v>
      </c>
      <c r="Z704">
        <f t="shared" si="174"/>
        <v>0</v>
      </c>
      <c r="AB704">
        <v>700</v>
      </c>
      <c r="AC704">
        <f t="shared" si="175"/>
        <v>26</v>
      </c>
      <c r="AD704">
        <f t="shared" si="165"/>
        <v>0</v>
      </c>
    </row>
    <row r="705" spans="4:30" x14ac:dyDescent="0.25">
      <c r="D705" s="31">
        <f>Simulation_output!A703</f>
        <v>7015000</v>
      </c>
      <c r="E705">
        <f>Sheet2!R702</f>
        <v>0</v>
      </c>
      <c r="F705">
        <f>Sheet2!S702</f>
        <v>0</v>
      </c>
      <c r="G705">
        <f>Sheet2!T702</f>
        <v>0</v>
      </c>
      <c r="H705" s="31">
        <f>Simulation_output!E703</f>
        <v>1</v>
      </c>
      <c r="I705" s="31">
        <f>Simulation_output!F703</f>
        <v>454</v>
      </c>
      <c r="J705" s="31">
        <f>Simulation_output!G703</f>
        <v>1</v>
      </c>
      <c r="K705" s="31">
        <f>Simulation_output!H703</f>
        <v>0</v>
      </c>
      <c r="L705">
        <v>1</v>
      </c>
      <c r="M705">
        <f t="shared" si="179"/>
        <v>0</v>
      </c>
      <c r="N705">
        <f t="shared" si="178"/>
        <v>0</v>
      </c>
      <c r="O705">
        <f t="shared" si="177"/>
        <v>0</v>
      </c>
      <c r="P705">
        <f t="shared" si="180"/>
        <v>0</v>
      </c>
      <c r="Q705">
        <f t="shared" si="176"/>
        <v>0</v>
      </c>
      <c r="R705">
        <f t="shared" si="166"/>
        <v>0</v>
      </c>
      <c r="S705">
        <f t="shared" si="167"/>
        <v>0</v>
      </c>
      <c r="T705">
        <f t="shared" si="168"/>
        <v>0</v>
      </c>
      <c r="U705">
        <f t="shared" si="169"/>
        <v>0</v>
      </c>
      <c r="V705">
        <f t="shared" si="170"/>
        <v>0</v>
      </c>
      <c r="W705">
        <f t="shared" si="171"/>
        <v>0</v>
      </c>
      <c r="X705">
        <f t="shared" si="172"/>
        <v>0</v>
      </c>
      <c r="Y705">
        <f t="shared" si="173"/>
        <v>0</v>
      </c>
      <c r="Z705">
        <f t="shared" si="174"/>
        <v>0</v>
      </c>
      <c r="AB705">
        <v>701</v>
      </c>
      <c r="AC705">
        <f t="shared" si="175"/>
        <v>26</v>
      </c>
      <c r="AD705">
        <f t="shared" si="165"/>
        <v>0</v>
      </c>
    </row>
    <row r="706" spans="4:30" x14ac:dyDescent="0.25">
      <c r="D706" s="31">
        <f>Simulation_output!A704</f>
        <v>7025000</v>
      </c>
      <c r="E706">
        <f>Sheet2!R703</f>
        <v>0</v>
      </c>
      <c r="F706">
        <f>Sheet2!S703</f>
        <v>0</v>
      </c>
      <c r="G706">
        <f>Sheet2!T703</f>
        <v>0</v>
      </c>
      <c r="H706" s="31">
        <f>Simulation_output!E704</f>
        <v>1</v>
      </c>
      <c r="I706" s="31">
        <f>Simulation_output!F704</f>
        <v>0</v>
      </c>
      <c r="J706" s="31">
        <f>Simulation_output!G704</f>
        <v>1</v>
      </c>
      <c r="K706" s="31">
        <f>Simulation_output!H704</f>
        <v>0</v>
      </c>
      <c r="L706">
        <v>1</v>
      </c>
      <c r="M706">
        <f t="shared" si="179"/>
        <v>0</v>
      </c>
      <c r="N706">
        <f t="shared" si="178"/>
        <v>0</v>
      </c>
      <c r="O706">
        <f t="shared" si="177"/>
        <v>0</v>
      </c>
      <c r="P706">
        <f t="shared" si="180"/>
        <v>0</v>
      </c>
      <c r="Q706">
        <f t="shared" si="176"/>
        <v>0</v>
      </c>
      <c r="R706">
        <f t="shared" si="166"/>
        <v>0</v>
      </c>
      <c r="S706">
        <f t="shared" si="167"/>
        <v>0</v>
      </c>
      <c r="T706">
        <f t="shared" si="168"/>
        <v>0</v>
      </c>
      <c r="U706">
        <f t="shared" si="169"/>
        <v>0</v>
      </c>
      <c r="V706">
        <f t="shared" si="170"/>
        <v>0</v>
      </c>
      <c r="W706">
        <f t="shared" si="171"/>
        <v>0</v>
      </c>
      <c r="X706">
        <f t="shared" si="172"/>
        <v>0</v>
      </c>
      <c r="Y706">
        <f t="shared" si="173"/>
        <v>0</v>
      </c>
      <c r="Z706">
        <f t="shared" si="174"/>
        <v>0</v>
      </c>
      <c r="AB706">
        <v>702</v>
      </c>
      <c r="AC706">
        <f t="shared" si="175"/>
        <v>26</v>
      </c>
      <c r="AD706">
        <f t="shared" si="165"/>
        <v>0</v>
      </c>
    </row>
    <row r="707" spans="4:30" x14ac:dyDescent="0.25">
      <c r="D707" s="31">
        <f>Simulation_output!A705</f>
        <v>7035000</v>
      </c>
      <c r="E707">
        <f>Sheet2!R704</f>
        <v>0</v>
      </c>
      <c r="F707">
        <f>Sheet2!S704</f>
        <v>0</v>
      </c>
      <c r="G707">
        <f>Sheet2!T704</f>
        <v>0</v>
      </c>
      <c r="H707" s="31">
        <f>Simulation_output!E705</f>
        <v>1</v>
      </c>
      <c r="I707" s="31">
        <f>Simulation_output!F705</f>
        <v>268435454</v>
      </c>
      <c r="J707" s="31">
        <f>Simulation_output!G705</f>
        <v>1</v>
      </c>
      <c r="K707" s="31">
        <f>Simulation_output!H705</f>
        <v>1</v>
      </c>
      <c r="L707">
        <v>1</v>
      </c>
      <c r="M707" t="str">
        <f t="shared" si="179"/>
        <v>FFFFFFF</v>
      </c>
      <c r="N707">
        <f t="shared" si="178"/>
        <v>27</v>
      </c>
      <c r="O707">
        <f t="shared" si="177"/>
        <v>11</v>
      </c>
      <c r="P707">
        <f t="shared" si="180"/>
        <v>97</v>
      </c>
      <c r="Q707">
        <f t="shared" si="176"/>
        <v>6</v>
      </c>
      <c r="R707">
        <f t="shared" si="166"/>
        <v>8</v>
      </c>
      <c r="S707">
        <f t="shared" si="167"/>
        <v>39</v>
      </c>
      <c r="T707">
        <f t="shared" si="168"/>
        <v>139</v>
      </c>
      <c r="U707">
        <f t="shared" si="169"/>
        <v>1039</v>
      </c>
      <c r="V707">
        <f t="shared" si="170"/>
        <v>10039</v>
      </c>
      <c r="W707">
        <f t="shared" si="171"/>
        <v>1178</v>
      </c>
      <c r="X707">
        <f t="shared" si="172"/>
        <v>454</v>
      </c>
      <c r="Y707">
        <f t="shared" si="173"/>
        <v>0</v>
      </c>
      <c r="Z707" t="str">
        <f t="shared" si="174"/>
        <v>FFFFFFE</v>
      </c>
      <c r="AB707">
        <v>703</v>
      </c>
      <c r="AC707">
        <f t="shared" si="175"/>
        <v>27</v>
      </c>
      <c r="AD707">
        <f t="shared" si="165"/>
        <v>27</v>
      </c>
    </row>
    <row r="708" spans="4:30" x14ac:dyDescent="0.25">
      <c r="D708" s="31">
        <f>Simulation_output!A706</f>
        <v>7045000</v>
      </c>
      <c r="E708">
        <f>Sheet2!R705</f>
        <v>0</v>
      </c>
      <c r="F708">
        <f>Sheet2!S705</f>
        <v>0</v>
      </c>
      <c r="G708">
        <f>Sheet2!T705</f>
        <v>0</v>
      </c>
      <c r="H708" s="31">
        <f>Simulation_output!E706</f>
        <v>1</v>
      </c>
      <c r="I708" s="31">
        <f>Simulation_output!F706</f>
        <v>268435455</v>
      </c>
      <c r="J708" s="31">
        <f>Simulation_output!G706</f>
        <v>1</v>
      </c>
      <c r="K708" s="31">
        <f>Simulation_output!H706</f>
        <v>0</v>
      </c>
      <c r="L708">
        <v>1</v>
      </c>
      <c r="M708">
        <f t="shared" si="179"/>
        <v>0</v>
      </c>
      <c r="N708">
        <f t="shared" si="178"/>
        <v>0</v>
      </c>
      <c r="O708">
        <f t="shared" si="177"/>
        <v>0</v>
      </c>
      <c r="P708">
        <f t="shared" si="180"/>
        <v>0</v>
      </c>
      <c r="Q708">
        <f t="shared" si="176"/>
        <v>0</v>
      </c>
      <c r="R708">
        <f t="shared" si="166"/>
        <v>0</v>
      </c>
      <c r="S708">
        <f t="shared" si="167"/>
        <v>0</v>
      </c>
      <c r="T708">
        <f t="shared" si="168"/>
        <v>0</v>
      </c>
      <c r="U708">
        <f t="shared" si="169"/>
        <v>0</v>
      </c>
      <c r="V708">
        <f t="shared" si="170"/>
        <v>0</v>
      </c>
      <c r="W708">
        <f t="shared" si="171"/>
        <v>0</v>
      </c>
      <c r="X708">
        <f t="shared" si="172"/>
        <v>0</v>
      </c>
      <c r="Y708">
        <f t="shared" si="173"/>
        <v>0</v>
      </c>
      <c r="Z708">
        <f t="shared" si="174"/>
        <v>0</v>
      </c>
      <c r="AB708">
        <v>704</v>
      </c>
      <c r="AC708">
        <f t="shared" si="175"/>
        <v>27</v>
      </c>
      <c r="AD708">
        <f t="shared" si="165"/>
        <v>0</v>
      </c>
    </row>
    <row r="709" spans="4:30" x14ac:dyDescent="0.25">
      <c r="D709" s="31">
        <f>Simulation_output!A707</f>
        <v>7055000</v>
      </c>
      <c r="E709">
        <f>Sheet2!R706</f>
        <v>0</v>
      </c>
      <c r="F709">
        <f>Sheet2!S706</f>
        <v>0</v>
      </c>
      <c r="G709">
        <f>Sheet2!T706</f>
        <v>0</v>
      </c>
      <c r="H709" s="31">
        <f>Simulation_output!E707</f>
        <v>1</v>
      </c>
      <c r="I709" s="31">
        <f>Simulation_output!F707</f>
        <v>28</v>
      </c>
      <c r="J709" s="31">
        <f>Simulation_output!G707</f>
        <v>1</v>
      </c>
      <c r="K709" s="31">
        <f>Simulation_output!H707</f>
        <v>0</v>
      </c>
      <c r="L709">
        <v>1</v>
      </c>
      <c r="M709">
        <f t="shared" si="179"/>
        <v>0</v>
      </c>
      <c r="N709">
        <f t="shared" si="178"/>
        <v>0</v>
      </c>
      <c r="O709">
        <f t="shared" si="177"/>
        <v>0</v>
      </c>
      <c r="P709">
        <f t="shared" si="180"/>
        <v>0</v>
      </c>
      <c r="Q709">
        <f t="shared" si="176"/>
        <v>0</v>
      </c>
      <c r="R709">
        <f t="shared" si="166"/>
        <v>0</v>
      </c>
      <c r="S709">
        <f t="shared" si="167"/>
        <v>0</v>
      </c>
      <c r="T709">
        <f t="shared" si="168"/>
        <v>0</v>
      </c>
      <c r="U709">
        <f t="shared" si="169"/>
        <v>0</v>
      </c>
      <c r="V709">
        <f t="shared" si="170"/>
        <v>0</v>
      </c>
      <c r="W709">
        <f t="shared" si="171"/>
        <v>0</v>
      </c>
      <c r="X709">
        <f t="shared" si="172"/>
        <v>0</v>
      </c>
      <c r="Y709">
        <f t="shared" si="173"/>
        <v>0</v>
      </c>
      <c r="Z709">
        <f t="shared" si="174"/>
        <v>0</v>
      </c>
      <c r="AB709">
        <v>705</v>
      </c>
      <c r="AC709">
        <f t="shared" si="175"/>
        <v>27</v>
      </c>
      <c r="AD709">
        <f t="shared" si="165"/>
        <v>0</v>
      </c>
    </row>
    <row r="710" spans="4:30" x14ac:dyDescent="0.25">
      <c r="D710" s="31">
        <f>Simulation_output!A708</f>
        <v>7065000</v>
      </c>
      <c r="E710">
        <f>Sheet2!R707</f>
        <v>0</v>
      </c>
      <c r="F710">
        <f>Sheet2!S707</f>
        <v>0</v>
      </c>
      <c r="G710">
        <f>Sheet2!T707</f>
        <v>0</v>
      </c>
      <c r="H710" s="31">
        <f>Simulation_output!E708</f>
        <v>1</v>
      </c>
      <c r="I710" s="31">
        <f>Simulation_output!F708</f>
        <v>23</v>
      </c>
      <c r="J710" s="31">
        <f>Simulation_output!G708</f>
        <v>1</v>
      </c>
      <c r="K710" s="31">
        <f>Simulation_output!H708</f>
        <v>0</v>
      </c>
      <c r="L710">
        <v>1</v>
      </c>
      <c r="M710">
        <f t="shared" si="179"/>
        <v>0</v>
      </c>
      <c r="N710">
        <f t="shared" si="178"/>
        <v>0</v>
      </c>
      <c r="O710">
        <f t="shared" si="177"/>
        <v>0</v>
      </c>
      <c r="P710">
        <f t="shared" si="180"/>
        <v>0</v>
      </c>
      <c r="Q710">
        <f t="shared" si="176"/>
        <v>0</v>
      </c>
      <c r="R710">
        <f t="shared" si="166"/>
        <v>0</v>
      </c>
      <c r="S710">
        <f t="shared" si="167"/>
        <v>0</v>
      </c>
      <c r="T710">
        <f t="shared" si="168"/>
        <v>0</v>
      </c>
      <c r="U710">
        <f t="shared" si="169"/>
        <v>0</v>
      </c>
      <c r="V710">
        <f t="shared" si="170"/>
        <v>0</v>
      </c>
      <c r="W710">
        <f t="shared" si="171"/>
        <v>0</v>
      </c>
      <c r="X710">
        <f t="shared" si="172"/>
        <v>0</v>
      </c>
      <c r="Y710">
        <f t="shared" si="173"/>
        <v>0</v>
      </c>
      <c r="Z710">
        <f t="shared" si="174"/>
        <v>0</v>
      </c>
      <c r="AB710">
        <v>706</v>
      </c>
      <c r="AC710">
        <f t="shared" si="175"/>
        <v>27</v>
      </c>
      <c r="AD710">
        <f t="shared" ref="AD710:AD773" si="181">IF(M710="FFFFFFF",AC710,0)</f>
        <v>0</v>
      </c>
    </row>
    <row r="711" spans="4:30" x14ac:dyDescent="0.25">
      <c r="D711" s="31">
        <f>Simulation_output!A709</f>
        <v>7075000</v>
      </c>
      <c r="E711">
        <f>Sheet2!R708</f>
        <v>0</v>
      </c>
      <c r="F711">
        <f>Sheet2!S708</f>
        <v>0</v>
      </c>
      <c r="G711">
        <f>Sheet2!T708</f>
        <v>0</v>
      </c>
      <c r="H711" s="31">
        <f>Simulation_output!E709</f>
        <v>1</v>
      </c>
      <c r="I711" s="31">
        <f>Simulation_output!F709</f>
        <v>98</v>
      </c>
      <c r="J711" s="31">
        <f>Simulation_output!G709</f>
        <v>1</v>
      </c>
      <c r="K711" s="31">
        <f>Simulation_output!H709</f>
        <v>0</v>
      </c>
      <c r="L711">
        <v>1</v>
      </c>
      <c r="M711">
        <f t="shared" si="179"/>
        <v>0</v>
      </c>
      <c r="N711">
        <f t="shared" si="178"/>
        <v>0</v>
      </c>
      <c r="O711">
        <f t="shared" si="177"/>
        <v>0</v>
      </c>
      <c r="P711">
        <f t="shared" si="180"/>
        <v>0</v>
      </c>
      <c r="Q711">
        <f t="shared" si="176"/>
        <v>0</v>
      </c>
      <c r="R711">
        <f t="shared" ref="R711:R774" si="182">IF(K711&gt;0,I703,0)</f>
        <v>0</v>
      </c>
      <c r="S711">
        <f t="shared" ref="S711:S774" si="183">IF(K711&gt;0,I704,0)</f>
        <v>0</v>
      </c>
      <c r="T711">
        <f t="shared" ref="T711:T774" si="184">IF(K711&gt;0,I705,0)</f>
        <v>0</v>
      </c>
      <c r="U711">
        <f t="shared" ref="U711:U774" si="185">IF(K711&gt;0,I706,0)</f>
        <v>0</v>
      </c>
      <c r="V711">
        <f t="shared" ref="V711:V774" si="186">IF(K711&gt;0,I707,0)</f>
        <v>0</v>
      </c>
      <c r="W711">
        <f t="shared" ref="W711:W774" si="187">IF(K711&gt;0,I708,0)</f>
        <v>0</v>
      </c>
      <c r="X711">
        <f t="shared" ref="X711:X774" si="188">IF(K711&gt;0,I709,0)</f>
        <v>0</v>
      </c>
      <c r="Y711">
        <f t="shared" ref="Y711:Y774" si="189">IF(K711&gt;0,I710,0)</f>
        <v>0</v>
      </c>
      <c r="Z711">
        <f t="shared" ref="Z711:Z774" si="190">IF(K711&gt;0,DEC2HEX(I711),0)</f>
        <v>0</v>
      </c>
      <c r="AB711">
        <v>707</v>
      </c>
      <c r="AC711">
        <f t="shared" ref="AC711:AC774" si="191">IF(M711="FFFFFFF",AC710+1,AC710)</f>
        <v>27</v>
      </c>
      <c r="AD711">
        <f t="shared" si="181"/>
        <v>0</v>
      </c>
    </row>
    <row r="712" spans="4:30" x14ac:dyDescent="0.25">
      <c r="D712" s="31">
        <f>Simulation_output!A710</f>
        <v>7085000</v>
      </c>
      <c r="E712">
        <f>Sheet2!R709</f>
        <v>0</v>
      </c>
      <c r="F712">
        <f>Sheet2!S709</f>
        <v>0</v>
      </c>
      <c r="G712">
        <f>Sheet2!T709</f>
        <v>0</v>
      </c>
      <c r="H712" s="31">
        <f>Simulation_output!E710</f>
        <v>1</v>
      </c>
      <c r="I712" s="31">
        <f>Simulation_output!F710</f>
        <v>6</v>
      </c>
      <c r="J712" s="31">
        <f>Simulation_output!G710</f>
        <v>1</v>
      </c>
      <c r="K712" s="31">
        <f>Simulation_output!H710</f>
        <v>0</v>
      </c>
      <c r="L712">
        <v>1</v>
      </c>
      <c r="M712">
        <f t="shared" si="179"/>
        <v>0</v>
      </c>
      <c r="N712">
        <f t="shared" si="178"/>
        <v>0</v>
      </c>
      <c r="O712">
        <f t="shared" si="177"/>
        <v>0</v>
      </c>
      <c r="P712">
        <f t="shared" si="180"/>
        <v>0</v>
      </c>
      <c r="Q712">
        <f t="shared" si="176"/>
        <v>0</v>
      </c>
      <c r="R712">
        <f t="shared" si="182"/>
        <v>0</v>
      </c>
      <c r="S712">
        <f t="shared" si="183"/>
        <v>0</v>
      </c>
      <c r="T712">
        <f t="shared" si="184"/>
        <v>0</v>
      </c>
      <c r="U712">
        <f t="shared" si="185"/>
        <v>0</v>
      </c>
      <c r="V712">
        <f t="shared" si="186"/>
        <v>0</v>
      </c>
      <c r="W712">
        <f t="shared" si="187"/>
        <v>0</v>
      </c>
      <c r="X712">
        <f t="shared" si="188"/>
        <v>0</v>
      </c>
      <c r="Y712">
        <f t="shared" si="189"/>
        <v>0</v>
      </c>
      <c r="Z712">
        <f t="shared" si="190"/>
        <v>0</v>
      </c>
      <c r="AB712">
        <v>708</v>
      </c>
      <c r="AC712">
        <f t="shared" si="191"/>
        <v>27</v>
      </c>
      <c r="AD712">
        <f t="shared" si="181"/>
        <v>0</v>
      </c>
    </row>
    <row r="713" spans="4:30" x14ac:dyDescent="0.25">
      <c r="D713" s="31">
        <f>Simulation_output!A711</f>
        <v>7095000</v>
      </c>
      <c r="E713">
        <f>Sheet2!R710</f>
        <v>0</v>
      </c>
      <c r="F713">
        <f>Sheet2!S710</f>
        <v>0</v>
      </c>
      <c r="G713">
        <f>Sheet2!T710</f>
        <v>0</v>
      </c>
      <c r="H713" s="31">
        <f>Simulation_output!E711</f>
        <v>1</v>
      </c>
      <c r="I713" s="31">
        <f>Simulation_output!F711</f>
        <v>8</v>
      </c>
      <c r="J713" s="31">
        <f>Simulation_output!G711</f>
        <v>1</v>
      </c>
      <c r="K713" s="31">
        <f>Simulation_output!H711</f>
        <v>0</v>
      </c>
      <c r="L713">
        <v>1</v>
      </c>
      <c r="M713">
        <f t="shared" si="179"/>
        <v>0</v>
      </c>
      <c r="N713">
        <f t="shared" si="178"/>
        <v>0</v>
      </c>
      <c r="O713">
        <f t="shared" si="177"/>
        <v>0</v>
      </c>
      <c r="P713">
        <f t="shared" si="180"/>
        <v>0</v>
      </c>
      <c r="Q713">
        <f t="shared" si="176"/>
        <v>0</v>
      </c>
      <c r="R713">
        <f t="shared" si="182"/>
        <v>0</v>
      </c>
      <c r="S713">
        <f t="shared" si="183"/>
        <v>0</v>
      </c>
      <c r="T713">
        <f t="shared" si="184"/>
        <v>0</v>
      </c>
      <c r="U713">
        <f t="shared" si="185"/>
        <v>0</v>
      </c>
      <c r="V713">
        <f t="shared" si="186"/>
        <v>0</v>
      </c>
      <c r="W713">
        <f t="shared" si="187"/>
        <v>0</v>
      </c>
      <c r="X713">
        <f t="shared" si="188"/>
        <v>0</v>
      </c>
      <c r="Y713">
        <f t="shared" si="189"/>
        <v>0</v>
      </c>
      <c r="Z713">
        <f t="shared" si="190"/>
        <v>0</v>
      </c>
      <c r="AB713">
        <v>709</v>
      </c>
      <c r="AC713">
        <f t="shared" si="191"/>
        <v>27</v>
      </c>
      <c r="AD713">
        <f t="shared" si="181"/>
        <v>0</v>
      </c>
    </row>
    <row r="714" spans="4:30" x14ac:dyDescent="0.25">
      <c r="D714" s="31">
        <f>Simulation_output!A712</f>
        <v>7105000</v>
      </c>
      <c r="E714">
        <f>Sheet2!R711</f>
        <v>0</v>
      </c>
      <c r="F714">
        <f>Sheet2!S711</f>
        <v>0</v>
      </c>
      <c r="G714">
        <f>Sheet2!T711</f>
        <v>0</v>
      </c>
      <c r="H714" s="31">
        <f>Simulation_output!E712</f>
        <v>1</v>
      </c>
      <c r="I714" s="31">
        <f>Simulation_output!F712</f>
        <v>40</v>
      </c>
      <c r="J714" s="31">
        <f>Simulation_output!G712</f>
        <v>1</v>
      </c>
      <c r="K714" s="31">
        <f>Simulation_output!H712</f>
        <v>0</v>
      </c>
      <c r="L714">
        <v>1</v>
      </c>
      <c r="M714">
        <f t="shared" si="179"/>
        <v>0</v>
      </c>
      <c r="N714">
        <f t="shared" si="178"/>
        <v>0</v>
      </c>
      <c r="O714">
        <f t="shared" si="177"/>
        <v>0</v>
      </c>
      <c r="P714">
        <f t="shared" si="180"/>
        <v>0</v>
      </c>
      <c r="Q714">
        <f t="shared" si="176"/>
        <v>0</v>
      </c>
      <c r="R714">
        <f t="shared" si="182"/>
        <v>0</v>
      </c>
      <c r="S714">
        <f t="shared" si="183"/>
        <v>0</v>
      </c>
      <c r="T714">
        <f t="shared" si="184"/>
        <v>0</v>
      </c>
      <c r="U714">
        <f t="shared" si="185"/>
        <v>0</v>
      </c>
      <c r="V714">
        <f t="shared" si="186"/>
        <v>0</v>
      </c>
      <c r="W714">
        <f t="shared" si="187"/>
        <v>0</v>
      </c>
      <c r="X714">
        <f t="shared" si="188"/>
        <v>0</v>
      </c>
      <c r="Y714">
        <f t="shared" si="189"/>
        <v>0</v>
      </c>
      <c r="Z714">
        <f t="shared" si="190"/>
        <v>0</v>
      </c>
      <c r="AB714">
        <v>710</v>
      </c>
      <c r="AC714">
        <f t="shared" si="191"/>
        <v>27</v>
      </c>
      <c r="AD714">
        <f t="shared" si="181"/>
        <v>0</v>
      </c>
    </row>
    <row r="715" spans="4:30" x14ac:dyDescent="0.25">
      <c r="D715" s="31">
        <f>Simulation_output!A713</f>
        <v>7115000</v>
      </c>
      <c r="E715">
        <f>Sheet2!R712</f>
        <v>0</v>
      </c>
      <c r="F715">
        <f>Sheet2!S712</f>
        <v>0</v>
      </c>
      <c r="G715">
        <f>Sheet2!T712</f>
        <v>0</v>
      </c>
      <c r="H715" s="31">
        <f>Simulation_output!E713</f>
        <v>1</v>
      </c>
      <c r="I715" s="31">
        <f>Simulation_output!F713</f>
        <v>140</v>
      </c>
      <c r="J715" s="31">
        <f>Simulation_output!G713</f>
        <v>1</v>
      </c>
      <c r="K715" s="31">
        <f>Simulation_output!H713</f>
        <v>0</v>
      </c>
      <c r="L715">
        <v>1</v>
      </c>
      <c r="M715">
        <f t="shared" si="179"/>
        <v>0</v>
      </c>
      <c r="N715">
        <f t="shared" si="178"/>
        <v>0</v>
      </c>
      <c r="O715">
        <f t="shared" si="177"/>
        <v>0</v>
      </c>
      <c r="P715">
        <f t="shared" si="180"/>
        <v>0</v>
      </c>
      <c r="Q715">
        <f t="shared" ref="Q715:Q778" si="192">IF(K715&gt;0,I706,0)</f>
        <v>0</v>
      </c>
      <c r="R715">
        <f t="shared" si="182"/>
        <v>0</v>
      </c>
      <c r="S715">
        <f t="shared" si="183"/>
        <v>0</v>
      </c>
      <c r="T715">
        <f t="shared" si="184"/>
        <v>0</v>
      </c>
      <c r="U715">
        <f t="shared" si="185"/>
        <v>0</v>
      </c>
      <c r="V715">
        <f t="shared" si="186"/>
        <v>0</v>
      </c>
      <c r="W715">
        <f t="shared" si="187"/>
        <v>0</v>
      </c>
      <c r="X715">
        <f t="shared" si="188"/>
        <v>0</v>
      </c>
      <c r="Y715">
        <f t="shared" si="189"/>
        <v>0</v>
      </c>
      <c r="Z715">
        <f t="shared" si="190"/>
        <v>0</v>
      </c>
      <c r="AB715">
        <v>711</v>
      </c>
      <c r="AC715">
        <f t="shared" si="191"/>
        <v>27</v>
      </c>
      <c r="AD715">
        <f t="shared" si="181"/>
        <v>0</v>
      </c>
    </row>
    <row r="716" spans="4:30" x14ac:dyDescent="0.25">
      <c r="D716" s="31">
        <f>Simulation_output!A714</f>
        <v>7125000</v>
      </c>
      <c r="E716">
        <f>Sheet2!R713</f>
        <v>0</v>
      </c>
      <c r="F716">
        <f>Sheet2!S713</f>
        <v>0</v>
      </c>
      <c r="G716">
        <f>Sheet2!T713</f>
        <v>0</v>
      </c>
      <c r="H716" s="31">
        <f>Simulation_output!E714</f>
        <v>1</v>
      </c>
      <c r="I716" s="31">
        <f>Simulation_output!F714</f>
        <v>1040</v>
      </c>
      <c r="J716" s="31">
        <f>Simulation_output!G714</f>
        <v>1</v>
      </c>
      <c r="K716" s="31">
        <f>Simulation_output!H714</f>
        <v>0</v>
      </c>
      <c r="L716">
        <v>1</v>
      </c>
      <c r="M716">
        <f t="shared" si="179"/>
        <v>0</v>
      </c>
      <c r="N716">
        <f t="shared" si="178"/>
        <v>0</v>
      </c>
      <c r="O716">
        <f t="shared" si="177"/>
        <v>0</v>
      </c>
      <c r="P716">
        <f t="shared" si="180"/>
        <v>0</v>
      </c>
      <c r="Q716">
        <f t="shared" si="192"/>
        <v>0</v>
      </c>
      <c r="R716">
        <f t="shared" si="182"/>
        <v>0</v>
      </c>
      <c r="S716">
        <f t="shared" si="183"/>
        <v>0</v>
      </c>
      <c r="T716">
        <f t="shared" si="184"/>
        <v>0</v>
      </c>
      <c r="U716">
        <f t="shared" si="185"/>
        <v>0</v>
      </c>
      <c r="V716">
        <f t="shared" si="186"/>
        <v>0</v>
      </c>
      <c r="W716">
        <f t="shared" si="187"/>
        <v>0</v>
      </c>
      <c r="X716">
        <f t="shared" si="188"/>
        <v>0</v>
      </c>
      <c r="Y716">
        <f t="shared" si="189"/>
        <v>0</v>
      </c>
      <c r="Z716">
        <f t="shared" si="190"/>
        <v>0</v>
      </c>
      <c r="AB716">
        <v>712</v>
      </c>
      <c r="AC716">
        <f t="shared" si="191"/>
        <v>27</v>
      </c>
      <c r="AD716">
        <f t="shared" si="181"/>
        <v>0</v>
      </c>
    </row>
    <row r="717" spans="4:30" x14ac:dyDescent="0.25">
      <c r="D717" s="31">
        <f>Simulation_output!A715</f>
        <v>7135000</v>
      </c>
      <c r="E717">
        <f>Sheet2!R714</f>
        <v>0</v>
      </c>
      <c r="F717">
        <f>Sheet2!S714</f>
        <v>0</v>
      </c>
      <c r="G717">
        <f>Sheet2!T714</f>
        <v>0</v>
      </c>
      <c r="H717" s="31">
        <f>Simulation_output!E715</f>
        <v>1</v>
      </c>
      <c r="I717" s="31">
        <f>Simulation_output!F715</f>
        <v>10040</v>
      </c>
      <c r="J717" s="31">
        <f>Simulation_output!G715</f>
        <v>1</v>
      </c>
      <c r="K717" s="31">
        <f>Simulation_output!H715</f>
        <v>0</v>
      </c>
      <c r="L717">
        <v>1</v>
      </c>
      <c r="M717">
        <f t="shared" si="179"/>
        <v>0</v>
      </c>
      <c r="N717">
        <f t="shared" si="178"/>
        <v>0</v>
      </c>
      <c r="O717">
        <f t="shared" ref="O717:O780" si="193">IF(K717&gt;0,I706,0)</f>
        <v>0</v>
      </c>
      <c r="P717">
        <f t="shared" si="180"/>
        <v>0</v>
      </c>
      <c r="Q717">
        <f t="shared" si="192"/>
        <v>0</v>
      </c>
      <c r="R717">
        <f t="shared" si="182"/>
        <v>0</v>
      </c>
      <c r="S717">
        <f t="shared" si="183"/>
        <v>0</v>
      </c>
      <c r="T717">
        <f t="shared" si="184"/>
        <v>0</v>
      </c>
      <c r="U717">
        <f t="shared" si="185"/>
        <v>0</v>
      </c>
      <c r="V717">
        <f t="shared" si="186"/>
        <v>0</v>
      </c>
      <c r="W717">
        <f t="shared" si="187"/>
        <v>0</v>
      </c>
      <c r="X717">
        <f t="shared" si="188"/>
        <v>0</v>
      </c>
      <c r="Y717">
        <f t="shared" si="189"/>
        <v>0</v>
      </c>
      <c r="Z717">
        <f t="shared" si="190"/>
        <v>0</v>
      </c>
      <c r="AB717">
        <v>713</v>
      </c>
      <c r="AC717">
        <f t="shared" si="191"/>
        <v>27</v>
      </c>
      <c r="AD717">
        <f t="shared" si="181"/>
        <v>0</v>
      </c>
    </row>
    <row r="718" spans="4:30" x14ac:dyDescent="0.25">
      <c r="D718" s="31">
        <f>Simulation_output!A716</f>
        <v>7145000</v>
      </c>
      <c r="E718">
        <f>Sheet2!R715</f>
        <v>0</v>
      </c>
      <c r="F718">
        <f>Sheet2!S715</f>
        <v>0</v>
      </c>
      <c r="G718">
        <f>Sheet2!T715</f>
        <v>0</v>
      </c>
      <c r="H718" s="31">
        <f>Simulation_output!E716</f>
        <v>1</v>
      </c>
      <c r="I718" s="31">
        <f>Simulation_output!F716</f>
        <v>1178</v>
      </c>
      <c r="J718" s="31">
        <f>Simulation_output!G716</f>
        <v>1</v>
      </c>
      <c r="K718" s="31">
        <f>Simulation_output!H716</f>
        <v>0</v>
      </c>
      <c r="L718">
        <v>1</v>
      </c>
      <c r="M718">
        <f t="shared" si="179"/>
        <v>0</v>
      </c>
      <c r="N718">
        <f t="shared" ref="N718:N781" si="194">IF(K718&gt;0,I706,0)</f>
        <v>0</v>
      </c>
      <c r="O718">
        <f t="shared" si="193"/>
        <v>0</v>
      </c>
      <c r="P718">
        <f t="shared" si="180"/>
        <v>0</v>
      </c>
      <c r="Q718">
        <f t="shared" si="192"/>
        <v>0</v>
      </c>
      <c r="R718">
        <f t="shared" si="182"/>
        <v>0</v>
      </c>
      <c r="S718">
        <f t="shared" si="183"/>
        <v>0</v>
      </c>
      <c r="T718">
        <f t="shared" si="184"/>
        <v>0</v>
      </c>
      <c r="U718">
        <f t="shared" si="185"/>
        <v>0</v>
      </c>
      <c r="V718">
        <f t="shared" si="186"/>
        <v>0</v>
      </c>
      <c r="W718">
        <f t="shared" si="187"/>
        <v>0</v>
      </c>
      <c r="X718">
        <f t="shared" si="188"/>
        <v>0</v>
      </c>
      <c r="Y718">
        <f t="shared" si="189"/>
        <v>0</v>
      </c>
      <c r="Z718">
        <f t="shared" si="190"/>
        <v>0</v>
      </c>
      <c r="AB718">
        <v>714</v>
      </c>
      <c r="AC718">
        <f t="shared" si="191"/>
        <v>27</v>
      </c>
      <c r="AD718">
        <f t="shared" si="181"/>
        <v>0</v>
      </c>
    </row>
    <row r="719" spans="4:30" x14ac:dyDescent="0.25">
      <c r="D719" s="31">
        <f>Simulation_output!A717</f>
        <v>7155000</v>
      </c>
      <c r="E719">
        <f>Sheet2!R716</f>
        <v>0</v>
      </c>
      <c r="F719">
        <f>Sheet2!S716</f>
        <v>0</v>
      </c>
      <c r="G719">
        <f>Sheet2!T716</f>
        <v>0</v>
      </c>
      <c r="H719" s="31">
        <f>Simulation_output!E717</f>
        <v>1</v>
      </c>
      <c r="I719" s="31">
        <f>Simulation_output!F717</f>
        <v>455</v>
      </c>
      <c r="J719" s="31">
        <f>Simulation_output!G717</f>
        <v>1</v>
      </c>
      <c r="K719" s="31">
        <f>Simulation_output!H717</f>
        <v>0</v>
      </c>
      <c r="L719">
        <v>1</v>
      </c>
      <c r="M719">
        <f t="shared" ref="M719:M782" si="195">IF(K719&gt;0,DEC2HEX(I706),0)</f>
        <v>0</v>
      </c>
      <c r="N719">
        <f t="shared" si="194"/>
        <v>0</v>
      </c>
      <c r="O719">
        <f t="shared" si="193"/>
        <v>0</v>
      </c>
      <c r="P719">
        <f t="shared" ref="P719:P782" si="196">IF(K719&gt;0,I709,0)</f>
        <v>0</v>
      </c>
      <c r="Q719">
        <f t="shared" si="192"/>
        <v>0</v>
      </c>
      <c r="R719">
        <f t="shared" si="182"/>
        <v>0</v>
      </c>
      <c r="S719">
        <f t="shared" si="183"/>
        <v>0</v>
      </c>
      <c r="T719">
        <f t="shared" si="184"/>
        <v>0</v>
      </c>
      <c r="U719">
        <f t="shared" si="185"/>
        <v>0</v>
      </c>
      <c r="V719">
        <f t="shared" si="186"/>
        <v>0</v>
      </c>
      <c r="W719">
        <f t="shared" si="187"/>
        <v>0</v>
      </c>
      <c r="X719">
        <f t="shared" si="188"/>
        <v>0</v>
      </c>
      <c r="Y719">
        <f t="shared" si="189"/>
        <v>0</v>
      </c>
      <c r="Z719">
        <f t="shared" si="190"/>
        <v>0</v>
      </c>
      <c r="AB719">
        <v>715</v>
      </c>
      <c r="AC719">
        <f t="shared" si="191"/>
        <v>27</v>
      </c>
      <c r="AD719">
        <f t="shared" si="181"/>
        <v>0</v>
      </c>
    </row>
    <row r="720" spans="4:30" x14ac:dyDescent="0.25">
      <c r="D720" s="31">
        <f>Simulation_output!A718</f>
        <v>7165000</v>
      </c>
      <c r="E720">
        <f>Sheet2!R717</f>
        <v>0</v>
      </c>
      <c r="F720">
        <f>Sheet2!S717</f>
        <v>0</v>
      </c>
      <c r="G720">
        <f>Sheet2!T717</f>
        <v>0</v>
      </c>
      <c r="H720" s="31">
        <f>Simulation_output!E718</f>
        <v>1</v>
      </c>
      <c r="I720" s="31">
        <f>Simulation_output!F718</f>
        <v>0</v>
      </c>
      <c r="J720" s="31">
        <f>Simulation_output!G718</f>
        <v>1</v>
      </c>
      <c r="K720" s="31">
        <f>Simulation_output!H718</f>
        <v>0</v>
      </c>
      <c r="L720">
        <v>1</v>
      </c>
      <c r="M720">
        <f t="shared" si="195"/>
        <v>0</v>
      </c>
      <c r="N720">
        <f t="shared" si="194"/>
        <v>0</v>
      </c>
      <c r="O720">
        <f t="shared" si="193"/>
        <v>0</v>
      </c>
      <c r="P720">
        <f t="shared" si="196"/>
        <v>0</v>
      </c>
      <c r="Q720">
        <f t="shared" si="192"/>
        <v>0</v>
      </c>
      <c r="R720">
        <f t="shared" si="182"/>
        <v>0</v>
      </c>
      <c r="S720">
        <f t="shared" si="183"/>
        <v>0</v>
      </c>
      <c r="T720">
        <f t="shared" si="184"/>
        <v>0</v>
      </c>
      <c r="U720">
        <f t="shared" si="185"/>
        <v>0</v>
      </c>
      <c r="V720">
        <f t="shared" si="186"/>
        <v>0</v>
      </c>
      <c r="W720">
        <f t="shared" si="187"/>
        <v>0</v>
      </c>
      <c r="X720">
        <f t="shared" si="188"/>
        <v>0</v>
      </c>
      <c r="Y720">
        <f t="shared" si="189"/>
        <v>0</v>
      </c>
      <c r="Z720">
        <f t="shared" si="190"/>
        <v>0</v>
      </c>
      <c r="AB720">
        <v>716</v>
      </c>
      <c r="AC720">
        <f t="shared" si="191"/>
        <v>27</v>
      </c>
      <c r="AD720">
        <f t="shared" si="181"/>
        <v>0</v>
      </c>
    </row>
    <row r="721" spans="4:30" x14ac:dyDescent="0.25">
      <c r="D721" s="31">
        <f>Simulation_output!A719</f>
        <v>7175000</v>
      </c>
      <c r="E721">
        <f>Sheet2!R718</f>
        <v>0</v>
      </c>
      <c r="F721">
        <f>Sheet2!S718</f>
        <v>0</v>
      </c>
      <c r="G721">
        <f>Sheet2!T718</f>
        <v>0</v>
      </c>
      <c r="H721" s="31">
        <f>Simulation_output!E719</f>
        <v>1</v>
      </c>
      <c r="I721" s="31">
        <f>Simulation_output!F719</f>
        <v>268435454</v>
      </c>
      <c r="J721" s="31">
        <f>Simulation_output!G719</f>
        <v>1</v>
      </c>
      <c r="K721" s="31">
        <f>Simulation_output!H719</f>
        <v>1</v>
      </c>
      <c r="L721">
        <v>1</v>
      </c>
      <c r="M721" t="str">
        <f t="shared" si="195"/>
        <v>FFFFFFF</v>
      </c>
      <c r="N721">
        <f t="shared" si="194"/>
        <v>28</v>
      </c>
      <c r="O721">
        <f t="shared" si="193"/>
        <v>23</v>
      </c>
      <c r="P721">
        <f t="shared" si="196"/>
        <v>98</v>
      </c>
      <c r="Q721">
        <f t="shared" si="192"/>
        <v>6</v>
      </c>
      <c r="R721">
        <f t="shared" si="182"/>
        <v>8</v>
      </c>
      <c r="S721">
        <f t="shared" si="183"/>
        <v>40</v>
      </c>
      <c r="T721">
        <f t="shared" si="184"/>
        <v>140</v>
      </c>
      <c r="U721">
        <f t="shared" si="185"/>
        <v>1040</v>
      </c>
      <c r="V721">
        <f t="shared" si="186"/>
        <v>10040</v>
      </c>
      <c r="W721">
        <f t="shared" si="187"/>
        <v>1178</v>
      </c>
      <c r="X721">
        <f t="shared" si="188"/>
        <v>455</v>
      </c>
      <c r="Y721">
        <f t="shared" si="189"/>
        <v>0</v>
      </c>
      <c r="Z721" t="str">
        <f t="shared" si="190"/>
        <v>FFFFFFE</v>
      </c>
      <c r="AB721">
        <v>717</v>
      </c>
      <c r="AC721">
        <f t="shared" si="191"/>
        <v>28</v>
      </c>
      <c r="AD721">
        <f t="shared" si="181"/>
        <v>28</v>
      </c>
    </row>
    <row r="722" spans="4:30" x14ac:dyDescent="0.25">
      <c r="D722" s="31">
        <f>Simulation_output!A720</f>
        <v>7185000</v>
      </c>
      <c r="E722">
        <f>Sheet2!R719</f>
        <v>0</v>
      </c>
      <c r="F722">
        <f>Sheet2!S719</f>
        <v>0</v>
      </c>
      <c r="G722">
        <f>Sheet2!T719</f>
        <v>0</v>
      </c>
      <c r="H722" s="31">
        <f>Simulation_output!E720</f>
        <v>1</v>
      </c>
      <c r="I722" s="31">
        <f>Simulation_output!F720</f>
        <v>268435455</v>
      </c>
      <c r="J722" s="31">
        <f>Simulation_output!G720</f>
        <v>1</v>
      </c>
      <c r="K722" s="31">
        <f>Simulation_output!H720</f>
        <v>0</v>
      </c>
      <c r="L722">
        <v>1</v>
      </c>
      <c r="M722">
        <f t="shared" si="195"/>
        <v>0</v>
      </c>
      <c r="N722">
        <f t="shared" si="194"/>
        <v>0</v>
      </c>
      <c r="O722">
        <f t="shared" si="193"/>
        <v>0</v>
      </c>
      <c r="P722">
        <f t="shared" si="196"/>
        <v>0</v>
      </c>
      <c r="Q722">
        <f t="shared" si="192"/>
        <v>0</v>
      </c>
      <c r="R722">
        <f t="shared" si="182"/>
        <v>0</v>
      </c>
      <c r="S722">
        <f t="shared" si="183"/>
        <v>0</v>
      </c>
      <c r="T722">
        <f t="shared" si="184"/>
        <v>0</v>
      </c>
      <c r="U722">
        <f t="shared" si="185"/>
        <v>0</v>
      </c>
      <c r="V722">
        <f t="shared" si="186"/>
        <v>0</v>
      </c>
      <c r="W722">
        <f t="shared" si="187"/>
        <v>0</v>
      </c>
      <c r="X722">
        <f t="shared" si="188"/>
        <v>0</v>
      </c>
      <c r="Y722">
        <f t="shared" si="189"/>
        <v>0</v>
      </c>
      <c r="Z722">
        <f t="shared" si="190"/>
        <v>0</v>
      </c>
      <c r="AB722">
        <v>718</v>
      </c>
      <c r="AC722">
        <f t="shared" si="191"/>
        <v>28</v>
      </c>
      <c r="AD722">
        <f t="shared" si="181"/>
        <v>0</v>
      </c>
    </row>
    <row r="723" spans="4:30" x14ac:dyDescent="0.25">
      <c r="D723" s="31">
        <f>Simulation_output!A721</f>
        <v>7195000</v>
      </c>
      <c r="E723">
        <f>Sheet2!R720</f>
        <v>0</v>
      </c>
      <c r="F723">
        <f>Sheet2!S720</f>
        <v>0</v>
      </c>
      <c r="G723">
        <f>Sheet2!T720</f>
        <v>0</v>
      </c>
      <c r="H723" s="31">
        <f>Simulation_output!E721</f>
        <v>1</v>
      </c>
      <c r="I723" s="31">
        <f>Simulation_output!F721</f>
        <v>29</v>
      </c>
      <c r="J723" s="31">
        <f>Simulation_output!G721</f>
        <v>1</v>
      </c>
      <c r="K723" s="31">
        <f>Simulation_output!H721</f>
        <v>0</v>
      </c>
      <c r="L723">
        <v>1</v>
      </c>
      <c r="M723">
        <f t="shared" si="195"/>
        <v>0</v>
      </c>
      <c r="N723">
        <f t="shared" si="194"/>
        <v>0</v>
      </c>
      <c r="O723">
        <f t="shared" si="193"/>
        <v>0</v>
      </c>
      <c r="P723">
        <f t="shared" si="196"/>
        <v>0</v>
      </c>
      <c r="Q723">
        <f t="shared" si="192"/>
        <v>0</v>
      </c>
      <c r="R723">
        <f t="shared" si="182"/>
        <v>0</v>
      </c>
      <c r="S723">
        <f t="shared" si="183"/>
        <v>0</v>
      </c>
      <c r="T723">
        <f t="shared" si="184"/>
        <v>0</v>
      </c>
      <c r="U723">
        <f t="shared" si="185"/>
        <v>0</v>
      </c>
      <c r="V723">
        <f t="shared" si="186"/>
        <v>0</v>
      </c>
      <c r="W723">
        <f t="shared" si="187"/>
        <v>0</v>
      </c>
      <c r="X723">
        <f t="shared" si="188"/>
        <v>0</v>
      </c>
      <c r="Y723">
        <f t="shared" si="189"/>
        <v>0</v>
      </c>
      <c r="Z723">
        <f t="shared" si="190"/>
        <v>0</v>
      </c>
      <c r="AB723">
        <v>719</v>
      </c>
      <c r="AC723">
        <f t="shared" si="191"/>
        <v>28</v>
      </c>
      <c r="AD723">
        <f t="shared" si="181"/>
        <v>0</v>
      </c>
    </row>
    <row r="724" spans="4:30" x14ac:dyDescent="0.25">
      <c r="D724" s="31">
        <f>Simulation_output!A722</f>
        <v>7205000</v>
      </c>
      <c r="E724">
        <f>Sheet2!R721</f>
        <v>0</v>
      </c>
      <c r="F724">
        <f>Sheet2!S721</f>
        <v>0</v>
      </c>
      <c r="G724">
        <f>Sheet2!T721</f>
        <v>0</v>
      </c>
      <c r="H724" s="31">
        <f>Simulation_output!E722</f>
        <v>1</v>
      </c>
      <c r="I724" s="31">
        <f>Simulation_output!F722</f>
        <v>35</v>
      </c>
      <c r="J724" s="31">
        <f>Simulation_output!G722</f>
        <v>1</v>
      </c>
      <c r="K724" s="31">
        <f>Simulation_output!H722</f>
        <v>0</v>
      </c>
      <c r="L724">
        <v>1</v>
      </c>
      <c r="M724">
        <f t="shared" si="195"/>
        <v>0</v>
      </c>
      <c r="N724">
        <f t="shared" si="194"/>
        <v>0</v>
      </c>
      <c r="O724">
        <f t="shared" si="193"/>
        <v>0</v>
      </c>
      <c r="P724">
        <f t="shared" si="196"/>
        <v>0</v>
      </c>
      <c r="Q724">
        <f t="shared" si="192"/>
        <v>0</v>
      </c>
      <c r="R724">
        <f t="shared" si="182"/>
        <v>0</v>
      </c>
      <c r="S724">
        <f t="shared" si="183"/>
        <v>0</v>
      </c>
      <c r="T724">
        <f t="shared" si="184"/>
        <v>0</v>
      </c>
      <c r="U724">
        <f t="shared" si="185"/>
        <v>0</v>
      </c>
      <c r="V724">
        <f t="shared" si="186"/>
        <v>0</v>
      </c>
      <c r="W724">
        <f t="shared" si="187"/>
        <v>0</v>
      </c>
      <c r="X724">
        <f t="shared" si="188"/>
        <v>0</v>
      </c>
      <c r="Y724">
        <f t="shared" si="189"/>
        <v>0</v>
      </c>
      <c r="Z724">
        <f t="shared" si="190"/>
        <v>0</v>
      </c>
      <c r="AB724">
        <v>720</v>
      </c>
      <c r="AC724">
        <f t="shared" si="191"/>
        <v>28</v>
      </c>
      <c r="AD724">
        <f t="shared" si="181"/>
        <v>0</v>
      </c>
    </row>
    <row r="725" spans="4:30" x14ac:dyDescent="0.25">
      <c r="D725" s="31">
        <f>Simulation_output!A723</f>
        <v>7215000</v>
      </c>
      <c r="E725">
        <f>Sheet2!R722</f>
        <v>0</v>
      </c>
      <c r="F725">
        <f>Sheet2!S722</f>
        <v>0</v>
      </c>
      <c r="G725">
        <f>Sheet2!T722</f>
        <v>0</v>
      </c>
      <c r="H725" s="31">
        <f>Simulation_output!E723</f>
        <v>1</v>
      </c>
      <c r="I725" s="31">
        <f>Simulation_output!F723</f>
        <v>99</v>
      </c>
      <c r="J725" s="31">
        <f>Simulation_output!G723</f>
        <v>1</v>
      </c>
      <c r="K725" s="31">
        <f>Simulation_output!H723</f>
        <v>0</v>
      </c>
      <c r="L725">
        <v>1</v>
      </c>
      <c r="M725">
        <f t="shared" si="195"/>
        <v>0</v>
      </c>
      <c r="N725">
        <f t="shared" si="194"/>
        <v>0</v>
      </c>
      <c r="O725">
        <f t="shared" si="193"/>
        <v>0</v>
      </c>
      <c r="P725">
        <f t="shared" si="196"/>
        <v>0</v>
      </c>
      <c r="Q725">
        <f t="shared" si="192"/>
        <v>0</v>
      </c>
      <c r="R725">
        <f t="shared" si="182"/>
        <v>0</v>
      </c>
      <c r="S725">
        <f t="shared" si="183"/>
        <v>0</v>
      </c>
      <c r="T725">
        <f t="shared" si="184"/>
        <v>0</v>
      </c>
      <c r="U725">
        <f t="shared" si="185"/>
        <v>0</v>
      </c>
      <c r="V725">
        <f t="shared" si="186"/>
        <v>0</v>
      </c>
      <c r="W725">
        <f t="shared" si="187"/>
        <v>0</v>
      </c>
      <c r="X725">
        <f t="shared" si="188"/>
        <v>0</v>
      </c>
      <c r="Y725">
        <f t="shared" si="189"/>
        <v>0</v>
      </c>
      <c r="Z725">
        <f t="shared" si="190"/>
        <v>0</v>
      </c>
      <c r="AB725">
        <v>721</v>
      </c>
      <c r="AC725">
        <f t="shared" si="191"/>
        <v>28</v>
      </c>
      <c r="AD725">
        <f t="shared" si="181"/>
        <v>0</v>
      </c>
    </row>
    <row r="726" spans="4:30" x14ac:dyDescent="0.25">
      <c r="D726" s="31">
        <f>Simulation_output!A724</f>
        <v>7225000</v>
      </c>
      <c r="E726">
        <f>Sheet2!R723</f>
        <v>0</v>
      </c>
      <c r="F726">
        <f>Sheet2!S723</f>
        <v>0</v>
      </c>
      <c r="G726">
        <f>Sheet2!T723</f>
        <v>0</v>
      </c>
      <c r="H726" s="31">
        <f>Simulation_output!E724</f>
        <v>1</v>
      </c>
      <c r="I726" s="31">
        <f>Simulation_output!F724</f>
        <v>6</v>
      </c>
      <c r="J726" s="31">
        <f>Simulation_output!G724</f>
        <v>1</v>
      </c>
      <c r="K726" s="31">
        <f>Simulation_output!H724</f>
        <v>0</v>
      </c>
      <c r="L726">
        <v>1</v>
      </c>
      <c r="M726">
        <f t="shared" si="195"/>
        <v>0</v>
      </c>
      <c r="N726">
        <f t="shared" si="194"/>
        <v>0</v>
      </c>
      <c r="O726">
        <f t="shared" si="193"/>
        <v>0</v>
      </c>
      <c r="P726">
        <f t="shared" si="196"/>
        <v>0</v>
      </c>
      <c r="Q726">
        <f t="shared" si="192"/>
        <v>0</v>
      </c>
      <c r="R726">
        <f t="shared" si="182"/>
        <v>0</v>
      </c>
      <c r="S726">
        <f t="shared" si="183"/>
        <v>0</v>
      </c>
      <c r="T726">
        <f t="shared" si="184"/>
        <v>0</v>
      </c>
      <c r="U726">
        <f t="shared" si="185"/>
        <v>0</v>
      </c>
      <c r="V726">
        <f t="shared" si="186"/>
        <v>0</v>
      </c>
      <c r="W726">
        <f t="shared" si="187"/>
        <v>0</v>
      </c>
      <c r="X726">
        <f t="shared" si="188"/>
        <v>0</v>
      </c>
      <c r="Y726">
        <f t="shared" si="189"/>
        <v>0</v>
      </c>
      <c r="Z726">
        <f t="shared" si="190"/>
        <v>0</v>
      </c>
      <c r="AB726">
        <v>722</v>
      </c>
      <c r="AC726">
        <f t="shared" si="191"/>
        <v>28</v>
      </c>
      <c r="AD726">
        <f t="shared" si="181"/>
        <v>0</v>
      </c>
    </row>
    <row r="727" spans="4:30" x14ac:dyDescent="0.25">
      <c r="D727" s="31">
        <f>Simulation_output!A725</f>
        <v>7235000</v>
      </c>
      <c r="E727">
        <f>Sheet2!R724</f>
        <v>0</v>
      </c>
      <c r="F727">
        <f>Sheet2!S724</f>
        <v>0</v>
      </c>
      <c r="G727">
        <f>Sheet2!T724</f>
        <v>0</v>
      </c>
      <c r="H727" s="31">
        <f>Simulation_output!E725</f>
        <v>1</v>
      </c>
      <c r="I727" s="31">
        <f>Simulation_output!F725</f>
        <v>8</v>
      </c>
      <c r="J727" s="31">
        <f>Simulation_output!G725</f>
        <v>1</v>
      </c>
      <c r="K727" s="31">
        <f>Simulation_output!H725</f>
        <v>0</v>
      </c>
      <c r="L727">
        <v>1</v>
      </c>
      <c r="M727">
        <f t="shared" si="195"/>
        <v>0</v>
      </c>
      <c r="N727">
        <f t="shared" si="194"/>
        <v>0</v>
      </c>
      <c r="O727">
        <f t="shared" si="193"/>
        <v>0</v>
      </c>
      <c r="P727">
        <f t="shared" si="196"/>
        <v>0</v>
      </c>
      <c r="Q727">
        <f t="shared" si="192"/>
        <v>0</v>
      </c>
      <c r="R727">
        <f t="shared" si="182"/>
        <v>0</v>
      </c>
      <c r="S727">
        <f t="shared" si="183"/>
        <v>0</v>
      </c>
      <c r="T727">
        <f t="shared" si="184"/>
        <v>0</v>
      </c>
      <c r="U727">
        <f t="shared" si="185"/>
        <v>0</v>
      </c>
      <c r="V727">
        <f t="shared" si="186"/>
        <v>0</v>
      </c>
      <c r="W727">
        <f t="shared" si="187"/>
        <v>0</v>
      </c>
      <c r="X727">
        <f t="shared" si="188"/>
        <v>0</v>
      </c>
      <c r="Y727">
        <f t="shared" si="189"/>
        <v>0</v>
      </c>
      <c r="Z727">
        <f t="shared" si="190"/>
        <v>0</v>
      </c>
      <c r="AB727">
        <v>723</v>
      </c>
      <c r="AC727">
        <f t="shared" si="191"/>
        <v>28</v>
      </c>
      <c r="AD727">
        <f t="shared" si="181"/>
        <v>0</v>
      </c>
    </row>
    <row r="728" spans="4:30" x14ac:dyDescent="0.25">
      <c r="D728" s="31">
        <f>Simulation_output!A726</f>
        <v>7245000</v>
      </c>
      <c r="E728">
        <f>Sheet2!R725</f>
        <v>0</v>
      </c>
      <c r="F728">
        <f>Sheet2!S725</f>
        <v>0</v>
      </c>
      <c r="G728">
        <f>Sheet2!T725</f>
        <v>0</v>
      </c>
      <c r="H728" s="31">
        <f>Simulation_output!E726</f>
        <v>1</v>
      </c>
      <c r="I728" s="31">
        <f>Simulation_output!F726</f>
        <v>41</v>
      </c>
      <c r="J728" s="31">
        <f>Simulation_output!G726</f>
        <v>1</v>
      </c>
      <c r="K728" s="31">
        <f>Simulation_output!H726</f>
        <v>0</v>
      </c>
      <c r="L728">
        <v>1</v>
      </c>
      <c r="M728">
        <f t="shared" si="195"/>
        <v>0</v>
      </c>
      <c r="N728">
        <f t="shared" si="194"/>
        <v>0</v>
      </c>
      <c r="O728">
        <f t="shared" si="193"/>
        <v>0</v>
      </c>
      <c r="P728">
        <f t="shared" si="196"/>
        <v>0</v>
      </c>
      <c r="Q728">
        <f t="shared" si="192"/>
        <v>0</v>
      </c>
      <c r="R728">
        <f t="shared" si="182"/>
        <v>0</v>
      </c>
      <c r="S728">
        <f t="shared" si="183"/>
        <v>0</v>
      </c>
      <c r="T728">
        <f t="shared" si="184"/>
        <v>0</v>
      </c>
      <c r="U728">
        <f t="shared" si="185"/>
        <v>0</v>
      </c>
      <c r="V728">
        <f t="shared" si="186"/>
        <v>0</v>
      </c>
      <c r="W728">
        <f t="shared" si="187"/>
        <v>0</v>
      </c>
      <c r="X728">
        <f t="shared" si="188"/>
        <v>0</v>
      </c>
      <c r="Y728">
        <f t="shared" si="189"/>
        <v>0</v>
      </c>
      <c r="Z728">
        <f t="shared" si="190"/>
        <v>0</v>
      </c>
      <c r="AB728">
        <v>724</v>
      </c>
      <c r="AC728">
        <f t="shared" si="191"/>
        <v>28</v>
      </c>
      <c r="AD728">
        <f t="shared" si="181"/>
        <v>0</v>
      </c>
    </row>
    <row r="729" spans="4:30" x14ac:dyDescent="0.25">
      <c r="D729" s="31">
        <f>Simulation_output!A727</f>
        <v>7255000</v>
      </c>
      <c r="E729">
        <f>Sheet2!R726</f>
        <v>0</v>
      </c>
      <c r="F729">
        <f>Sheet2!S726</f>
        <v>0</v>
      </c>
      <c r="G729">
        <f>Sheet2!T726</f>
        <v>0</v>
      </c>
      <c r="H729" s="31">
        <f>Simulation_output!E727</f>
        <v>1</v>
      </c>
      <c r="I729" s="31">
        <f>Simulation_output!F727</f>
        <v>141</v>
      </c>
      <c r="J729" s="31">
        <f>Simulation_output!G727</f>
        <v>1</v>
      </c>
      <c r="K729" s="31">
        <f>Simulation_output!H727</f>
        <v>0</v>
      </c>
      <c r="L729">
        <v>1</v>
      </c>
      <c r="M729">
        <f t="shared" si="195"/>
        <v>0</v>
      </c>
      <c r="N729">
        <f t="shared" si="194"/>
        <v>0</v>
      </c>
      <c r="O729">
        <f t="shared" si="193"/>
        <v>0</v>
      </c>
      <c r="P729">
        <f t="shared" si="196"/>
        <v>0</v>
      </c>
      <c r="Q729">
        <f t="shared" si="192"/>
        <v>0</v>
      </c>
      <c r="R729">
        <f t="shared" si="182"/>
        <v>0</v>
      </c>
      <c r="S729">
        <f t="shared" si="183"/>
        <v>0</v>
      </c>
      <c r="T729">
        <f t="shared" si="184"/>
        <v>0</v>
      </c>
      <c r="U729">
        <f t="shared" si="185"/>
        <v>0</v>
      </c>
      <c r="V729">
        <f t="shared" si="186"/>
        <v>0</v>
      </c>
      <c r="W729">
        <f t="shared" si="187"/>
        <v>0</v>
      </c>
      <c r="X729">
        <f t="shared" si="188"/>
        <v>0</v>
      </c>
      <c r="Y729">
        <f t="shared" si="189"/>
        <v>0</v>
      </c>
      <c r="Z729">
        <f t="shared" si="190"/>
        <v>0</v>
      </c>
      <c r="AB729">
        <v>725</v>
      </c>
      <c r="AC729">
        <f t="shared" si="191"/>
        <v>28</v>
      </c>
      <c r="AD729">
        <f t="shared" si="181"/>
        <v>0</v>
      </c>
    </row>
    <row r="730" spans="4:30" x14ac:dyDescent="0.25">
      <c r="D730" s="31">
        <f>Simulation_output!A728</f>
        <v>7265000</v>
      </c>
      <c r="E730">
        <f>Sheet2!R727</f>
        <v>0</v>
      </c>
      <c r="F730">
        <f>Sheet2!S727</f>
        <v>0</v>
      </c>
      <c r="G730">
        <f>Sheet2!T727</f>
        <v>0</v>
      </c>
      <c r="H730" s="31">
        <f>Simulation_output!E728</f>
        <v>1</v>
      </c>
      <c r="I730" s="31">
        <f>Simulation_output!F728</f>
        <v>1041</v>
      </c>
      <c r="J730" s="31">
        <f>Simulation_output!G728</f>
        <v>1</v>
      </c>
      <c r="K730" s="31">
        <f>Simulation_output!H728</f>
        <v>0</v>
      </c>
      <c r="L730">
        <v>1</v>
      </c>
      <c r="M730">
        <f t="shared" si="195"/>
        <v>0</v>
      </c>
      <c r="N730">
        <f t="shared" si="194"/>
        <v>0</v>
      </c>
      <c r="O730">
        <f t="shared" si="193"/>
        <v>0</v>
      </c>
      <c r="P730">
        <f t="shared" si="196"/>
        <v>0</v>
      </c>
      <c r="Q730">
        <f t="shared" si="192"/>
        <v>0</v>
      </c>
      <c r="R730">
        <f t="shared" si="182"/>
        <v>0</v>
      </c>
      <c r="S730">
        <f t="shared" si="183"/>
        <v>0</v>
      </c>
      <c r="T730">
        <f t="shared" si="184"/>
        <v>0</v>
      </c>
      <c r="U730">
        <f t="shared" si="185"/>
        <v>0</v>
      </c>
      <c r="V730">
        <f t="shared" si="186"/>
        <v>0</v>
      </c>
      <c r="W730">
        <f t="shared" si="187"/>
        <v>0</v>
      </c>
      <c r="X730">
        <f t="shared" si="188"/>
        <v>0</v>
      </c>
      <c r="Y730">
        <f t="shared" si="189"/>
        <v>0</v>
      </c>
      <c r="Z730">
        <f t="shared" si="190"/>
        <v>0</v>
      </c>
      <c r="AB730">
        <v>726</v>
      </c>
      <c r="AC730">
        <f t="shared" si="191"/>
        <v>28</v>
      </c>
      <c r="AD730">
        <f t="shared" si="181"/>
        <v>0</v>
      </c>
    </row>
    <row r="731" spans="4:30" x14ac:dyDescent="0.25">
      <c r="D731" s="31">
        <f>Simulation_output!A729</f>
        <v>7275000</v>
      </c>
      <c r="E731">
        <f>Sheet2!R728</f>
        <v>0</v>
      </c>
      <c r="F731">
        <f>Sheet2!S728</f>
        <v>0</v>
      </c>
      <c r="G731">
        <f>Sheet2!T728</f>
        <v>0</v>
      </c>
      <c r="H731" s="31">
        <f>Simulation_output!E729</f>
        <v>1</v>
      </c>
      <c r="I731" s="31">
        <f>Simulation_output!F729</f>
        <v>10041</v>
      </c>
      <c r="J731" s="31">
        <f>Simulation_output!G729</f>
        <v>1</v>
      </c>
      <c r="K731" s="31">
        <f>Simulation_output!H729</f>
        <v>0</v>
      </c>
      <c r="L731">
        <v>1</v>
      </c>
      <c r="M731">
        <f t="shared" si="195"/>
        <v>0</v>
      </c>
      <c r="N731">
        <f t="shared" si="194"/>
        <v>0</v>
      </c>
      <c r="O731">
        <f t="shared" si="193"/>
        <v>0</v>
      </c>
      <c r="P731">
        <f t="shared" si="196"/>
        <v>0</v>
      </c>
      <c r="Q731">
        <f t="shared" si="192"/>
        <v>0</v>
      </c>
      <c r="R731">
        <f t="shared" si="182"/>
        <v>0</v>
      </c>
      <c r="S731">
        <f t="shared" si="183"/>
        <v>0</v>
      </c>
      <c r="T731">
        <f t="shared" si="184"/>
        <v>0</v>
      </c>
      <c r="U731">
        <f t="shared" si="185"/>
        <v>0</v>
      </c>
      <c r="V731">
        <f t="shared" si="186"/>
        <v>0</v>
      </c>
      <c r="W731">
        <f t="shared" si="187"/>
        <v>0</v>
      </c>
      <c r="X731">
        <f t="shared" si="188"/>
        <v>0</v>
      </c>
      <c r="Y731">
        <f t="shared" si="189"/>
        <v>0</v>
      </c>
      <c r="Z731">
        <f t="shared" si="190"/>
        <v>0</v>
      </c>
      <c r="AB731">
        <v>727</v>
      </c>
      <c r="AC731">
        <f t="shared" si="191"/>
        <v>28</v>
      </c>
      <c r="AD731">
        <f t="shared" si="181"/>
        <v>0</v>
      </c>
    </row>
    <row r="732" spans="4:30" x14ac:dyDescent="0.25">
      <c r="D732" s="31">
        <f>Simulation_output!A730</f>
        <v>7285000</v>
      </c>
      <c r="E732">
        <f>Sheet2!R729</f>
        <v>0</v>
      </c>
      <c r="F732">
        <f>Sheet2!S729</f>
        <v>0</v>
      </c>
      <c r="G732">
        <f>Sheet2!T729</f>
        <v>0</v>
      </c>
      <c r="H732" s="31">
        <f>Simulation_output!E730</f>
        <v>1</v>
      </c>
      <c r="I732" s="31">
        <f>Simulation_output!F730</f>
        <v>1180</v>
      </c>
      <c r="J732" s="31">
        <f>Simulation_output!G730</f>
        <v>1</v>
      </c>
      <c r="K732" s="31">
        <f>Simulation_output!H730</f>
        <v>0</v>
      </c>
      <c r="L732">
        <v>1</v>
      </c>
      <c r="M732">
        <f t="shared" si="195"/>
        <v>0</v>
      </c>
      <c r="N732">
        <f t="shared" si="194"/>
        <v>0</v>
      </c>
      <c r="O732">
        <f t="shared" si="193"/>
        <v>0</v>
      </c>
      <c r="P732">
        <f t="shared" si="196"/>
        <v>0</v>
      </c>
      <c r="Q732">
        <f t="shared" si="192"/>
        <v>0</v>
      </c>
      <c r="R732">
        <f t="shared" si="182"/>
        <v>0</v>
      </c>
      <c r="S732">
        <f t="shared" si="183"/>
        <v>0</v>
      </c>
      <c r="T732">
        <f t="shared" si="184"/>
        <v>0</v>
      </c>
      <c r="U732">
        <f t="shared" si="185"/>
        <v>0</v>
      </c>
      <c r="V732">
        <f t="shared" si="186"/>
        <v>0</v>
      </c>
      <c r="W732">
        <f t="shared" si="187"/>
        <v>0</v>
      </c>
      <c r="X732">
        <f t="shared" si="188"/>
        <v>0</v>
      </c>
      <c r="Y732">
        <f t="shared" si="189"/>
        <v>0</v>
      </c>
      <c r="Z732">
        <f t="shared" si="190"/>
        <v>0</v>
      </c>
      <c r="AB732">
        <v>728</v>
      </c>
      <c r="AC732">
        <f t="shared" si="191"/>
        <v>28</v>
      </c>
      <c r="AD732">
        <f t="shared" si="181"/>
        <v>0</v>
      </c>
    </row>
    <row r="733" spans="4:30" x14ac:dyDescent="0.25">
      <c r="D733" s="31">
        <f>Simulation_output!A731</f>
        <v>7295000</v>
      </c>
      <c r="E733">
        <f>Sheet2!R730</f>
        <v>0</v>
      </c>
      <c r="F733">
        <f>Sheet2!S730</f>
        <v>0</v>
      </c>
      <c r="G733">
        <f>Sheet2!T730</f>
        <v>0</v>
      </c>
      <c r="H733" s="31">
        <f>Simulation_output!E731</f>
        <v>1</v>
      </c>
      <c r="I733" s="31">
        <f>Simulation_output!F731</f>
        <v>456</v>
      </c>
      <c r="J733" s="31">
        <f>Simulation_output!G731</f>
        <v>1</v>
      </c>
      <c r="K733" s="31">
        <f>Simulation_output!H731</f>
        <v>0</v>
      </c>
      <c r="L733">
        <v>1</v>
      </c>
      <c r="M733">
        <f t="shared" si="195"/>
        <v>0</v>
      </c>
      <c r="N733">
        <f t="shared" si="194"/>
        <v>0</v>
      </c>
      <c r="O733">
        <f t="shared" si="193"/>
        <v>0</v>
      </c>
      <c r="P733">
        <f t="shared" si="196"/>
        <v>0</v>
      </c>
      <c r="Q733">
        <f t="shared" si="192"/>
        <v>0</v>
      </c>
      <c r="R733">
        <f t="shared" si="182"/>
        <v>0</v>
      </c>
      <c r="S733">
        <f t="shared" si="183"/>
        <v>0</v>
      </c>
      <c r="T733">
        <f t="shared" si="184"/>
        <v>0</v>
      </c>
      <c r="U733">
        <f t="shared" si="185"/>
        <v>0</v>
      </c>
      <c r="V733">
        <f t="shared" si="186"/>
        <v>0</v>
      </c>
      <c r="W733">
        <f t="shared" si="187"/>
        <v>0</v>
      </c>
      <c r="X733">
        <f t="shared" si="188"/>
        <v>0</v>
      </c>
      <c r="Y733">
        <f t="shared" si="189"/>
        <v>0</v>
      </c>
      <c r="Z733">
        <f t="shared" si="190"/>
        <v>0</v>
      </c>
      <c r="AB733">
        <v>729</v>
      </c>
      <c r="AC733">
        <f t="shared" si="191"/>
        <v>28</v>
      </c>
      <c r="AD733">
        <f t="shared" si="181"/>
        <v>0</v>
      </c>
    </row>
    <row r="734" spans="4:30" x14ac:dyDescent="0.25">
      <c r="D734" s="31">
        <f>Simulation_output!A732</f>
        <v>7305000</v>
      </c>
      <c r="E734">
        <f>Sheet2!R731</f>
        <v>0</v>
      </c>
      <c r="F734">
        <f>Sheet2!S731</f>
        <v>0</v>
      </c>
      <c r="G734">
        <f>Sheet2!T731</f>
        <v>0</v>
      </c>
      <c r="H734" s="31">
        <f>Simulation_output!E732</f>
        <v>1</v>
      </c>
      <c r="I734" s="31">
        <f>Simulation_output!F732</f>
        <v>0</v>
      </c>
      <c r="J734" s="31">
        <f>Simulation_output!G732</f>
        <v>1</v>
      </c>
      <c r="K734" s="31">
        <f>Simulation_output!H732</f>
        <v>0</v>
      </c>
      <c r="L734">
        <v>1</v>
      </c>
      <c r="M734">
        <f t="shared" si="195"/>
        <v>0</v>
      </c>
      <c r="N734">
        <f t="shared" si="194"/>
        <v>0</v>
      </c>
      <c r="O734">
        <f t="shared" si="193"/>
        <v>0</v>
      </c>
      <c r="P734">
        <f t="shared" si="196"/>
        <v>0</v>
      </c>
      <c r="Q734">
        <f t="shared" si="192"/>
        <v>0</v>
      </c>
      <c r="R734">
        <f t="shared" si="182"/>
        <v>0</v>
      </c>
      <c r="S734">
        <f t="shared" si="183"/>
        <v>0</v>
      </c>
      <c r="T734">
        <f t="shared" si="184"/>
        <v>0</v>
      </c>
      <c r="U734">
        <f t="shared" si="185"/>
        <v>0</v>
      </c>
      <c r="V734">
        <f t="shared" si="186"/>
        <v>0</v>
      </c>
      <c r="W734">
        <f t="shared" si="187"/>
        <v>0</v>
      </c>
      <c r="X734">
        <f t="shared" si="188"/>
        <v>0</v>
      </c>
      <c r="Y734">
        <f t="shared" si="189"/>
        <v>0</v>
      </c>
      <c r="Z734">
        <f t="shared" si="190"/>
        <v>0</v>
      </c>
      <c r="AB734">
        <v>730</v>
      </c>
      <c r="AC734">
        <f t="shared" si="191"/>
        <v>28</v>
      </c>
      <c r="AD734">
        <f t="shared" si="181"/>
        <v>0</v>
      </c>
    </row>
    <row r="735" spans="4:30" x14ac:dyDescent="0.25">
      <c r="D735" s="31">
        <f>Simulation_output!A733</f>
        <v>7315000</v>
      </c>
      <c r="E735">
        <f>Sheet2!R732</f>
        <v>0</v>
      </c>
      <c r="F735">
        <f>Sheet2!S732</f>
        <v>0</v>
      </c>
      <c r="G735">
        <f>Sheet2!T732</f>
        <v>0</v>
      </c>
      <c r="H735" s="31">
        <f>Simulation_output!E733</f>
        <v>1</v>
      </c>
      <c r="I735" s="31">
        <f>Simulation_output!F733</f>
        <v>268435454</v>
      </c>
      <c r="J735" s="31">
        <f>Simulation_output!G733</f>
        <v>1</v>
      </c>
      <c r="K735" s="31">
        <f>Simulation_output!H733</f>
        <v>1</v>
      </c>
      <c r="L735">
        <v>1</v>
      </c>
      <c r="M735" t="str">
        <f t="shared" si="195"/>
        <v>FFFFFFF</v>
      </c>
      <c r="N735">
        <f t="shared" si="194"/>
        <v>29</v>
      </c>
      <c r="O735">
        <f t="shared" si="193"/>
        <v>35</v>
      </c>
      <c r="P735">
        <f t="shared" si="196"/>
        <v>99</v>
      </c>
      <c r="Q735">
        <f t="shared" si="192"/>
        <v>6</v>
      </c>
      <c r="R735">
        <f t="shared" si="182"/>
        <v>8</v>
      </c>
      <c r="S735">
        <f t="shared" si="183"/>
        <v>41</v>
      </c>
      <c r="T735">
        <f t="shared" si="184"/>
        <v>141</v>
      </c>
      <c r="U735">
        <f t="shared" si="185"/>
        <v>1041</v>
      </c>
      <c r="V735">
        <f t="shared" si="186"/>
        <v>10041</v>
      </c>
      <c r="W735">
        <f t="shared" si="187"/>
        <v>1180</v>
      </c>
      <c r="X735">
        <f t="shared" si="188"/>
        <v>456</v>
      </c>
      <c r="Y735">
        <f t="shared" si="189"/>
        <v>0</v>
      </c>
      <c r="Z735" t="str">
        <f t="shared" si="190"/>
        <v>FFFFFFE</v>
      </c>
      <c r="AB735">
        <v>731</v>
      </c>
      <c r="AC735">
        <f t="shared" si="191"/>
        <v>29</v>
      </c>
      <c r="AD735">
        <f t="shared" si="181"/>
        <v>29</v>
      </c>
    </row>
    <row r="736" spans="4:30" x14ac:dyDescent="0.25">
      <c r="D736" s="31">
        <f>Simulation_output!A734</f>
        <v>7325000</v>
      </c>
      <c r="E736">
        <f>Sheet2!R733</f>
        <v>0</v>
      </c>
      <c r="F736">
        <f>Sheet2!S733</f>
        <v>0</v>
      </c>
      <c r="G736">
        <f>Sheet2!T733</f>
        <v>0</v>
      </c>
      <c r="H736" s="31">
        <f>Simulation_output!E734</f>
        <v>1</v>
      </c>
      <c r="I736" s="31">
        <f>Simulation_output!F734</f>
        <v>268435455</v>
      </c>
      <c r="J736" s="31">
        <f>Simulation_output!G734</f>
        <v>1</v>
      </c>
      <c r="K736" s="31">
        <f>Simulation_output!H734</f>
        <v>0</v>
      </c>
      <c r="L736">
        <v>1</v>
      </c>
      <c r="M736">
        <f t="shared" si="195"/>
        <v>0</v>
      </c>
      <c r="N736">
        <f t="shared" si="194"/>
        <v>0</v>
      </c>
      <c r="O736">
        <f t="shared" si="193"/>
        <v>0</v>
      </c>
      <c r="P736">
        <f t="shared" si="196"/>
        <v>0</v>
      </c>
      <c r="Q736">
        <f t="shared" si="192"/>
        <v>0</v>
      </c>
      <c r="R736">
        <f t="shared" si="182"/>
        <v>0</v>
      </c>
      <c r="S736">
        <f t="shared" si="183"/>
        <v>0</v>
      </c>
      <c r="T736">
        <f t="shared" si="184"/>
        <v>0</v>
      </c>
      <c r="U736">
        <f t="shared" si="185"/>
        <v>0</v>
      </c>
      <c r="V736">
        <f t="shared" si="186"/>
        <v>0</v>
      </c>
      <c r="W736">
        <f t="shared" si="187"/>
        <v>0</v>
      </c>
      <c r="X736">
        <f t="shared" si="188"/>
        <v>0</v>
      </c>
      <c r="Y736">
        <f t="shared" si="189"/>
        <v>0</v>
      </c>
      <c r="Z736">
        <f t="shared" si="190"/>
        <v>0</v>
      </c>
      <c r="AB736">
        <v>732</v>
      </c>
      <c r="AC736">
        <f t="shared" si="191"/>
        <v>29</v>
      </c>
      <c r="AD736">
        <f t="shared" si="181"/>
        <v>0</v>
      </c>
    </row>
    <row r="737" spans="4:30" x14ac:dyDescent="0.25">
      <c r="D737" s="31">
        <f>Simulation_output!A735</f>
        <v>7335000</v>
      </c>
      <c r="E737">
        <f>Sheet2!R734</f>
        <v>0</v>
      </c>
      <c r="F737">
        <f>Sheet2!S734</f>
        <v>0</v>
      </c>
      <c r="G737">
        <f>Sheet2!T734</f>
        <v>0</v>
      </c>
      <c r="H737" s="31">
        <f>Simulation_output!E735</f>
        <v>1</v>
      </c>
      <c r="I737" s="31">
        <f>Simulation_output!F735</f>
        <v>30</v>
      </c>
      <c r="J737" s="31">
        <f>Simulation_output!G735</f>
        <v>1</v>
      </c>
      <c r="K737" s="31">
        <f>Simulation_output!H735</f>
        <v>0</v>
      </c>
      <c r="L737">
        <v>1</v>
      </c>
      <c r="M737">
        <f t="shared" si="195"/>
        <v>0</v>
      </c>
      <c r="N737">
        <f t="shared" si="194"/>
        <v>0</v>
      </c>
      <c r="O737">
        <f t="shared" si="193"/>
        <v>0</v>
      </c>
      <c r="P737">
        <f t="shared" si="196"/>
        <v>0</v>
      </c>
      <c r="Q737">
        <f t="shared" si="192"/>
        <v>0</v>
      </c>
      <c r="R737">
        <f t="shared" si="182"/>
        <v>0</v>
      </c>
      <c r="S737">
        <f t="shared" si="183"/>
        <v>0</v>
      </c>
      <c r="T737">
        <f t="shared" si="184"/>
        <v>0</v>
      </c>
      <c r="U737">
        <f t="shared" si="185"/>
        <v>0</v>
      </c>
      <c r="V737">
        <f t="shared" si="186"/>
        <v>0</v>
      </c>
      <c r="W737">
        <f t="shared" si="187"/>
        <v>0</v>
      </c>
      <c r="X737">
        <f t="shared" si="188"/>
        <v>0</v>
      </c>
      <c r="Y737">
        <f t="shared" si="189"/>
        <v>0</v>
      </c>
      <c r="Z737">
        <f t="shared" si="190"/>
        <v>0</v>
      </c>
      <c r="AB737">
        <v>733</v>
      </c>
      <c r="AC737">
        <f t="shared" si="191"/>
        <v>29</v>
      </c>
      <c r="AD737">
        <f t="shared" si="181"/>
        <v>0</v>
      </c>
    </row>
    <row r="738" spans="4:30" x14ac:dyDescent="0.25">
      <c r="D738" s="31">
        <f>Simulation_output!A736</f>
        <v>7345000</v>
      </c>
      <c r="E738">
        <f>Sheet2!R735</f>
        <v>0</v>
      </c>
      <c r="F738">
        <f>Sheet2!S735</f>
        <v>0</v>
      </c>
      <c r="G738">
        <f>Sheet2!T735</f>
        <v>0</v>
      </c>
      <c r="H738" s="31">
        <f>Simulation_output!E736</f>
        <v>1</v>
      </c>
      <c r="I738" s="31">
        <f>Simulation_output!F736</f>
        <v>47</v>
      </c>
      <c r="J738" s="31">
        <f>Simulation_output!G736</f>
        <v>1</v>
      </c>
      <c r="K738" s="31">
        <f>Simulation_output!H736</f>
        <v>0</v>
      </c>
      <c r="L738">
        <v>1</v>
      </c>
      <c r="M738">
        <f t="shared" si="195"/>
        <v>0</v>
      </c>
      <c r="N738">
        <f t="shared" si="194"/>
        <v>0</v>
      </c>
      <c r="O738">
        <f t="shared" si="193"/>
        <v>0</v>
      </c>
      <c r="P738">
        <f t="shared" si="196"/>
        <v>0</v>
      </c>
      <c r="Q738">
        <f t="shared" si="192"/>
        <v>0</v>
      </c>
      <c r="R738">
        <f t="shared" si="182"/>
        <v>0</v>
      </c>
      <c r="S738">
        <f t="shared" si="183"/>
        <v>0</v>
      </c>
      <c r="T738">
        <f t="shared" si="184"/>
        <v>0</v>
      </c>
      <c r="U738">
        <f t="shared" si="185"/>
        <v>0</v>
      </c>
      <c r="V738">
        <f t="shared" si="186"/>
        <v>0</v>
      </c>
      <c r="W738">
        <f t="shared" si="187"/>
        <v>0</v>
      </c>
      <c r="X738">
        <f t="shared" si="188"/>
        <v>0</v>
      </c>
      <c r="Y738">
        <f t="shared" si="189"/>
        <v>0</v>
      </c>
      <c r="Z738">
        <f t="shared" si="190"/>
        <v>0</v>
      </c>
      <c r="AB738">
        <v>734</v>
      </c>
      <c r="AC738">
        <f t="shared" si="191"/>
        <v>29</v>
      </c>
      <c r="AD738">
        <f t="shared" si="181"/>
        <v>0</v>
      </c>
    </row>
    <row r="739" spans="4:30" x14ac:dyDescent="0.25">
      <c r="D739" s="31">
        <f>Simulation_output!A737</f>
        <v>7355000</v>
      </c>
      <c r="E739">
        <f>Sheet2!R736</f>
        <v>0</v>
      </c>
      <c r="F739">
        <f>Sheet2!S736</f>
        <v>0</v>
      </c>
      <c r="G739">
        <f>Sheet2!T736</f>
        <v>0</v>
      </c>
      <c r="H739" s="31">
        <f>Simulation_output!E737</f>
        <v>1</v>
      </c>
      <c r="I739" s="31">
        <f>Simulation_output!F737</f>
        <v>100</v>
      </c>
      <c r="J739" s="31">
        <f>Simulation_output!G737</f>
        <v>1</v>
      </c>
      <c r="K739" s="31">
        <f>Simulation_output!H737</f>
        <v>0</v>
      </c>
      <c r="L739">
        <v>1</v>
      </c>
      <c r="M739">
        <f t="shared" si="195"/>
        <v>0</v>
      </c>
      <c r="N739">
        <f t="shared" si="194"/>
        <v>0</v>
      </c>
      <c r="O739">
        <f t="shared" si="193"/>
        <v>0</v>
      </c>
      <c r="P739">
        <f t="shared" si="196"/>
        <v>0</v>
      </c>
      <c r="Q739">
        <f t="shared" si="192"/>
        <v>0</v>
      </c>
      <c r="R739">
        <f t="shared" si="182"/>
        <v>0</v>
      </c>
      <c r="S739">
        <f t="shared" si="183"/>
        <v>0</v>
      </c>
      <c r="T739">
        <f t="shared" si="184"/>
        <v>0</v>
      </c>
      <c r="U739">
        <f t="shared" si="185"/>
        <v>0</v>
      </c>
      <c r="V739">
        <f t="shared" si="186"/>
        <v>0</v>
      </c>
      <c r="W739">
        <f t="shared" si="187"/>
        <v>0</v>
      </c>
      <c r="X739">
        <f t="shared" si="188"/>
        <v>0</v>
      </c>
      <c r="Y739">
        <f t="shared" si="189"/>
        <v>0</v>
      </c>
      <c r="Z739">
        <f t="shared" si="190"/>
        <v>0</v>
      </c>
      <c r="AB739">
        <v>735</v>
      </c>
      <c r="AC739">
        <f t="shared" si="191"/>
        <v>29</v>
      </c>
      <c r="AD739">
        <f t="shared" si="181"/>
        <v>0</v>
      </c>
    </row>
    <row r="740" spans="4:30" x14ac:dyDescent="0.25">
      <c r="D740" s="31">
        <f>Simulation_output!A738</f>
        <v>7365000</v>
      </c>
      <c r="E740">
        <f>Sheet2!R737</f>
        <v>0</v>
      </c>
      <c r="F740">
        <f>Sheet2!S737</f>
        <v>0</v>
      </c>
      <c r="G740">
        <f>Sheet2!T737</f>
        <v>0</v>
      </c>
      <c r="H740" s="31">
        <f>Simulation_output!E738</f>
        <v>1</v>
      </c>
      <c r="I740" s="31">
        <f>Simulation_output!F738</f>
        <v>6</v>
      </c>
      <c r="J740" s="31">
        <f>Simulation_output!G738</f>
        <v>1</v>
      </c>
      <c r="K740" s="31">
        <f>Simulation_output!H738</f>
        <v>0</v>
      </c>
      <c r="L740">
        <v>1</v>
      </c>
      <c r="M740">
        <f t="shared" si="195"/>
        <v>0</v>
      </c>
      <c r="N740">
        <f t="shared" si="194"/>
        <v>0</v>
      </c>
      <c r="O740">
        <f t="shared" si="193"/>
        <v>0</v>
      </c>
      <c r="P740">
        <f t="shared" si="196"/>
        <v>0</v>
      </c>
      <c r="Q740">
        <f t="shared" si="192"/>
        <v>0</v>
      </c>
      <c r="R740">
        <f t="shared" si="182"/>
        <v>0</v>
      </c>
      <c r="S740">
        <f t="shared" si="183"/>
        <v>0</v>
      </c>
      <c r="T740">
        <f t="shared" si="184"/>
        <v>0</v>
      </c>
      <c r="U740">
        <f t="shared" si="185"/>
        <v>0</v>
      </c>
      <c r="V740">
        <f t="shared" si="186"/>
        <v>0</v>
      </c>
      <c r="W740">
        <f t="shared" si="187"/>
        <v>0</v>
      </c>
      <c r="X740">
        <f t="shared" si="188"/>
        <v>0</v>
      </c>
      <c r="Y740">
        <f t="shared" si="189"/>
        <v>0</v>
      </c>
      <c r="Z740">
        <f t="shared" si="190"/>
        <v>0</v>
      </c>
      <c r="AB740">
        <v>736</v>
      </c>
      <c r="AC740">
        <f t="shared" si="191"/>
        <v>29</v>
      </c>
      <c r="AD740">
        <f t="shared" si="181"/>
        <v>0</v>
      </c>
    </row>
    <row r="741" spans="4:30" x14ac:dyDescent="0.25">
      <c r="D741" s="31">
        <f>Simulation_output!A739</f>
        <v>7375000</v>
      </c>
      <c r="E741">
        <f>Sheet2!R738</f>
        <v>0</v>
      </c>
      <c r="F741">
        <f>Sheet2!S738</f>
        <v>0</v>
      </c>
      <c r="G741">
        <f>Sheet2!T738</f>
        <v>0</v>
      </c>
      <c r="H741" s="31">
        <f>Simulation_output!E739</f>
        <v>1</v>
      </c>
      <c r="I741" s="31">
        <f>Simulation_output!F739</f>
        <v>8</v>
      </c>
      <c r="J741" s="31">
        <f>Simulation_output!G739</f>
        <v>1</v>
      </c>
      <c r="K741" s="31">
        <f>Simulation_output!H739</f>
        <v>0</v>
      </c>
      <c r="L741">
        <v>1</v>
      </c>
      <c r="M741">
        <f t="shared" si="195"/>
        <v>0</v>
      </c>
      <c r="N741">
        <f t="shared" si="194"/>
        <v>0</v>
      </c>
      <c r="O741">
        <f t="shared" si="193"/>
        <v>0</v>
      </c>
      <c r="P741">
        <f t="shared" si="196"/>
        <v>0</v>
      </c>
      <c r="Q741">
        <f t="shared" si="192"/>
        <v>0</v>
      </c>
      <c r="R741">
        <f t="shared" si="182"/>
        <v>0</v>
      </c>
      <c r="S741">
        <f t="shared" si="183"/>
        <v>0</v>
      </c>
      <c r="T741">
        <f t="shared" si="184"/>
        <v>0</v>
      </c>
      <c r="U741">
        <f t="shared" si="185"/>
        <v>0</v>
      </c>
      <c r="V741">
        <f t="shared" si="186"/>
        <v>0</v>
      </c>
      <c r="W741">
        <f t="shared" si="187"/>
        <v>0</v>
      </c>
      <c r="X741">
        <f t="shared" si="188"/>
        <v>0</v>
      </c>
      <c r="Y741">
        <f t="shared" si="189"/>
        <v>0</v>
      </c>
      <c r="Z741">
        <f t="shared" si="190"/>
        <v>0</v>
      </c>
      <c r="AB741">
        <v>737</v>
      </c>
      <c r="AC741">
        <f t="shared" si="191"/>
        <v>29</v>
      </c>
      <c r="AD741">
        <f t="shared" si="181"/>
        <v>0</v>
      </c>
    </row>
    <row r="742" spans="4:30" x14ac:dyDescent="0.25">
      <c r="D742" s="31">
        <f>Simulation_output!A740</f>
        <v>7385000</v>
      </c>
      <c r="E742">
        <f>Sheet2!R739</f>
        <v>0</v>
      </c>
      <c r="F742">
        <f>Sheet2!S739</f>
        <v>0</v>
      </c>
      <c r="G742">
        <f>Sheet2!T739</f>
        <v>0</v>
      </c>
      <c r="H742" s="31">
        <f>Simulation_output!E740</f>
        <v>1</v>
      </c>
      <c r="I742" s="31">
        <f>Simulation_output!F740</f>
        <v>42</v>
      </c>
      <c r="J742" s="31">
        <f>Simulation_output!G740</f>
        <v>1</v>
      </c>
      <c r="K742" s="31">
        <f>Simulation_output!H740</f>
        <v>0</v>
      </c>
      <c r="L742">
        <v>1</v>
      </c>
      <c r="M742">
        <f t="shared" si="195"/>
        <v>0</v>
      </c>
      <c r="N742">
        <f t="shared" si="194"/>
        <v>0</v>
      </c>
      <c r="O742">
        <f t="shared" si="193"/>
        <v>0</v>
      </c>
      <c r="P742">
        <f t="shared" si="196"/>
        <v>0</v>
      </c>
      <c r="Q742">
        <f t="shared" si="192"/>
        <v>0</v>
      </c>
      <c r="R742">
        <f t="shared" si="182"/>
        <v>0</v>
      </c>
      <c r="S742">
        <f t="shared" si="183"/>
        <v>0</v>
      </c>
      <c r="T742">
        <f t="shared" si="184"/>
        <v>0</v>
      </c>
      <c r="U742">
        <f t="shared" si="185"/>
        <v>0</v>
      </c>
      <c r="V742">
        <f t="shared" si="186"/>
        <v>0</v>
      </c>
      <c r="W742">
        <f t="shared" si="187"/>
        <v>0</v>
      </c>
      <c r="X742">
        <f t="shared" si="188"/>
        <v>0</v>
      </c>
      <c r="Y742">
        <f t="shared" si="189"/>
        <v>0</v>
      </c>
      <c r="Z742">
        <f t="shared" si="190"/>
        <v>0</v>
      </c>
      <c r="AB742">
        <v>738</v>
      </c>
      <c r="AC742">
        <f t="shared" si="191"/>
        <v>29</v>
      </c>
      <c r="AD742">
        <f t="shared" si="181"/>
        <v>0</v>
      </c>
    </row>
    <row r="743" spans="4:30" x14ac:dyDescent="0.25">
      <c r="D743" s="31">
        <f>Simulation_output!A741</f>
        <v>7395000</v>
      </c>
      <c r="E743">
        <f>Sheet2!R740</f>
        <v>0</v>
      </c>
      <c r="F743">
        <f>Sheet2!S740</f>
        <v>0</v>
      </c>
      <c r="G743">
        <f>Sheet2!T740</f>
        <v>0</v>
      </c>
      <c r="H743" s="31">
        <f>Simulation_output!E741</f>
        <v>1</v>
      </c>
      <c r="I743" s="31">
        <f>Simulation_output!F741</f>
        <v>142</v>
      </c>
      <c r="J743" s="31">
        <f>Simulation_output!G741</f>
        <v>1</v>
      </c>
      <c r="K743" s="31">
        <f>Simulation_output!H741</f>
        <v>0</v>
      </c>
      <c r="L743">
        <v>1</v>
      </c>
      <c r="M743">
        <f t="shared" si="195"/>
        <v>0</v>
      </c>
      <c r="N743">
        <f t="shared" si="194"/>
        <v>0</v>
      </c>
      <c r="O743">
        <f t="shared" si="193"/>
        <v>0</v>
      </c>
      <c r="P743">
        <f t="shared" si="196"/>
        <v>0</v>
      </c>
      <c r="Q743">
        <f t="shared" si="192"/>
        <v>0</v>
      </c>
      <c r="R743">
        <f t="shared" si="182"/>
        <v>0</v>
      </c>
      <c r="S743">
        <f t="shared" si="183"/>
        <v>0</v>
      </c>
      <c r="T743">
        <f t="shared" si="184"/>
        <v>0</v>
      </c>
      <c r="U743">
        <f t="shared" si="185"/>
        <v>0</v>
      </c>
      <c r="V743">
        <f t="shared" si="186"/>
        <v>0</v>
      </c>
      <c r="W743">
        <f t="shared" si="187"/>
        <v>0</v>
      </c>
      <c r="X743">
        <f t="shared" si="188"/>
        <v>0</v>
      </c>
      <c r="Y743">
        <f t="shared" si="189"/>
        <v>0</v>
      </c>
      <c r="Z743">
        <f t="shared" si="190"/>
        <v>0</v>
      </c>
      <c r="AB743">
        <v>739</v>
      </c>
      <c r="AC743">
        <f t="shared" si="191"/>
        <v>29</v>
      </c>
      <c r="AD743">
        <f t="shared" si="181"/>
        <v>0</v>
      </c>
    </row>
    <row r="744" spans="4:30" x14ac:dyDescent="0.25">
      <c r="D744" s="31">
        <f>Simulation_output!A742</f>
        <v>7405000</v>
      </c>
      <c r="E744">
        <f>Sheet2!R741</f>
        <v>0</v>
      </c>
      <c r="F744">
        <f>Sheet2!S741</f>
        <v>0</v>
      </c>
      <c r="G744">
        <f>Sheet2!T741</f>
        <v>0</v>
      </c>
      <c r="H744" s="31">
        <f>Simulation_output!E742</f>
        <v>1</v>
      </c>
      <c r="I744" s="31">
        <f>Simulation_output!F742</f>
        <v>1042</v>
      </c>
      <c r="J744" s="31">
        <f>Simulation_output!G742</f>
        <v>1</v>
      </c>
      <c r="K744" s="31">
        <f>Simulation_output!H742</f>
        <v>0</v>
      </c>
      <c r="L744">
        <v>1</v>
      </c>
      <c r="M744">
        <f t="shared" si="195"/>
        <v>0</v>
      </c>
      <c r="N744">
        <f t="shared" si="194"/>
        <v>0</v>
      </c>
      <c r="O744">
        <f t="shared" si="193"/>
        <v>0</v>
      </c>
      <c r="P744">
        <f t="shared" si="196"/>
        <v>0</v>
      </c>
      <c r="Q744">
        <f t="shared" si="192"/>
        <v>0</v>
      </c>
      <c r="R744">
        <f t="shared" si="182"/>
        <v>0</v>
      </c>
      <c r="S744">
        <f t="shared" si="183"/>
        <v>0</v>
      </c>
      <c r="T744">
        <f t="shared" si="184"/>
        <v>0</v>
      </c>
      <c r="U744">
        <f t="shared" si="185"/>
        <v>0</v>
      </c>
      <c r="V744">
        <f t="shared" si="186"/>
        <v>0</v>
      </c>
      <c r="W744">
        <f t="shared" si="187"/>
        <v>0</v>
      </c>
      <c r="X744">
        <f t="shared" si="188"/>
        <v>0</v>
      </c>
      <c r="Y744">
        <f t="shared" si="189"/>
        <v>0</v>
      </c>
      <c r="Z744">
        <f t="shared" si="190"/>
        <v>0</v>
      </c>
      <c r="AB744">
        <v>740</v>
      </c>
      <c r="AC744">
        <f t="shared" si="191"/>
        <v>29</v>
      </c>
      <c r="AD744">
        <f t="shared" si="181"/>
        <v>0</v>
      </c>
    </row>
    <row r="745" spans="4:30" x14ac:dyDescent="0.25">
      <c r="D745" s="31">
        <f>Simulation_output!A743</f>
        <v>7415000</v>
      </c>
      <c r="E745">
        <f>Sheet2!R742</f>
        <v>0</v>
      </c>
      <c r="F745">
        <f>Sheet2!S742</f>
        <v>0</v>
      </c>
      <c r="G745">
        <f>Sheet2!T742</f>
        <v>0</v>
      </c>
      <c r="H745" s="31">
        <f>Simulation_output!E743</f>
        <v>1</v>
      </c>
      <c r="I745" s="31">
        <f>Simulation_output!F743</f>
        <v>10042</v>
      </c>
      <c r="J745" s="31">
        <f>Simulation_output!G743</f>
        <v>1</v>
      </c>
      <c r="K745" s="31">
        <f>Simulation_output!H743</f>
        <v>0</v>
      </c>
      <c r="L745">
        <v>1</v>
      </c>
      <c r="M745">
        <f t="shared" si="195"/>
        <v>0</v>
      </c>
      <c r="N745">
        <f t="shared" si="194"/>
        <v>0</v>
      </c>
      <c r="O745">
        <f t="shared" si="193"/>
        <v>0</v>
      </c>
      <c r="P745">
        <f t="shared" si="196"/>
        <v>0</v>
      </c>
      <c r="Q745">
        <f t="shared" si="192"/>
        <v>0</v>
      </c>
      <c r="R745">
        <f t="shared" si="182"/>
        <v>0</v>
      </c>
      <c r="S745">
        <f t="shared" si="183"/>
        <v>0</v>
      </c>
      <c r="T745">
        <f t="shared" si="184"/>
        <v>0</v>
      </c>
      <c r="U745">
        <f t="shared" si="185"/>
        <v>0</v>
      </c>
      <c r="V745">
        <f t="shared" si="186"/>
        <v>0</v>
      </c>
      <c r="W745">
        <f t="shared" si="187"/>
        <v>0</v>
      </c>
      <c r="X745">
        <f t="shared" si="188"/>
        <v>0</v>
      </c>
      <c r="Y745">
        <f t="shared" si="189"/>
        <v>0</v>
      </c>
      <c r="Z745">
        <f t="shared" si="190"/>
        <v>0</v>
      </c>
      <c r="AB745">
        <v>741</v>
      </c>
      <c r="AC745">
        <f t="shared" si="191"/>
        <v>29</v>
      </c>
      <c r="AD745">
        <f t="shared" si="181"/>
        <v>0</v>
      </c>
    </row>
    <row r="746" spans="4:30" x14ac:dyDescent="0.25">
      <c r="D746" s="31">
        <f>Simulation_output!A744</f>
        <v>7425000</v>
      </c>
      <c r="E746">
        <f>Sheet2!R743</f>
        <v>0</v>
      </c>
      <c r="F746">
        <f>Sheet2!S743</f>
        <v>0</v>
      </c>
      <c r="G746">
        <f>Sheet2!T743</f>
        <v>0</v>
      </c>
      <c r="H746" s="31">
        <f>Simulation_output!E744</f>
        <v>1</v>
      </c>
      <c r="I746" s="31">
        <f>Simulation_output!F744</f>
        <v>1182</v>
      </c>
      <c r="J746" s="31">
        <f>Simulation_output!G744</f>
        <v>1</v>
      </c>
      <c r="K746" s="31">
        <f>Simulation_output!H744</f>
        <v>0</v>
      </c>
      <c r="L746">
        <v>1</v>
      </c>
      <c r="M746">
        <f t="shared" si="195"/>
        <v>0</v>
      </c>
      <c r="N746">
        <f t="shared" si="194"/>
        <v>0</v>
      </c>
      <c r="O746">
        <f t="shared" si="193"/>
        <v>0</v>
      </c>
      <c r="P746">
        <f t="shared" si="196"/>
        <v>0</v>
      </c>
      <c r="Q746">
        <f t="shared" si="192"/>
        <v>0</v>
      </c>
      <c r="R746">
        <f t="shared" si="182"/>
        <v>0</v>
      </c>
      <c r="S746">
        <f t="shared" si="183"/>
        <v>0</v>
      </c>
      <c r="T746">
        <f t="shared" si="184"/>
        <v>0</v>
      </c>
      <c r="U746">
        <f t="shared" si="185"/>
        <v>0</v>
      </c>
      <c r="V746">
        <f t="shared" si="186"/>
        <v>0</v>
      </c>
      <c r="W746">
        <f t="shared" si="187"/>
        <v>0</v>
      </c>
      <c r="X746">
        <f t="shared" si="188"/>
        <v>0</v>
      </c>
      <c r="Y746">
        <f t="shared" si="189"/>
        <v>0</v>
      </c>
      <c r="Z746">
        <f t="shared" si="190"/>
        <v>0</v>
      </c>
      <c r="AB746">
        <v>742</v>
      </c>
      <c r="AC746">
        <f t="shared" si="191"/>
        <v>29</v>
      </c>
      <c r="AD746">
        <f t="shared" si="181"/>
        <v>0</v>
      </c>
    </row>
    <row r="747" spans="4:30" x14ac:dyDescent="0.25">
      <c r="D747" s="31">
        <f>Simulation_output!A745</f>
        <v>7435000</v>
      </c>
      <c r="E747">
        <f>Sheet2!R744</f>
        <v>0</v>
      </c>
      <c r="F747">
        <f>Sheet2!S744</f>
        <v>0</v>
      </c>
      <c r="G747">
        <f>Sheet2!T744</f>
        <v>0</v>
      </c>
      <c r="H747" s="31">
        <f>Simulation_output!E745</f>
        <v>1</v>
      </c>
      <c r="I747" s="31">
        <f>Simulation_output!F745</f>
        <v>457</v>
      </c>
      <c r="J747" s="31">
        <f>Simulation_output!G745</f>
        <v>1</v>
      </c>
      <c r="K747" s="31">
        <f>Simulation_output!H745</f>
        <v>0</v>
      </c>
      <c r="L747">
        <v>1</v>
      </c>
      <c r="M747">
        <f t="shared" si="195"/>
        <v>0</v>
      </c>
      <c r="N747">
        <f t="shared" si="194"/>
        <v>0</v>
      </c>
      <c r="O747">
        <f t="shared" si="193"/>
        <v>0</v>
      </c>
      <c r="P747">
        <f t="shared" si="196"/>
        <v>0</v>
      </c>
      <c r="Q747">
        <f t="shared" si="192"/>
        <v>0</v>
      </c>
      <c r="R747">
        <f t="shared" si="182"/>
        <v>0</v>
      </c>
      <c r="S747">
        <f t="shared" si="183"/>
        <v>0</v>
      </c>
      <c r="T747">
        <f t="shared" si="184"/>
        <v>0</v>
      </c>
      <c r="U747">
        <f t="shared" si="185"/>
        <v>0</v>
      </c>
      <c r="V747">
        <f t="shared" si="186"/>
        <v>0</v>
      </c>
      <c r="W747">
        <f t="shared" si="187"/>
        <v>0</v>
      </c>
      <c r="X747">
        <f t="shared" si="188"/>
        <v>0</v>
      </c>
      <c r="Y747">
        <f t="shared" si="189"/>
        <v>0</v>
      </c>
      <c r="Z747">
        <f t="shared" si="190"/>
        <v>0</v>
      </c>
      <c r="AB747">
        <v>743</v>
      </c>
      <c r="AC747">
        <f t="shared" si="191"/>
        <v>29</v>
      </c>
      <c r="AD747">
        <f t="shared" si="181"/>
        <v>0</v>
      </c>
    </row>
    <row r="748" spans="4:30" x14ac:dyDescent="0.25">
      <c r="D748" s="31">
        <f>Simulation_output!A746</f>
        <v>7445000</v>
      </c>
      <c r="E748">
        <f>Sheet2!R745</f>
        <v>0</v>
      </c>
      <c r="F748">
        <f>Sheet2!S745</f>
        <v>0</v>
      </c>
      <c r="G748">
        <f>Sheet2!T745</f>
        <v>0</v>
      </c>
      <c r="H748" s="31">
        <f>Simulation_output!E746</f>
        <v>1</v>
      </c>
      <c r="I748" s="31">
        <f>Simulation_output!F746</f>
        <v>0</v>
      </c>
      <c r="J748" s="31">
        <f>Simulation_output!G746</f>
        <v>1</v>
      </c>
      <c r="K748" s="31">
        <f>Simulation_output!H746</f>
        <v>0</v>
      </c>
      <c r="L748">
        <v>1</v>
      </c>
      <c r="M748">
        <f t="shared" si="195"/>
        <v>0</v>
      </c>
      <c r="N748">
        <f t="shared" si="194"/>
        <v>0</v>
      </c>
      <c r="O748">
        <f t="shared" si="193"/>
        <v>0</v>
      </c>
      <c r="P748">
        <f t="shared" si="196"/>
        <v>0</v>
      </c>
      <c r="Q748">
        <f t="shared" si="192"/>
        <v>0</v>
      </c>
      <c r="R748">
        <f t="shared" si="182"/>
        <v>0</v>
      </c>
      <c r="S748">
        <f t="shared" si="183"/>
        <v>0</v>
      </c>
      <c r="T748">
        <f t="shared" si="184"/>
        <v>0</v>
      </c>
      <c r="U748">
        <f t="shared" si="185"/>
        <v>0</v>
      </c>
      <c r="V748">
        <f t="shared" si="186"/>
        <v>0</v>
      </c>
      <c r="W748">
        <f t="shared" si="187"/>
        <v>0</v>
      </c>
      <c r="X748">
        <f t="shared" si="188"/>
        <v>0</v>
      </c>
      <c r="Y748">
        <f t="shared" si="189"/>
        <v>0</v>
      </c>
      <c r="Z748">
        <f t="shared" si="190"/>
        <v>0</v>
      </c>
      <c r="AB748">
        <v>744</v>
      </c>
      <c r="AC748">
        <f t="shared" si="191"/>
        <v>29</v>
      </c>
      <c r="AD748">
        <f t="shared" si="181"/>
        <v>0</v>
      </c>
    </row>
    <row r="749" spans="4:30" x14ac:dyDescent="0.25">
      <c r="D749" s="31">
        <f>Simulation_output!A747</f>
        <v>7455000</v>
      </c>
      <c r="E749">
        <f>Sheet2!R746</f>
        <v>0</v>
      </c>
      <c r="F749">
        <f>Sheet2!S746</f>
        <v>0</v>
      </c>
      <c r="G749">
        <f>Sheet2!T746</f>
        <v>0</v>
      </c>
      <c r="H749" s="31">
        <f>Simulation_output!E747</f>
        <v>1</v>
      </c>
      <c r="I749" s="31">
        <f>Simulation_output!F747</f>
        <v>268435454</v>
      </c>
      <c r="J749" s="31">
        <f>Simulation_output!G747</f>
        <v>1</v>
      </c>
      <c r="K749" s="31">
        <f>Simulation_output!H747</f>
        <v>1</v>
      </c>
      <c r="L749">
        <v>1</v>
      </c>
      <c r="M749" t="str">
        <f t="shared" si="195"/>
        <v>FFFFFFF</v>
      </c>
      <c r="N749">
        <f t="shared" si="194"/>
        <v>30</v>
      </c>
      <c r="O749">
        <f t="shared" si="193"/>
        <v>47</v>
      </c>
      <c r="P749">
        <f t="shared" si="196"/>
        <v>100</v>
      </c>
      <c r="Q749">
        <f t="shared" si="192"/>
        <v>6</v>
      </c>
      <c r="R749">
        <f t="shared" si="182"/>
        <v>8</v>
      </c>
      <c r="S749">
        <f t="shared" si="183"/>
        <v>42</v>
      </c>
      <c r="T749">
        <f t="shared" si="184"/>
        <v>142</v>
      </c>
      <c r="U749">
        <f t="shared" si="185"/>
        <v>1042</v>
      </c>
      <c r="V749">
        <f t="shared" si="186"/>
        <v>10042</v>
      </c>
      <c r="W749">
        <f t="shared" si="187"/>
        <v>1182</v>
      </c>
      <c r="X749">
        <f t="shared" si="188"/>
        <v>457</v>
      </c>
      <c r="Y749">
        <f t="shared" si="189"/>
        <v>0</v>
      </c>
      <c r="Z749" t="str">
        <f t="shared" si="190"/>
        <v>FFFFFFE</v>
      </c>
      <c r="AB749">
        <v>745</v>
      </c>
      <c r="AC749">
        <f t="shared" si="191"/>
        <v>30</v>
      </c>
      <c r="AD749">
        <f t="shared" si="181"/>
        <v>30</v>
      </c>
    </row>
    <row r="750" spans="4:30" x14ac:dyDescent="0.25">
      <c r="D750" s="31">
        <f>Simulation_output!A748</f>
        <v>7465000</v>
      </c>
      <c r="E750">
        <f>Sheet2!R747</f>
        <v>0</v>
      </c>
      <c r="F750">
        <f>Sheet2!S747</f>
        <v>0</v>
      </c>
      <c r="G750">
        <f>Sheet2!T747</f>
        <v>0</v>
      </c>
      <c r="H750" s="31">
        <f>Simulation_output!E748</f>
        <v>1</v>
      </c>
      <c r="I750" s="31">
        <f>Simulation_output!F748</f>
        <v>268435455</v>
      </c>
      <c r="J750" s="31">
        <f>Simulation_output!G748</f>
        <v>1</v>
      </c>
      <c r="K750" s="31">
        <f>Simulation_output!H748</f>
        <v>0</v>
      </c>
      <c r="L750">
        <v>1</v>
      </c>
      <c r="M750">
        <f t="shared" si="195"/>
        <v>0</v>
      </c>
      <c r="N750">
        <f t="shared" si="194"/>
        <v>0</v>
      </c>
      <c r="O750">
        <f t="shared" si="193"/>
        <v>0</v>
      </c>
      <c r="P750">
        <f t="shared" si="196"/>
        <v>0</v>
      </c>
      <c r="Q750">
        <f t="shared" si="192"/>
        <v>0</v>
      </c>
      <c r="R750">
        <f t="shared" si="182"/>
        <v>0</v>
      </c>
      <c r="S750">
        <f t="shared" si="183"/>
        <v>0</v>
      </c>
      <c r="T750">
        <f t="shared" si="184"/>
        <v>0</v>
      </c>
      <c r="U750">
        <f t="shared" si="185"/>
        <v>0</v>
      </c>
      <c r="V750">
        <f t="shared" si="186"/>
        <v>0</v>
      </c>
      <c r="W750">
        <f t="shared" si="187"/>
        <v>0</v>
      </c>
      <c r="X750">
        <f t="shared" si="188"/>
        <v>0</v>
      </c>
      <c r="Y750">
        <f t="shared" si="189"/>
        <v>0</v>
      </c>
      <c r="Z750">
        <f t="shared" si="190"/>
        <v>0</v>
      </c>
      <c r="AB750">
        <v>746</v>
      </c>
      <c r="AC750">
        <f t="shared" si="191"/>
        <v>30</v>
      </c>
      <c r="AD750">
        <f t="shared" si="181"/>
        <v>0</v>
      </c>
    </row>
    <row r="751" spans="4:30" x14ac:dyDescent="0.25">
      <c r="D751" s="31">
        <f>Simulation_output!A749</f>
        <v>7475000</v>
      </c>
      <c r="E751">
        <f>Sheet2!R748</f>
        <v>0</v>
      </c>
      <c r="F751">
        <f>Sheet2!S748</f>
        <v>0</v>
      </c>
      <c r="G751">
        <f>Sheet2!T748</f>
        <v>0</v>
      </c>
      <c r="H751" s="31">
        <f>Simulation_output!E749</f>
        <v>1</v>
      </c>
      <c r="I751" s="31">
        <f>Simulation_output!F749</f>
        <v>31</v>
      </c>
      <c r="J751" s="31">
        <f>Simulation_output!G749</f>
        <v>1</v>
      </c>
      <c r="K751" s="31">
        <f>Simulation_output!H749</f>
        <v>0</v>
      </c>
      <c r="L751">
        <v>1</v>
      </c>
      <c r="M751">
        <f t="shared" si="195"/>
        <v>0</v>
      </c>
      <c r="N751">
        <f t="shared" si="194"/>
        <v>0</v>
      </c>
      <c r="O751">
        <f t="shared" si="193"/>
        <v>0</v>
      </c>
      <c r="P751">
        <f t="shared" si="196"/>
        <v>0</v>
      </c>
      <c r="Q751">
        <f t="shared" si="192"/>
        <v>0</v>
      </c>
      <c r="R751">
        <f t="shared" si="182"/>
        <v>0</v>
      </c>
      <c r="S751">
        <f t="shared" si="183"/>
        <v>0</v>
      </c>
      <c r="T751">
        <f t="shared" si="184"/>
        <v>0</v>
      </c>
      <c r="U751">
        <f t="shared" si="185"/>
        <v>0</v>
      </c>
      <c r="V751">
        <f t="shared" si="186"/>
        <v>0</v>
      </c>
      <c r="W751">
        <f t="shared" si="187"/>
        <v>0</v>
      </c>
      <c r="X751">
        <f t="shared" si="188"/>
        <v>0</v>
      </c>
      <c r="Y751">
        <f t="shared" si="189"/>
        <v>0</v>
      </c>
      <c r="Z751">
        <f t="shared" si="190"/>
        <v>0</v>
      </c>
      <c r="AB751">
        <v>747</v>
      </c>
      <c r="AC751">
        <f t="shared" si="191"/>
        <v>30</v>
      </c>
      <c r="AD751">
        <f t="shared" si="181"/>
        <v>0</v>
      </c>
    </row>
    <row r="752" spans="4:30" x14ac:dyDescent="0.25">
      <c r="D752" s="31">
        <f>Simulation_output!A750</f>
        <v>7485000</v>
      </c>
      <c r="E752">
        <f>Sheet2!R749</f>
        <v>0</v>
      </c>
      <c r="F752">
        <f>Sheet2!S749</f>
        <v>0</v>
      </c>
      <c r="G752">
        <f>Sheet2!T749</f>
        <v>0</v>
      </c>
      <c r="H752" s="31">
        <f>Simulation_output!E750</f>
        <v>1</v>
      </c>
      <c r="I752" s="31">
        <f>Simulation_output!F750</f>
        <v>59</v>
      </c>
      <c r="J752" s="31">
        <f>Simulation_output!G750</f>
        <v>1</v>
      </c>
      <c r="K752" s="31">
        <f>Simulation_output!H750</f>
        <v>0</v>
      </c>
      <c r="L752">
        <v>1</v>
      </c>
      <c r="M752">
        <f t="shared" si="195"/>
        <v>0</v>
      </c>
      <c r="N752">
        <f t="shared" si="194"/>
        <v>0</v>
      </c>
      <c r="O752">
        <f t="shared" si="193"/>
        <v>0</v>
      </c>
      <c r="P752">
        <f t="shared" si="196"/>
        <v>0</v>
      </c>
      <c r="Q752">
        <f t="shared" si="192"/>
        <v>0</v>
      </c>
      <c r="R752">
        <f t="shared" si="182"/>
        <v>0</v>
      </c>
      <c r="S752">
        <f t="shared" si="183"/>
        <v>0</v>
      </c>
      <c r="T752">
        <f t="shared" si="184"/>
        <v>0</v>
      </c>
      <c r="U752">
        <f t="shared" si="185"/>
        <v>0</v>
      </c>
      <c r="V752">
        <f t="shared" si="186"/>
        <v>0</v>
      </c>
      <c r="W752">
        <f t="shared" si="187"/>
        <v>0</v>
      </c>
      <c r="X752">
        <f t="shared" si="188"/>
        <v>0</v>
      </c>
      <c r="Y752">
        <f t="shared" si="189"/>
        <v>0</v>
      </c>
      <c r="Z752">
        <f t="shared" si="190"/>
        <v>0</v>
      </c>
      <c r="AB752">
        <v>748</v>
      </c>
      <c r="AC752">
        <f t="shared" si="191"/>
        <v>30</v>
      </c>
      <c r="AD752">
        <f t="shared" si="181"/>
        <v>0</v>
      </c>
    </row>
    <row r="753" spans="4:30" x14ac:dyDescent="0.25">
      <c r="D753" s="31">
        <f>Simulation_output!A751</f>
        <v>7495000</v>
      </c>
      <c r="E753">
        <f>Sheet2!R750</f>
        <v>0</v>
      </c>
      <c r="F753">
        <f>Sheet2!S750</f>
        <v>0</v>
      </c>
      <c r="G753">
        <f>Sheet2!T750</f>
        <v>0</v>
      </c>
      <c r="H753" s="31">
        <f>Simulation_output!E751</f>
        <v>1</v>
      </c>
      <c r="I753" s="31">
        <f>Simulation_output!F751</f>
        <v>101</v>
      </c>
      <c r="J753" s="31">
        <f>Simulation_output!G751</f>
        <v>1</v>
      </c>
      <c r="K753" s="31">
        <f>Simulation_output!H751</f>
        <v>0</v>
      </c>
      <c r="L753">
        <v>1</v>
      </c>
      <c r="M753">
        <f t="shared" si="195"/>
        <v>0</v>
      </c>
      <c r="N753">
        <f t="shared" si="194"/>
        <v>0</v>
      </c>
      <c r="O753">
        <f t="shared" si="193"/>
        <v>0</v>
      </c>
      <c r="P753">
        <f t="shared" si="196"/>
        <v>0</v>
      </c>
      <c r="Q753">
        <f t="shared" si="192"/>
        <v>0</v>
      </c>
      <c r="R753">
        <f t="shared" si="182"/>
        <v>0</v>
      </c>
      <c r="S753">
        <f t="shared" si="183"/>
        <v>0</v>
      </c>
      <c r="T753">
        <f t="shared" si="184"/>
        <v>0</v>
      </c>
      <c r="U753">
        <f t="shared" si="185"/>
        <v>0</v>
      </c>
      <c r="V753">
        <f t="shared" si="186"/>
        <v>0</v>
      </c>
      <c r="W753">
        <f t="shared" si="187"/>
        <v>0</v>
      </c>
      <c r="X753">
        <f t="shared" si="188"/>
        <v>0</v>
      </c>
      <c r="Y753">
        <f t="shared" si="189"/>
        <v>0</v>
      </c>
      <c r="Z753">
        <f t="shared" si="190"/>
        <v>0</v>
      </c>
      <c r="AB753">
        <v>749</v>
      </c>
      <c r="AC753">
        <f t="shared" si="191"/>
        <v>30</v>
      </c>
      <c r="AD753">
        <f t="shared" si="181"/>
        <v>0</v>
      </c>
    </row>
    <row r="754" spans="4:30" x14ac:dyDescent="0.25">
      <c r="D754" s="31">
        <f>Simulation_output!A752</f>
        <v>7505000</v>
      </c>
      <c r="E754">
        <f>Sheet2!R751</f>
        <v>0</v>
      </c>
      <c r="F754">
        <f>Sheet2!S751</f>
        <v>0</v>
      </c>
      <c r="G754">
        <f>Sheet2!T751</f>
        <v>0</v>
      </c>
      <c r="H754" s="31">
        <f>Simulation_output!E752</f>
        <v>1</v>
      </c>
      <c r="I754" s="31">
        <f>Simulation_output!F752</f>
        <v>6</v>
      </c>
      <c r="J754" s="31">
        <f>Simulation_output!G752</f>
        <v>1</v>
      </c>
      <c r="K754" s="31">
        <f>Simulation_output!H752</f>
        <v>0</v>
      </c>
      <c r="L754">
        <v>1</v>
      </c>
      <c r="M754">
        <f t="shared" si="195"/>
        <v>0</v>
      </c>
      <c r="N754">
        <f t="shared" si="194"/>
        <v>0</v>
      </c>
      <c r="O754">
        <f t="shared" si="193"/>
        <v>0</v>
      </c>
      <c r="P754">
        <f t="shared" si="196"/>
        <v>0</v>
      </c>
      <c r="Q754">
        <f t="shared" si="192"/>
        <v>0</v>
      </c>
      <c r="R754">
        <f t="shared" si="182"/>
        <v>0</v>
      </c>
      <c r="S754">
        <f t="shared" si="183"/>
        <v>0</v>
      </c>
      <c r="T754">
        <f t="shared" si="184"/>
        <v>0</v>
      </c>
      <c r="U754">
        <f t="shared" si="185"/>
        <v>0</v>
      </c>
      <c r="V754">
        <f t="shared" si="186"/>
        <v>0</v>
      </c>
      <c r="W754">
        <f t="shared" si="187"/>
        <v>0</v>
      </c>
      <c r="X754">
        <f t="shared" si="188"/>
        <v>0</v>
      </c>
      <c r="Y754">
        <f t="shared" si="189"/>
        <v>0</v>
      </c>
      <c r="Z754">
        <f t="shared" si="190"/>
        <v>0</v>
      </c>
      <c r="AB754">
        <v>750</v>
      </c>
      <c r="AC754">
        <f t="shared" si="191"/>
        <v>30</v>
      </c>
      <c r="AD754">
        <f t="shared" si="181"/>
        <v>0</v>
      </c>
    </row>
    <row r="755" spans="4:30" x14ac:dyDescent="0.25">
      <c r="D755" s="31">
        <f>Simulation_output!A753</f>
        <v>7515000</v>
      </c>
      <c r="E755">
        <f>Sheet2!R752</f>
        <v>0</v>
      </c>
      <c r="F755">
        <f>Sheet2!S752</f>
        <v>0</v>
      </c>
      <c r="G755">
        <f>Sheet2!T752</f>
        <v>0</v>
      </c>
      <c r="H755" s="31">
        <f>Simulation_output!E753</f>
        <v>1</v>
      </c>
      <c r="I755" s="31">
        <f>Simulation_output!F753</f>
        <v>8</v>
      </c>
      <c r="J755" s="31">
        <f>Simulation_output!G753</f>
        <v>1</v>
      </c>
      <c r="K755" s="31">
        <f>Simulation_output!H753</f>
        <v>0</v>
      </c>
      <c r="L755">
        <v>1</v>
      </c>
      <c r="M755">
        <f t="shared" si="195"/>
        <v>0</v>
      </c>
      <c r="N755">
        <f t="shared" si="194"/>
        <v>0</v>
      </c>
      <c r="O755">
        <f t="shared" si="193"/>
        <v>0</v>
      </c>
      <c r="P755">
        <f t="shared" si="196"/>
        <v>0</v>
      </c>
      <c r="Q755">
        <f t="shared" si="192"/>
        <v>0</v>
      </c>
      <c r="R755">
        <f t="shared" si="182"/>
        <v>0</v>
      </c>
      <c r="S755">
        <f t="shared" si="183"/>
        <v>0</v>
      </c>
      <c r="T755">
        <f t="shared" si="184"/>
        <v>0</v>
      </c>
      <c r="U755">
        <f t="shared" si="185"/>
        <v>0</v>
      </c>
      <c r="V755">
        <f t="shared" si="186"/>
        <v>0</v>
      </c>
      <c r="W755">
        <f t="shared" si="187"/>
        <v>0</v>
      </c>
      <c r="X755">
        <f t="shared" si="188"/>
        <v>0</v>
      </c>
      <c r="Y755">
        <f t="shared" si="189"/>
        <v>0</v>
      </c>
      <c r="Z755">
        <f t="shared" si="190"/>
        <v>0</v>
      </c>
      <c r="AB755">
        <v>751</v>
      </c>
      <c r="AC755">
        <f t="shared" si="191"/>
        <v>30</v>
      </c>
      <c r="AD755">
        <f t="shared" si="181"/>
        <v>0</v>
      </c>
    </row>
    <row r="756" spans="4:30" x14ac:dyDescent="0.25">
      <c r="D756" s="31">
        <f>Simulation_output!A754</f>
        <v>7525000</v>
      </c>
      <c r="E756">
        <f>Sheet2!R753</f>
        <v>0</v>
      </c>
      <c r="F756">
        <f>Sheet2!S753</f>
        <v>0</v>
      </c>
      <c r="G756">
        <f>Sheet2!T753</f>
        <v>0</v>
      </c>
      <c r="H756" s="31">
        <f>Simulation_output!E754</f>
        <v>1</v>
      </c>
      <c r="I756" s="31">
        <f>Simulation_output!F754</f>
        <v>43</v>
      </c>
      <c r="J756" s="31">
        <f>Simulation_output!G754</f>
        <v>1</v>
      </c>
      <c r="K756" s="31">
        <f>Simulation_output!H754</f>
        <v>0</v>
      </c>
      <c r="L756">
        <v>1</v>
      </c>
      <c r="M756">
        <f t="shared" si="195"/>
        <v>0</v>
      </c>
      <c r="N756">
        <f t="shared" si="194"/>
        <v>0</v>
      </c>
      <c r="O756">
        <f t="shared" si="193"/>
        <v>0</v>
      </c>
      <c r="P756">
        <f t="shared" si="196"/>
        <v>0</v>
      </c>
      <c r="Q756">
        <f t="shared" si="192"/>
        <v>0</v>
      </c>
      <c r="R756">
        <f t="shared" si="182"/>
        <v>0</v>
      </c>
      <c r="S756">
        <f t="shared" si="183"/>
        <v>0</v>
      </c>
      <c r="T756">
        <f t="shared" si="184"/>
        <v>0</v>
      </c>
      <c r="U756">
        <f t="shared" si="185"/>
        <v>0</v>
      </c>
      <c r="V756">
        <f t="shared" si="186"/>
        <v>0</v>
      </c>
      <c r="W756">
        <f t="shared" si="187"/>
        <v>0</v>
      </c>
      <c r="X756">
        <f t="shared" si="188"/>
        <v>0</v>
      </c>
      <c r="Y756">
        <f t="shared" si="189"/>
        <v>0</v>
      </c>
      <c r="Z756">
        <f t="shared" si="190"/>
        <v>0</v>
      </c>
      <c r="AB756">
        <v>752</v>
      </c>
      <c r="AC756">
        <f t="shared" si="191"/>
        <v>30</v>
      </c>
      <c r="AD756">
        <f t="shared" si="181"/>
        <v>0</v>
      </c>
    </row>
    <row r="757" spans="4:30" x14ac:dyDescent="0.25">
      <c r="D757" s="31">
        <f>Simulation_output!A755</f>
        <v>7535000</v>
      </c>
      <c r="E757">
        <f>Sheet2!R754</f>
        <v>0</v>
      </c>
      <c r="F757">
        <f>Sheet2!S754</f>
        <v>0</v>
      </c>
      <c r="G757">
        <f>Sheet2!T754</f>
        <v>0</v>
      </c>
      <c r="H757" s="31">
        <f>Simulation_output!E755</f>
        <v>1</v>
      </c>
      <c r="I757" s="31">
        <f>Simulation_output!F755</f>
        <v>143</v>
      </c>
      <c r="J757" s="31">
        <f>Simulation_output!G755</f>
        <v>1</v>
      </c>
      <c r="K757" s="31">
        <f>Simulation_output!H755</f>
        <v>0</v>
      </c>
      <c r="L757">
        <v>1</v>
      </c>
      <c r="M757">
        <f t="shared" si="195"/>
        <v>0</v>
      </c>
      <c r="N757">
        <f t="shared" si="194"/>
        <v>0</v>
      </c>
      <c r="O757">
        <f t="shared" si="193"/>
        <v>0</v>
      </c>
      <c r="P757">
        <f t="shared" si="196"/>
        <v>0</v>
      </c>
      <c r="Q757">
        <f t="shared" si="192"/>
        <v>0</v>
      </c>
      <c r="R757">
        <f t="shared" si="182"/>
        <v>0</v>
      </c>
      <c r="S757">
        <f t="shared" si="183"/>
        <v>0</v>
      </c>
      <c r="T757">
        <f t="shared" si="184"/>
        <v>0</v>
      </c>
      <c r="U757">
        <f t="shared" si="185"/>
        <v>0</v>
      </c>
      <c r="V757">
        <f t="shared" si="186"/>
        <v>0</v>
      </c>
      <c r="W757">
        <f t="shared" si="187"/>
        <v>0</v>
      </c>
      <c r="X757">
        <f t="shared" si="188"/>
        <v>0</v>
      </c>
      <c r="Y757">
        <f t="shared" si="189"/>
        <v>0</v>
      </c>
      <c r="Z757">
        <f t="shared" si="190"/>
        <v>0</v>
      </c>
      <c r="AB757">
        <v>753</v>
      </c>
      <c r="AC757">
        <f t="shared" si="191"/>
        <v>30</v>
      </c>
      <c r="AD757">
        <f t="shared" si="181"/>
        <v>0</v>
      </c>
    </row>
    <row r="758" spans="4:30" x14ac:dyDescent="0.25">
      <c r="D758" s="31">
        <f>Simulation_output!A756</f>
        <v>7545000</v>
      </c>
      <c r="E758">
        <f>Sheet2!R755</f>
        <v>0</v>
      </c>
      <c r="F758">
        <f>Sheet2!S755</f>
        <v>0</v>
      </c>
      <c r="G758">
        <f>Sheet2!T755</f>
        <v>0</v>
      </c>
      <c r="H758" s="31">
        <f>Simulation_output!E756</f>
        <v>1</v>
      </c>
      <c r="I758" s="31">
        <f>Simulation_output!F756</f>
        <v>1043</v>
      </c>
      <c r="J758" s="31">
        <f>Simulation_output!G756</f>
        <v>1</v>
      </c>
      <c r="K758" s="31">
        <f>Simulation_output!H756</f>
        <v>0</v>
      </c>
      <c r="L758">
        <v>1</v>
      </c>
      <c r="M758">
        <f t="shared" si="195"/>
        <v>0</v>
      </c>
      <c r="N758">
        <f t="shared" si="194"/>
        <v>0</v>
      </c>
      <c r="O758">
        <f t="shared" si="193"/>
        <v>0</v>
      </c>
      <c r="P758">
        <f t="shared" si="196"/>
        <v>0</v>
      </c>
      <c r="Q758">
        <f t="shared" si="192"/>
        <v>0</v>
      </c>
      <c r="R758">
        <f t="shared" si="182"/>
        <v>0</v>
      </c>
      <c r="S758">
        <f t="shared" si="183"/>
        <v>0</v>
      </c>
      <c r="T758">
        <f t="shared" si="184"/>
        <v>0</v>
      </c>
      <c r="U758">
        <f t="shared" si="185"/>
        <v>0</v>
      </c>
      <c r="V758">
        <f t="shared" si="186"/>
        <v>0</v>
      </c>
      <c r="W758">
        <f t="shared" si="187"/>
        <v>0</v>
      </c>
      <c r="X758">
        <f t="shared" si="188"/>
        <v>0</v>
      </c>
      <c r="Y758">
        <f t="shared" si="189"/>
        <v>0</v>
      </c>
      <c r="Z758">
        <f t="shared" si="190"/>
        <v>0</v>
      </c>
      <c r="AB758">
        <v>754</v>
      </c>
      <c r="AC758">
        <f t="shared" si="191"/>
        <v>30</v>
      </c>
      <c r="AD758">
        <f t="shared" si="181"/>
        <v>0</v>
      </c>
    </row>
    <row r="759" spans="4:30" x14ac:dyDescent="0.25">
      <c r="D759" s="31">
        <f>Simulation_output!A757</f>
        <v>7555000</v>
      </c>
      <c r="E759">
        <f>Sheet2!R756</f>
        <v>0</v>
      </c>
      <c r="F759">
        <f>Sheet2!S756</f>
        <v>0</v>
      </c>
      <c r="G759">
        <f>Sheet2!T756</f>
        <v>0</v>
      </c>
      <c r="H759" s="31">
        <f>Simulation_output!E757</f>
        <v>1</v>
      </c>
      <c r="I759" s="31">
        <f>Simulation_output!F757</f>
        <v>10043</v>
      </c>
      <c r="J759" s="31">
        <f>Simulation_output!G757</f>
        <v>1</v>
      </c>
      <c r="K759" s="31">
        <f>Simulation_output!H757</f>
        <v>0</v>
      </c>
      <c r="L759">
        <v>1</v>
      </c>
      <c r="M759">
        <f t="shared" si="195"/>
        <v>0</v>
      </c>
      <c r="N759">
        <f t="shared" si="194"/>
        <v>0</v>
      </c>
      <c r="O759">
        <f t="shared" si="193"/>
        <v>0</v>
      </c>
      <c r="P759">
        <f t="shared" si="196"/>
        <v>0</v>
      </c>
      <c r="Q759">
        <f t="shared" si="192"/>
        <v>0</v>
      </c>
      <c r="R759">
        <f t="shared" si="182"/>
        <v>0</v>
      </c>
      <c r="S759">
        <f t="shared" si="183"/>
        <v>0</v>
      </c>
      <c r="T759">
        <f t="shared" si="184"/>
        <v>0</v>
      </c>
      <c r="U759">
        <f t="shared" si="185"/>
        <v>0</v>
      </c>
      <c r="V759">
        <f t="shared" si="186"/>
        <v>0</v>
      </c>
      <c r="W759">
        <f t="shared" si="187"/>
        <v>0</v>
      </c>
      <c r="X759">
        <f t="shared" si="188"/>
        <v>0</v>
      </c>
      <c r="Y759">
        <f t="shared" si="189"/>
        <v>0</v>
      </c>
      <c r="Z759">
        <f t="shared" si="190"/>
        <v>0</v>
      </c>
      <c r="AB759">
        <v>755</v>
      </c>
      <c r="AC759">
        <f t="shared" si="191"/>
        <v>30</v>
      </c>
      <c r="AD759">
        <f t="shared" si="181"/>
        <v>0</v>
      </c>
    </row>
    <row r="760" spans="4:30" x14ac:dyDescent="0.25">
      <c r="D760" s="31">
        <f>Simulation_output!A758</f>
        <v>7565000</v>
      </c>
      <c r="E760">
        <f>Sheet2!R757</f>
        <v>0</v>
      </c>
      <c r="F760">
        <f>Sheet2!S757</f>
        <v>0</v>
      </c>
      <c r="G760">
        <f>Sheet2!T757</f>
        <v>0</v>
      </c>
      <c r="H760" s="31">
        <f>Simulation_output!E758</f>
        <v>1</v>
      </c>
      <c r="I760" s="31">
        <f>Simulation_output!F758</f>
        <v>1184</v>
      </c>
      <c r="J760" s="31">
        <f>Simulation_output!G758</f>
        <v>1</v>
      </c>
      <c r="K760" s="31">
        <f>Simulation_output!H758</f>
        <v>0</v>
      </c>
      <c r="L760">
        <v>1</v>
      </c>
      <c r="M760">
        <f t="shared" si="195"/>
        <v>0</v>
      </c>
      <c r="N760">
        <f t="shared" si="194"/>
        <v>0</v>
      </c>
      <c r="O760">
        <f t="shared" si="193"/>
        <v>0</v>
      </c>
      <c r="P760">
        <f t="shared" si="196"/>
        <v>0</v>
      </c>
      <c r="Q760">
        <f t="shared" si="192"/>
        <v>0</v>
      </c>
      <c r="R760">
        <f t="shared" si="182"/>
        <v>0</v>
      </c>
      <c r="S760">
        <f t="shared" si="183"/>
        <v>0</v>
      </c>
      <c r="T760">
        <f t="shared" si="184"/>
        <v>0</v>
      </c>
      <c r="U760">
        <f t="shared" si="185"/>
        <v>0</v>
      </c>
      <c r="V760">
        <f t="shared" si="186"/>
        <v>0</v>
      </c>
      <c r="W760">
        <f t="shared" si="187"/>
        <v>0</v>
      </c>
      <c r="X760">
        <f t="shared" si="188"/>
        <v>0</v>
      </c>
      <c r="Y760">
        <f t="shared" si="189"/>
        <v>0</v>
      </c>
      <c r="Z760">
        <f t="shared" si="190"/>
        <v>0</v>
      </c>
      <c r="AB760">
        <v>756</v>
      </c>
      <c r="AC760">
        <f t="shared" si="191"/>
        <v>30</v>
      </c>
      <c r="AD760">
        <f t="shared" si="181"/>
        <v>0</v>
      </c>
    </row>
    <row r="761" spans="4:30" x14ac:dyDescent="0.25">
      <c r="D761" s="31">
        <f>Simulation_output!A759</f>
        <v>7575000</v>
      </c>
      <c r="E761">
        <f>Sheet2!R758</f>
        <v>0</v>
      </c>
      <c r="F761">
        <f>Sheet2!S758</f>
        <v>0</v>
      </c>
      <c r="G761">
        <f>Sheet2!T758</f>
        <v>0</v>
      </c>
      <c r="H761" s="31">
        <f>Simulation_output!E759</f>
        <v>1</v>
      </c>
      <c r="I761" s="31">
        <f>Simulation_output!F759</f>
        <v>458</v>
      </c>
      <c r="J761" s="31">
        <f>Simulation_output!G759</f>
        <v>1</v>
      </c>
      <c r="K761" s="31">
        <f>Simulation_output!H759</f>
        <v>0</v>
      </c>
      <c r="L761">
        <v>1</v>
      </c>
      <c r="M761">
        <f t="shared" si="195"/>
        <v>0</v>
      </c>
      <c r="N761">
        <f t="shared" si="194"/>
        <v>0</v>
      </c>
      <c r="O761">
        <f t="shared" si="193"/>
        <v>0</v>
      </c>
      <c r="P761">
        <f t="shared" si="196"/>
        <v>0</v>
      </c>
      <c r="Q761">
        <f t="shared" si="192"/>
        <v>0</v>
      </c>
      <c r="R761">
        <f t="shared" si="182"/>
        <v>0</v>
      </c>
      <c r="S761">
        <f t="shared" si="183"/>
        <v>0</v>
      </c>
      <c r="T761">
        <f t="shared" si="184"/>
        <v>0</v>
      </c>
      <c r="U761">
        <f t="shared" si="185"/>
        <v>0</v>
      </c>
      <c r="V761">
        <f t="shared" si="186"/>
        <v>0</v>
      </c>
      <c r="W761">
        <f t="shared" si="187"/>
        <v>0</v>
      </c>
      <c r="X761">
        <f t="shared" si="188"/>
        <v>0</v>
      </c>
      <c r="Y761">
        <f t="shared" si="189"/>
        <v>0</v>
      </c>
      <c r="Z761">
        <f t="shared" si="190"/>
        <v>0</v>
      </c>
      <c r="AB761">
        <v>757</v>
      </c>
      <c r="AC761">
        <f t="shared" si="191"/>
        <v>30</v>
      </c>
      <c r="AD761">
        <f t="shared" si="181"/>
        <v>0</v>
      </c>
    </row>
    <row r="762" spans="4:30" x14ac:dyDescent="0.25">
      <c r="D762" s="31">
        <f>Simulation_output!A760</f>
        <v>7585000</v>
      </c>
      <c r="E762">
        <f>Sheet2!R759</f>
        <v>0</v>
      </c>
      <c r="F762">
        <f>Sheet2!S759</f>
        <v>0</v>
      </c>
      <c r="G762">
        <f>Sheet2!T759</f>
        <v>0</v>
      </c>
      <c r="H762" s="31">
        <f>Simulation_output!E760</f>
        <v>1</v>
      </c>
      <c r="I762" s="31">
        <f>Simulation_output!F760</f>
        <v>0</v>
      </c>
      <c r="J762" s="31">
        <f>Simulation_output!G760</f>
        <v>1</v>
      </c>
      <c r="K762" s="31">
        <f>Simulation_output!H760</f>
        <v>0</v>
      </c>
      <c r="L762">
        <v>1</v>
      </c>
      <c r="M762">
        <f t="shared" si="195"/>
        <v>0</v>
      </c>
      <c r="N762">
        <f t="shared" si="194"/>
        <v>0</v>
      </c>
      <c r="O762">
        <f t="shared" si="193"/>
        <v>0</v>
      </c>
      <c r="P762">
        <f t="shared" si="196"/>
        <v>0</v>
      </c>
      <c r="Q762">
        <f t="shared" si="192"/>
        <v>0</v>
      </c>
      <c r="R762">
        <f t="shared" si="182"/>
        <v>0</v>
      </c>
      <c r="S762">
        <f t="shared" si="183"/>
        <v>0</v>
      </c>
      <c r="T762">
        <f t="shared" si="184"/>
        <v>0</v>
      </c>
      <c r="U762">
        <f t="shared" si="185"/>
        <v>0</v>
      </c>
      <c r="V762">
        <f t="shared" si="186"/>
        <v>0</v>
      </c>
      <c r="W762">
        <f t="shared" si="187"/>
        <v>0</v>
      </c>
      <c r="X762">
        <f t="shared" si="188"/>
        <v>0</v>
      </c>
      <c r="Y762">
        <f t="shared" si="189"/>
        <v>0</v>
      </c>
      <c r="Z762">
        <f t="shared" si="190"/>
        <v>0</v>
      </c>
      <c r="AB762">
        <v>758</v>
      </c>
      <c r="AC762">
        <f t="shared" si="191"/>
        <v>30</v>
      </c>
      <c r="AD762">
        <f t="shared" si="181"/>
        <v>0</v>
      </c>
    </row>
    <row r="763" spans="4:30" x14ac:dyDescent="0.25">
      <c r="D763" s="31">
        <f>Simulation_output!A761</f>
        <v>7595000</v>
      </c>
      <c r="E763">
        <f>Sheet2!R760</f>
        <v>0</v>
      </c>
      <c r="F763">
        <f>Sheet2!S760</f>
        <v>0</v>
      </c>
      <c r="G763">
        <f>Sheet2!T760</f>
        <v>0</v>
      </c>
      <c r="H763" s="31">
        <f>Simulation_output!E761</f>
        <v>1</v>
      </c>
      <c r="I763" s="31">
        <f>Simulation_output!F761</f>
        <v>268435454</v>
      </c>
      <c r="J763" s="31">
        <f>Simulation_output!G761</f>
        <v>1</v>
      </c>
      <c r="K763" s="31">
        <f>Simulation_output!H761</f>
        <v>1</v>
      </c>
      <c r="L763">
        <v>1</v>
      </c>
      <c r="M763" t="str">
        <f t="shared" si="195"/>
        <v>FFFFFFF</v>
      </c>
      <c r="N763">
        <f t="shared" si="194"/>
        <v>31</v>
      </c>
      <c r="O763">
        <f t="shared" si="193"/>
        <v>59</v>
      </c>
      <c r="P763">
        <f t="shared" si="196"/>
        <v>101</v>
      </c>
      <c r="Q763">
        <f t="shared" si="192"/>
        <v>6</v>
      </c>
      <c r="R763">
        <f t="shared" si="182"/>
        <v>8</v>
      </c>
      <c r="S763">
        <f t="shared" si="183"/>
        <v>43</v>
      </c>
      <c r="T763">
        <f t="shared" si="184"/>
        <v>143</v>
      </c>
      <c r="U763">
        <f t="shared" si="185"/>
        <v>1043</v>
      </c>
      <c r="V763">
        <f t="shared" si="186"/>
        <v>10043</v>
      </c>
      <c r="W763">
        <f t="shared" si="187"/>
        <v>1184</v>
      </c>
      <c r="X763">
        <f t="shared" si="188"/>
        <v>458</v>
      </c>
      <c r="Y763">
        <f t="shared" si="189"/>
        <v>0</v>
      </c>
      <c r="Z763" t="str">
        <f t="shared" si="190"/>
        <v>FFFFFFE</v>
      </c>
      <c r="AB763">
        <v>759</v>
      </c>
      <c r="AC763">
        <f t="shared" si="191"/>
        <v>31</v>
      </c>
      <c r="AD763">
        <f t="shared" si="181"/>
        <v>31</v>
      </c>
    </row>
    <row r="764" spans="4:30" x14ac:dyDescent="0.25">
      <c r="D764" s="31">
        <f>Simulation_output!A762</f>
        <v>7605000</v>
      </c>
      <c r="E764">
        <f>Sheet2!R761</f>
        <v>0</v>
      </c>
      <c r="F764">
        <f>Sheet2!S761</f>
        <v>0</v>
      </c>
      <c r="G764">
        <f>Sheet2!T761</f>
        <v>0</v>
      </c>
      <c r="H764" s="31">
        <f>Simulation_output!E762</f>
        <v>1</v>
      </c>
      <c r="I764" s="31">
        <f>Simulation_output!F762</f>
        <v>268435455</v>
      </c>
      <c r="J764" s="31">
        <f>Simulation_output!G762</f>
        <v>1</v>
      </c>
      <c r="K764" s="31">
        <f>Simulation_output!H762</f>
        <v>0</v>
      </c>
      <c r="L764">
        <v>1</v>
      </c>
      <c r="M764">
        <f t="shared" si="195"/>
        <v>0</v>
      </c>
      <c r="N764">
        <f t="shared" si="194"/>
        <v>0</v>
      </c>
      <c r="O764">
        <f t="shared" si="193"/>
        <v>0</v>
      </c>
      <c r="P764">
        <f t="shared" si="196"/>
        <v>0</v>
      </c>
      <c r="Q764">
        <f t="shared" si="192"/>
        <v>0</v>
      </c>
      <c r="R764">
        <f t="shared" si="182"/>
        <v>0</v>
      </c>
      <c r="S764">
        <f t="shared" si="183"/>
        <v>0</v>
      </c>
      <c r="T764">
        <f t="shared" si="184"/>
        <v>0</v>
      </c>
      <c r="U764">
        <f t="shared" si="185"/>
        <v>0</v>
      </c>
      <c r="V764">
        <f t="shared" si="186"/>
        <v>0</v>
      </c>
      <c r="W764">
        <f t="shared" si="187"/>
        <v>0</v>
      </c>
      <c r="X764">
        <f t="shared" si="188"/>
        <v>0</v>
      </c>
      <c r="Y764">
        <f t="shared" si="189"/>
        <v>0</v>
      </c>
      <c r="Z764">
        <f t="shared" si="190"/>
        <v>0</v>
      </c>
      <c r="AB764">
        <v>760</v>
      </c>
      <c r="AC764">
        <f t="shared" si="191"/>
        <v>31</v>
      </c>
      <c r="AD764">
        <f t="shared" si="181"/>
        <v>0</v>
      </c>
    </row>
    <row r="765" spans="4:30" x14ac:dyDescent="0.25">
      <c r="D765" s="31">
        <f>Simulation_output!A763</f>
        <v>7615000</v>
      </c>
      <c r="E765">
        <f>Sheet2!R762</f>
        <v>0</v>
      </c>
      <c r="F765">
        <f>Sheet2!S762</f>
        <v>0</v>
      </c>
      <c r="G765">
        <f>Sheet2!T762</f>
        <v>0</v>
      </c>
      <c r="H765" s="31">
        <f>Simulation_output!E763</f>
        <v>1</v>
      </c>
      <c r="I765" s="31">
        <f>Simulation_output!F763</f>
        <v>32</v>
      </c>
      <c r="J765" s="31">
        <f>Simulation_output!G763</f>
        <v>1</v>
      </c>
      <c r="K765" s="31">
        <f>Simulation_output!H763</f>
        <v>0</v>
      </c>
      <c r="L765">
        <v>1</v>
      </c>
      <c r="M765">
        <f t="shared" si="195"/>
        <v>0</v>
      </c>
      <c r="N765">
        <f t="shared" si="194"/>
        <v>0</v>
      </c>
      <c r="O765">
        <f t="shared" si="193"/>
        <v>0</v>
      </c>
      <c r="P765">
        <f t="shared" si="196"/>
        <v>0</v>
      </c>
      <c r="Q765">
        <f t="shared" si="192"/>
        <v>0</v>
      </c>
      <c r="R765">
        <f t="shared" si="182"/>
        <v>0</v>
      </c>
      <c r="S765">
        <f t="shared" si="183"/>
        <v>0</v>
      </c>
      <c r="T765">
        <f t="shared" si="184"/>
        <v>0</v>
      </c>
      <c r="U765">
        <f t="shared" si="185"/>
        <v>0</v>
      </c>
      <c r="V765">
        <f t="shared" si="186"/>
        <v>0</v>
      </c>
      <c r="W765">
        <f t="shared" si="187"/>
        <v>0</v>
      </c>
      <c r="X765">
        <f t="shared" si="188"/>
        <v>0</v>
      </c>
      <c r="Y765">
        <f t="shared" si="189"/>
        <v>0</v>
      </c>
      <c r="Z765">
        <f t="shared" si="190"/>
        <v>0</v>
      </c>
      <c r="AB765">
        <v>761</v>
      </c>
      <c r="AC765">
        <f t="shared" si="191"/>
        <v>31</v>
      </c>
      <c r="AD765">
        <f t="shared" si="181"/>
        <v>0</v>
      </c>
    </row>
    <row r="766" spans="4:30" x14ac:dyDescent="0.25">
      <c r="D766" s="31">
        <f>Simulation_output!A764</f>
        <v>7625000</v>
      </c>
      <c r="E766">
        <f>Sheet2!R763</f>
        <v>0</v>
      </c>
      <c r="F766">
        <f>Sheet2!S763</f>
        <v>0</v>
      </c>
      <c r="G766">
        <f>Sheet2!T763</f>
        <v>0</v>
      </c>
      <c r="H766" s="31">
        <f>Simulation_output!E764</f>
        <v>1</v>
      </c>
      <c r="I766" s="31">
        <f>Simulation_output!F764</f>
        <v>71</v>
      </c>
      <c r="J766" s="31">
        <f>Simulation_output!G764</f>
        <v>1</v>
      </c>
      <c r="K766" s="31">
        <f>Simulation_output!H764</f>
        <v>0</v>
      </c>
      <c r="L766">
        <v>1</v>
      </c>
      <c r="M766">
        <f t="shared" si="195"/>
        <v>0</v>
      </c>
      <c r="N766">
        <f t="shared" si="194"/>
        <v>0</v>
      </c>
      <c r="O766">
        <f t="shared" si="193"/>
        <v>0</v>
      </c>
      <c r="P766">
        <f t="shared" si="196"/>
        <v>0</v>
      </c>
      <c r="Q766">
        <f t="shared" si="192"/>
        <v>0</v>
      </c>
      <c r="R766">
        <f t="shared" si="182"/>
        <v>0</v>
      </c>
      <c r="S766">
        <f t="shared" si="183"/>
        <v>0</v>
      </c>
      <c r="T766">
        <f t="shared" si="184"/>
        <v>0</v>
      </c>
      <c r="U766">
        <f t="shared" si="185"/>
        <v>0</v>
      </c>
      <c r="V766">
        <f t="shared" si="186"/>
        <v>0</v>
      </c>
      <c r="W766">
        <f t="shared" si="187"/>
        <v>0</v>
      </c>
      <c r="X766">
        <f t="shared" si="188"/>
        <v>0</v>
      </c>
      <c r="Y766">
        <f t="shared" si="189"/>
        <v>0</v>
      </c>
      <c r="Z766">
        <f t="shared" si="190"/>
        <v>0</v>
      </c>
      <c r="AB766">
        <v>762</v>
      </c>
      <c r="AC766">
        <f t="shared" si="191"/>
        <v>31</v>
      </c>
      <c r="AD766">
        <f t="shared" si="181"/>
        <v>0</v>
      </c>
    </row>
    <row r="767" spans="4:30" x14ac:dyDescent="0.25">
      <c r="D767" s="31">
        <f>Simulation_output!A765</f>
        <v>7635000</v>
      </c>
      <c r="E767">
        <f>Sheet2!R764</f>
        <v>0</v>
      </c>
      <c r="F767">
        <f>Sheet2!S764</f>
        <v>0</v>
      </c>
      <c r="G767">
        <f>Sheet2!T764</f>
        <v>0</v>
      </c>
      <c r="H767" s="31">
        <f>Simulation_output!E765</f>
        <v>1</v>
      </c>
      <c r="I767" s="31">
        <f>Simulation_output!F765</f>
        <v>102</v>
      </c>
      <c r="J767" s="31">
        <f>Simulation_output!G765</f>
        <v>1</v>
      </c>
      <c r="K767" s="31">
        <f>Simulation_output!H765</f>
        <v>0</v>
      </c>
      <c r="L767">
        <v>1</v>
      </c>
      <c r="M767">
        <f t="shared" si="195"/>
        <v>0</v>
      </c>
      <c r="N767">
        <f t="shared" si="194"/>
        <v>0</v>
      </c>
      <c r="O767">
        <f t="shared" si="193"/>
        <v>0</v>
      </c>
      <c r="P767">
        <f t="shared" si="196"/>
        <v>0</v>
      </c>
      <c r="Q767">
        <f t="shared" si="192"/>
        <v>0</v>
      </c>
      <c r="R767">
        <f t="shared" si="182"/>
        <v>0</v>
      </c>
      <c r="S767">
        <f t="shared" si="183"/>
        <v>0</v>
      </c>
      <c r="T767">
        <f t="shared" si="184"/>
        <v>0</v>
      </c>
      <c r="U767">
        <f t="shared" si="185"/>
        <v>0</v>
      </c>
      <c r="V767">
        <f t="shared" si="186"/>
        <v>0</v>
      </c>
      <c r="W767">
        <f t="shared" si="187"/>
        <v>0</v>
      </c>
      <c r="X767">
        <f t="shared" si="188"/>
        <v>0</v>
      </c>
      <c r="Y767">
        <f t="shared" si="189"/>
        <v>0</v>
      </c>
      <c r="Z767">
        <f t="shared" si="190"/>
        <v>0</v>
      </c>
      <c r="AB767">
        <v>763</v>
      </c>
      <c r="AC767">
        <f t="shared" si="191"/>
        <v>31</v>
      </c>
      <c r="AD767">
        <f t="shared" si="181"/>
        <v>0</v>
      </c>
    </row>
    <row r="768" spans="4:30" x14ac:dyDescent="0.25">
      <c r="D768" s="31">
        <f>Simulation_output!A766</f>
        <v>7645000</v>
      </c>
      <c r="E768">
        <f>Sheet2!R765</f>
        <v>0</v>
      </c>
      <c r="F768">
        <f>Sheet2!S765</f>
        <v>0</v>
      </c>
      <c r="G768">
        <f>Sheet2!T765</f>
        <v>0</v>
      </c>
      <c r="H768" s="31">
        <f>Simulation_output!E766</f>
        <v>1</v>
      </c>
      <c r="I768" s="31">
        <f>Simulation_output!F766</f>
        <v>6</v>
      </c>
      <c r="J768" s="31">
        <f>Simulation_output!G766</f>
        <v>1</v>
      </c>
      <c r="K768" s="31">
        <f>Simulation_output!H766</f>
        <v>0</v>
      </c>
      <c r="L768">
        <v>1</v>
      </c>
      <c r="M768">
        <f t="shared" si="195"/>
        <v>0</v>
      </c>
      <c r="N768">
        <f t="shared" si="194"/>
        <v>0</v>
      </c>
      <c r="O768">
        <f t="shared" si="193"/>
        <v>0</v>
      </c>
      <c r="P768">
        <f t="shared" si="196"/>
        <v>0</v>
      </c>
      <c r="Q768">
        <f t="shared" si="192"/>
        <v>0</v>
      </c>
      <c r="R768">
        <f t="shared" si="182"/>
        <v>0</v>
      </c>
      <c r="S768">
        <f t="shared" si="183"/>
        <v>0</v>
      </c>
      <c r="T768">
        <f t="shared" si="184"/>
        <v>0</v>
      </c>
      <c r="U768">
        <f t="shared" si="185"/>
        <v>0</v>
      </c>
      <c r="V768">
        <f t="shared" si="186"/>
        <v>0</v>
      </c>
      <c r="W768">
        <f t="shared" si="187"/>
        <v>0</v>
      </c>
      <c r="X768">
        <f t="shared" si="188"/>
        <v>0</v>
      </c>
      <c r="Y768">
        <f t="shared" si="189"/>
        <v>0</v>
      </c>
      <c r="Z768">
        <f t="shared" si="190"/>
        <v>0</v>
      </c>
      <c r="AB768">
        <v>764</v>
      </c>
      <c r="AC768">
        <f t="shared" si="191"/>
        <v>31</v>
      </c>
      <c r="AD768">
        <f t="shared" si="181"/>
        <v>0</v>
      </c>
    </row>
    <row r="769" spans="4:30" x14ac:dyDescent="0.25">
      <c r="D769" s="31">
        <f>Simulation_output!A767</f>
        <v>7655000</v>
      </c>
      <c r="E769">
        <f>Sheet2!R766</f>
        <v>0</v>
      </c>
      <c r="F769">
        <f>Sheet2!S766</f>
        <v>0</v>
      </c>
      <c r="G769">
        <f>Sheet2!T766</f>
        <v>0</v>
      </c>
      <c r="H769" s="31">
        <f>Simulation_output!E767</f>
        <v>1</v>
      </c>
      <c r="I769" s="31">
        <f>Simulation_output!F767</f>
        <v>8</v>
      </c>
      <c r="J769" s="31">
        <f>Simulation_output!G767</f>
        <v>1</v>
      </c>
      <c r="K769" s="31">
        <f>Simulation_output!H767</f>
        <v>0</v>
      </c>
      <c r="L769">
        <v>1</v>
      </c>
      <c r="M769">
        <f t="shared" si="195"/>
        <v>0</v>
      </c>
      <c r="N769">
        <f t="shared" si="194"/>
        <v>0</v>
      </c>
      <c r="O769">
        <f t="shared" si="193"/>
        <v>0</v>
      </c>
      <c r="P769">
        <f t="shared" si="196"/>
        <v>0</v>
      </c>
      <c r="Q769">
        <f t="shared" si="192"/>
        <v>0</v>
      </c>
      <c r="R769">
        <f t="shared" si="182"/>
        <v>0</v>
      </c>
      <c r="S769">
        <f t="shared" si="183"/>
        <v>0</v>
      </c>
      <c r="T769">
        <f t="shared" si="184"/>
        <v>0</v>
      </c>
      <c r="U769">
        <f t="shared" si="185"/>
        <v>0</v>
      </c>
      <c r="V769">
        <f t="shared" si="186"/>
        <v>0</v>
      </c>
      <c r="W769">
        <f t="shared" si="187"/>
        <v>0</v>
      </c>
      <c r="X769">
        <f t="shared" si="188"/>
        <v>0</v>
      </c>
      <c r="Y769">
        <f t="shared" si="189"/>
        <v>0</v>
      </c>
      <c r="Z769">
        <f t="shared" si="190"/>
        <v>0</v>
      </c>
      <c r="AB769">
        <v>765</v>
      </c>
      <c r="AC769">
        <f t="shared" si="191"/>
        <v>31</v>
      </c>
      <c r="AD769">
        <f t="shared" si="181"/>
        <v>0</v>
      </c>
    </row>
    <row r="770" spans="4:30" x14ac:dyDescent="0.25">
      <c r="D770" s="31">
        <f>Simulation_output!A768</f>
        <v>7665000</v>
      </c>
      <c r="E770">
        <f>Sheet2!R767</f>
        <v>0</v>
      </c>
      <c r="F770">
        <f>Sheet2!S767</f>
        <v>0</v>
      </c>
      <c r="G770">
        <f>Sheet2!T767</f>
        <v>0</v>
      </c>
      <c r="H770" s="31">
        <f>Simulation_output!E768</f>
        <v>1</v>
      </c>
      <c r="I770" s="31">
        <f>Simulation_output!F768</f>
        <v>44</v>
      </c>
      <c r="J770" s="31">
        <f>Simulation_output!G768</f>
        <v>1</v>
      </c>
      <c r="K770" s="31">
        <f>Simulation_output!H768</f>
        <v>0</v>
      </c>
      <c r="L770">
        <v>1</v>
      </c>
      <c r="M770">
        <f t="shared" si="195"/>
        <v>0</v>
      </c>
      <c r="N770">
        <f t="shared" si="194"/>
        <v>0</v>
      </c>
      <c r="O770">
        <f t="shared" si="193"/>
        <v>0</v>
      </c>
      <c r="P770">
        <f t="shared" si="196"/>
        <v>0</v>
      </c>
      <c r="Q770">
        <f t="shared" si="192"/>
        <v>0</v>
      </c>
      <c r="R770">
        <f t="shared" si="182"/>
        <v>0</v>
      </c>
      <c r="S770">
        <f t="shared" si="183"/>
        <v>0</v>
      </c>
      <c r="T770">
        <f t="shared" si="184"/>
        <v>0</v>
      </c>
      <c r="U770">
        <f t="shared" si="185"/>
        <v>0</v>
      </c>
      <c r="V770">
        <f t="shared" si="186"/>
        <v>0</v>
      </c>
      <c r="W770">
        <f t="shared" si="187"/>
        <v>0</v>
      </c>
      <c r="X770">
        <f t="shared" si="188"/>
        <v>0</v>
      </c>
      <c r="Y770">
        <f t="shared" si="189"/>
        <v>0</v>
      </c>
      <c r="Z770">
        <f t="shared" si="190"/>
        <v>0</v>
      </c>
      <c r="AB770">
        <v>766</v>
      </c>
      <c r="AC770">
        <f t="shared" si="191"/>
        <v>31</v>
      </c>
      <c r="AD770">
        <f t="shared" si="181"/>
        <v>0</v>
      </c>
    </row>
    <row r="771" spans="4:30" x14ac:dyDescent="0.25">
      <c r="D771" s="31">
        <f>Simulation_output!A769</f>
        <v>7675000</v>
      </c>
      <c r="E771">
        <f>Sheet2!R768</f>
        <v>0</v>
      </c>
      <c r="F771">
        <f>Sheet2!S768</f>
        <v>0</v>
      </c>
      <c r="G771">
        <f>Sheet2!T768</f>
        <v>0</v>
      </c>
      <c r="H771" s="31">
        <f>Simulation_output!E769</f>
        <v>1</v>
      </c>
      <c r="I771" s="31">
        <f>Simulation_output!F769</f>
        <v>144</v>
      </c>
      <c r="J771" s="31">
        <f>Simulation_output!G769</f>
        <v>1</v>
      </c>
      <c r="K771" s="31">
        <f>Simulation_output!H769</f>
        <v>0</v>
      </c>
      <c r="L771">
        <v>1</v>
      </c>
      <c r="M771">
        <f t="shared" si="195"/>
        <v>0</v>
      </c>
      <c r="N771">
        <f t="shared" si="194"/>
        <v>0</v>
      </c>
      <c r="O771">
        <f t="shared" si="193"/>
        <v>0</v>
      </c>
      <c r="P771">
        <f t="shared" si="196"/>
        <v>0</v>
      </c>
      <c r="Q771">
        <f t="shared" si="192"/>
        <v>0</v>
      </c>
      <c r="R771">
        <f t="shared" si="182"/>
        <v>0</v>
      </c>
      <c r="S771">
        <f t="shared" si="183"/>
        <v>0</v>
      </c>
      <c r="T771">
        <f t="shared" si="184"/>
        <v>0</v>
      </c>
      <c r="U771">
        <f t="shared" si="185"/>
        <v>0</v>
      </c>
      <c r="V771">
        <f t="shared" si="186"/>
        <v>0</v>
      </c>
      <c r="W771">
        <f t="shared" si="187"/>
        <v>0</v>
      </c>
      <c r="X771">
        <f t="shared" si="188"/>
        <v>0</v>
      </c>
      <c r="Y771">
        <f t="shared" si="189"/>
        <v>0</v>
      </c>
      <c r="Z771">
        <f t="shared" si="190"/>
        <v>0</v>
      </c>
      <c r="AB771">
        <v>767</v>
      </c>
      <c r="AC771">
        <f t="shared" si="191"/>
        <v>31</v>
      </c>
      <c r="AD771">
        <f t="shared" si="181"/>
        <v>0</v>
      </c>
    </row>
    <row r="772" spans="4:30" x14ac:dyDescent="0.25">
      <c r="D772" s="31">
        <f>Simulation_output!A770</f>
        <v>7685000</v>
      </c>
      <c r="E772">
        <f>Sheet2!R769</f>
        <v>0</v>
      </c>
      <c r="F772">
        <f>Sheet2!S769</f>
        <v>0</v>
      </c>
      <c r="G772">
        <f>Sheet2!T769</f>
        <v>0</v>
      </c>
      <c r="H772" s="31">
        <f>Simulation_output!E770</f>
        <v>1</v>
      </c>
      <c r="I772" s="31">
        <f>Simulation_output!F770</f>
        <v>1044</v>
      </c>
      <c r="J772" s="31">
        <f>Simulation_output!G770</f>
        <v>1</v>
      </c>
      <c r="K772" s="31">
        <f>Simulation_output!H770</f>
        <v>0</v>
      </c>
      <c r="L772">
        <v>1</v>
      </c>
      <c r="M772">
        <f t="shared" si="195"/>
        <v>0</v>
      </c>
      <c r="N772">
        <f t="shared" si="194"/>
        <v>0</v>
      </c>
      <c r="O772">
        <f t="shared" si="193"/>
        <v>0</v>
      </c>
      <c r="P772">
        <f t="shared" si="196"/>
        <v>0</v>
      </c>
      <c r="Q772">
        <f t="shared" si="192"/>
        <v>0</v>
      </c>
      <c r="R772">
        <f t="shared" si="182"/>
        <v>0</v>
      </c>
      <c r="S772">
        <f t="shared" si="183"/>
        <v>0</v>
      </c>
      <c r="T772">
        <f t="shared" si="184"/>
        <v>0</v>
      </c>
      <c r="U772">
        <f t="shared" si="185"/>
        <v>0</v>
      </c>
      <c r="V772">
        <f t="shared" si="186"/>
        <v>0</v>
      </c>
      <c r="W772">
        <f t="shared" si="187"/>
        <v>0</v>
      </c>
      <c r="X772">
        <f t="shared" si="188"/>
        <v>0</v>
      </c>
      <c r="Y772">
        <f t="shared" si="189"/>
        <v>0</v>
      </c>
      <c r="Z772">
        <f t="shared" si="190"/>
        <v>0</v>
      </c>
      <c r="AB772">
        <v>768</v>
      </c>
      <c r="AC772">
        <f t="shared" si="191"/>
        <v>31</v>
      </c>
      <c r="AD772">
        <f t="shared" si="181"/>
        <v>0</v>
      </c>
    </row>
    <row r="773" spans="4:30" x14ac:dyDescent="0.25">
      <c r="D773" s="31">
        <f>Simulation_output!A771</f>
        <v>7695000</v>
      </c>
      <c r="E773">
        <f>Sheet2!R770</f>
        <v>0</v>
      </c>
      <c r="F773">
        <f>Sheet2!S770</f>
        <v>0</v>
      </c>
      <c r="G773">
        <f>Sheet2!T770</f>
        <v>0</v>
      </c>
      <c r="H773" s="31">
        <f>Simulation_output!E771</f>
        <v>1</v>
      </c>
      <c r="I773" s="31">
        <f>Simulation_output!F771</f>
        <v>10044</v>
      </c>
      <c r="J773" s="31">
        <f>Simulation_output!G771</f>
        <v>1</v>
      </c>
      <c r="K773" s="31">
        <f>Simulation_output!H771</f>
        <v>0</v>
      </c>
      <c r="L773">
        <v>1</v>
      </c>
      <c r="M773">
        <f t="shared" si="195"/>
        <v>0</v>
      </c>
      <c r="N773">
        <f t="shared" si="194"/>
        <v>0</v>
      </c>
      <c r="O773">
        <f t="shared" si="193"/>
        <v>0</v>
      </c>
      <c r="P773">
        <f t="shared" si="196"/>
        <v>0</v>
      </c>
      <c r="Q773">
        <f t="shared" si="192"/>
        <v>0</v>
      </c>
      <c r="R773">
        <f t="shared" si="182"/>
        <v>0</v>
      </c>
      <c r="S773">
        <f t="shared" si="183"/>
        <v>0</v>
      </c>
      <c r="T773">
        <f t="shared" si="184"/>
        <v>0</v>
      </c>
      <c r="U773">
        <f t="shared" si="185"/>
        <v>0</v>
      </c>
      <c r="V773">
        <f t="shared" si="186"/>
        <v>0</v>
      </c>
      <c r="W773">
        <f t="shared" si="187"/>
        <v>0</v>
      </c>
      <c r="X773">
        <f t="shared" si="188"/>
        <v>0</v>
      </c>
      <c r="Y773">
        <f t="shared" si="189"/>
        <v>0</v>
      </c>
      <c r="Z773">
        <f t="shared" si="190"/>
        <v>0</v>
      </c>
      <c r="AB773">
        <v>769</v>
      </c>
      <c r="AC773">
        <f t="shared" si="191"/>
        <v>31</v>
      </c>
      <c r="AD773">
        <f t="shared" si="181"/>
        <v>0</v>
      </c>
    </row>
    <row r="774" spans="4:30" x14ac:dyDescent="0.25">
      <c r="D774" s="31">
        <f>Simulation_output!A772</f>
        <v>7705000</v>
      </c>
      <c r="E774">
        <f>Sheet2!R771</f>
        <v>0</v>
      </c>
      <c r="F774">
        <f>Sheet2!S771</f>
        <v>0</v>
      </c>
      <c r="G774">
        <f>Sheet2!T771</f>
        <v>0</v>
      </c>
      <c r="H774" s="31">
        <f>Simulation_output!E772</f>
        <v>1</v>
      </c>
      <c r="I774" s="31">
        <f>Simulation_output!F772</f>
        <v>1186</v>
      </c>
      <c r="J774" s="31">
        <f>Simulation_output!G772</f>
        <v>1</v>
      </c>
      <c r="K774" s="31">
        <f>Simulation_output!H772</f>
        <v>0</v>
      </c>
      <c r="L774">
        <v>1</v>
      </c>
      <c r="M774">
        <f t="shared" si="195"/>
        <v>0</v>
      </c>
      <c r="N774">
        <f t="shared" si="194"/>
        <v>0</v>
      </c>
      <c r="O774">
        <f t="shared" si="193"/>
        <v>0</v>
      </c>
      <c r="P774">
        <f t="shared" si="196"/>
        <v>0</v>
      </c>
      <c r="Q774">
        <f t="shared" si="192"/>
        <v>0</v>
      </c>
      <c r="R774">
        <f t="shared" si="182"/>
        <v>0</v>
      </c>
      <c r="S774">
        <f t="shared" si="183"/>
        <v>0</v>
      </c>
      <c r="T774">
        <f t="shared" si="184"/>
        <v>0</v>
      </c>
      <c r="U774">
        <f t="shared" si="185"/>
        <v>0</v>
      </c>
      <c r="V774">
        <f t="shared" si="186"/>
        <v>0</v>
      </c>
      <c r="W774">
        <f t="shared" si="187"/>
        <v>0</v>
      </c>
      <c r="X774">
        <f t="shared" si="188"/>
        <v>0</v>
      </c>
      <c r="Y774">
        <f t="shared" si="189"/>
        <v>0</v>
      </c>
      <c r="Z774">
        <f t="shared" si="190"/>
        <v>0</v>
      </c>
      <c r="AB774">
        <v>770</v>
      </c>
      <c r="AC774">
        <f t="shared" si="191"/>
        <v>31</v>
      </c>
      <c r="AD774">
        <f t="shared" ref="AD774:AD837" si="197">IF(M774="FFFFFFF",AC774,0)</f>
        <v>0</v>
      </c>
    </row>
    <row r="775" spans="4:30" x14ac:dyDescent="0.25">
      <c r="D775" s="31">
        <f>Simulation_output!A773</f>
        <v>7715000</v>
      </c>
      <c r="E775">
        <f>Sheet2!R772</f>
        <v>0</v>
      </c>
      <c r="F775">
        <f>Sheet2!S772</f>
        <v>0</v>
      </c>
      <c r="G775">
        <f>Sheet2!T772</f>
        <v>0</v>
      </c>
      <c r="H775" s="31">
        <f>Simulation_output!E773</f>
        <v>1</v>
      </c>
      <c r="I775" s="31">
        <f>Simulation_output!F773</f>
        <v>459</v>
      </c>
      <c r="J775" s="31">
        <f>Simulation_output!G773</f>
        <v>1</v>
      </c>
      <c r="K775" s="31">
        <f>Simulation_output!H773</f>
        <v>0</v>
      </c>
      <c r="L775">
        <v>1</v>
      </c>
      <c r="M775">
        <f t="shared" si="195"/>
        <v>0</v>
      </c>
      <c r="N775">
        <f t="shared" si="194"/>
        <v>0</v>
      </c>
      <c r="O775">
        <f t="shared" si="193"/>
        <v>0</v>
      </c>
      <c r="P775">
        <f t="shared" si="196"/>
        <v>0</v>
      </c>
      <c r="Q775">
        <f t="shared" si="192"/>
        <v>0</v>
      </c>
      <c r="R775">
        <f t="shared" ref="R775:R838" si="198">IF(K775&gt;0,I767,0)</f>
        <v>0</v>
      </c>
      <c r="S775">
        <f t="shared" ref="S775:S838" si="199">IF(K775&gt;0,I768,0)</f>
        <v>0</v>
      </c>
      <c r="T775">
        <f t="shared" ref="T775:T838" si="200">IF(K775&gt;0,I769,0)</f>
        <v>0</v>
      </c>
      <c r="U775">
        <f t="shared" ref="U775:U838" si="201">IF(K775&gt;0,I770,0)</f>
        <v>0</v>
      </c>
      <c r="V775">
        <f t="shared" ref="V775:V838" si="202">IF(K775&gt;0,I771,0)</f>
        <v>0</v>
      </c>
      <c r="W775">
        <f t="shared" ref="W775:W838" si="203">IF(K775&gt;0,I772,0)</f>
        <v>0</v>
      </c>
      <c r="X775">
        <f t="shared" ref="X775:X838" si="204">IF(K775&gt;0,I773,0)</f>
        <v>0</v>
      </c>
      <c r="Y775">
        <f t="shared" ref="Y775:Y838" si="205">IF(K775&gt;0,I774,0)</f>
        <v>0</v>
      </c>
      <c r="Z775">
        <f t="shared" ref="Z775:Z838" si="206">IF(K775&gt;0,DEC2HEX(I775),0)</f>
        <v>0</v>
      </c>
      <c r="AB775">
        <v>771</v>
      </c>
      <c r="AC775">
        <f t="shared" ref="AC775:AC838" si="207">IF(M775="FFFFFFF",AC774+1,AC774)</f>
        <v>31</v>
      </c>
      <c r="AD775">
        <f t="shared" si="197"/>
        <v>0</v>
      </c>
    </row>
    <row r="776" spans="4:30" x14ac:dyDescent="0.25">
      <c r="D776" s="31">
        <f>Simulation_output!A774</f>
        <v>7725000</v>
      </c>
      <c r="E776">
        <f>Sheet2!R773</f>
        <v>0</v>
      </c>
      <c r="F776">
        <f>Sheet2!S773</f>
        <v>0</v>
      </c>
      <c r="G776">
        <f>Sheet2!T773</f>
        <v>0</v>
      </c>
      <c r="H776" s="31">
        <f>Simulation_output!E774</f>
        <v>1</v>
      </c>
      <c r="I776" s="31">
        <f>Simulation_output!F774</f>
        <v>0</v>
      </c>
      <c r="J776" s="31">
        <f>Simulation_output!G774</f>
        <v>1</v>
      </c>
      <c r="K776" s="31">
        <f>Simulation_output!H774</f>
        <v>0</v>
      </c>
      <c r="L776">
        <v>1</v>
      </c>
      <c r="M776">
        <f t="shared" si="195"/>
        <v>0</v>
      </c>
      <c r="N776">
        <f t="shared" si="194"/>
        <v>0</v>
      </c>
      <c r="O776">
        <f t="shared" si="193"/>
        <v>0</v>
      </c>
      <c r="P776">
        <f t="shared" si="196"/>
        <v>0</v>
      </c>
      <c r="Q776">
        <f t="shared" si="192"/>
        <v>0</v>
      </c>
      <c r="R776">
        <f t="shared" si="198"/>
        <v>0</v>
      </c>
      <c r="S776">
        <f t="shared" si="199"/>
        <v>0</v>
      </c>
      <c r="T776">
        <f t="shared" si="200"/>
        <v>0</v>
      </c>
      <c r="U776">
        <f t="shared" si="201"/>
        <v>0</v>
      </c>
      <c r="V776">
        <f t="shared" si="202"/>
        <v>0</v>
      </c>
      <c r="W776">
        <f t="shared" si="203"/>
        <v>0</v>
      </c>
      <c r="X776">
        <f t="shared" si="204"/>
        <v>0</v>
      </c>
      <c r="Y776">
        <f t="shared" si="205"/>
        <v>0</v>
      </c>
      <c r="Z776">
        <f t="shared" si="206"/>
        <v>0</v>
      </c>
      <c r="AB776">
        <v>772</v>
      </c>
      <c r="AC776">
        <f t="shared" si="207"/>
        <v>31</v>
      </c>
      <c r="AD776">
        <f t="shared" si="197"/>
        <v>0</v>
      </c>
    </row>
    <row r="777" spans="4:30" x14ac:dyDescent="0.25">
      <c r="D777" s="31">
        <f>Simulation_output!A775</f>
        <v>7735000</v>
      </c>
      <c r="E777">
        <f>Sheet2!R774</f>
        <v>0</v>
      </c>
      <c r="F777">
        <f>Sheet2!S774</f>
        <v>0</v>
      </c>
      <c r="G777">
        <f>Sheet2!T774</f>
        <v>0</v>
      </c>
      <c r="H777" s="31">
        <f>Simulation_output!E775</f>
        <v>1</v>
      </c>
      <c r="I777" s="31">
        <f>Simulation_output!F775</f>
        <v>268435454</v>
      </c>
      <c r="J777" s="31">
        <f>Simulation_output!G775</f>
        <v>1</v>
      </c>
      <c r="K777" s="31">
        <f>Simulation_output!H775</f>
        <v>1</v>
      </c>
      <c r="L777">
        <v>1</v>
      </c>
      <c r="M777" t="str">
        <f t="shared" si="195"/>
        <v>FFFFFFF</v>
      </c>
      <c r="N777">
        <f t="shared" si="194"/>
        <v>32</v>
      </c>
      <c r="O777">
        <f t="shared" si="193"/>
        <v>71</v>
      </c>
      <c r="P777">
        <f t="shared" si="196"/>
        <v>102</v>
      </c>
      <c r="Q777">
        <f t="shared" si="192"/>
        <v>6</v>
      </c>
      <c r="R777">
        <f t="shared" si="198"/>
        <v>8</v>
      </c>
      <c r="S777">
        <f t="shared" si="199"/>
        <v>44</v>
      </c>
      <c r="T777">
        <f t="shared" si="200"/>
        <v>144</v>
      </c>
      <c r="U777">
        <f t="shared" si="201"/>
        <v>1044</v>
      </c>
      <c r="V777">
        <f t="shared" si="202"/>
        <v>10044</v>
      </c>
      <c r="W777">
        <f t="shared" si="203"/>
        <v>1186</v>
      </c>
      <c r="X777">
        <f t="shared" si="204"/>
        <v>459</v>
      </c>
      <c r="Y777">
        <f t="shared" si="205"/>
        <v>0</v>
      </c>
      <c r="Z777" t="str">
        <f t="shared" si="206"/>
        <v>FFFFFFE</v>
      </c>
      <c r="AB777">
        <v>773</v>
      </c>
      <c r="AC777">
        <f t="shared" si="207"/>
        <v>32</v>
      </c>
      <c r="AD777">
        <f t="shared" si="197"/>
        <v>32</v>
      </c>
    </row>
    <row r="778" spans="4:30" x14ac:dyDescent="0.25">
      <c r="D778" s="31">
        <f>Simulation_output!A776</f>
        <v>7745000</v>
      </c>
      <c r="E778">
        <f>Sheet2!R775</f>
        <v>0</v>
      </c>
      <c r="F778">
        <f>Sheet2!S775</f>
        <v>0</v>
      </c>
      <c r="G778">
        <f>Sheet2!T775</f>
        <v>0</v>
      </c>
      <c r="H778" s="31">
        <f>Simulation_output!E776</f>
        <v>1</v>
      </c>
      <c r="I778" s="31">
        <f>Simulation_output!F776</f>
        <v>268435455</v>
      </c>
      <c r="J778" s="31">
        <f>Simulation_output!G776</f>
        <v>1</v>
      </c>
      <c r="K778" s="31">
        <f>Simulation_output!H776</f>
        <v>0</v>
      </c>
      <c r="L778">
        <v>1</v>
      </c>
      <c r="M778">
        <f t="shared" si="195"/>
        <v>0</v>
      </c>
      <c r="N778">
        <f t="shared" si="194"/>
        <v>0</v>
      </c>
      <c r="O778">
        <f t="shared" si="193"/>
        <v>0</v>
      </c>
      <c r="P778">
        <f t="shared" si="196"/>
        <v>0</v>
      </c>
      <c r="Q778">
        <f t="shared" si="192"/>
        <v>0</v>
      </c>
      <c r="R778">
        <f t="shared" si="198"/>
        <v>0</v>
      </c>
      <c r="S778">
        <f t="shared" si="199"/>
        <v>0</v>
      </c>
      <c r="T778">
        <f t="shared" si="200"/>
        <v>0</v>
      </c>
      <c r="U778">
        <f t="shared" si="201"/>
        <v>0</v>
      </c>
      <c r="V778">
        <f t="shared" si="202"/>
        <v>0</v>
      </c>
      <c r="W778">
        <f t="shared" si="203"/>
        <v>0</v>
      </c>
      <c r="X778">
        <f t="shared" si="204"/>
        <v>0</v>
      </c>
      <c r="Y778">
        <f t="shared" si="205"/>
        <v>0</v>
      </c>
      <c r="Z778">
        <f t="shared" si="206"/>
        <v>0</v>
      </c>
      <c r="AB778">
        <v>774</v>
      </c>
      <c r="AC778">
        <f t="shared" si="207"/>
        <v>32</v>
      </c>
      <c r="AD778">
        <f t="shared" si="197"/>
        <v>0</v>
      </c>
    </row>
    <row r="779" spans="4:30" x14ac:dyDescent="0.25">
      <c r="D779" s="31">
        <f>Simulation_output!A777</f>
        <v>7755000</v>
      </c>
      <c r="E779">
        <f>Sheet2!R776</f>
        <v>0</v>
      </c>
      <c r="F779">
        <f>Sheet2!S776</f>
        <v>0</v>
      </c>
      <c r="G779">
        <f>Sheet2!T776</f>
        <v>0</v>
      </c>
      <c r="H779" s="31">
        <f>Simulation_output!E777</f>
        <v>1</v>
      </c>
      <c r="I779" s="31">
        <f>Simulation_output!F777</f>
        <v>33</v>
      </c>
      <c r="J779" s="31">
        <f>Simulation_output!G777</f>
        <v>1</v>
      </c>
      <c r="K779" s="31">
        <f>Simulation_output!H777</f>
        <v>0</v>
      </c>
      <c r="L779">
        <v>1</v>
      </c>
      <c r="M779">
        <f t="shared" si="195"/>
        <v>0</v>
      </c>
      <c r="N779">
        <f t="shared" si="194"/>
        <v>0</v>
      </c>
      <c r="O779">
        <f t="shared" si="193"/>
        <v>0</v>
      </c>
      <c r="P779">
        <f t="shared" si="196"/>
        <v>0</v>
      </c>
      <c r="Q779">
        <f t="shared" ref="Q779:Q842" si="208">IF(K779&gt;0,I770,0)</f>
        <v>0</v>
      </c>
      <c r="R779">
        <f t="shared" si="198"/>
        <v>0</v>
      </c>
      <c r="S779">
        <f t="shared" si="199"/>
        <v>0</v>
      </c>
      <c r="T779">
        <f t="shared" si="200"/>
        <v>0</v>
      </c>
      <c r="U779">
        <f t="shared" si="201"/>
        <v>0</v>
      </c>
      <c r="V779">
        <f t="shared" si="202"/>
        <v>0</v>
      </c>
      <c r="W779">
        <f t="shared" si="203"/>
        <v>0</v>
      </c>
      <c r="X779">
        <f t="shared" si="204"/>
        <v>0</v>
      </c>
      <c r="Y779">
        <f t="shared" si="205"/>
        <v>0</v>
      </c>
      <c r="Z779">
        <f t="shared" si="206"/>
        <v>0</v>
      </c>
      <c r="AB779">
        <v>775</v>
      </c>
      <c r="AC779">
        <f t="shared" si="207"/>
        <v>32</v>
      </c>
      <c r="AD779">
        <f t="shared" si="197"/>
        <v>0</v>
      </c>
    </row>
    <row r="780" spans="4:30" x14ac:dyDescent="0.25">
      <c r="D780" s="31">
        <f>Simulation_output!A778</f>
        <v>7765000</v>
      </c>
      <c r="E780">
        <f>Sheet2!R777</f>
        <v>0</v>
      </c>
      <c r="F780">
        <f>Sheet2!S777</f>
        <v>0</v>
      </c>
      <c r="G780">
        <f>Sheet2!T777</f>
        <v>0</v>
      </c>
      <c r="H780" s="31">
        <f>Simulation_output!E778</f>
        <v>1</v>
      </c>
      <c r="I780" s="31">
        <f>Simulation_output!F778</f>
        <v>83</v>
      </c>
      <c r="J780" s="31">
        <f>Simulation_output!G778</f>
        <v>1</v>
      </c>
      <c r="K780" s="31">
        <f>Simulation_output!H778</f>
        <v>0</v>
      </c>
      <c r="L780">
        <v>1</v>
      </c>
      <c r="M780">
        <f t="shared" si="195"/>
        <v>0</v>
      </c>
      <c r="N780">
        <f t="shared" si="194"/>
        <v>0</v>
      </c>
      <c r="O780">
        <f t="shared" si="193"/>
        <v>0</v>
      </c>
      <c r="P780">
        <f t="shared" si="196"/>
        <v>0</v>
      </c>
      <c r="Q780">
        <f t="shared" si="208"/>
        <v>0</v>
      </c>
      <c r="R780">
        <f t="shared" si="198"/>
        <v>0</v>
      </c>
      <c r="S780">
        <f t="shared" si="199"/>
        <v>0</v>
      </c>
      <c r="T780">
        <f t="shared" si="200"/>
        <v>0</v>
      </c>
      <c r="U780">
        <f t="shared" si="201"/>
        <v>0</v>
      </c>
      <c r="V780">
        <f t="shared" si="202"/>
        <v>0</v>
      </c>
      <c r="W780">
        <f t="shared" si="203"/>
        <v>0</v>
      </c>
      <c r="X780">
        <f t="shared" si="204"/>
        <v>0</v>
      </c>
      <c r="Y780">
        <f t="shared" si="205"/>
        <v>0</v>
      </c>
      <c r="Z780">
        <f t="shared" si="206"/>
        <v>0</v>
      </c>
      <c r="AB780">
        <v>776</v>
      </c>
      <c r="AC780">
        <f t="shared" si="207"/>
        <v>32</v>
      </c>
      <c r="AD780">
        <f t="shared" si="197"/>
        <v>0</v>
      </c>
    </row>
    <row r="781" spans="4:30" x14ac:dyDescent="0.25">
      <c r="D781" s="31">
        <f>Simulation_output!A779</f>
        <v>7775000</v>
      </c>
      <c r="E781">
        <f>Sheet2!R778</f>
        <v>0</v>
      </c>
      <c r="F781">
        <f>Sheet2!S778</f>
        <v>0</v>
      </c>
      <c r="G781">
        <f>Sheet2!T778</f>
        <v>0</v>
      </c>
      <c r="H781" s="31">
        <f>Simulation_output!E779</f>
        <v>1</v>
      </c>
      <c r="I781" s="31">
        <f>Simulation_output!F779</f>
        <v>103</v>
      </c>
      <c r="J781" s="31">
        <f>Simulation_output!G779</f>
        <v>1</v>
      </c>
      <c r="K781" s="31">
        <f>Simulation_output!H779</f>
        <v>0</v>
      </c>
      <c r="L781">
        <v>1</v>
      </c>
      <c r="M781">
        <f t="shared" si="195"/>
        <v>0</v>
      </c>
      <c r="N781">
        <f t="shared" si="194"/>
        <v>0</v>
      </c>
      <c r="O781">
        <f t="shared" ref="O781:O844" si="209">IF(K781&gt;0,I770,0)</f>
        <v>0</v>
      </c>
      <c r="P781">
        <f t="shared" si="196"/>
        <v>0</v>
      </c>
      <c r="Q781">
        <f t="shared" si="208"/>
        <v>0</v>
      </c>
      <c r="R781">
        <f t="shared" si="198"/>
        <v>0</v>
      </c>
      <c r="S781">
        <f t="shared" si="199"/>
        <v>0</v>
      </c>
      <c r="T781">
        <f t="shared" si="200"/>
        <v>0</v>
      </c>
      <c r="U781">
        <f t="shared" si="201"/>
        <v>0</v>
      </c>
      <c r="V781">
        <f t="shared" si="202"/>
        <v>0</v>
      </c>
      <c r="W781">
        <f t="shared" si="203"/>
        <v>0</v>
      </c>
      <c r="X781">
        <f t="shared" si="204"/>
        <v>0</v>
      </c>
      <c r="Y781">
        <f t="shared" si="205"/>
        <v>0</v>
      </c>
      <c r="Z781">
        <f t="shared" si="206"/>
        <v>0</v>
      </c>
      <c r="AB781">
        <v>777</v>
      </c>
      <c r="AC781">
        <f t="shared" si="207"/>
        <v>32</v>
      </c>
      <c r="AD781">
        <f t="shared" si="197"/>
        <v>0</v>
      </c>
    </row>
    <row r="782" spans="4:30" x14ac:dyDescent="0.25">
      <c r="D782" s="31">
        <f>Simulation_output!A780</f>
        <v>7785000</v>
      </c>
      <c r="E782">
        <f>Sheet2!R779</f>
        <v>0</v>
      </c>
      <c r="F782">
        <f>Sheet2!S779</f>
        <v>0</v>
      </c>
      <c r="G782">
        <f>Sheet2!T779</f>
        <v>0</v>
      </c>
      <c r="H782" s="31">
        <f>Simulation_output!E780</f>
        <v>1</v>
      </c>
      <c r="I782" s="31">
        <f>Simulation_output!F780</f>
        <v>6</v>
      </c>
      <c r="J782" s="31">
        <f>Simulation_output!G780</f>
        <v>1</v>
      </c>
      <c r="K782" s="31">
        <f>Simulation_output!H780</f>
        <v>0</v>
      </c>
      <c r="L782">
        <v>1</v>
      </c>
      <c r="M782">
        <f t="shared" si="195"/>
        <v>0</v>
      </c>
      <c r="N782">
        <f t="shared" ref="N782:N845" si="210">IF(K782&gt;0,I770,0)</f>
        <v>0</v>
      </c>
      <c r="O782">
        <f t="shared" si="209"/>
        <v>0</v>
      </c>
      <c r="P782">
        <f t="shared" si="196"/>
        <v>0</v>
      </c>
      <c r="Q782">
        <f t="shared" si="208"/>
        <v>0</v>
      </c>
      <c r="R782">
        <f t="shared" si="198"/>
        <v>0</v>
      </c>
      <c r="S782">
        <f t="shared" si="199"/>
        <v>0</v>
      </c>
      <c r="T782">
        <f t="shared" si="200"/>
        <v>0</v>
      </c>
      <c r="U782">
        <f t="shared" si="201"/>
        <v>0</v>
      </c>
      <c r="V782">
        <f t="shared" si="202"/>
        <v>0</v>
      </c>
      <c r="W782">
        <f t="shared" si="203"/>
        <v>0</v>
      </c>
      <c r="X782">
        <f t="shared" si="204"/>
        <v>0</v>
      </c>
      <c r="Y782">
        <f t="shared" si="205"/>
        <v>0</v>
      </c>
      <c r="Z782">
        <f t="shared" si="206"/>
        <v>0</v>
      </c>
      <c r="AB782">
        <v>778</v>
      </c>
      <c r="AC782">
        <f t="shared" si="207"/>
        <v>32</v>
      </c>
      <c r="AD782">
        <f t="shared" si="197"/>
        <v>0</v>
      </c>
    </row>
    <row r="783" spans="4:30" x14ac:dyDescent="0.25">
      <c r="D783" s="31">
        <f>Simulation_output!A781</f>
        <v>7795000</v>
      </c>
      <c r="E783">
        <f>Sheet2!R780</f>
        <v>0</v>
      </c>
      <c r="F783">
        <f>Sheet2!S780</f>
        <v>0</v>
      </c>
      <c r="G783">
        <f>Sheet2!T780</f>
        <v>0</v>
      </c>
      <c r="H783" s="31">
        <f>Simulation_output!E781</f>
        <v>1</v>
      </c>
      <c r="I783" s="31">
        <f>Simulation_output!F781</f>
        <v>8</v>
      </c>
      <c r="J783" s="31">
        <f>Simulation_output!G781</f>
        <v>1</v>
      </c>
      <c r="K783" s="31">
        <f>Simulation_output!H781</f>
        <v>0</v>
      </c>
      <c r="L783">
        <v>1</v>
      </c>
      <c r="M783">
        <f t="shared" ref="M783:M846" si="211">IF(K783&gt;0,DEC2HEX(I770),0)</f>
        <v>0</v>
      </c>
      <c r="N783">
        <f t="shared" si="210"/>
        <v>0</v>
      </c>
      <c r="O783">
        <f t="shared" si="209"/>
        <v>0</v>
      </c>
      <c r="P783">
        <f t="shared" ref="P783:P846" si="212">IF(K783&gt;0,I773,0)</f>
        <v>0</v>
      </c>
      <c r="Q783">
        <f t="shared" si="208"/>
        <v>0</v>
      </c>
      <c r="R783">
        <f t="shared" si="198"/>
        <v>0</v>
      </c>
      <c r="S783">
        <f t="shared" si="199"/>
        <v>0</v>
      </c>
      <c r="T783">
        <f t="shared" si="200"/>
        <v>0</v>
      </c>
      <c r="U783">
        <f t="shared" si="201"/>
        <v>0</v>
      </c>
      <c r="V783">
        <f t="shared" si="202"/>
        <v>0</v>
      </c>
      <c r="W783">
        <f t="shared" si="203"/>
        <v>0</v>
      </c>
      <c r="X783">
        <f t="shared" si="204"/>
        <v>0</v>
      </c>
      <c r="Y783">
        <f t="shared" si="205"/>
        <v>0</v>
      </c>
      <c r="Z783">
        <f t="shared" si="206"/>
        <v>0</v>
      </c>
      <c r="AB783">
        <v>779</v>
      </c>
      <c r="AC783">
        <f t="shared" si="207"/>
        <v>32</v>
      </c>
      <c r="AD783">
        <f t="shared" si="197"/>
        <v>0</v>
      </c>
    </row>
    <row r="784" spans="4:30" x14ac:dyDescent="0.25">
      <c r="D784" s="31">
        <f>Simulation_output!A782</f>
        <v>7805000</v>
      </c>
      <c r="E784">
        <f>Sheet2!R781</f>
        <v>0</v>
      </c>
      <c r="F784">
        <f>Sheet2!S781</f>
        <v>0</v>
      </c>
      <c r="G784">
        <f>Sheet2!T781</f>
        <v>0</v>
      </c>
      <c r="H784" s="31">
        <f>Simulation_output!E782</f>
        <v>1</v>
      </c>
      <c r="I784" s="31">
        <f>Simulation_output!F782</f>
        <v>45</v>
      </c>
      <c r="J784" s="31">
        <f>Simulation_output!G782</f>
        <v>1</v>
      </c>
      <c r="K784" s="31">
        <f>Simulation_output!H782</f>
        <v>0</v>
      </c>
      <c r="L784">
        <v>1</v>
      </c>
      <c r="M784">
        <f t="shared" si="211"/>
        <v>0</v>
      </c>
      <c r="N784">
        <f t="shared" si="210"/>
        <v>0</v>
      </c>
      <c r="O784">
        <f t="shared" si="209"/>
        <v>0</v>
      </c>
      <c r="P784">
        <f t="shared" si="212"/>
        <v>0</v>
      </c>
      <c r="Q784">
        <f t="shared" si="208"/>
        <v>0</v>
      </c>
      <c r="R784">
        <f t="shared" si="198"/>
        <v>0</v>
      </c>
      <c r="S784">
        <f t="shared" si="199"/>
        <v>0</v>
      </c>
      <c r="T784">
        <f t="shared" si="200"/>
        <v>0</v>
      </c>
      <c r="U784">
        <f t="shared" si="201"/>
        <v>0</v>
      </c>
      <c r="V784">
        <f t="shared" si="202"/>
        <v>0</v>
      </c>
      <c r="W784">
        <f t="shared" si="203"/>
        <v>0</v>
      </c>
      <c r="X784">
        <f t="shared" si="204"/>
        <v>0</v>
      </c>
      <c r="Y784">
        <f t="shared" si="205"/>
        <v>0</v>
      </c>
      <c r="Z784">
        <f t="shared" si="206"/>
        <v>0</v>
      </c>
      <c r="AB784">
        <v>780</v>
      </c>
      <c r="AC784">
        <f t="shared" si="207"/>
        <v>32</v>
      </c>
      <c r="AD784">
        <f t="shared" si="197"/>
        <v>0</v>
      </c>
    </row>
    <row r="785" spans="4:30" x14ac:dyDescent="0.25">
      <c r="D785" s="31">
        <f>Simulation_output!A783</f>
        <v>7815000</v>
      </c>
      <c r="E785">
        <f>Sheet2!R782</f>
        <v>0</v>
      </c>
      <c r="F785">
        <f>Sheet2!S782</f>
        <v>0</v>
      </c>
      <c r="G785">
        <f>Sheet2!T782</f>
        <v>0</v>
      </c>
      <c r="H785" s="31">
        <f>Simulation_output!E783</f>
        <v>1</v>
      </c>
      <c r="I785" s="31">
        <f>Simulation_output!F783</f>
        <v>145</v>
      </c>
      <c r="J785" s="31">
        <f>Simulation_output!G783</f>
        <v>1</v>
      </c>
      <c r="K785" s="31">
        <f>Simulation_output!H783</f>
        <v>0</v>
      </c>
      <c r="L785">
        <v>1</v>
      </c>
      <c r="M785">
        <f t="shared" si="211"/>
        <v>0</v>
      </c>
      <c r="N785">
        <f t="shared" si="210"/>
        <v>0</v>
      </c>
      <c r="O785">
        <f t="shared" si="209"/>
        <v>0</v>
      </c>
      <c r="P785">
        <f t="shared" si="212"/>
        <v>0</v>
      </c>
      <c r="Q785">
        <f t="shared" si="208"/>
        <v>0</v>
      </c>
      <c r="R785">
        <f t="shared" si="198"/>
        <v>0</v>
      </c>
      <c r="S785">
        <f t="shared" si="199"/>
        <v>0</v>
      </c>
      <c r="T785">
        <f t="shared" si="200"/>
        <v>0</v>
      </c>
      <c r="U785">
        <f t="shared" si="201"/>
        <v>0</v>
      </c>
      <c r="V785">
        <f t="shared" si="202"/>
        <v>0</v>
      </c>
      <c r="W785">
        <f t="shared" si="203"/>
        <v>0</v>
      </c>
      <c r="X785">
        <f t="shared" si="204"/>
        <v>0</v>
      </c>
      <c r="Y785">
        <f t="shared" si="205"/>
        <v>0</v>
      </c>
      <c r="Z785">
        <f t="shared" si="206"/>
        <v>0</v>
      </c>
      <c r="AB785">
        <v>781</v>
      </c>
      <c r="AC785">
        <f t="shared" si="207"/>
        <v>32</v>
      </c>
      <c r="AD785">
        <f t="shared" si="197"/>
        <v>0</v>
      </c>
    </row>
    <row r="786" spans="4:30" x14ac:dyDescent="0.25">
      <c r="D786" s="31">
        <f>Simulation_output!A784</f>
        <v>7825000</v>
      </c>
      <c r="E786">
        <f>Sheet2!R783</f>
        <v>0</v>
      </c>
      <c r="F786">
        <f>Sheet2!S783</f>
        <v>0</v>
      </c>
      <c r="G786">
        <f>Sheet2!T783</f>
        <v>0</v>
      </c>
      <c r="H786" s="31">
        <f>Simulation_output!E784</f>
        <v>1</v>
      </c>
      <c r="I786" s="31">
        <f>Simulation_output!F784</f>
        <v>1045</v>
      </c>
      <c r="J786" s="31">
        <f>Simulation_output!G784</f>
        <v>1</v>
      </c>
      <c r="K786" s="31">
        <f>Simulation_output!H784</f>
        <v>0</v>
      </c>
      <c r="L786">
        <v>1</v>
      </c>
      <c r="M786">
        <f t="shared" si="211"/>
        <v>0</v>
      </c>
      <c r="N786">
        <f t="shared" si="210"/>
        <v>0</v>
      </c>
      <c r="O786">
        <f t="shared" si="209"/>
        <v>0</v>
      </c>
      <c r="P786">
        <f t="shared" si="212"/>
        <v>0</v>
      </c>
      <c r="Q786">
        <f t="shared" si="208"/>
        <v>0</v>
      </c>
      <c r="R786">
        <f t="shared" si="198"/>
        <v>0</v>
      </c>
      <c r="S786">
        <f t="shared" si="199"/>
        <v>0</v>
      </c>
      <c r="T786">
        <f t="shared" si="200"/>
        <v>0</v>
      </c>
      <c r="U786">
        <f t="shared" si="201"/>
        <v>0</v>
      </c>
      <c r="V786">
        <f t="shared" si="202"/>
        <v>0</v>
      </c>
      <c r="W786">
        <f t="shared" si="203"/>
        <v>0</v>
      </c>
      <c r="X786">
        <f t="shared" si="204"/>
        <v>0</v>
      </c>
      <c r="Y786">
        <f t="shared" si="205"/>
        <v>0</v>
      </c>
      <c r="Z786">
        <f t="shared" si="206"/>
        <v>0</v>
      </c>
      <c r="AB786">
        <v>782</v>
      </c>
      <c r="AC786">
        <f t="shared" si="207"/>
        <v>32</v>
      </c>
      <c r="AD786">
        <f t="shared" si="197"/>
        <v>0</v>
      </c>
    </row>
    <row r="787" spans="4:30" x14ac:dyDescent="0.25">
      <c r="D787" s="31">
        <f>Simulation_output!A785</f>
        <v>7835000</v>
      </c>
      <c r="E787">
        <f>Sheet2!R784</f>
        <v>0</v>
      </c>
      <c r="F787">
        <f>Sheet2!S784</f>
        <v>0</v>
      </c>
      <c r="G787">
        <f>Sheet2!T784</f>
        <v>0</v>
      </c>
      <c r="H787" s="31">
        <f>Simulation_output!E785</f>
        <v>1</v>
      </c>
      <c r="I787" s="31">
        <f>Simulation_output!F785</f>
        <v>10045</v>
      </c>
      <c r="J787" s="31">
        <f>Simulation_output!G785</f>
        <v>1</v>
      </c>
      <c r="K787" s="31">
        <f>Simulation_output!H785</f>
        <v>0</v>
      </c>
      <c r="L787">
        <v>1</v>
      </c>
      <c r="M787">
        <f t="shared" si="211"/>
        <v>0</v>
      </c>
      <c r="N787">
        <f t="shared" si="210"/>
        <v>0</v>
      </c>
      <c r="O787">
        <f t="shared" si="209"/>
        <v>0</v>
      </c>
      <c r="P787">
        <f t="shared" si="212"/>
        <v>0</v>
      </c>
      <c r="Q787">
        <f t="shared" si="208"/>
        <v>0</v>
      </c>
      <c r="R787">
        <f t="shared" si="198"/>
        <v>0</v>
      </c>
      <c r="S787">
        <f t="shared" si="199"/>
        <v>0</v>
      </c>
      <c r="T787">
        <f t="shared" si="200"/>
        <v>0</v>
      </c>
      <c r="U787">
        <f t="shared" si="201"/>
        <v>0</v>
      </c>
      <c r="V787">
        <f t="shared" si="202"/>
        <v>0</v>
      </c>
      <c r="W787">
        <f t="shared" si="203"/>
        <v>0</v>
      </c>
      <c r="X787">
        <f t="shared" si="204"/>
        <v>0</v>
      </c>
      <c r="Y787">
        <f t="shared" si="205"/>
        <v>0</v>
      </c>
      <c r="Z787">
        <f t="shared" si="206"/>
        <v>0</v>
      </c>
      <c r="AB787">
        <v>783</v>
      </c>
      <c r="AC787">
        <f t="shared" si="207"/>
        <v>32</v>
      </c>
      <c r="AD787">
        <f t="shared" si="197"/>
        <v>0</v>
      </c>
    </row>
    <row r="788" spans="4:30" x14ac:dyDescent="0.25">
      <c r="D788" s="31">
        <f>Simulation_output!A786</f>
        <v>7845000</v>
      </c>
      <c r="E788">
        <f>Sheet2!R785</f>
        <v>0</v>
      </c>
      <c r="F788">
        <f>Sheet2!S785</f>
        <v>0</v>
      </c>
      <c r="G788">
        <f>Sheet2!T785</f>
        <v>0</v>
      </c>
      <c r="H788" s="31">
        <f>Simulation_output!E786</f>
        <v>1</v>
      </c>
      <c r="I788" s="31">
        <f>Simulation_output!F786</f>
        <v>1188</v>
      </c>
      <c r="J788" s="31">
        <f>Simulation_output!G786</f>
        <v>1</v>
      </c>
      <c r="K788" s="31">
        <f>Simulation_output!H786</f>
        <v>0</v>
      </c>
      <c r="L788">
        <v>1</v>
      </c>
      <c r="M788">
        <f t="shared" si="211"/>
        <v>0</v>
      </c>
      <c r="N788">
        <f t="shared" si="210"/>
        <v>0</v>
      </c>
      <c r="O788">
        <f t="shared" si="209"/>
        <v>0</v>
      </c>
      <c r="P788">
        <f t="shared" si="212"/>
        <v>0</v>
      </c>
      <c r="Q788">
        <f t="shared" si="208"/>
        <v>0</v>
      </c>
      <c r="R788">
        <f t="shared" si="198"/>
        <v>0</v>
      </c>
      <c r="S788">
        <f t="shared" si="199"/>
        <v>0</v>
      </c>
      <c r="T788">
        <f t="shared" si="200"/>
        <v>0</v>
      </c>
      <c r="U788">
        <f t="shared" si="201"/>
        <v>0</v>
      </c>
      <c r="V788">
        <f t="shared" si="202"/>
        <v>0</v>
      </c>
      <c r="W788">
        <f t="shared" si="203"/>
        <v>0</v>
      </c>
      <c r="X788">
        <f t="shared" si="204"/>
        <v>0</v>
      </c>
      <c r="Y788">
        <f t="shared" si="205"/>
        <v>0</v>
      </c>
      <c r="Z788">
        <f t="shared" si="206"/>
        <v>0</v>
      </c>
      <c r="AB788">
        <v>784</v>
      </c>
      <c r="AC788">
        <f t="shared" si="207"/>
        <v>32</v>
      </c>
      <c r="AD788">
        <f t="shared" si="197"/>
        <v>0</v>
      </c>
    </row>
    <row r="789" spans="4:30" x14ac:dyDescent="0.25">
      <c r="D789" s="31">
        <f>Simulation_output!A787</f>
        <v>7855000</v>
      </c>
      <c r="E789">
        <f>Sheet2!R786</f>
        <v>0</v>
      </c>
      <c r="F789">
        <f>Sheet2!S786</f>
        <v>0</v>
      </c>
      <c r="G789">
        <f>Sheet2!T786</f>
        <v>0</v>
      </c>
      <c r="H789" s="31">
        <f>Simulation_output!E787</f>
        <v>1</v>
      </c>
      <c r="I789" s="31">
        <f>Simulation_output!F787</f>
        <v>460</v>
      </c>
      <c r="J789" s="31">
        <f>Simulation_output!G787</f>
        <v>1</v>
      </c>
      <c r="K789" s="31">
        <f>Simulation_output!H787</f>
        <v>0</v>
      </c>
      <c r="L789">
        <v>1</v>
      </c>
      <c r="M789">
        <f t="shared" si="211"/>
        <v>0</v>
      </c>
      <c r="N789">
        <f t="shared" si="210"/>
        <v>0</v>
      </c>
      <c r="O789">
        <f t="shared" si="209"/>
        <v>0</v>
      </c>
      <c r="P789">
        <f t="shared" si="212"/>
        <v>0</v>
      </c>
      <c r="Q789">
        <f t="shared" si="208"/>
        <v>0</v>
      </c>
      <c r="R789">
        <f t="shared" si="198"/>
        <v>0</v>
      </c>
      <c r="S789">
        <f t="shared" si="199"/>
        <v>0</v>
      </c>
      <c r="T789">
        <f t="shared" si="200"/>
        <v>0</v>
      </c>
      <c r="U789">
        <f t="shared" si="201"/>
        <v>0</v>
      </c>
      <c r="V789">
        <f t="shared" si="202"/>
        <v>0</v>
      </c>
      <c r="W789">
        <f t="shared" si="203"/>
        <v>0</v>
      </c>
      <c r="X789">
        <f t="shared" si="204"/>
        <v>0</v>
      </c>
      <c r="Y789">
        <f t="shared" si="205"/>
        <v>0</v>
      </c>
      <c r="Z789">
        <f t="shared" si="206"/>
        <v>0</v>
      </c>
      <c r="AB789">
        <v>785</v>
      </c>
      <c r="AC789">
        <f t="shared" si="207"/>
        <v>32</v>
      </c>
      <c r="AD789">
        <f t="shared" si="197"/>
        <v>0</v>
      </c>
    </row>
    <row r="790" spans="4:30" x14ac:dyDescent="0.25">
      <c r="D790" s="31">
        <f>Simulation_output!A788</f>
        <v>7865000</v>
      </c>
      <c r="E790">
        <f>Sheet2!R787</f>
        <v>0</v>
      </c>
      <c r="F790">
        <f>Sheet2!S787</f>
        <v>0</v>
      </c>
      <c r="G790">
        <f>Sheet2!T787</f>
        <v>0</v>
      </c>
      <c r="H790" s="31">
        <f>Simulation_output!E788</f>
        <v>1</v>
      </c>
      <c r="I790" s="31">
        <f>Simulation_output!F788</f>
        <v>0</v>
      </c>
      <c r="J790" s="31">
        <f>Simulation_output!G788</f>
        <v>1</v>
      </c>
      <c r="K790" s="31">
        <f>Simulation_output!H788</f>
        <v>0</v>
      </c>
      <c r="L790">
        <v>1</v>
      </c>
      <c r="M790">
        <f t="shared" si="211"/>
        <v>0</v>
      </c>
      <c r="N790">
        <f t="shared" si="210"/>
        <v>0</v>
      </c>
      <c r="O790">
        <f t="shared" si="209"/>
        <v>0</v>
      </c>
      <c r="P790">
        <f t="shared" si="212"/>
        <v>0</v>
      </c>
      <c r="Q790">
        <f t="shared" si="208"/>
        <v>0</v>
      </c>
      <c r="R790">
        <f t="shared" si="198"/>
        <v>0</v>
      </c>
      <c r="S790">
        <f t="shared" si="199"/>
        <v>0</v>
      </c>
      <c r="T790">
        <f t="shared" si="200"/>
        <v>0</v>
      </c>
      <c r="U790">
        <f t="shared" si="201"/>
        <v>0</v>
      </c>
      <c r="V790">
        <f t="shared" si="202"/>
        <v>0</v>
      </c>
      <c r="W790">
        <f t="shared" si="203"/>
        <v>0</v>
      </c>
      <c r="X790">
        <f t="shared" si="204"/>
        <v>0</v>
      </c>
      <c r="Y790">
        <f t="shared" si="205"/>
        <v>0</v>
      </c>
      <c r="Z790">
        <f t="shared" si="206"/>
        <v>0</v>
      </c>
      <c r="AB790">
        <v>786</v>
      </c>
      <c r="AC790">
        <f t="shared" si="207"/>
        <v>32</v>
      </c>
      <c r="AD790">
        <f t="shared" si="197"/>
        <v>0</v>
      </c>
    </row>
    <row r="791" spans="4:30" x14ac:dyDescent="0.25">
      <c r="D791" s="31">
        <f>Simulation_output!A789</f>
        <v>7875000</v>
      </c>
      <c r="E791">
        <f>Sheet2!R788</f>
        <v>0</v>
      </c>
      <c r="F791">
        <f>Sheet2!S788</f>
        <v>0</v>
      </c>
      <c r="G791">
        <f>Sheet2!T788</f>
        <v>0</v>
      </c>
      <c r="H791" s="31">
        <f>Simulation_output!E789</f>
        <v>1</v>
      </c>
      <c r="I791" s="31">
        <f>Simulation_output!F789</f>
        <v>268435454</v>
      </c>
      <c r="J791" s="31">
        <f>Simulation_output!G789</f>
        <v>1</v>
      </c>
      <c r="K791" s="31">
        <f>Simulation_output!H789</f>
        <v>1</v>
      </c>
      <c r="L791">
        <v>1</v>
      </c>
      <c r="M791" t="str">
        <f t="shared" si="211"/>
        <v>FFFFFFF</v>
      </c>
      <c r="N791">
        <f t="shared" si="210"/>
        <v>33</v>
      </c>
      <c r="O791">
        <f t="shared" si="209"/>
        <v>83</v>
      </c>
      <c r="P791">
        <f t="shared" si="212"/>
        <v>103</v>
      </c>
      <c r="Q791">
        <f t="shared" si="208"/>
        <v>6</v>
      </c>
      <c r="R791">
        <f t="shared" si="198"/>
        <v>8</v>
      </c>
      <c r="S791">
        <f t="shared" si="199"/>
        <v>45</v>
      </c>
      <c r="T791">
        <f t="shared" si="200"/>
        <v>145</v>
      </c>
      <c r="U791">
        <f t="shared" si="201"/>
        <v>1045</v>
      </c>
      <c r="V791">
        <f t="shared" si="202"/>
        <v>10045</v>
      </c>
      <c r="W791">
        <f t="shared" si="203"/>
        <v>1188</v>
      </c>
      <c r="X791">
        <f t="shared" si="204"/>
        <v>460</v>
      </c>
      <c r="Y791">
        <f t="shared" si="205"/>
        <v>0</v>
      </c>
      <c r="Z791" t="str">
        <f t="shared" si="206"/>
        <v>FFFFFFE</v>
      </c>
      <c r="AB791">
        <v>787</v>
      </c>
      <c r="AC791">
        <f t="shared" si="207"/>
        <v>33</v>
      </c>
      <c r="AD791">
        <f t="shared" si="197"/>
        <v>33</v>
      </c>
    </row>
    <row r="792" spans="4:30" x14ac:dyDescent="0.25">
      <c r="D792" s="31">
        <f>Simulation_output!A790</f>
        <v>7885000</v>
      </c>
      <c r="E792">
        <f>Sheet2!R789</f>
        <v>0</v>
      </c>
      <c r="F792">
        <f>Sheet2!S789</f>
        <v>0</v>
      </c>
      <c r="G792">
        <f>Sheet2!T789</f>
        <v>0</v>
      </c>
      <c r="H792" s="31">
        <f>Simulation_output!E790</f>
        <v>1</v>
      </c>
      <c r="I792" s="31">
        <f>Simulation_output!F790</f>
        <v>0</v>
      </c>
      <c r="J792" s="31">
        <f>Simulation_output!G790</f>
        <v>0</v>
      </c>
      <c r="K792" s="31">
        <f>Simulation_output!H790</f>
        <v>0</v>
      </c>
      <c r="L792">
        <v>1</v>
      </c>
      <c r="M792">
        <f t="shared" si="211"/>
        <v>0</v>
      </c>
      <c r="N792">
        <f t="shared" si="210"/>
        <v>0</v>
      </c>
      <c r="O792">
        <f t="shared" si="209"/>
        <v>0</v>
      </c>
      <c r="P792">
        <f t="shared" si="212"/>
        <v>0</v>
      </c>
      <c r="Q792">
        <f t="shared" si="208"/>
        <v>0</v>
      </c>
      <c r="R792">
        <f t="shared" si="198"/>
        <v>0</v>
      </c>
      <c r="S792">
        <f t="shared" si="199"/>
        <v>0</v>
      </c>
      <c r="T792">
        <f t="shared" si="200"/>
        <v>0</v>
      </c>
      <c r="U792">
        <f t="shared" si="201"/>
        <v>0</v>
      </c>
      <c r="V792">
        <f t="shared" si="202"/>
        <v>0</v>
      </c>
      <c r="W792">
        <f t="shared" si="203"/>
        <v>0</v>
      </c>
      <c r="X792">
        <f t="shared" si="204"/>
        <v>0</v>
      </c>
      <c r="Y792">
        <f t="shared" si="205"/>
        <v>0</v>
      </c>
      <c r="Z792">
        <f t="shared" si="206"/>
        <v>0</v>
      </c>
      <c r="AB792">
        <v>788</v>
      </c>
      <c r="AC792">
        <f t="shared" si="207"/>
        <v>33</v>
      </c>
      <c r="AD792">
        <f t="shared" si="197"/>
        <v>0</v>
      </c>
    </row>
    <row r="793" spans="4:30" x14ac:dyDescent="0.25">
      <c r="D793" s="31">
        <f>Simulation_output!A791</f>
        <v>7895000</v>
      </c>
      <c r="E793">
        <f>Sheet2!R790</f>
        <v>0</v>
      </c>
      <c r="F793">
        <f>Sheet2!S790</f>
        <v>0</v>
      </c>
      <c r="G793">
        <f>Sheet2!T790</f>
        <v>0</v>
      </c>
      <c r="H793" s="31">
        <f>Simulation_output!E791</f>
        <v>1</v>
      </c>
      <c r="I793" s="31">
        <f>Simulation_output!F791</f>
        <v>0</v>
      </c>
      <c r="J793" s="31">
        <f>Simulation_output!G791</f>
        <v>0</v>
      </c>
      <c r="K793" s="31">
        <f>Simulation_output!H791</f>
        <v>0</v>
      </c>
      <c r="L793">
        <v>1</v>
      </c>
      <c r="M793">
        <f t="shared" si="211"/>
        <v>0</v>
      </c>
      <c r="N793">
        <f t="shared" si="210"/>
        <v>0</v>
      </c>
      <c r="O793">
        <f t="shared" si="209"/>
        <v>0</v>
      </c>
      <c r="P793">
        <f t="shared" si="212"/>
        <v>0</v>
      </c>
      <c r="Q793">
        <f t="shared" si="208"/>
        <v>0</v>
      </c>
      <c r="R793">
        <f t="shared" si="198"/>
        <v>0</v>
      </c>
      <c r="S793">
        <f t="shared" si="199"/>
        <v>0</v>
      </c>
      <c r="T793">
        <f t="shared" si="200"/>
        <v>0</v>
      </c>
      <c r="U793">
        <f t="shared" si="201"/>
        <v>0</v>
      </c>
      <c r="V793">
        <f t="shared" si="202"/>
        <v>0</v>
      </c>
      <c r="W793">
        <f t="shared" si="203"/>
        <v>0</v>
      </c>
      <c r="X793">
        <f t="shared" si="204"/>
        <v>0</v>
      </c>
      <c r="Y793">
        <f t="shared" si="205"/>
        <v>0</v>
      </c>
      <c r="Z793">
        <f t="shared" si="206"/>
        <v>0</v>
      </c>
      <c r="AB793">
        <v>789</v>
      </c>
      <c r="AC793">
        <f t="shared" si="207"/>
        <v>33</v>
      </c>
      <c r="AD793">
        <f t="shared" si="197"/>
        <v>0</v>
      </c>
    </row>
    <row r="794" spans="4:30" x14ac:dyDescent="0.25">
      <c r="D794" s="31">
        <f>Simulation_output!A792</f>
        <v>7905000</v>
      </c>
      <c r="E794">
        <f>Sheet2!R791</f>
        <v>0</v>
      </c>
      <c r="F794">
        <f>Sheet2!S791</f>
        <v>0</v>
      </c>
      <c r="G794">
        <f>Sheet2!T791</f>
        <v>0</v>
      </c>
      <c r="H794" s="31">
        <f>Simulation_output!E792</f>
        <v>1</v>
      </c>
      <c r="I794" s="31">
        <f>Simulation_output!F792</f>
        <v>0</v>
      </c>
      <c r="J794" s="31">
        <f>Simulation_output!G792</f>
        <v>0</v>
      </c>
      <c r="K794" s="31">
        <f>Simulation_output!H792</f>
        <v>0</v>
      </c>
      <c r="L794">
        <v>1</v>
      </c>
      <c r="M794">
        <f t="shared" si="211"/>
        <v>0</v>
      </c>
      <c r="N794">
        <f t="shared" si="210"/>
        <v>0</v>
      </c>
      <c r="O794">
        <f t="shared" si="209"/>
        <v>0</v>
      </c>
      <c r="P794">
        <f t="shared" si="212"/>
        <v>0</v>
      </c>
      <c r="Q794">
        <f t="shared" si="208"/>
        <v>0</v>
      </c>
      <c r="R794">
        <f t="shared" si="198"/>
        <v>0</v>
      </c>
      <c r="S794">
        <f t="shared" si="199"/>
        <v>0</v>
      </c>
      <c r="T794">
        <f t="shared" si="200"/>
        <v>0</v>
      </c>
      <c r="U794">
        <f t="shared" si="201"/>
        <v>0</v>
      </c>
      <c r="V794">
        <f t="shared" si="202"/>
        <v>0</v>
      </c>
      <c r="W794">
        <f t="shared" si="203"/>
        <v>0</v>
      </c>
      <c r="X794">
        <f t="shared" si="204"/>
        <v>0</v>
      </c>
      <c r="Y794">
        <f t="shared" si="205"/>
        <v>0</v>
      </c>
      <c r="Z794">
        <f t="shared" si="206"/>
        <v>0</v>
      </c>
      <c r="AB794">
        <v>790</v>
      </c>
      <c r="AC794">
        <f t="shared" si="207"/>
        <v>33</v>
      </c>
      <c r="AD794">
        <f t="shared" si="197"/>
        <v>0</v>
      </c>
    </row>
    <row r="795" spans="4:30" x14ac:dyDescent="0.25">
      <c r="D795" s="31">
        <f>Simulation_output!A793</f>
        <v>7915000</v>
      </c>
      <c r="E795">
        <f>Sheet2!R792</f>
        <v>0</v>
      </c>
      <c r="F795">
        <f>Sheet2!S792</f>
        <v>0</v>
      </c>
      <c r="G795">
        <f>Sheet2!T792</f>
        <v>0</v>
      </c>
      <c r="H795" s="31">
        <f>Simulation_output!E793</f>
        <v>1</v>
      </c>
      <c r="I795" s="31">
        <f>Simulation_output!F793</f>
        <v>0</v>
      </c>
      <c r="J795" s="31">
        <f>Simulation_output!G793</f>
        <v>0</v>
      </c>
      <c r="K795" s="31">
        <f>Simulation_output!H793</f>
        <v>0</v>
      </c>
      <c r="L795">
        <v>1</v>
      </c>
      <c r="M795">
        <f t="shared" si="211"/>
        <v>0</v>
      </c>
      <c r="N795">
        <f t="shared" si="210"/>
        <v>0</v>
      </c>
      <c r="O795">
        <f t="shared" si="209"/>
        <v>0</v>
      </c>
      <c r="P795">
        <f t="shared" si="212"/>
        <v>0</v>
      </c>
      <c r="Q795">
        <f t="shared" si="208"/>
        <v>0</v>
      </c>
      <c r="R795">
        <f t="shared" si="198"/>
        <v>0</v>
      </c>
      <c r="S795">
        <f t="shared" si="199"/>
        <v>0</v>
      </c>
      <c r="T795">
        <f t="shared" si="200"/>
        <v>0</v>
      </c>
      <c r="U795">
        <f t="shared" si="201"/>
        <v>0</v>
      </c>
      <c r="V795">
        <f t="shared" si="202"/>
        <v>0</v>
      </c>
      <c r="W795">
        <f t="shared" si="203"/>
        <v>0</v>
      </c>
      <c r="X795">
        <f t="shared" si="204"/>
        <v>0</v>
      </c>
      <c r="Y795">
        <f t="shared" si="205"/>
        <v>0</v>
      </c>
      <c r="Z795">
        <f t="shared" si="206"/>
        <v>0</v>
      </c>
      <c r="AB795">
        <v>791</v>
      </c>
      <c r="AC795">
        <f t="shared" si="207"/>
        <v>33</v>
      </c>
      <c r="AD795">
        <f t="shared" si="197"/>
        <v>0</v>
      </c>
    </row>
    <row r="796" spans="4:30" x14ac:dyDescent="0.25">
      <c r="D796" s="31">
        <f>Simulation_output!A794</f>
        <v>7925000</v>
      </c>
      <c r="E796">
        <f>Sheet2!R793</f>
        <v>0</v>
      </c>
      <c r="F796">
        <f>Sheet2!S793</f>
        <v>0</v>
      </c>
      <c r="G796">
        <f>Sheet2!T793</f>
        <v>0</v>
      </c>
      <c r="H796" s="31">
        <f>Simulation_output!E794</f>
        <v>1</v>
      </c>
      <c r="I796" s="31">
        <f>Simulation_output!F794</f>
        <v>0</v>
      </c>
      <c r="J796" s="31">
        <f>Simulation_output!G794</f>
        <v>0</v>
      </c>
      <c r="K796" s="31">
        <f>Simulation_output!H794</f>
        <v>0</v>
      </c>
      <c r="L796">
        <v>1</v>
      </c>
      <c r="M796">
        <f t="shared" si="211"/>
        <v>0</v>
      </c>
      <c r="N796">
        <f t="shared" si="210"/>
        <v>0</v>
      </c>
      <c r="O796">
        <f t="shared" si="209"/>
        <v>0</v>
      </c>
      <c r="P796">
        <f t="shared" si="212"/>
        <v>0</v>
      </c>
      <c r="Q796">
        <f t="shared" si="208"/>
        <v>0</v>
      </c>
      <c r="R796">
        <f t="shared" si="198"/>
        <v>0</v>
      </c>
      <c r="S796">
        <f t="shared" si="199"/>
        <v>0</v>
      </c>
      <c r="T796">
        <f t="shared" si="200"/>
        <v>0</v>
      </c>
      <c r="U796">
        <f t="shared" si="201"/>
        <v>0</v>
      </c>
      <c r="V796">
        <f t="shared" si="202"/>
        <v>0</v>
      </c>
      <c r="W796">
        <f t="shared" si="203"/>
        <v>0</v>
      </c>
      <c r="X796">
        <f t="shared" si="204"/>
        <v>0</v>
      </c>
      <c r="Y796">
        <f t="shared" si="205"/>
        <v>0</v>
      </c>
      <c r="Z796">
        <f t="shared" si="206"/>
        <v>0</v>
      </c>
      <c r="AB796">
        <v>792</v>
      </c>
      <c r="AC796">
        <f t="shared" si="207"/>
        <v>33</v>
      </c>
      <c r="AD796">
        <f t="shared" si="197"/>
        <v>0</v>
      </c>
    </row>
    <row r="797" spans="4:30" x14ac:dyDescent="0.25">
      <c r="D797" s="31">
        <f>Simulation_output!A795</f>
        <v>7935000</v>
      </c>
      <c r="E797">
        <f>Sheet2!R794</f>
        <v>0</v>
      </c>
      <c r="F797">
        <f>Sheet2!S794</f>
        <v>0</v>
      </c>
      <c r="G797">
        <f>Sheet2!T794</f>
        <v>0</v>
      </c>
      <c r="H797" s="31">
        <f>Simulation_output!E795</f>
        <v>1</v>
      </c>
      <c r="I797" s="31">
        <f>Simulation_output!F795</f>
        <v>0</v>
      </c>
      <c r="J797" s="31">
        <f>Simulation_output!G795</f>
        <v>0</v>
      </c>
      <c r="K797" s="31">
        <f>Simulation_output!H795</f>
        <v>0</v>
      </c>
      <c r="L797">
        <v>1</v>
      </c>
      <c r="M797">
        <f t="shared" si="211"/>
        <v>0</v>
      </c>
      <c r="N797">
        <f t="shared" si="210"/>
        <v>0</v>
      </c>
      <c r="O797">
        <f t="shared" si="209"/>
        <v>0</v>
      </c>
      <c r="P797">
        <f t="shared" si="212"/>
        <v>0</v>
      </c>
      <c r="Q797">
        <f t="shared" si="208"/>
        <v>0</v>
      </c>
      <c r="R797">
        <f t="shared" si="198"/>
        <v>0</v>
      </c>
      <c r="S797">
        <f t="shared" si="199"/>
        <v>0</v>
      </c>
      <c r="T797">
        <f t="shared" si="200"/>
        <v>0</v>
      </c>
      <c r="U797">
        <f t="shared" si="201"/>
        <v>0</v>
      </c>
      <c r="V797">
        <f t="shared" si="202"/>
        <v>0</v>
      </c>
      <c r="W797">
        <f t="shared" si="203"/>
        <v>0</v>
      </c>
      <c r="X797">
        <f t="shared" si="204"/>
        <v>0</v>
      </c>
      <c r="Y797">
        <f t="shared" si="205"/>
        <v>0</v>
      </c>
      <c r="Z797">
        <f t="shared" si="206"/>
        <v>0</v>
      </c>
      <c r="AB797">
        <v>793</v>
      </c>
      <c r="AC797">
        <f t="shared" si="207"/>
        <v>33</v>
      </c>
      <c r="AD797">
        <f t="shared" si="197"/>
        <v>0</v>
      </c>
    </row>
    <row r="798" spans="4:30" x14ac:dyDescent="0.25">
      <c r="D798" s="31">
        <f>Simulation_output!A796</f>
        <v>7945000</v>
      </c>
      <c r="E798">
        <f>Sheet2!R795</f>
        <v>0</v>
      </c>
      <c r="F798">
        <f>Sheet2!S795</f>
        <v>0</v>
      </c>
      <c r="G798">
        <f>Sheet2!T795</f>
        <v>0</v>
      </c>
      <c r="H798" s="31">
        <f>Simulation_output!E796</f>
        <v>1</v>
      </c>
      <c r="I798" s="31">
        <f>Simulation_output!F796</f>
        <v>0</v>
      </c>
      <c r="J798" s="31">
        <f>Simulation_output!G796</f>
        <v>0</v>
      </c>
      <c r="K798" s="31">
        <f>Simulation_output!H796</f>
        <v>0</v>
      </c>
      <c r="L798">
        <v>1</v>
      </c>
      <c r="M798">
        <f t="shared" si="211"/>
        <v>0</v>
      </c>
      <c r="N798">
        <f t="shared" si="210"/>
        <v>0</v>
      </c>
      <c r="O798">
        <f t="shared" si="209"/>
        <v>0</v>
      </c>
      <c r="P798">
        <f t="shared" si="212"/>
        <v>0</v>
      </c>
      <c r="Q798">
        <f t="shared" si="208"/>
        <v>0</v>
      </c>
      <c r="R798">
        <f t="shared" si="198"/>
        <v>0</v>
      </c>
      <c r="S798">
        <f t="shared" si="199"/>
        <v>0</v>
      </c>
      <c r="T798">
        <f t="shared" si="200"/>
        <v>0</v>
      </c>
      <c r="U798">
        <f t="shared" si="201"/>
        <v>0</v>
      </c>
      <c r="V798">
        <f t="shared" si="202"/>
        <v>0</v>
      </c>
      <c r="W798">
        <f t="shared" si="203"/>
        <v>0</v>
      </c>
      <c r="X798">
        <f t="shared" si="204"/>
        <v>0</v>
      </c>
      <c r="Y798">
        <f t="shared" si="205"/>
        <v>0</v>
      </c>
      <c r="Z798">
        <f t="shared" si="206"/>
        <v>0</v>
      </c>
      <c r="AB798">
        <v>794</v>
      </c>
      <c r="AC798">
        <f t="shared" si="207"/>
        <v>33</v>
      </c>
      <c r="AD798">
        <f t="shared" si="197"/>
        <v>0</v>
      </c>
    </row>
    <row r="799" spans="4:30" x14ac:dyDescent="0.25">
      <c r="D799" s="31">
        <f>Simulation_output!A797</f>
        <v>7955000</v>
      </c>
      <c r="E799">
        <f>Sheet2!R796</f>
        <v>0</v>
      </c>
      <c r="F799">
        <f>Sheet2!S796</f>
        <v>0</v>
      </c>
      <c r="G799">
        <f>Sheet2!T796</f>
        <v>0</v>
      </c>
      <c r="H799" s="31">
        <f>Simulation_output!E797</f>
        <v>1</v>
      </c>
      <c r="I799" s="31">
        <f>Simulation_output!F797</f>
        <v>0</v>
      </c>
      <c r="J799" s="31">
        <f>Simulation_output!G797</f>
        <v>0</v>
      </c>
      <c r="K799" s="31">
        <f>Simulation_output!H797</f>
        <v>0</v>
      </c>
      <c r="L799">
        <v>1</v>
      </c>
      <c r="M799">
        <f t="shared" si="211"/>
        <v>0</v>
      </c>
      <c r="N799">
        <f t="shared" si="210"/>
        <v>0</v>
      </c>
      <c r="O799">
        <f t="shared" si="209"/>
        <v>0</v>
      </c>
      <c r="P799">
        <f t="shared" si="212"/>
        <v>0</v>
      </c>
      <c r="Q799">
        <f t="shared" si="208"/>
        <v>0</v>
      </c>
      <c r="R799">
        <f t="shared" si="198"/>
        <v>0</v>
      </c>
      <c r="S799">
        <f t="shared" si="199"/>
        <v>0</v>
      </c>
      <c r="T799">
        <f t="shared" si="200"/>
        <v>0</v>
      </c>
      <c r="U799">
        <f t="shared" si="201"/>
        <v>0</v>
      </c>
      <c r="V799">
        <f t="shared" si="202"/>
        <v>0</v>
      </c>
      <c r="W799">
        <f t="shared" si="203"/>
        <v>0</v>
      </c>
      <c r="X799">
        <f t="shared" si="204"/>
        <v>0</v>
      </c>
      <c r="Y799">
        <f t="shared" si="205"/>
        <v>0</v>
      </c>
      <c r="Z799">
        <f t="shared" si="206"/>
        <v>0</v>
      </c>
      <c r="AB799">
        <v>795</v>
      </c>
      <c r="AC799">
        <f t="shared" si="207"/>
        <v>33</v>
      </c>
      <c r="AD799">
        <f t="shared" si="197"/>
        <v>0</v>
      </c>
    </row>
    <row r="800" spans="4:30" x14ac:dyDescent="0.25">
      <c r="D800" s="31">
        <f>Simulation_output!A798</f>
        <v>7965000</v>
      </c>
      <c r="E800">
        <f>Sheet2!R797</f>
        <v>0</v>
      </c>
      <c r="F800">
        <f>Sheet2!S797</f>
        <v>0</v>
      </c>
      <c r="G800">
        <f>Sheet2!T797</f>
        <v>0</v>
      </c>
      <c r="H800" s="31">
        <f>Simulation_output!E798</f>
        <v>1</v>
      </c>
      <c r="I800" s="31">
        <f>Simulation_output!F798</f>
        <v>0</v>
      </c>
      <c r="J800" s="31">
        <f>Simulation_output!G798</f>
        <v>0</v>
      </c>
      <c r="K800" s="31">
        <f>Simulation_output!H798</f>
        <v>0</v>
      </c>
      <c r="L800">
        <v>1</v>
      </c>
      <c r="M800">
        <f t="shared" si="211"/>
        <v>0</v>
      </c>
      <c r="N800">
        <f t="shared" si="210"/>
        <v>0</v>
      </c>
      <c r="O800">
        <f t="shared" si="209"/>
        <v>0</v>
      </c>
      <c r="P800">
        <f t="shared" si="212"/>
        <v>0</v>
      </c>
      <c r="Q800">
        <f t="shared" si="208"/>
        <v>0</v>
      </c>
      <c r="R800">
        <f t="shared" si="198"/>
        <v>0</v>
      </c>
      <c r="S800">
        <f t="shared" si="199"/>
        <v>0</v>
      </c>
      <c r="T800">
        <f t="shared" si="200"/>
        <v>0</v>
      </c>
      <c r="U800">
        <f t="shared" si="201"/>
        <v>0</v>
      </c>
      <c r="V800">
        <f t="shared" si="202"/>
        <v>0</v>
      </c>
      <c r="W800">
        <f t="shared" si="203"/>
        <v>0</v>
      </c>
      <c r="X800">
        <f t="shared" si="204"/>
        <v>0</v>
      </c>
      <c r="Y800">
        <f t="shared" si="205"/>
        <v>0</v>
      </c>
      <c r="Z800">
        <f t="shared" si="206"/>
        <v>0</v>
      </c>
      <c r="AB800">
        <v>796</v>
      </c>
      <c r="AC800">
        <f t="shared" si="207"/>
        <v>33</v>
      </c>
      <c r="AD800">
        <f t="shared" si="197"/>
        <v>0</v>
      </c>
    </row>
    <row r="801" spans="4:30" x14ac:dyDescent="0.25">
      <c r="D801" s="31">
        <f>Simulation_output!A799</f>
        <v>7975000</v>
      </c>
      <c r="E801">
        <f>Sheet2!R798</f>
        <v>0</v>
      </c>
      <c r="F801">
        <f>Sheet2!S798</f>
        <v>0</v>
      </c>
      <c r="G801">
        <f>Sheet2!T798</f>
        <v>0</v>
      </c>
      <c r="H801" s="31">
        <f>Simulation_output!E799</f>
        <v>1</v>
      </c>
      <c r="I801" s="31">
        <f>Simulation_output!F799</f>
        <v>0</v>
      </c>
      <c r="J801" s="31">
        <f>Simulation_output!G799</f>
        <v>0</v>
      </c>
      <c r="K801" s="31">
        <f>Simulation_output!H799</f>
        <v>0</v>
      </c>
      <c r="L801">
        <v>1</v>
      </c>
      <c r="M801">
        <f t="shared" si="211"/>
        <v>0</v>
      </c>
      <c r="N801">
        <f t="shared" si="210"/>
        <v>0</v>
      </c>
      <c r="O801">
        <f t="shared" si="209"/>
        <v>0</v>
      </c>
      <c r="P801">
        <f t="shared" si="212"/>
        <v>0</v>
      </c>
      <c r="Q801">
        <f t="shared" si="208"/>
        <v>0</v>
      </c>
      <c r="R801">
        <f t="shared" si="198"/>
        <v>0</v>
      </c>
      <c r="S801">
        <f t="shared" si="199"/>
        <v>0</v>
      </c>
      <c r="T801">
        <f t="shared" si="200"/>
        <v>0</v>
      </c>
      <c r="U801">
        <f t="shared" si="201"/>
        <v>0</v>
      </c>
      <c r="V801">
        <f t="shared" si="202"/>
        <v>0</v>
      </c>
      <c r="W801">
        <f t="shared" si="203"/>
        <v>0</v>
      </c>
      <c r="X801">
        <f t="shared" si="204"/>
        <v>0</v>
      </c>
      <c r="Y801">
        <f t="shared" si="205"/>
        <v>0</v>
      </c>
      <c r="Z801">
        <f t="shared" si="206"/>
        <v>0</v>
      </c>
      <c r="AB801">
        <v>797</v>
      </c>
      <c r="AC801">
        <f t="shared" si="207"/>
        <v>33</v>
      </c>
      <c r="AD801">
        <f t="shared" si="197"/>
        <v>0</v>
      </c>
    </row>
    <row r="802" spans="4:30" x14ac:dyDescent="0.25">
      <c r="D802" s="31">
        <f>Simulation_output!A800</f>
        <v>7985000</v>
      </c>
      <c r="E802">
        <f>Sheet2!R799</f>
        <v>0</v>
      </c>
      <c r="F802">
        <f>Sheet2!S799</f>
        <v>0</v>
      </c>
      <c r="G802">
        <f>Sheet2!T799</f>
        <v>0</v>
      </c>
      <c r="H802" s="31">
        <f>Simulation_output!E800</f>
        <v>1</v>
      </c>
      <c r="I802" s="31">
        <f>Simulation_output!F800</f>
        <v>0</v>
      </c>
      <c r="J802" s="31">
        <f>Simulation_output!G800</f>
        <v>0</v>
      </c>
      <c r="K802" s="31">
        <f>Simulation_output!H800</f>
        <v>0</v>
      </c>
      <c r="L802">
        <v>1</v>
      </c>
      <c r="M802">
        <f t="shared" si="211"/>
        <v>0</v>
      </c>
      <c r="N802">
        <f t="shared" si="210"/>
        <v>0</v>
      </c>
      <c r="O802">
        <f t="shared" si="209"/>
        <v>0</v>
      </c>
      <c r="P802">
        <f t="shared" si="212"/>
        <v>0</v>
      </c>
      <c r="Q802">
        <f t="shared" si="208"/>
        <v>0</v>
      </c>
      <c r="R802">
        <f t="shared" si="198"/>
        <v>0</v>
      </c>
      <c r="S802">
        <f t="shared" si="199"/>
        <v>0</v>
      </c>
      <c r="T802">
        <f t="shared" si="200"/>
        <v>0</v>
      </c>
      <c r="U802">
        <f t="shared" si="201"/>
        <v>0</v>
      </c>
      <c r="V802">
        <f t="shared" si="202"/>
        <v>0</v>
      </c>
      <c r="W802">
        <f t="shared" si="203"/>
        <v>0</v>
      </c>
      <c r="X802">
        <f t="shared" si="204"/>
        <v>0</v>
      </c>
      <c r="Y802">
        <f t="shared" si="205"/>
        <v>0</v>
      </c>
      <c r="Z802">
        <f t="shared" si="206"/>
        <v>0</v>
      </c>
      <c r="AB802">
        <v>798</v>
      </c>
      <c r="AC802">
        <f t="shared" si="207"/>
        <v>33</v>
      </c>
      <c r="AD802">
        <f t="shared" si="197"/>
        <v>0</v>
      </c>
    </row>
    <row r="803" spans="4:30" x14ac:dyDescent="0.25">
      <c r="D803" s="31">
        <f>Simulation_output!A801</f>
        <v>7995000</v>
      </c>
      <c r="E803">
        <f>Sheet2!R800</f>
        <v>0</v>
      </c>
      <c r="F803">
        <f>Sheet2!S800</f>
        <v>0</v>
      </c>
      <c r="G803">
        <f>Sheet2!T800</f>
        <v>0</v>
      </c>
      <c r="H803" s="31">
        <f>Simulation_output!E801</f>
        <v>1</v>
      </c>
      <c r="I803" s="31">
        <f>Simulation_output!F801</f>
        <v>0</v>
      </c>
      <c r="J803" s="31">
        <f>Simulation_output!G801</f>
        <v>0</v>
      </c>
      <c r="K803" s="31">
        <f>Simulation_output!H801</f>
        <v>0</v>
      </c>
      <c r="L803">
        <v>1</v>
      </c>
      <c r="M803">
        <f t="shared" si="211"/>
        <v>0</v>
      </c>
      <c r="N803">
        <f t="shared" si="210"/>
        <v>0</v>
      </c>
      <c r="O803">
        <f t="shared" si="209"/>
        <v>0</v>
      </c>
      <c r="P803">
        <f t="shared" si="212"/>
        <v>0</v>
      </c>
      <c r="Q803">
        <f t="shared" si="208"/>
        <v>0</v>
      </c>
      <c r="R803">
        <f t="shared" si="198"/>
        <v>0</v>
      </c>
      <c r="S803">
        <f t="shared" si="199"/>
        <v>0</v>
      </c>
      <c r="T803">
        <f t="shared" si="200"/>
        <v>0</v>
      </c>
      <c r="U803">
        <f t="shared" si="201"/>
        <v>0</v>
      </c>
      <c r="V803">
        <f t="shared" si="202"/>
        <v>0</v>
      </c>
      <c r="W803">
        <f t="shared" si="203"/>
        <v>0</v>
      </c>
      <c r="X803">
        <f t="shared" si="204"/>
        <v>0</v>
      </c>
      <c r="Y803">
        <f t="shared" si="205"/>
        <v>0</v>
      </c>
      <c r="Z803">
        <f t="shared" si="206"/>
        <v>0</v>
      </c>
      <c r="AB803">
        <v>799</v>
      </c>
      <c r="AC803">
        <f t="shared" si="207"/>
        <v>33</v>
      </c>
      <c r="AD803">
        <f t="shared" si="197"/>
        <v>0</v>
      </c>
    </row>
    <row r="804" spans="4:30" x14ac:dyDescent="0.25">
      <c r="D804" s="31">
        <f>Simulation_output!A802</f>
        <v>8005000</v>
      </c>
      <c r="E804">
        <f>Sheet2!R801</f>
        <v>0</v>
      </c>
      <c r="F804">
        <f>Sheet2!S801</f>
        <v>0</v>
      </c>
      <c r="G804">
        <f>Sheet2!T801</f>
        <v>0</v>
      </c>
      <c r="H804" s="31">
        <f>Simulation_output!E802</f>
        <v>1</v>
      </c>
      <c r="I804" s="31">
        <f>Simulation_output!F802</f>
        <v>0</v>
      </c>
      <c r="J804" s="31">
        <f>Simulation_output!G802</f>
        <v>0</v>
      </c>
      <c r="K804" s="31">
        <f>Simulation_output!H802</f>
        <v>0</v>
      </c>
      <c r="L804">
        <v>1</v>
      </c>
      <c r="M804">
        <f t="shared" si="211"/>
        <v>0</v>
      </c>
      <c r="N804">
        <f t="shared" si="210"/>
        <v>0</v>
      </c>
      <c r="O804">
        <f t="shared" si="209"/>
        <v>0</v>
      </c>
      <c r="P804">
        <f t="shared" si="212"/>
        <v>0</v>
      </c>
      <c r="Q804">
        <f t="shared" si="208"/>
        <v>0</v>
      </c>
      <c r="R804">
        <f t="shared" si="198"/>
        <v>0</v>
      </c>
      <c r="S804">
        <f t="shared" si="199"/>
        <v>0</v>
      </c>
      <c r="T804">
        <f t="shared" si="200"/>
        <v>0</v>
      </c>
      <c r="U804">
        <f t="shared" si="201"/>
        <v>0</v>
      </c>
      <c r="V804">
        <f t="shared" si="202"/>
        <v>0</v>
      </c>
      <c r="W804">
        <f t="shared" si="203"/>
        <v>0</v>
      </c>
      <c r="X804">
        <f t="shared" si="204"/>
        <v>0</v>
      </c>
      <c r="Y804">
        <f t="shared" si="205"/>
        <v>0</v>
      </c>
      <c r="Z804">
        <f t="shared" si="206"/>
        <v>0</v>
      </c>
      <c r="AB804">
        <v>800</v>
      </c>
      <c r="AC804">
        <f t="shared" si="207"/>
        <v>33</v>
      </c>
      <c r="AD804">
        <f t="shared" si="197"/>
        <v>0</v>
      </c>
    </row>
    <row r="805" spans="4:30" x14ac:dyDescent="0.25">
      <c r="D805" s="31">
        <f>Simulation_output!A803</f>
        <v>8015000</v>
      </c>
      <c r="E805">
        <f>Sheet2!R802</f>
        <v>0</v>
      </c>
      <c r="F805">
        <f>Sheet2!S802</f>
        <v>0</v>
      </c>
      <c r="G805">
        <f>Sheet2!T802</f>
        <v>0</v>
      </c>
      <c r="H805" s="31">
        <f>Simulation_output!E803</f>
        <v>1</v>
      </c>
      <c r="I805" s="31">
        <f>Simulation_output!F803</f>
        <v>0</v>
      </c>
      <c r="J805" s="31">
        <f>Simulation_output!G803</f>
        <v>0</v>
      </c>
      <c r="K805" s="31">
        <f>Simulation_output!H803</f>
        <v>0</v>
      </c>
      <c r="L805">
        <v>1</v>
      </c>
      <c r="M805">
        <f t="shared" si="211"/>
        <v>0</v>
      </c>
      <c r="N805">
        <f t="shared" si="210"/>
        <v>0</v>
      </c>
      <c r="O805">
        <f t="shared" si="209"/>
        <v>0</v>
      </c>
      <c r="P805">
        <f t="shared" si="212"/>
        <v>0</v>
      </c>
      <c r="Q805">
        <f t="shared" si="208"/>
        <v>0</v>
      </c>
      <c r="R805">
        <f t="shared" si="198"/>
        <v>0</v>
      </c>
      <c r="S805">
        <f t="shared" si="199"/>
        <v>0</v>
      </c>
      <c r="T805">
        <f t="shared" si="200"/>
        <v>0</v>
      </c>
      <c r="U805">
        <f t="shared" si="201"/>
        <v>0</v>
      </c>
      <c r="V805">
        <f t="shared" si="202"/>
        <v>0</v>
      </c>
      <c r="W805">
        <f t="shared" si="203"/>
        <v>0</v>
      </c>
      <c r="X805">
        <f t="shared" si="204"/>
        <v>0</v>
      </c>
      <c r="Y805">
        <f t="shared" si="205"/>
        <v>0</v>
      </c>
      <c r="Z805">
        <f t="shared" si="206"/>
        <v>0</v>
      </c>
      <c r="AB805">
        <v>801</v>
      </c>
      <c r="AC805">
        <f t="shared" si="207"/>
        <v>33</v>
      </c>
      <c r="AD805">
        <f t="shared" si="197"/>
        <v>0</v>
      </c>
    </row>
    <row r="806" spans="4:30" x14ac:dyDescent="0.25">
      <c r="D806" s="31">
        <f>Simulation_output!A804</f>
        <v>8025000</v>
      </c>
      <c r="E806">
        <f>Sheet2!R803</f>
        <v>0</v>
      </c>
      <c r="F806">
        <f>Sheet2!S803</f>
        <v>0</v>
      </c>
      <c r="G806">
        <f>Sheet2!T803</f>
        <v>0</v>
      </c>
      <c r="H806" s="31">
        <f>Simulation_output!E804</f>
        <v>1</v>
      </c>
      <c r="I806" s="31">
        <f>Simulation_output!F804</f>
        <v>0</v>
      </c>
      <c r="J806" s="31">
        <f>Simulation_output!G804</f>
        <v>0</v>
      </c>
      <c r="K806" s="31">
        <f>Simulation_output!H804</f>
        <v>0</v>
      </c>
      <c r="L806">
        <v>1</v>
      </c>
      <c r="M806">
        <f t="shared" si="211"/>
        <v>0</v>
      </c>
      <c r="N806">
        <f t="shared" si="210"/>
        <v>0</v>
      </c>
      <c r="O806">
        <f t="shared" si="209"/>
        <v>0</v>
      </c>
      <c r="P806">
        <f t="shared" si="212"/>
        <v>0</v>
      </c>
      <c r="Q806">
        <f t="shared" si="208"/>
        <v>0</v>
      </c>
      <c r="R806">
        <f t="shared" si="198"/>
        <v>0</v>
      </c>
      <c r="S806">
        <f t="shared" si="199"/>
        <v>0</v>
      </c>
      <c r="T806">
        <f t="shared" si="200"/>
        <v>0</v>
      </c>
      <c r="U806">
        <f t="shared" si="201"/>
        <v>0</v>
      </c>
      <c r="V806">
        <f t="shared" si="202"/>
        <v>0</v>
      </c>
      <c r="W806">
        <f t="shared" si="203"/>
        <v>0</v>
      </c>
      <c r="X806">
        <f t="shared" si="204"/>
        <v>0</v>
      </c>
      <c r="Y806">
        <f t="shared" si="205"/>
        <v>0</v>
      </c>
      <c r="Z806">
        <f t="shared" si="206"/>
        <v>0</v>
      </c>
      <c r="AB806">
        <v>802</v>
      </c>
      <c r="AC806">
        <f t="shared" si="207"/>
        <v>33</v>
      </c>
      <c r="AD806">
        <f t="shared" si="197"/>
        <v>0</v>
      </c>
    </row>
    <row r="807" spans="4:30" x14ac:dyDescent="0.25">
      <c r="D807" s="31">
        <f>Simulation_output!A805</f>
        <v>8035000</v>
      </c>
      <c r="E807">
        <f>Sheet2!R804</f>
        <v>0</v>
      </c>
      <c r="F807">
        <f>Sheet2!S804</f>
        <v>0</v>
      </c>
      <c r="G807">
        <f>Sheet2!T804</f>
        <v>0</v>
      </c>
      <c r="H807" s="31">
        <f>Simulation_output!E805</f>
        <v>1</v>
      </c>
      <c r="I807" s="31">
        <f>Simulation_output!F805</f>
        <v>0</v>
      </c>
      <c r="J807" s="31">
        <f>Simulation_output!G805</f>
        <v>0</v>
      </c>
      <c r="K807" s="31">
        <f>Simulation_output!H805</f>
        <v>0</v>
      </c>
      <c r="L807">
        <v>1</v>
      </c>
      <c r="M807">
        <f t="shared" si="211"/>
        <v>0</v>
      </c>
      <c r="N807">
        <f t="shared" si="210"/>
        <v>0</v>
      </c>
      <c r="O807">
        <f t="shared" si="209"/>
        <v>0</v>
      </c>
      <c r="P807">
        <f t="shared" si="212"/>
        <v>0</v>
      </c>
      <c r="Q807">
        <f t="shared" si="208"/>
        <v>0</v>
      </c>
      <c r="R807">
        <f t="shared" si="198"/>
        <v>0</v>
      </c>
      <c r="S807">
        <f t="shared" si="199"/>
        <v>0</v>
      </c>
      <c r="T807">
        <f t="shared" si="200"/>
        <v>0</v>
      </c>
      <c r="U807">
        <f t="shared" si="201"/>
        <v>0</v>
      </c>
      <c r="V807">
        <f t="shared" si="202"/>
        <v>0</v>
      </c>
      <c r="W807">
        <f t="shared" si="203"/>
        <v>0</v>
      </c>
      <c r="X807">
        <f t="shared" si="204"/>
        <v>0</v>
      </c>
      <c r="Y807">
        <f t="shared" si="205"/>
        <v>0</v>
      </c>
      <c r="Z807">
        <f t="shared" si="206"/>
        <v>0</v>
      </c>
      <c r="AB807">
        <v>803</v>
      </c>
      <c r="AC807">
        <f t="shared" si="207"/>
        <v>33</v>
      </c>
      <c r="AD807">
        <f t="shared" si="197"/>
        <v>0</v>
      </c>
    </row>
    <row r="808" spans="4:30" x14ac:dyDescent="0.25">
      <c r="D808" s="31">
        <f>Simulation_output!A806</f>
        <v>8045000</v>
      </c>
      <c r="E808">
        <f>Sheet2!R805</f>
        <v>0</v>
      </c>
      <c r="F808">
        <f>Sheet2!S805</f>
        <v>0</v>
      </c>
      <c r="G808">
        <f>Sheet2!T805</f>
        <v>0</v>
      </c>
      <c r="H808" s="31">
        <f>Simulation_output!E806</f>
        <v>1</v>
      </c>
      <c r="I808" s="31">
        <f>Simulation_output!F806</f>
        <v>0</v>
      </c>
      <c r="J808" s="31">
        <f>Simulation_output!G806</f>
        <v>0</v>
      </c>
      <c r="K808" s="31">
        <f>Simulation_output!H806</f>
        <v>0</v>
      </c>
      <c r="L808">
        <v>1</v>
      </c>
      <c r="M808">
        <f t="shared" si="211"/>
        <v>0</v>
      </c>
      <c r="N808">
        <f t="shared" si="210"/>
        <v>0</v>
      </c>
      <c r="O808">
        <f t="shared" si="209"/>
        <v>0</v>
      </c>
      <c r="P808">
        <f t="shared" si="212"/>
        <v>0</v>
      </c>
      <c r="Q808">
        <f t="shared" si="208"/>
        <v>0</v>
      </c>
      <c r="R808">
        <f t="shared" si="198"/>
        <v>0</v>
      </c>
      <c r="S808">
        <f t="shared" si="199"/>
        <v>0</v>
      </c>
      <c r="T808">
        <f t="shared" si="200"/>
        <v>0</v>
      </c>
      <c r="U808">
        <f t="shared" si="201"/>
        <v>0</v>
      </c>
      <c r="V808">
        <f t="shared" si="202"/>
        <v>0</v>
      </c>
      <c r="W808">
        <f t="shared" si="203"/>
        <v>0</v>
      </c>
      <c r="X808">
        <f t="shared" si="204"/>
        <v>0</v>
      </c>
      <c r="Y808">
        <f t="shared" si="205"/>
        <v>0</v>
      </c>
      <c r="Z808">
        <f t="shared" si="206"/>
        <v>0</v>
      </c>
      <c r="AB808">
        <v>804</v>
      </c>
      <c r="AC808">
        <f t="shared" si="207"/>
        <v>33</v>
      </c>
      <c r="AD808">
        <f t="shared" si="197"/>
        <v>0</v>
      </c>
    </row>
    <row r="809" spans="4:30" x14ac:dyDescent="0.25">
      <c r="D809" s="31">
        <f>Simulation_output!A807</f>
        <v>8055000</v>
      </c>
      <c r="E809">
        <f>Sheet2!R806</f>
        <v>0</v>
      </c>
      <c r="F809">
        <f>Sheet2!S806</f>
        <v>0</v>
      </c>
      <c r="G809">
        <f>Sheet2!T806</f>
        <v>0</v>
      </c>
      <c r="H809" s="31">
        <f>Simulation_output!E807</f>
        <v>1</v>
      </c>
      <c r="I809" s="31">
        <f>Simulation_output!F807</f>
        <v>0</v>
      </c>
      <c r="J809" s="31">
        <f>Simulation_output!G807</f>
        <v>0</v>
      </c>
      <c r="K809" s="31">
        <f>Simulation_output!H807</f>
        <v>0</v>
      </c>
      <c r="L809">
        <v>1</v>
      </c>
      <c r="M809">
        <f t="shared" si="211"/>
        <v>0</v>
      </c>
      <c r="N809">
        <f t="shared" si="210"/>
        <v>0</v>
      </c>
      <c r="O809">
        <f t="shared" si="209"/>
        <v>0</v>
      </c>
      <c r="P809">
        <f t="shared" si="212"/>
        <v>0</v>
      </c>
      <c r="Q809">
        <f t="shared" si="208"/>
        <v>0</v>
      </c>
      <c r="R809">
        <f t="shared" si="198"/>
        <v>0</v>
      </c>
      <c r="S809">
        <f t="shared" si="199"/>
        <v>0</v>
      </c>
      <c r="T809">
        <f t="shared" si="200"/>
        <v>0</v>
      </c>
      <c r="U809">
        <f t="shared" si="201"/>
        <v>0</v>
      </c>
      <c r="V809">
        <f t="shared" si="202"/>
        <v>0</v>
      </c>
      <c r="W809">
        <f t="shared" si="203"/>
        <v>0</v>
      </c>
      <c r="X809">
        <f t="shared" si="204"/>
        <v>0</v>
      </c>
      <c r="Y809">
        <f t="shared" si="205"/>
        <v>0</v>
      </c>
      <c r="Z809">
        <f t="shared" si="206"/>
        <v>0</v>
      </c>
      <c r="AB809">
        <v>805</v>
      </c>
      <c r="AC809">
        <f t="shared" si="207"/>
        <v>33</v>
      </c>
      <c r="AD809">
        <f t="shared" si="197"/>
        <v>0</v>
      </c>
    </row>
    <row r="810" spans="4:30" x14ac:dyDescent="0.25">
      <c r="D810" s="31">
        <f>Simulation_output!A808</f>
        <v>8065000</v>
      </c>
      <c r="E810">
        <f>Sheet2!R807</f>
        <v>0</v>
      </c>
      <c r="F810">
        <f>Sheet2!S807</f>
        <v>0</v>
      </c>
      <c r="G810">
        <f>Sheet2!T807</f>
        <v>0</v>
      </c>
      <c r="H810" s="31">
        <f>Simulation_output!E808</f>
        <v>1</v>
      </c>
      <c r="I810" s="31">
        <f>Simulation_output!F808</f>
        <v>0</v>
      </c>
      <c r="J810" s="31">
        <f>Simulation_output!G808</f>
        <v>0</v>
      </c>
      <c r="K810" s="31">
        <f>Simulation_output!H808</f>
        <v>0</v>
      </c>
      <c r="L810">
        <v>1</v>
      </c>
      <c r="M810">
        <f t="shared" si="211"/>
        <v>0</v>
      </c>
      <c r="N810">
        <f t="shared" si="210"/>
        <v>0</v>
      </c>
      <c r="O810">
        <f t="shared" si="209"/>
        <v>0</v>
      </c>
      <c r="P810">
        <f t="shared" si="212"/>
        <v>0</v>
      </c>
      <c r="Q810">
        <f t="shared" si="208"/>
        <v>0</v>
      </c>
      <c r="R810">
        <f t="shared" si="198"/>
        <v>0</v>
      </c>
      <c r="S810">
        <f t="shared" si="199"/>
        <v>0</v>
      </c>
      <c r="T810">
        <f t="shared" si="200"/>
        <v>0</v>
      </c>
      <c r="U810">
        <f t="shared" si="201"/>
        <v>0</v>
      </c>
      <c r="V810">
        <f t="shared" si="202"/>
        <v>0</v>
      </c>
      <c r="W810">
        <f t="shared" si="203"/>
        <v>0</v>
      </c>
      <c r="X810">
        <f t="shared" si="204"/>
        <v>0</v>
      </c>
      <c r="Y810">
        <f t="shared" si="205"/>
        <v>0</v>
      </c>
      <c r="Z810">
        <f t="shared" si="206"/>
        <v>0</v>
      </c>
      <c r="AB810">
        <v>806</v>
      </c>
      <c r="AC810">
        <f t="shared" si="207"/>
        <v>33</v>
      </c>
      <c r="AD810">
        <f t="shared" si="197"/>
        <v>0</v>
      </c>
    </row>
    <row r="811" spans="4:30" x14ac:dyDescent="0.25">
      <c r="D811" s="31">
        <f>Simulation_output!A809</f>
        <v>8075000</v>
      </c>
      <c r="E811">
        <f>Sheet2!R808</f>
        <v>0</v>
      </c>
      <c r="F811">
        <f>Sheet2!S808</f>
        <v>0</v>
      </c>
      <c r="G811">
        <f>Sheet2!T808</f>
        <v>0</v>
      </c>
      <c r="H811" s="31">
        <f>Simulation_output!E809</f>
        <v>1</v>
      </c>
      <c r="I811" s="31">
        <f>Simulation_output!F809</f>
        <v>0</v>
      </c>
      <c r="J811" s="31">
        <f>Simulation_output!G809</f>
        <v>0</v>
      </c>
      <c r="K811" s="31">
        <f>Simulation_output!H809</f>
        <v>0</v>
      </c>
      <c r="L811">
        <v>1</v>
      </c>
      <c r="M811">
        <f t="shared" si="211"/>
        <v>0</v>
      </c>
      <c r="N811">
        <f t="shared" si="210"/>
        <v>0</v>
      </c>
      <c r="O811">
        <f t="shared" si="209"/>
        <v>0</v>
      </c>
      <c r="P811">
        <f t="shared" si="212"/>
        <v>0</v>
      </c>
      <c r="Q811">
        <f t="shared" si="208"/>
        <v>0</v>
      </c>
      <c r="R811">
        <f t="shared" si="198"/>
        <v>0</v>
      </c>
      <c r="S811">
        <f t="shared" si="199"/>
        <v>0</v>
      </c>
      <c r="T811">
        <f t="shared" si="200"/>
        <v>0</v>
      </c>
      <c r="U811">
        <f t="shared" si="201"/>
        <v>0</v>
      </c>
      <c r="V811">
        <f t="shared" si="202"/>
        <v>0</v>
      </c>
      <c r="W811">
        <f t="shared" si="203"/>
        <v>0</v>
      </c>
      <c r="X811">
        <f t="shared" si="204"/>
        <v>0</v>
      </c>
      <c r="Y811">
        <f t="shared" si="205"/>
        <v>0</v>
      </c>
      <c r="Z811">
        <f t="shared" si="206"/>
        <v>0</v>
      </c>
      <c r="AB811">
        <v>807</v>
      </c>
      <c r="AC811">
        <f t="shared" si="207"/>
        <v>33</v>
      </c>
      <c r="AD811">
        <f t="shared" si="197"/>
        <v>0</v>
      </c>
    </row>
    <row r="812" spans="4:30" x14ac:dyDescent="0.25">
      <c r="D812" s="31">
        <f>Simulation_output!A810</f>
        <v>8085000</v>
      </c>
      <c r="E812">
        <f>Sheet2!R809</f>
        <v>0</v>
      </c>
      <c r="F812">
        <f>Sheet2!S809</f>
        <v>0</v>
      </c>
      <c r="G812">
        <f>Sheet2!T809</f>
        <v>0</v>
      </c>
      <c r="H812" s="31">
        <f>Simulation_output!E810</f>
        <v>1</v>
      </c>
      <c r="I812" s="31">
        <f>Simulation_output!F810</f>
        <v>0</v>
      </c>
      <c r="J812" s="31">
        <f>Simulation_output!G810</f>
        <v>0</v>
      </c>
      <c r="K812" s="31">
        <f>Simulation_output!H810</f>
        <v>0</v>
      </c>
      <c r="L812">
        <v>1</v>
      </c>
      <c r="M812">
        <f t="shared" si="211"/>
        <v>0</v>
      </c>
      <c r="N812">
        <f t="shared" si="210"/>
        <v>0</v>
      </c>
      <c r="O812">
        <f t="shared" si="209"/>
        <v>0</v>
      </c>
      <c r="P812">
        <f t="shared" si="212"/>
        <v>0</v>
      </c>
      <c r="Q812">
        <f t="shared" si="208"/>
        <v>0</v>
      </c>
      <c r="R812">
        <f t="shared" si="198"/>
        <v>0</v>
      </c>
      <c r="S812">
        <f t="shared" si="199"/>
        <v>0</v>
      </c>
      <c r="T812">
        <f t="shared" si="200"/>
        <v>0</v>
      </c>
      <c r="U812">
        <f t="shared" si="201"/>
        <v>0</v>
      </c>
      <c r="V812">
        <f t="shared" si="202"/>
        <v>0</v>
      </c>
      <c r="W812">
        <f t="shared" si="203"/>
        <v>0</v>
      </c>
      <c r="X812">
        <f t="shared" si="204"/>
        <v>0</v>
      </c>
      <c r="Y812">
        <f t="shared" si="205"/>
        <v>0</v>
      </c>
      <c r="Z812">
        <f t="shared" si="206"/>
        <v>0</v>
      </c>
      <c r="AB812">
        <v>808</v>
      </c>
      <c r="AC812">
        <f t="shared" si="207"/>
        <v>33</v>
      </c>
      <c r="AD812">
        <f t="shared" si="197"/>
        <v>0</v>
      </c>
    </row>
    <row r="813" spans="4:30" x14ac:dyDescent="0.25">
      <c r="D813" s="31">
        <f>Simulation_output!A811</f>
        <v>8095000</v>
      </c>
      <c r="E813">
        <f>Sheet2!R810</f>
        <v>0</v>
      </c>
      <c r="F813">
        <f>Sheet2!S810</f>
        <v>0</v>
      </c>
      <c r="G813">
        <f>Sheet2!T810</f>
        <v>0</v>
      </c>
      <c r="H813" s="31">
        <f>Simulation_output!E811</f>
        <v>1</v>
      </c>
      <c r="I813" s="31">
        <f>Simulation_output!F811</f>
        <v>0</v>
      </c>
      <c r="J813" s="31">
        <f>Simulation_output!G811</f>
        <v>0</v>
      </c>
      <c r="K813" s="31">
        <f>Simulation_output!H811</f>
        <v>0</v>
      </c>
      <c r="L813">
        <v>1</v>
      </c>
      <c r="M813">
        <f t="shared" si="211"/>
        <v>0</v>
      </c>
      <c r="N813">
        <f t="shared" si="210"/>
        <v>0</v>
      </c>
      <c r="O813">
        <f t="shared" si="209"/>
        <v>0</v>
      </c>
      <c r="P813">
        <f t="shared" si="212"/>
        <v>0</v>
      </c>
      <c r="Q813">
        <f t="shared" si="208"/>
        <v>0</v>
      </c>
      <c r="R813">
        <f t="shared" si="198"/>
        <v>0</v>
      </c>
      <c r="S813">
        <f t="shared" si="199"/>
        <v>0</v>
      </c>
      <c r="T813">
        <f t="shared" si="200"/>
        <v>0</v>
      </c>
      <c r="U813">
        <f t="shared" si="201"/>
        <v>0</v>
      </c>
      <c r="V813">
        <f t="shared" si="202"/>
        <v>0</v>
      </c>
      <c r="W813">
        <f t="shared" si="203"/>
        <v>0</v>
      </c>
      <c r="X813">
        <f t="shared" si="204"/>
        <v>0</v>
      </c>
      <c r="Y813">
        <f t="shared" si="205"/>
        <v>0</v>
      </c>
      <c r="Z813">
        <f t="shared" si="206"/>
        <v>0</v>
      </c>
      <c r="AB813">
        <v>809</v>
      </c>
      <c r="AC813">
        <f t="shared" si="207"/>
        <v>33</v>
      </c>
      <c r="AD813">
        <f t="shared" si="197"/>
        <v>0</v>
      </c>
    </row>
    <row r="814" spans="4:30" x14ac:dyDescent="0.25">
      <c r="D814" s="31">
        <f>Simulation_output!A812</f>
        <v>8105000</v>
      </c>
      <c r="E814">
        <f>Sheet2!R811</f>
        <v>0</v>
      </c>
      <c r="F814">
        <f>Sheet2!S811</f>
        <v>0</v>
      </c>
      <c r="G814">
        <f>Sheet2!T811</f>
        <v>0</v>
      </c>
      <c r="H814" s="31">
        <f>Simulation_output!E812</f>
        <v>1</v>
      </c>
      <c r="I814" s="31">
        <f>Simulation_output!F812</f>
        <v>0</v>
      </c>
      <c r="J814" s="31">
        <f>Simulation_output!G812</f>
        <v>0</v>
      </c>
      <c r="K814" s="31">
        <f>Simulation_output!H812</f>
        <v>0</v>
      </c>
      <c r="L814">
        <v>1</v>
      </c>
      <c r="M814">
        <f t="shared" si="211"/>
        <v>0</v>
      </c>
      <c r="N814">
        <f t="shared" si="210"/>
        <v>0</v>
      </c>
      <c r="O814">
        <f t="shared" si="209"/>
        <v>0</v>
      </c>
      <c r="P814">
        <f t="shared" si="212"/>
        <v>0</v>
      </c>
      <c r="Q814">
        <f t="shared" si="208"/>
        <v>0</v>
      </c>
      <c r="R814">
        <f t="shared" si="198"/>
        <v>0</v>
      </c>
      <c r="S814">
        <f t="shared" si="199"/>
        <v>0</v>
      </c>
      <c r="T814">
        <f t="shared" si="200"/>
        <v>0</v>
      </c>
      <c r="U814">
        <f t="shared" si="201"/>
        <v>0</v>
      </c>
      <c r="V814">
        <f t="shared" si="202"/>
        <v>0</v>
      </c>
      <c r="W814">
        <f t="shared" si="203"/>
        <v>0</v>
      </c>
      <c r="X814">
        <f t="shared" si="204"/>
        <v>0</v>
      </c>
      <c r="Y814">
        <f t="shared" si="205"/>
        <v>0</v>
      </c>
      <c r="Z814">
        <f t="shared" si="206"/>
        <v>0</v>
      </c>
      <c r="AB814">
        <v>810</v>
      </c>
      <c r="AC814">
        <f t="shared" si="207"/>
        <v>33</v>
      </c>
      <c r="AD814">
        <f t="shared" si="197"/>
        <v>0</v>
      </c>
    </row>
    <row r="815" spans="4:30" x14ac:dyDescent="0.25">
      <c r="D815" s="31">
        <f>Simulation_output!A813</f>
        <v>8115000</v>
      </c>
      <c r="E815">
        <f>Sheet2!R812</f>
        <v>0</v>
      </c>
      <c r="F815">
        <f>Sheet2!S812</f>
        <v>0</v>
      </c>
      <c r="G815">
        <f>Sheet2!T812</f>
        <v>0</v>
      </c>
      <c r="H815" s="31">
        <f>Simulation_output!E813</f>
        <v>1</v>
      </c>
      <c r="I815" s="31">
        <f>Simulation_output!F813</f>
        <v>0</v>
      </c>
      <c r="J815" s="31">
        <f>Simulation_output!G813</f>
        <v>0</v>
      </c>
      <c r="K815" s="31">
        <f>Simulation_output!H813</f>
        <v>0</v>
      </c>
      <c r="L815">
        <v>1</v>
      </c>
      <c r="M815">
        <f t="shared" si="211"/>
        <v>0</v>
      </c>
      <c r="N815">
        <f t="shared" si="210"/>
        <v>0</v>
      </c>
      <c r="O815">
        <f t="shared" si="209"/>
        <v>0</v>
      </c>
      <c r="P815">
        <f t="shared" si="212"/>
        <v>0</v>
      </c>
      <c r="Q815">
        <f t="shared" si="208"/>
        <v>0</v>
      </c>
      <c r="R815">
        <f t="shared" si="198"/>
        <v>0</v>
      </c>
      <c r="S815">
        <f t="shared" si="199"/>
        <v>0</v>
      </c>
      <c r="T815">
        <f t="shared" si="200"/>
        <v>0</v>
      </c>
      <c r="U815">
        <f t="shared" si="201"/>
        <v>0</v>
      </c>
      <c r="V815">
        <f t="shared" si="202"/>
        <v>0</v>
      </c>
      <c r="W815">
        <f t="shared" si="203"/>
        <v>0</v>
      </c>
      <c r="X815">
        <f t="shared" si="204"/>
        <v>0</v>
      </c>
      <c r="Y815">
        <f t="shared" si="205"/>
        <v>0</v>
      </c>
      <c r="Z815">
        <f t="shared" si="206"/>
        <v>0</v>
      </c>
      <c r="AB815">
        <v>811</v>
      </c>
      <c r="AC815">
        <f t="shared" si="207"/>
        <v>33</v>
      </c>
      <c r="AD815">
        <f t="shared" si="197"/>
        <v>0</v>
      </c>
    </row>
    <row r="816" spans="4:30" x14ac:dyDescent="0.25">
      <c r="D816" s="31">
        <f>Simulation_output!A814</f>
        <v>8125000</v>
      </c>
      <c r="E816">
        <f>Sheet2!R813</f>
        <v>0</v>
      </c>
      <c r="F816">
        <f>Sheet2!S813</f>
        <v>0</v>
      </c>
      <c r="G816">
        <f>Sheet2!T813</f>
        <v>0</v>
      </c>
      <c r="H816" s="31">
        <f>Simulation_output!E814</f>
        <v>1</v>
      </c>
      <c r="I816" s="31">
        <f>Simulation_output!F814</f>
        <v>0</v>
      </c>
      <c r="J816" s="31">
        <f>Simulation_output!G814</f>
        <v>0</v>
      </c>
      <c r="K816" s="31">
        <f>Simulation_output!H814</f>
        <v>0</v>
      </c>
      <c r="L816">
        <v>1</v>
      </c>
      <c r="M816">
        <f t="shared" si="211"/>
        <v>0</v>
      </c>
      <c r="N816">
        <f t="shared" si="210"/>
        <v>0</v>
      </c>
      <c r="O816">
        <f t="shared" si="209"/>
        <v>0</v>
      </c>
      <c r="P816">
        <f t="shared" si="212"/>
        <v>0</v>
      </c>
      <c r="Q816">
        <f t="shared" si="208"/>
        <v>0</v>
      </c>
      <c r="R816">
        <f t="shared" si="198"/>
        <v>0</v>
      </c>
      <c r="S816">
        <f t="shared" si="199"/>
        <v>0</v>
      </c>
      <c r="T816">
        <f t="shared" si="200"/>
        <v>0</v>
      </c>
      <c r="U816">
        <f t="shared" si="201"/>
        <v>0</v>
      </c>
      <c r="V816">
        <f t="shared" si="202"/>
        <v>0</v>
      </c>
      <c r="W816">
        <f t="shared" si="203"/>
        <v>0</v>
      </c>
      <c r="X816">
        <f t="shared" si="204"/>
        <v>0</v>
      </c>
      <c r="Y816">
        <f t="shared" si="205"/>
        <v>0</v>
      </c>
      <c r="Z816">
        <f t="shared" si="206"/>
        <v>0</v>
      </c>
      <c r="AB816">
        <v>812</v>
      </c>
      <c r="AC816">
        <f t="shared" si="207"/>
        <v>33</v>
      </c>
      <c r="AD816">
        <f t="shared" si="197"/>
        <v>0</v>
      </c>
    </row>
    <row r="817" spans="4:30" x14ac:dyDescent="0.25">
      <c r="D817" s="31">
        <f>Simulation_output!A815</f>
        <v>8135000</v>
      </c>
      <c r="E817">
        <f>Sheet2!R814</f>
        <v>0</v>
      </c>
      <c r="F817">
        <f>Sheet2!S814</f>
        <v>0</v>
      </c>
      <c r="G817">
        <f>Sheet2!T814</f>
        <v>0</v>
      </c>
      <c r="H817" s="31">
        <f>Simulation_output!E815</f>
        <v>1</v>
      </c>
      <c r="I817" s="31">
        <f>Simulation_output!F815</f>
        <v>0</v>
      </c>
      <c r="J817" s="31">
        <f>Simulation_output!G815</f>
        <v>0</v>
      </c>
      <c r="K817" s="31">
        <f>Simulation_output!H815</f>
        <v>0</v>
      </c>
      <c r="L817">
        <v>1</v>
      </c>
      <c r="M817">
        <f t="shared" si="211"/>
        <v>0</v>
      </c>
      <c r="N817">
        <f t="shared" si="210"/>
        <v>0</v>
      </c>
      <c r="O817">
        <f t="shared" si="209"/>
        <v>0</v>
      </c>
      <c r="P817">
        <f t="shared" si="212"/>
        <v>0</v>
      </c>
      <c r="Q817">
        <f t="shared" si="208"/>
        <v>0</v>
      </c>
      <c r="R817">
        <f t="shared" si="198"/>
        <v>0</v>
      </c>
      <c r="S817">
        <f t="shared" si="199"/>
        <v>0</v>
      </c>
      <c r="T817">
        <f t="shared" si="200"/>
        <v>0</v>
      </c>
      <c r="U817">
        <f t="shared" si="201"/>
        <v>0</v>
      </c>
      <c r="V817">
        <f t="shared" si="202"/>
        <v>0</v>
      </c>
      <c r="W817">
        <f t="shared" si="203"/>
        <v>0</v>
      </c>
      <c r="X817">
        <f t="shared" si="204"/>
        <v>0</v>
      </c>
      <c r="Y817">
        <f t="shared" si="205"/>
        <v>0</v>
      </c>
      <c r="Z817">
        <f t="shared" si="206"/>
        <v>0</v>
      </c>
      <c r="AB817">
        <v>813</v>
      </c>
      <c r="AC817">
        <f t="shared" si="207"/>
        <v>33</v>
      </c>
      <c r="AD817">
        <f t="shared" si="197"/>
        <v>0</v>
      </c>
    </row>
    <row r="818" spans="4:30" x14ac:dyDescent="0.25">
      <c r="D818" s="31">
        <f>Simulation_output!A816</f>
        <v>8145000</v>
      </c>
      <c r="E818">
        <f>Sheet2!R815</f>
        <v>0</v>
      </c>
      <c r="F818">
        <f>Sheet2!S815</f>
        <v>0</v>
      </c>
      <c r="G818">
        <f>Sheet2!T815</f>
        <v>0</v>
      </c>
      <c r="H818" s="31">
        <f>Simulation_output!E816</f>
        <v>1</v>
      </c>
      <c r="I818" s="31">
        <f>Simulation_output!F816</f>
        <v>0</v>
      </c>
      <c r="J818" s="31">
        <f>Simulation_output!G816</f>
        <v>0</v>
      </c>
      <c r="K818" s="31">
        <f>Simulation_output!H816</f>
        <v>0</v>
      </c>
      <c r="L818">
        <v>1</v>
      </c>
      <c r="M818">
        <f t="shared" si="211"/>
        <v>0</v>
      </c>
      <c r="N818">
        <f t="shared" si="210"/>
        <v>0</v>
      </c>
      <c r="O818">
        <f t="shared" si="209"/>
        <v>0</v>
      </c>
      <c r="P818">
        <f t="shared" si="212"/>
        <v>0</v>
      </c>
      <c r="Q818">
        <f t="shared" si="208"/>
        <v>0</v>
      </c>
      <c r="R818">
        <f t="shared" si="198"/>
        <v>0</v>
      </c>
      <c r="S818">
        <f t="shared" si="199"/>
        <v>0</v>
      </c>
      <c r="T818">
        <f t="shared" si="200"/>
        <v>0</v>
      </c>
      <c r="U818">
        <f t="shared" si="201"/>
        <v>0</v>
      </c>
      <c r="V818">
        <f t="shared" si="202"/>
        <v>0</v>
      </c>
      <c r="W818">
        <f t="shared" si="203"/>
        <v>0</v>
      </c>
      <c r="X818">
        <f t="shared" si="204"/>
        <v>0</v>
      </c>
      <c r="Y818">
        <f t="shared" si="205"/>
        <v>0</v>
      </c>
      <c r="Z818">
        <f t="shared" si="206"/>
        <v>0</v>
      </c>
      <c r="AB818">
        <v>814</v>
      </c>
      <c r="AC818">
        <f t="shared" si="207"/>
        <v>33</v>
      </c>
      <c r="AD818">
        <f t="shared" si="197"/>
        <v>0</v>
      </c>
    </row>
    <row r="819" spans="4:30" x14ac:dyDescent="0.25">
      <c r="D819" s="31">
        <f>Simulation_output!A817</f>
        <v>8155000</v>
      </c>
      <c r="E819">
        <f>Sheet2!R816</f>
        <v>0</v>
      </c>
      <c r="F819">
        <f>Sheet2!S816</f>
        <v>0</v>
      </c>
      <c r="G819">
        <f>Sheet2!T816</f>
        <v>0</v>
      </c>
      <c r="H819" s="31">
        <f>Simulation_output!E817</f>
        <v>1</v>
      </c>
      <c r="I819" s="31">
        <f>Simulation_output!F817</f>
        <v>0</v>
      </c>
      <c r="J819" s="31">
        <f>Simulation_output!G817</f>
        <v>0</v>
      </c>
      <c r="K819" s="31">
        <f>Simulation_output!H817</f>
        <v>0</v>
      </c>
      <c r="L819">
        <v>1</v>
      </c>
      <c r="M819">
        <f t="shared" si="211"/>
        <v>0</v>
      </c>
      <c r="N819">
        <f t="shared" si="210"/>
        <v>0</v>
      </c>
      <c r="O819">
        <f t="shared" si="209"/>
        <v>0</v>
      </c>
      <c r="P819">
        <f t="shared" si="212"/>
        <v>0</v>
      </c>
      <c r="Q819">
        <f t="shared" si="208"/>
        <v>0</v>
      </c>
      <c r="R819">
        <f t="shared" si="198"/>
        <v>0</v>
      </c>
      <c r="S819">
        <f t="shared" si="199"/>
        <v>0</v>
      </c>
      <c r="T819">
        <f t="shared" si="200"/>
        <v>0</v>
      </c>
      <c r="U819">
        <f t="shared" si="201"/>
        <v>0</v>
      </c>
      <c r="V819">
        <f t="shared" si="202"/>
        <v>0</v>
      </c>
      <c r="W819">
        <f t="shared" si="203"/>
        <v>0</v>
      </c>
      <c r="X819">
        <f t="shared" si="204"/>
        <v>0</v>
      </c>
      <c r="Y819">
        <f t="shared" si="205"/>
        <v>0</v>
      </c>
      <c r="Z819">
        <f t="shared" si="206"/>
        <v>0</v>
      </c>
      <c r="AB819">
        <v>815</v>
      </c>
      <c r="AC819">
        <f t="shared" si="207"/>
        <v>33</v>
      </c>
      <c r="AD819">
        <f t="shared" si="197"/>
        <v>0</v>
      </c>
    </row>
    <row r="820" spans="4:30" x14ac:dyDescent="0.25">
      <c r="D820" s="31">
        <f>Simulation_output!A818</f>
        <v>8165000</v>
      </c>
      <c r="E820">
        <f>Sheet2!R817</f>
        <v>0</v>
      </c>
      <c r="F820">
        <f>Sheet2!S817</f>
        <v>0</v>
      </c>
      <c r="G820">
        <f>Sheet2!T817</f>
        <v>0</v>
      </c>
      <c r="H820" s="31">
        <f>Simulation_output!E818</f>
        <v>1</v>
      </c>
      <c r="I820" s="31">
        <f>Simulation_output!F818</f>
        <v>0</v>
      </c>
      <c r="J820" s="31">
        <f>Simulation_output!G818</f>
        <v>0</v>
      </c>
      <c r="K820" s="31">
        <f>Simulation_output!H818</f>
        <v>0</v>
      </c>
      <c r="L820">
        <v>1</v>
      </c>
      <c r="M820">
        <f t="shared" si="211"/>
        <v>0</v>
      </c>
      <c r="N820">
        <f t="shared" si="210"/>
        <v>0</v>
      </c>
      <c r="O820">
        <f t="shared" si="209"/>
        <v>0</v>
      </c>
      <c r="P820">
        <f t="shared" si="212"/>
        <v>0</v>
      </c>
      <c r="Q820">
        <f t="shared" si="208"/>
        <v>0</v>
      </c>
      <c r="R820">
        <f t="shared" si="198"/>
        <v>0</v>
      </c>
      <c r="S820">
        <f t="shared" si="199"/>
        <v>0</v>
      </c>
      <c r="T820">
        <f t="shared" si="200"/>
        <v>0</v>
      </c>
      <c r="U820">
        <f t="shared" si="201"/>
        <v>0</v>
      </c>
      <c r="V820">
        <f t="shared" si="202"/>
        <v>0</v>
      </c>
      <c r="W820">
        <f t="shared" si="203"/>
        <v>0</v>
      </c>
      <c r="X820">
        <f t="shared" si="204"/>
        <v>0</v>
      </c>
      <c r="Y820">
        <f t="shared" si="205"/>
        <v>0</v>
      </c>
      <c r="Z820">
        <f t="shared" si="206"/>
        <v>0</v>
      </c>
      <c r="AB820">
        <v>816</v>
      </c>
      <c r="AC820">
        <f t="shared" si="207"/>
        <v>33</v>
      </c>
      <c r="AD820">
        <f t="shared" si="197"/>
        <v>0</v>
      </c>
    </row>
    <row r="821" spans="4:30" x14ac:dyDescent="0.25">
      <c r="D821" s="31">
        <f>Simulation_output!A819</f>
        <v>8175000</v>
      </c>
      <c r="E821">
        <f>Sheet2!R818</f>
        <v>0</v>
      </c>
      <c r="F821">
        <f>Sheet2!S818</f>
        <v>0</v>
      </c>
      <c r="G821">
        <f>Sheet2!T818</f>
        <v>0</v>
      </c>
      <c r="H821" s="31">
        <f>Simulation_output!E819</f>
        <v>1</v>
      </c>
      <c r="I821" s="31">
        <f>Simulation_output!F819</f>
        <v>0</v>
      </c>
      <c r="J821" s="31">
        <f>Simulation_output!G819</f>
        <v>0</v>
      </c>
      <c r="K821" s="31">
        <f>Simulation_output!H819</f>
        <v>0</v>
      </c>
      <c r="L821">
        <v>1</v>
      </c>
      <c r="M821">
        <f t="shared" si="211"/>
        <v>0</v>
      </c>
      <c r="N821">
        <f t="shared" si="210"/>
        <v>0</v>
      </c>
      <c r="O821">
        <f t="shared" si="209"/>
        <v>0</v>
      </c>
      <c r="P821">
        <f t="shared" si="212"/>
        <v>0</v>
      </c>
      <c r="Q821">
        <f t="shared" si="208"/>
        <v>0</v>
      </c>
      <c r="R821">
        <f t="shared" si="198"/>
        <v>0</v>
      </c>
      <c r="S821">
        <f t="shared" si="199"/>
        <v>0</v>
      </c>
      <c r="T821">
        <f t="shared" si="200"/>
        <v>0</v>
      </c>
      <c r="U821">
        <f t="shared" si="201"/>
        <v>0</v>
      </c>
      <c r="V821">
        <f t="shared" si="202"/>
        <v>0</v>
      </c>
      <c r="W821">
        <f t="shared" si="203"/>
        <v>0</v>
      </c>
      <c r="X821">
        <f t="shared" si="204"/>
        <v>0</v>
      </c>
      <c r="Y821">
        <f t="shared" si="205"/>
        <v>0</v>
      </c>
      <c r="Z821">
        <f t="shared" si="206"/>
        <v>0</v>
      </c>
      <c r="AB821">
        <v>817</v>
      </c>
      <c r="AC821">
        <f t="shared" si="207"/>
        <v>33</v>
      </c>
      <c r="AD821">
        <f t="shared" si="197"/>
        <v>0</v>
      </c>
    </row>
    <row r="822" spans="4:30" x14ac:dyDescent="0.25">
      <c r="D822" s="31">
        <f>Simulation_output!A820</f>
        <v>8185000</v>
      </c>
      <c r="E822">
        <f>Sheet2!R819</f>
        <v>0</v>
      </c>
      <c r="F822">
        <f>Sheet2!S819</f>
        <v>0</v>
      </c>
      <c r="G822">
        <f>Sheet2!T819</f>
        <v>0</v>
      </c>
      <c r="H822" s="31">
        <f>Simulation_output!E820</f>
        <v>1</v>
      </c>
      <c r="I822" s="31">
        <f>Simulation_output!F820</f>
        <v>0</v>
      </c>
      <c r="J822" s="31">
        <f>Simulation_output!G820</f>
        <v>0</v>
      </c>
      <c r="K822" s="31">
        <f>Simulation_output!H820</f>
        <v>0</v>
      </c>
      <c r="L822">
        <v>1</v>
      </c>
      <c r="M822">
        <f t="shared" si="211"/>
        <v>0</v>
      </c>
      <c r="N822">
        <f t="shared" si="210"/>
        <v>0</v>
      </c>
      <c r="O822">
        <f t="shared" si="209"/>
        <v>0</v>
      </c>
      <c r="P822">
        <f t="shared" si="212"/>
        <v>0</v>
      </c>
      <c r="Q822">
        <f t="shared" si="208"/>
        <v>0</v>
      </c>
      <c r="R822">
        <f t="shared" si="198"/>
        <v>0</v>
      </c>
      <c r="S822">
        <f t="shared" si="199"/>
        <v>0</v>
      </c>
      <c r="T822">
        <f t="shared" si="200"/>
        <v>0</v>
      </c>
      <c r="U822">
        <f t="shared" si="201"/>
        <v>0</v>
      </c>
      <c r="V822">
        <f t="shared" si="202"/>
        <v>0</v>
      </c>
      <c r="W822">
        <f t="shared" si="203"/>
        <v>0</v>
      </c>
      <c r="X822">
        <f t="shared" si="204"/>
        <v>0</v>
      </c>
      <c r="Y822">
        <f t="shared" si="205"/>
        <v>0</v>
      </c>
      <c r="Z822">
        <f t="shared" si="206"/>
        <v>0</v>
      </c>
      <c r="AB822">
        <v>818</v>
      </c>
      <c r="AC822">
        <f t="shared" si="207"/>
        <v>33</v>
      </c>
      <c r="AD822">
        <f t="shared" si="197"/>
        <v>0</v>
      </c>
    </row>
    <row r="823" spans="4:30" x14ac:dyDescent="0.25">
      <c r="D823" s="31">
        <f>Simulation_output!A821</f>
        <v>8195000</v>
      </c>
      <c r="E823">
        <f>Sheet2!R820</f>
        <v>0</v>
      </c>
      <c r="F823">
        <f>Sheet2!S820</f>
        <v>0</v>
      </c>
      <c r="G823">
        <f>Sheet2!T820</f>
        <v>0</v>
      </c>
      <c r="H823" s="31">
        <f>Simulation_output!E821</f>
        <v>1</v>
      </c>
      <c r="I823" s="31">
        <f>Simulation_output!F821</f>
        <v>0</v>
      </c>
      <c r="J823" s="31">
        <f>Simulation_output!G821</f>
        <v>0</v>
      </c>
      <c r="K823" s="31">
        <f>Simulation_output!H821</f>
        <v>0</v>
      </c>
      <c r="L823">
        <v>1</v>
      </c>
      <c r="M823">
        <f t="shared" si="211"/>
        <v>0</v>
      </c>
      <c r="N823">
        <f t="shared" si="210"/>
        <v>0</v>
      </c>
      <c r="O823">
        <f t="shared" si="209"/>
        <v>0</v>
      </c>
      <c r="P823">
        <f t="shared" si="212"/>
        <v>0</v>
      </c>
      <c r="Q823">
        <f t="shared" si="208"/>
        <v>0</v>
      </c>
      <c r="R823">
        <f t="shared" si="198"/>
        <v>0</v>
      </c>
      <c r="S823">
        <f t="shared" si="199"/>
        <v>0</v>
      </c>
      <c r="T823">
        <f t="shared" si="200"/>
        <v>0</v>
      </c>
      <c r="U823">
        <f t="shared" si="201"/>
        <v>0</v>
      </c>
      <c r="V823">
        <f t="shared" si="202"/>
        <v>0</v>
      </c>
      <c r="W823">
        <f t="shared" si="203"/>
        <v>0</v>
      </c>
      <c r="X823">
        <f t="shared" si="204"/>
        <v>0</v>
      </c>
      <c r="Y823">
        <f t="shared" si="205"/>
        <v>0</v>
      </c>
      <c r="Z823">
        <f t="shared" si="206"/>
        <v>0</v>
      </c>
      <c r="AB823">
        <v>819</v>
      </c>
      <c r="AC823">
        <f t="shared" si="207"/>
        <v>33</v>
      </c>
      <c r="AD823">
        <f t="shared" si="197"/>
        <v>0</v>
      </c>
    </row>
    <row r="824" spans="4:30" x14ac:dyDescent="0.25">
      <c r="D824" s="31">
        <f>Simulation_output!A822</f>
        <v>8205000</v>
      </c>
      <c r="E824">
        <f>Sheet2!R821</f>
        <v>0</v>
      </c>
      <c r="F824">
        <f>Sheet2!S821</f>
        <v>0</v>
      </c>
      <c r="G824">
        <f>Sheet2!T821</f>
        <v>0</v>
      </c>
      <c r="H824" s="31">
        <f>Simulation_output!E822</f>
        <v>1</v>
      </c>
      <c r="I824" s="31">
        <f>Simulation_output!F822</f>
        <v>0</v>
      </c>
      <c r="J824" s="31">
        <f>Simulation_output!G822</f>
        <v>0</v>
      </c>
      <c r="K824" s="31">
        <f>Simulation_output!H822</f>
        <v>0</v>
      </c>
      <c r="L824">
        <v>1</v>
      </c>
      <c r="M824">
        <f t="shared" si="211"/>
        <v>0</v>
      </c>
      <c r="N824">
        <f t="shared" si="210"/>
        <v>0</v>
      </c>
      <c r="O824">
        <f t="shared" si="209"/>
        <v>0</v>
      </c>
      <c r="P824">
        <f t="shared" si="212"/>
        <v>0</v>
      </c>
      <c r="Q824">
        <f t="shared" si="208"/>
        <v>0</v>
      </c>
      <c r="R824">
        <f t="shared" si="198"/>
        <v>0</v>
      </c>
      <c r="S824">
        <f t="shared" si="199"/>
        <v>0</v>
      </c>
      <c r="T824">
        <f t="shared" si="200"/>
        <v>0</v>
      </c>
      <c r="U824">
        <f t="shared" si="201"/>
        <v>0</v>
      </c>
      <c r="V824">
        <f t="shared" si="202"/>
        <v>0</v>
      </c>
      <c r="W824">
        <f t="shared" si="203"/>
        <v>0</v>
      </c>
      <c r="X824">
        <f t="shared" si="204"/>
        <v>0</v>
      </c>
      <c r="Y824">
        <f t="shared" si="205"/>
        <v>0</v>
      </c>
      <c r="Z824">
        <f t="shared" si="206"/>
        <v>0</v>
      </c>
      <c r="AB824">
        <v>820</v>
      </c>
      <c r="AC824">
        <f t="shared" si="207"/>
        <v>33</v>
      </c>
      <c r="AD824">
        <f t="shared" si="197"/>
        <v>0</v>
      </c>
    </row>
    <row r="825" spans="4:30" x14ac:dyDescent="0.25">
      <c r="D825" s="31">
        <f>Simulation_output!A823</f>
        <v>8215000</v>
      </c>
      <c r="E825">
        <f>Sheet2!R822</f>
        <v>0</v>
      </c>
      <c r="F825">
        <f>Sheet2!S822</f>
        <v>0</v>
      </c>
      <c r="G825">
        <f>Sheet2!T822</f>
        <v>0</v>
      </c>
      <c r="H825" s="31">
        <f>Simulation_output!E823</f>
        <v>1</v>
      </c>
      <c r="I825" s="31">
        <f>Simulation_output!F823</f>
        <v>0</v>
      </c>
      <c r="J825" s="31">
        <f>Simulation_output!G823</f>
        <v>0</v>
      </c>
      <c r="K825" s="31">
        <f>Simulation_output!H823</f>
        <v>0</v>
      </c>
      <c r="L825">
        <v>1</v>
      </c>
      <c r="M825">
        <f t="shared" si="211"/>
        <v>0</v>
      </c>
      <c r="N825">
        <f t="shared" si="210"/>
        <v>0</v>
      </c>
      <c r="O825">
        <f t="shared" si="209"/>
        <v>0</v>
      </c>
      <c r="P825">
        <f t="shared" si="212"/>
        <v>0</v>
      </c>
      <c r="Q825">
        <f t="shared" si="208"/>
        <v>0</v>
      </c>
      <c r="R825">
        <f t="shared" si="198"/>
        <v>0</v>
      </c>
      <c r="S825">
        <f t="shared" si="199"/>
        <v>0</v>
      </c>
      <c r="T825">
        <f t="shared" si="200"/>
        <v>0</v>
      </c>
      <c r="U825">
        <f t="shared" si="201"/>
        <v>0</v>
      </c>
      <c r="V825">
        <f t="shared" si="202"/>
        <v>0</v>
      </c>
      <c r="W825">
        <f t="shared" si="203"/>
        <v>0</v>
      </c>
      <c r="X825">
        <f t="shared" si="204"/>
        <v>0</v>
      </c>
      <c r="Y825">
        <f t="shared" si="205"/>
        <v>0</v>
      </c>
      <c r="Z825">
        <f t="shared" si="206"/>
        <v>0</v>
      </c>
      <c r="AB825">
        <v>821</v>
      </c>
      <c r="AC825">
        <f t="shared" si="207"/>
        <v>33</v>
      </c>
      <c r="AD825">
        <f t="shared" si="197"/>
        <v>0</v>
      </c>
    </row>
    <row r="826" spans="4:30" x14ac:dyDescent="0.25">
      <c r="D826" s="31">
        <f>Simulation_output!A824</f>
        <v>8225000</v>
      </c>
      <c r="E826">
        <f>Sheet2!R823</f>
        <v>0</v>
      </c>
      <c r="F826">
        <f>Sheet2!S823</f>
        <v>0</v>
      </c>
      <c r="G826">
        <f>Sheet2!T823</f>
        <v>0</v>
      </c>
      <c r="H826" s="31">
        <f>Simulation_output!E824</f>
        <v>1</v>
      </c>
      <c r="I826" s="31">
        <f>Simulation_output!F824</f>
        <v>0</v>
      </c>
      <c r="J826" s="31">
        <f>Simulation_output!G824</f>
        <v>0</v>
      </c>
      <c r="K826" s="31">
        <f>Simulation_output!H824</f>
        <v>0</v>
      </c>
      <c r="L826">
        <v>1</v>
      </c>
      <c r="M826">
        <f t="shared" si="211"/>
        <v>0</v>
      </c>
      <c r="N826">
        <f t="shared" si="210"/>
        <v>0</v>
      </c>
      <c r="O826">
        <f t="shared" si="209"/>
        <v>0</v>
      </c>
      <c r="P826">
        <f t="shared" si="212"/>
        <v>0</v>
      </c>
      <c r="Q826">
        <f t="shared" si="208"/>
        <v>0</v>
      </c>
      <c r="R826">
        <f t="shared" si="198"/>
        <v>0</v>
      </c>
      <c r="S826">
        <f t="shared" si="199"/>
        <v>0</v>
      </c>
      <c r="T826">
        <f t="shared" si="200"/>
        <v>0</v>
      </c>
      <c r="U826">
        <f t="shared" si="201"/>
        <v>0</v>
      </c>
      <c r="V826">
        <f t="shared" si="202"/>
        <v>0</v>
      </c>
      <c r="W826">
        <f t="shared" si="203"/>
        <v>0</v>
      </c>
      <c r="X826">
        <f t="shared" si="204"/>
        <v>0</v>
      </c>
      <c r="Y826">
        <f t="shared" si="205"/>
        <v>0</v>
      </c>
      <c r="Z826">
        <f t="shared" si="206"/>
        <v>0</v>
      </c>
      <c r="AB826">
        <v>822</v>
      </c>
      <c r="AC826">
        <f t="shared" si="207"/>
        <v>33</v>
      </c>
      <c r="AD826">
        <f t="shared" si="197"/>
        <v>0</v>
      </c>
    </row>
    <row r="827" spans="4:30" x14ac:dyDescent="0.25">
      <c r="D827" s="31">
        <f>Simulation_output!A825</f>
        <v>8235000</v>
      </c>
      <c r="E827">
        <f>Sheet2!R824</f>
        <v>0</v>
      </c>
      <c r="F827">
        <f>Sheet2!S824</f>
        <v>0</v>
      </c>
      <c r="G827">
        <f>Sheet2!T824</f>
        <v>0</v>
      </c>
      <c r="H827" s="31">
        <f>Simulation_output!E825</f>
        <v>1</v>
      </c>
      <c r="I827" s="31">
        <f>Simulation_output!F825</f>
        <v>0</v>
      </c>
      <c r="J827" s="31">
        <f>Simulation_output!G825</f>
        <v>0</v>
      </c>
      <c r="K827" s="31">
        <f>Simulation_output!H825</f>
        <v>0</v>
      </c>
      <c r="L827">
        <v>1</v>
      </c>
      <c r="M827">
        <f t="shared" si="211"/>
        <v>0</v>
      </c>
      <c r="N827">
        <f t="shared" si="210"/>
        <v>0</v>
      </c>
      <c r="O827">
        <f t="shared" si="209"/>
        <v>0</v>
      </c>
      <c r="P827">
        <f t="shared" si="212"/>
        <v>0</v>
      </c>
      <c r="Q827">
        <f t="shared" si="208"/>
        <v>0</v>
      </c>
      <c r="R827">
        <f t="shared" si="198"/>
        <v>0</v>
      </c>
      <c r="S827">
        <f t="shared" si="199"/>
        <v>0</v>
      </c>
      <c r="T827">
        <f t="shared" si="200"/>
        <v>0</v>
      </c>
      <c r="U827">
        <f t="shared" si="201"/>
        <v>0</v>
      </c>
      <c r="V827">
        <f t="shared" si="202"/>
        <v>0</v>
      </c>
      <c r="W827">
        <f t="shared" si="203"/>
        <v>0</v>
      </c>
      <c r="X827">
        <f t="shared" si="204"/>
        <v>0</v>
      </c>
      <c r="Y827">
        <f t="shared" si="205"/>
        <v>0</v>
      </c>
      <c r="Z827">
        <f t="shared" si="206"/>
        <v>0</v>
      </c>
      <c r="AB827">
        <v>823</v>
      </c>
      <c r="AC827">
        <f t="shared" si="207"/>
        <v>33</v>
      </c>
      <c r="AD827">
        <f t="shared" si="197"/>
        <v>0</v>
      </c>
    </row>
    <row r="828" spans="4:30" x14ac:dyDescent="0.25">
      <c r="D828" s="31">
        <f>Simulation_output!A826</f>
        <v>8245000</v>
      </c>
      <c r="E828">
        <f>Sheet2!R825</f>
        <v>0</v>
      </c>
      <c r="F828">
        <f>Sheet2!S825</f>
        <v>0</v>
      </c>
      <c r="G828">
        <f>Sheet2!T825</f>
        <v>0</v>
      </c>
      <c r="H828" s="31">
        <f>Simulation_output!E826</f>
        <v>1</v>
      </c>
      <c r="I828" s="31">
        <f>Simulation_output!F826</f>
        <v>0</v>
      </c>
      <c r="J828" s="31">
        <f>Simulation_output!G826</f>
        <v>0</v>
      </c>
      <c r="K828" s="31">
        <f>Simulation_output!H826</f>
        <v>0</v>
      </c>
      <c r="L828">
        <v>1</v>
      </c>
      <c r="M828">
        <f t="shared" si="211"/>
        <v>0</v>
      </c>
      <c r="N828">
        <f t="shared" si="210"/>
        <v>0</v>
      </c>
      <c r="O828">
        <f t="shared" si="209"/>
        <v>0</v>
      </c>
      <c r="P828">
        <f t="shared" si="212"/>
        <v>0</v>
      </c>
      <c r="Q828">
        <f t="shared" si="208"/>
        <v>0</v>
      </c>
      <c r="R828">
        <f t="shared" si="198"/>
        <v>0</v>
      </c>
      <c r="S828">
        <f t="shared" si="199"/>
        <v>0</v>
      </c>
      <c r="T828">
        <f t="shared" si="200"/>
        <v>0</v>
      </c>
      <c r="U828">
        <f t="shared" si="201"/>
        <v>0</v>
      </c>
      <c r="V828">
        <f t="shared" si="202"/>
        <v>0</v>
      </c>
      <c r="W828">
        <f t="shared" si="203"/>
        <v>0</v>
      </c>
      <c r="X828">
        <f t="shared" si="204"/>
        <v>0</v>
      </c>
      <c r="Y828">
        <f t="shared" si="205"/>
        <v>0</v>
      </c>
      <c r="Z828">
        <f t="shared" si="206"/>
        <v>0</v>
      </c>
      <c r="AB828">
        <v>824</v>
      </c>
      <c r="AC828">
        <f t="shared" si="207"/>
        <v>33</v>
      </c>
      <c r="AD828">
        <f t="shared" si="197"/>
        <v>0</v>
      </c>
    </row>
    <row r="829" spans="4:30" x14ac:dyDescent="0.25">
      <c r="D829" s="31">
        <f>Simulation_output!A827</f>
        <v>8255000</v>
      </c>
      <c r="E829">
        <f>Sheet2!R826</f>
        <v>0</v>
      </c>
      <c r="F829">
        <f>Sheet2!S826</f>
        <v>0</v>
      </c>
      <c r="G829">
        <f>Sheet2!T826</f>
        <v>0</v>
      </c>
      <c r="H829" s="31">
        <f>Simulation_output!E827</f>
        <v>1</v>
      </c>
      <c r="I829" s="31">
        <f>Simulation_output!F827</f>
        <v>0</v>
      </c>
      <c r="J829" s="31">
        <f>Simulation_output!G827</f>
        <v>0</v>
      </c>
      <c r="K829" s="31">
        <f>Simulation_output!H827</f>
        <v>0</v>
      </c>
      <c r="L829">
        <v>1</v>
      </c>
      <c r="M829">
        <f t="shared" si="211"/>
        <v>0</v>
      </c>
      <c r="N829">
        <f t="shared" si="210"/>
        <v>0</v>
      </c>
      <c r="O829">
        <f t="shared" si="209"/>
        <v>0</v>
      </c>
      <c r="P829">
        <f t="shared" si="212"/>
        <v>0</v>
      </c>
      <c r="Q829">
        <f t="shared" si="208"/>
        <v>0</v>
      </c>
      <c r="R829">
        <f t="shared" si="198"/>
        <v>0</v>
      </c>
      <c r="S829">
        <f t="shared" si="199"/>
        <v>0</v>
      </c>
      <c r="T829">
        <f t="shared" si="200"/>
        <v>0</v>
      </c>
      <c r="U829">
        <f t="shared" si="201"/>
        <v>0</v>
      </c>
      <c r="V829">
        <f t="shared" si="202"/>
        <v>0</v>
      </c>
      <c r="W829">
        <f t="shared" si="203"/>
        <v>0</v>
      </c>
      <c r="X829">
        <f t="shared" si="204"/>
        <v>0</v>
      </c>
      <c r="Y829">
        <f t="shared" si="205"/>
        <v>0</v>
      </c>
      <c r="Z829">
        <f t="shared" si="206"/>
        <v>0</v>
      </c>
      <c r="AB829">
        <v>825</v>
      </c>
      <c r="AC829">
        <f t="shared" si="207"/>
        <v>33</v>
      </c>
      <c r="AD829">
        <f t="shared" si="197"/>
        <v>0</v>
      </c>
    </row>
    <row r="830" spans="4:30" x14ac:dyDescent="0.25">
      <c r="D830" s="31">
        <f>Simulation_output!A828</f>
        <v>8265000</v>
      </c>
      <c r="E830">
        <f>Sheet2!R827</f>
        <v>0</v>
      </c>
      <c r="F830">
        <f>Sheet2!S827</f>
        <v>0</v>
      </c>
      <c r="G830">
        <f>Sheet2!T827</f>
        <v>0</v>
      </c>
      <c r="H830" s="31">
        <f>Simulation_output!E828</f>
        <v>1</v>
      </c>
      <c r="I830" s="31">
        <f>Simulation_output!F828</f>
        <v>0</v>
      </c>
      <c r="J830" s="31">
        <f>Simulation_output!G828</f>
        <v>0</v>
      </c>
      <c r="K830" s="31">
        <f>Simulation_output!H828</f>
        <v>0</v>
      </c>
      <c r="L830">
        <v>1</v>
      </c>
      <c r="M830">
        <f t="shared" si="211"/>
        <v>0</v>
      </c>
      <c r="N830">
        <f t="shared" si="210"/>
        <v>0</v>
      </c>
      <c r="O830">
        <f t="shared" si="209"/>
        <v>0</v>
      </c>
      <c r="P830">
        <f t="shared" si="212"/>
        <v>0</v>
      </c>
      <c r="Q830">
        <f t="shared" si="208"/>
        <v>0</v>
      </c>
      <c r="R830">
        <f t="shared" si="198"/>
        <v>0</v>
      </c>
      <c r="S830">
        <f t="shared" si="199"/>
        <v>0</v>
      </c>
      <c r="T830">
        <f t="shared" si="200"/>
        <v>0</v>
      </c>
      <c r="U830">
        <f t="shared" si="201"/>
        <v>0</v>
      </c>
      <c r="V830">
        <f t="shared" si="202"/>
        <v>0</v>
      </c>
      <c r="W830">
        <f t="shared" si="203"/>
        <v>0</v>
      </c>
      <c r="X830">
        <f t="shared" si="204"/>
        <v>0</v>
      </c>
      <c r="Y830">
        <f t="shared" si="205"/>
        <v>0</v>
      </c>
      <c r="Z830">
        <f t="shared" si="206"/>
        <v>0</v>
      </c>
      <c r="AB830">
        <v>826</v>
      </c>
      <c r="AC830">
        <f t="shared" si="207"/>
        <v>33</v>
      </c>
      <c r="AD830">
        <f t="shared" si="197"/>
        <v>0</v>
      </c>
    </row>
    <row r="831" spans="4:30" x14ac:dyDescent="0.25">
      <c r="D831" s="31">
        <f>Simulation_output!A829</f>
        <v>8275000</v>
      </c>
      <c r="E831">
        <f>Sheet2!R828</f>
        <v>0</v>
      </c>
      <c r="F831">
        <f>Sheet2!S828</f>
        <v>0</v>
      </c>
      <c r="G831">
        <f>Sheet2!T828</f>
        <v>0</v>
      </c>
      <c r="H831" s="31">
        <f>Simulation_output!E829</f>
        <v>1</v>
      </c>
      <c r="I831" s="31">
        <f>Simulation_output!F829</f>
        <v>0</v>
      </c>
      <c r="J831" s="31">
        <f>Simulation_output!G829</f>
        <v>0</v>
      </c>
      <c r="K831" s="31">
        <f>Simulation_output!H829</f>
        <v>0</v>
      </c>
      <c r="L831">
        <v>1</v>
      </c>
      <c r="M831">
        <f t="shared" si="211"/>
        <v>0</v>
      </c>
      <c r="N831">
        <f t="shared" si="210"/>
        <v>0</v>
      </c>
      <c r="O831">
        <f t="shared" si="209"/>
        <v>0</v>
      </c>
      <c r="P831">
        <f t="shared" si="212"/>
        <v>0</v>
      </c>
      <c r="Q831">
        <f t="shared" si="208"/>
        <v>0</v>
      </c>
      <c r="R831">
        <f t="shared" si="198"/>
        <v>0</v>
      </c>
      <c r="S831">
        <f t="shared" si="199"/>
        <v>0</v>
      </c>
      <c r="T831">
        <f t="shared" si="200"/>
        <v>0</v>
      </c>
      <c r="U831">
        <f t="shared" si="201"/>
        <v>0</v>
      </c>
      <c r="V831">
        <f t="shared" si="202"/>
        <v>0</v>
      </c>
      <c r="W831">
        <f t="shared" si="203"/>
        <v>0</v>
      </c>
      <c r="X831">
        <f t="shared" si="204"/>
        <v>0</v>
      </c>
      <c r="Y831">
        <f t="shared" si="205"/>
        <v>0</v>
      </c>
      <c r="Z831">
        <f t="shared" si="206"/>
        <v>0</v>
      </c>
      <c r="AB831">
        <v>827</v>
      </c>
      <c r="AC831">
        <f t="shared" si="207"/>
        <v>33</v>
      </c>
      <c r="AD831">
        <f t="shared" si="197"/>
        <v>0</v>
      </c>
    </row>
    <row r="832" spans="4:30" x14ac:dyDescent="0.25">
      <c r="D832" s="31">
        <f>Simulation_output!A830</f>
        <v>8285000</v>
      </c>
      <c r="E832">
        <f>Sheet2!R829</f>
        <v>0</v>
      </c>
      <c r="F832">
        <f>Sheet2!S829</f>
        <v>0</v>
      </c>
      <c r="G832">
        <f>Sheet2!T829</f>
        <v>0</v>
      </c>
      <c r="H832" s="31">
        <f>Simulation_output!E830</f>
        <v>1</v>
      </c>
      <c r="I832" s="31">
        <f>Simulation_output!F830</f>
        <v>0</v>
      </c>
      <c r="J832" s="31">
        <f>Simulation_output!G830</f>
        <v>0</v>
      </c>
      <c r="K832" s="31">
        <f>Simulation_output!H830</f>
        <v>0</v>
      </c>
      <c r="L832">
        <v>1</v>
      </c>
      <c r="M832">
        <f t="shared" si="211"/>
        <v>0</v>
      </c>
      <c r="N832">
        <f t="shared" si="210"/>
        <v>0</v>
      </c>
      <c r="O832">
        <f t="shared" si="209"/>
        <v>0</v>
      </c>
      <c r="P832">
        <f t="shared" si="212"/>
        <v>0</v>
      </c>
      <c r="Q832">
        <f t="shared" si="208"/>
        <v>0</v>
      </c>
      <c r="R832">
        <f t="shared" si="198"/>
        <v>0</v>
      </c>
      <c r="S832">
        <f t="shared" si="199"/>
        <v>0</v>
      </c>
      <c r="T832">
        <f t="shared" si="200"/>
        <v>0</v>
      </c>
      <c r="U832">
        <f t="shared" si="201"/>
        <v>0</v>
      </c>
      <c r="V832">
        <f t="shared" si="202"/>
        <v>0</v>
      </c>
      <c r="W832">
        <f t="shared" si="203"/>
        <v>0</v>
      </c>
      <c r="X832">
        <f t="shared" si="204"/>
        <v>0</v>
      </c>
      <c r="Y832">
        <f t="shared" si="205"/>
        <v>0</v>
      </c>
      <c r="Z832">
        <f t="shared" si="206"/>
        <v>0</v>
      </c>
      <c r="AB832">
        <v>828</v>
      </c>
      <c r="AC832">
        <f t="shared" si="207"/>
        <v>33</v>
      </c>
      <c r="AD832">
        <f t="shared" si="197"/>
        <v>0</v>
      </c>
    </row>
    <row r="833" spans="4:30" x14ac:dyDescent="0.25">
      <c r="D833" s="31">
        <f>Simulation_output!A831</f>
        <v>8295000</v>
      </c>
      <c r="E833">
        <f>Sheet2!R830</f>
        <v>0</v>
      </c>
      <c r="F833">
        <f>Sheet2!S830</f>
        <v>0</v>
      </c>
      <c r="G833">
        <f>Sheet2!T830</f>
        <v>0</v>
      </c>
      <c r="H833" s="31">
        <f>Simulation_output!E831</f>
        <v>1</v>
      </c>
      <c r="I833" s="31">
        <f>Simulation_output!F831</f>
        <v>0</v>
      </c>
      <c r="J833" s="31">
        <f>Simulation_output!G831</f>
        <v>0</v>
      </c>
      <c r="K833" s="31">
        <f>Simulation_output!H831</f>
        <v>0</v>
      </c>
      <c r="L833">
        <v>1</v>
      </c>
      <c r="M833">
        <f t="shared" si="211"/>
        <v>0</v>
      </c>
      <c r="N833">
        <f t="shared" si="210"/>
        <v>0</v>
      </c>
      <c r="O833">
        <f t="shared" si="209"/>
        <v>0</v>
      </c>
      <c r="P833">
        <f t="shared" si="212"/>
        <v>0</v>
      </c>
      <c r="Q833">
        <f t="shared" si="208"/>
        <v>0</v>
      </c>
      <c r="R833">
        <f t="shared" si="198"/>
        <v>0</v>
      </c>
      <c r="S833">
        <f t="shared" si="199"/>
        <v>0</v>
      </c>
      <c r="T833">
        <f t="shared" si="200"/>
        <v>0</v>
      </c>
      <c r="U833">
        <f t="shared" si="201"/>
        <v>0</v>
      </c>
      <c r="V833">
        <f t="shared" si="202"/>
        <v>0</v>
      </c>
      <c r="W833">
        <f t="shared" si="203"/>
        <v>0</v>
      </c>
      <c r="X833">
        <f t="shared" si="204"/>
        <v>0</v>
      </c>
      <c r="Y833">
        <f t="shared" si="205"/>
        <v>0</v>
      </c>
      <c r="Z833">
        <f t="shared" si="206"/>
        <v>0</v>
      </c>
      <c r="AB833">
        <v>829</v>
      </c>
      <c r="AC833">
        <f t="shared" si="207"/>
        <v>33</v>
      </c>
      <c r="AD833">
        <f t="shared" si="197"/>
        <v>0</v>
      </c>
    </row>
    <row r="834" spans="4:30" x14ac:dyDescent="0.25">
      <c r="D834" s="31">
        <f>Simulation_output!A832</f>
        <v>8305000</v>
      </c>
      <c r="E834">
        <f>Sheet2!R831</f>
        <v>0</v>
      </c>
      <c r="F834">
        <f>Sheet2!S831</f>
        <v>0</v>
      </c>
      <c r="G834">
        <f>Sheet2!T831</f>
        <v>0</v>
      </c>
      <c r="H834" s="31">
        <f>Simulation_output!E832</f>
        <v>1</v>
      </c>
      <c r="I834" s="31">
        <f>Simulation_output!F832</f>
        <v>0</v>
      </c>
      <c r="J834" s="31">
        <f>Simulation_output!G832</f>
        <v>0</v>
      </c>
      <c r="K834" s="31">
        <f>Simulation_output!H832</f>
        <v>0</v>
      </c>
      <c r="L834">
        <v>1</v>
      </c>
      <c r="M834">
        <f t="shared" si="211"/>
        <v>0</v>
      </c>
      <c r="N834">
        <f t="shared" si="210"/>
        <v>0</v>
      </c>
      <c r="O834">
        <f t="shared" si="209"/>
        <v>0</v>
      </c>
      <c r="P834">
        <f t="shared" si="212"/>
        <v>0</v>
      </c>
      <c r="Q834">
        <f t="shared" si="208"/>
        <v>0</v>
      </c>
      <c r="R834">
        <f t="shared" si="198"/>
        <v>0</v>
      </c>
      <c r="S834">
        <f t="shared" si="199"/>
        <v>0</v>
      </c>
      <c r="T834">
        <f t="shared" si="200"/>
        <v>0</v>
      </c>
      <c r="U834">
        <f t="shared" si="201"/>
        <v>0</v>
      </c>
      <c r="V834">
        <f t="shared" si="202"/>
        <v>0</v>
      </c>
      <c r="W834">
        <f t="shared" si="203"/>
        <v>0</v>
      </c>
      <c r="X834">
        <f t="shared" si="204"/>
        <v>0</v>
      </c>
      <c r="Y834">
        <f t="shared" si="205"/>
        <v>0</v>
      </c>
      <c r="Z834">
        <f t="shared" si="206"/>
        <v>0</v>
      </c>
      <c r="AB834">
        <v>830</v>
      </c>
      <c r="AC834">
        <f t="shared" si="207"/>
        <v>33</v>
      </c>
      <c r="AD834">
        <f t="shared" si="197"/>
        <v>0</v>
      </c>
    </row>
    <row r="835" spans="4:30" x14ac:dyDescent="0.25">
      <c r="D835" s="31">
        <f>Simulation_output!A833</f>
        <v>8315000</v>
      </c>
      <c r="E835">
        <f>Sheet2!R832</f>
        <v>0</v>
      </c>
      <c r="F835">
        <f>Sheet2!S832</f>
        <v>0</v>
      </c>
      <c r="G835">
        <f>Sheet2!T832</f>
        <v>0</v>
      </c>
      <c r="H835" s="31">
        <f>Simulation_output!E833</f>
        <v>1</v>
      </c>
      <c r="I835" s="31">
        <f>Simulation_output!F833</f>
        <v>0</v>
      </c>
      <c r="J835" s="31">
        <f>Simulation_output!G833</f>
        <v>0</v>
      </c>
      <c r="K835" s="31">
        <f>Simulation_output!H833</f>
        <v>0</v>
      </c>
      <c r="L835">
        <v>1</v>
      </c>
      <c r="M835">
        <f t="shared" si="211"/>
        <v>0</v>
      </c>
      <c r="N835">
        <f t="shared" si="210"/>
        <v>0</v>
      </c>
      <c r="O835">
        <f t="shared" si="209"/>
        <v>0</v>
      </c>
      <c r="P835">
        <f t="shared" si="212"/>
        <v>0</v>
      </c>
      <c r="Q835">
        <f t="shared" si="208"/>
        <v>0</v>
      </c>
      <c r="R835">
        <f t="shared" si="198"/>
        <v>0</v>
      </c>
      <c r="S835">
        <f t="shared" si="199"/>
        <v>0</v>
      </c>
      <c r="T835">
        <f t="shared" si="200"/>
        <v>0</v>
      </c>
      <c r="U835">
        <f t="shared" si="201"/>
        <v>0</v>
      </c>
      <c r="V835">
        <f t="shared" si="202"/>
        <v>0</v>
      </c>
      <c r="W835">
        <f t="shared" si="203"/>
        <v>0</v>
      </c>
      <c r="X835">
        <f t="shared" si="204"/>
        <v>0</v>
      </c>
      <c r="Y835">
        <f t="shared" si="205"/>
        <v>0</v>
      </c>
      <c r="Z835">
        <f t="shared" si="206"/>
        <v>0</v>
      </c>
      <c r="AB835">
        <v>831</v>
      </c>
      <c r="AC835">
        <f t="shared" si="207"/>
        <v>33</v>
      </c>
      <c r="AD835">
        <f t="shared" si="197"/>
        <v>0</v>
      </c>
    </row>
    <row r="836" spans="4:30" x14ac:dyDescent="0.25">
      <c r="D836" s="31">
        <f>Simulation_output!A834</f>
        <v>8325000</v>
      </c>
      <c r="E836">
        <f>Sheet2!R833</f>
        <v>0</v>
      </c>
      <c r="F836">
        <f>Sheet2!S833</f>
        <v>0</v>
      </c>
      <c r="G836">
        <f>Sheet2!T833</f>
        <v>0</v>
      </c>
      <c r="H836" s="31">
        <f>Simulation_output!E834</f>
        <v>1</v>
      </c>
      <c r="I836" s="31">
        <f>Simulation_output!F834</f>
        <v>0</v>
      </c>
      <c r="J836" s="31">
        <f>Simulation_output!G834</f>
        <v>0</v>
      </c>
      <c r="K836" s="31">
        <f>Simulation_output!H834</f>
        <v>0</v>
      </c>
      <c r="L836">
        <v>1</v>
      </c>
      <c r="M836">
        <f t="shared" si="211"/>
        <v>0</v>
      </c>
      <c r="N836">
        <f t="shared" si="210"/>
        <v>0</v>
      </c>
      <c r="O836">
        <f t="shared" si="209"/>
        <v>0</v>
      </c>
      <c r="P836">
        <f t="shared" si="212"/>
        <v>0</v>
      </c>
      <c r="Q836">
        <f t="shared" si="208"/>
        <v>0</v>
      </c>
      <c r="R836">
        <f t="shared" si="198"/>
        <v>0</v>
      </c>
      <c r="S836">
        <f t="shared" si="199"/>
        <v>0</v>
      </c>
      <c r="T836">
        <f t="shared" si="200"/>
        <v>0</v>
      </c>
      <c r="U836">
        <f t="shared" si="201"/>
        <v>0</v>
      </c>
      <c r="V836">
        <f t="shared" si="202"/>
        <v>0</v>
      </c>
      <c r="W836">
        <f t="shared" si="203"/>
        <v>0</v>
      </c>
      <c r="X836">
        <f t="shared" si="204"/>
        <v>0</v>
      </c>
      <c r="Y836">
        <f t="shared" si="205"/>
        <v>0</v>
      </c>
      <c r="Z836">
        <f t="shared" si="206"/>
        <v>0</v>
      </c>
      <c r="AB836">
        <v>832</v>
      </c>
      <c r="AC836">
        <f t="shared" si="207"/>
        <v>33</v>
      </c>
      <c r="AD836">
        <f t="shared" si="197"/>
        <v>0</v>
      </c>
    </row>
    <row r="837" spans="4:30" x14ac:dyDescent="0.25">
      <c r="D837" s="31">
        <f>Simulation_output!A835</f>
        <v>8335000</v>
      </c>
      <c r="E837">
        <f>Sheet2!R834</f>
        <v>0</v>
      </c>
      <c r="F837">
        <f>Sheet2!S834</f>
        <v>0</v>
      </c>
      <c r="G837">
        <f>Sheet2!T834</f>
        <v>0</v>
      </c>
      <c r="H837" s="31">
        <f>Simulation_output!E835</f>
        <v>1</v>
      </c>
      <c r="I837" s="31">
        <f>Simulation_output!F835</f>
        <v>0</v>
      </c>
      <c r="J837" s="31">
        <f>Simulation_output!G835</f>
        <v>0</v>
      </c>
      <c r="K837" s="31">
        <f>Simulation_output!H835</f>
        <v>0</v>
      </c>
      <c r="L837">
        <v>1</v>
      </c>
      <c r="M837">
        <f t="shared" si="211"/>
        <v>0</v>
      </c>
      <c r="N837">
        <f t="shared" si="210"/>
        <v>0</v>
      </c>
      <c r="O837">
        <f t="shared" si="209"/>
        <v>0</v>
      </c>
      <c r="P837">
        <f t="shared" si="212"/>
        <v>0</v>
      </c>
      <c r="Q837">
        <f t="shared" si="208"/>
        <v>0</v>
      </c>
      <c r="R837">
        <f t="shared" si="198"/>
        <v>0</v>
      </c>
      <c r="S837">
        <f t="shared" si="199"/>
        <v>0</v>
      </c>
      <c r="T837">
        <f t="shared" si="200"/>
        <v>0</v>
      </c>
      <c r="U837">
        <f t="shared" si="201"/>
        <v>0</v>
      </c>
      <c r="V837">
        <f t="shared" si="202"/>
        <v>0</v>
      </c>
      <c r="W837">
        <f t="shared" si="203"/>
        <v>0</v>
      </c>
      <c r="X837">
        <f t="shared" si="204"/>
        <v>0</v>
      </c>
      <c r="Y837">
        <f t="shared" si="205"/>
        <v>0</v>
      </c>
      <c r="Z837">
        <f t="shared" si="206"/>
        <v>0</v>
      </c>
      <c r="AB837">
        <v>833</v>
      </c>
      <c r="AC837">
        <f t="shared" si="207"/>
        <v>33</v>
      </c>
      <c r="AD837">
        <f t="shared" si="197"/>
        <v>0</v>
      </c>
    </row>
    <row r="838" spans="4:30" x14ac:dyDescent="0.25">
      <c r="D838" s="31">
        <f>Simulation_output!A836</f>
        <v>8345000</v>
      </c>
      <c r="E838">
        <f>Sheet2!R835</f>
        <v>0</v>
      </c>
      <c r="F838">
        <f>Sheet2!S835</f>
        <v>0</v>
      </c>
      <c r="G838">
        <f>Sheet2!T835</f>
        <v>0</v>
      </c>
      <c r="H838" s="31">
        <f>Simulation_output!E836</f>
        <v>1</v>
      </c>
      <c r="I838" s="31">
        <f>Simulation_output!F836</f>
        <v>0</v>
      </c>
      <c r="J838" s="31">
        <f>Simulation_output!G836</f>
        <v>0</v>
      </c>
      <c r="K838" s="31">
        <f>Simulation_output!H836</f>
        <v>0</v>
      </c>
      <c r="L838">
        <v>1</v>
      </c>
      <c r="M838">
        <f t="shared" si="211"/>
        <v>0</v>
      </c>
      <c r="N838">
        <f t="shared" si="210"/>
        <v>0</v>
      </c>
      <c r="O838">
        <f t="shared" si="209"/>
        <v>0</v>
      </c>
      <c r="P838">
        <f t="shared" si="212"/>
        <v>0</v>
      </c>
      <c r="Q838">
        <f t="shared" si="208"/>
        <v>0</v>
      </c>
      <c r="R838">
        <f t="shared" si="198"/>
        <v>0</v>
      </c>
      <c r="S838">
        <f t="shared" si="199"/>
        <v>0</v>
      </c>
      <c r="T838">
        <f t="shared" si="200"/>
        <v>0</v>
      </c>
      <c r="U838">
        <f t="shared" si="201"/>
        <v>0</v>
      </c>
      <c r="V838">
        <f t="shared" si="202"/>
        <v>0</v>
      </c>
      <c r="W838">
        <f t="shared" si="203"/>
        <v>0</v>
      </c>
      <c r="X838">
        <f t="shared" si="204"/>
        <v>0</v>
      </c>
      <c r="Y838">
        <f t="shared" si="205"/>
        <v>0</v>
      </c>
      <c r="Z838">
        <f t="shared" si="206"/>
        <v>0</v>
      </c>
      <c r="AB838">
        <v>834</v>
      </c>
      <c r="AC838">
        <f t="shared" si="207"/>
        <v>33</v>
      </c>
      <c r="AD838">
        <f t="shared" ref="AD838:AD901" si="213">IF(M838="FFFFFFF",AC838,0)</f>
        <v>0</v>
      </c>
    </row>
    <row r="839" spans="4:30" x14ac:dyDescent="0.25">
      <c r="D839" s="31">
        <f>Simulation_output!A837</f>
        <v>8355000</v>
      </c>
      <c r="E839">
        <f>Sheet2!R836</f>
        <v>0</v>
      </c>
      <c r="F839">
        <f>Sheet2!S836</f>
        <v>0</v>
      </c>
      <c r="G839">
        <f>Sheet2!T836</f>
        <v>0</v>
      </c>
      <c r="H839" s="31">
        <f>Simulation_output!E837</f>
        <v>1</v>
      </c>
      <c r="I839" s="31">
        <f>Simulation_output!F837</f>
        <v>0</v>
      </c>
      <c r="J839" s="31">
        <f>Simulation_output!G837</f>
        <v>0</v>
      </c>
      <c r="K839" s="31">
        <f>Simulation_output!H837</f>
        <v>0</v>
      </c>
      <c r="L839">
        <v>1</v>
      </c>
      <c r="M839">
        <f t="shared" si="211"/>
        <v>0</v>
      </c>
      <c r="N839">
        <f t="shared" si="210"/>
        <v>0</v>
      </c>
      <c r="O839">
        <f t="shared" si="209"/>
        <v>0</v>
      </c>
      <c r="P839">
        <f t="shared" si="212"/>
        <v>0</v>
      </c>
      <c r="Q839">
        <f t="shared" si="208"/>
        <v>0</v>
      </c>
      <c r="R839">
        <f t="shared" ref="R839:R902" si="214">IF(K839&gt;0,I831,0)</f>
        <v>0</v>
      </c>
      <c r="S839">
        <f t="shared" ref="S839:S902" si="215">IF(K839&gt;0,I832,0)</f>
        <v>0</v>
      </c>
      <c r="T839">
        <f t="shared" ref="T839:T902" si="216">IF(K839&gt;0,I833,0)</f>
        <v>0</v>
      </c>
      <c r="U839">
        <f t="shared" ref="U839:U902" si="217">IF(K839&gt;0,I834,0)</f>
        <v>0</v>
      </c>
      <c r="V839">
        <f t="shared" ref="V839:V902" si="218">IF(K839&gt;0,I835,0)</f>
        <v>0</v>
      </c>
      <c r="W839">
        <f t="shared" ref="W839:W902" si="219">IF(K839&gt;0,I836,0)</f>
        <v>0</v>
      </c>
      <c r="X839">
        <f t="shared" ref="X839:X902" si="220">IF(K839&gt;0,I837,0)</f>
        <v>0</v>
      </c>
      <c r="Y839">
        <f t="shared" ref="Y839:Y902" si="221">IF(K839&gt;0,I838,0)</f>
        <v>0</v>
      </c>
      <c r="Z839">
        <f t="shared" ref="Z839:Z902" si="222">IF(K839&gt;0,DEC2HEX(I839),0)</f>
        <v>0</v>
      </c>
      <c r="AB839">
        <v>835</v>
      </c>
      <c r="AC839">
        <f t="shared" ref="AC839:AC902" si="223">IF(M839="FFFFFFF",AC838+1,AC838)</f>
        <v>33</v>
      </c>
      <c r="AD839">
        <f t="shared" si="213"/>
        <v>0</v>
      </c>
    </row>
    <row r="840" spans="4:30" x14ac:dyDescent="0.25">
      <c r="D840" s="31">
        <f>Simulation_output!A838</f>
        <v>8365000</v>
      </c>
      <c r="E840">
        <f>Sheet2!R837</f>
        <v>0</v>
      </c>
      <c r="F840">
        <f>Sheet2!S837</f>
        <v>0</v>
      </c>
      <c r="G840">
        <f>Sheet2!T837</f>
        <v>0</v>
      </c>
      <c r="H840" s="31">
        <f>Simulation_output!E838</f>
        <v>1</v>
      </c>
      <c r="I840" s="31">
        <f>Simulation_output!F838</f>
        <v>0</v>
      </c>
      <c r="J840" s="31">
        <f>Simulation_output!G838</f>
        <v>0</v>
      </c>
      <c r="K840" s="31">
        <f>Simulation_output!H838</f>
        <v>0</v>
      </c>
      <c r="L840">
        <v>1</v>
      </c>
      <c r="M840">
        <f t="shared" si="211"/>
        <v>0</v>
      </c>
      <c r="N840">
        <f t="shared" si="210"/>
        <v>0</v>
      </c>
      <c r="O840">
        <f t="shared" si="209"/>
        <v>0</v>
      </c>
      <c r="P840">
        <f t="shared" si="212"/>
        <v>0</v>
      </c>
      <c r="Q840">
        <f t="shared" si="208"/>
        <v>0</v>
      </c>
      <c r="R840">
        <f t="shared" si="214"/>
        <v>0</v>
      </c>
      <c r="S840">
        <f t="shared" si="215"/>
        <v>0</v>
      </c>
      <c r="T840">
        <f t="shared" si="216"/>
        <v>0</v>
      </c>
      <c r="U840">
        <f t="shared" si="217"/>
        <v>0</v>
      </c>
      <c r="V840">
        <f t="shared" si="218"/>
        <v>0</v>
      </c>
      <c r="W840">
        <f t="shared" si="219"/>
        <v>0</v>
      </c>
      <c r="X840">
        <f t="shared" si="220"/>
        <v>0</v>
      </c>
      <c r="Y840">
        <f t="shared" si="221"/>
        <v>0</v>
      </c>
      <c r="Z840">
        <f t="shared" si="222"/>
        <v>0</v>
      </c>
      <c r="AB840">
        <v>836</v>
      </c>
      <c r="AC840">
        <f t="shared" si="223"/>
        <v>33</v>
      </c>
      <c r="AD840">
        <f t="shared" si="213"/>
        <v>0</v>
      </c>
    </row>
    <row r="841" spans="4:30" x14ac:dyDescent="0.25">
      <c r="D841" s="31">
        <f>Simulation_output!A839</f>
        <v>8375000</v>
      </c>
      <c r="E841">
        <f>Sheet2!R838</f>
        <v>0</v>
      </c>
      <c r="F841">
        <f>Sheet2!S838</f>
        <v>0</v>
      </c>
      <c r="G841">
        <f>Sheet2!T838</f>
        <v>0</v>
      </c>
      <c r="H841" s="31">
        <f>Simulation_output!E839</f>
        <v>1</v>
      </c>
      <c r="I841" s="31">
        <f>Simulation_output!F839</f>
        <v>0</v>
      </c>
      <c r="J841" s="31">
        <f>Simulation_output!G839</f>
        <v>0</v>
      </c>
      <c r="K841" s="31">
        <f>Simulation_output!H839</f>
        <v>0</v>
      </c>
      <c r="L841">
        <v>1</v>
      </c>
      <c r="M841">
        <f t="shared" si="211"/>
        <v>0</v>
      </c>
      <c r="N841">
        <f t="shared" si="210"/>
        <v>0</v>
      </c>
      <c r="O841">
        <f t="shared" si="209"/>
        <v>0</v>
      </c>
      <c r="P841">
        <f t="shared" si="212"/>
        <v>0</v>
      </c>
      <c r="Q841">
        <f t="shared" si="208"/>
        <v>0</v>
      </c>
      <c r="R841">
        <f t="shared" si="214"/>
        <v>0</v>
      </c>
      <c r="S841">
        <f t="shared" si="215"/>
        <v>0</v>
      </c>
      <c r="T841">
        <f t="shared" si="216"/>
        <v>0</v>
      </c>
      <c r="U841">
        <f t="shared" si="217"/>
        <v>0</v>
      </c>
      <c r="V841">
        <f t="shared" si="218"/>
        <v>0</v>
      </c>
      <c r="W841">
        <f t="shared" si="219"/>
        <v>0</v>
      </c>
      <c r="X841">
        <f t="shared" si="220"/>
        <v>0</v>
      </c>
      <c r="Y841">
        <f t="shared" si="221"/>
        <v>0</v>
      </c>
      <c r="Z841">
        <f t="shared" si="222"/>
        <v>0</v>
      </c>
      <c r="AB841">
        <v>837</v>
      </c>
      <c r="AC841">
        <f t="shared" si="223"/>
        <v>33</v>
      </c>
      <c r="AD841">
        <f t="shared" si="213"/>
        <v>0</v>
      </c>
    </row>
    <row r="842" spans="4:30" x14ac:dyDescent="0.25">
      <c r="D842" s="31">
        <f>Simulation_output!A840</f>
        <v>8385000</v>
      </c>
      <c r="E842">
        <f>Sheet2!R839</f>
        <v>0</v>
      </c>
      <c r="F842">
        <f>Sheet2!S839</f>
        <v>0</v>
      </c>
      <c r="G842">
        <f>Sheet2!T839</f>
        <v>0</v>
      </c>
      <c r="H842" s="31">
        <f>Simulation_output!E840</f>
        <v>1</v>
      </c>
      <c r="I842" s="31">
        <f>Simulation_output!F840</f>
        <v>0</v>
      </c>
      <c r="J842" s="31">
        <f>Simulation_output!G840</f>
        <v>0</v>
      </c>
      <c r="K842" s="31">
        <f>Simulation_output!H840</f>
        <v>0</v>
      </c>
      <c r="L842">
        <v>1</v>
      </c>
      <c r="M842">
        <f t="shared" si="211"/>
        <v>0</v>
      </c>
      <c r="N842">
        <f t="shared" si="210"/>
        <v>0</v>
      </c>
      <c r="O842">
        <f t="shared" si="209"/>
        <v>0</v>
      </c>
      <c r="P842">
        <f t="shared" si="212"/>
        <v>0</v>
      </c>
      <c r="Q842">
        <f t="shared" si="208"/>
        <v>0</v>
      </c>
      <c r="R842">
        <f t="shared" si="214"/>
        <v>0</v>
      </c>
      <c r="S842">
        <f t="shared" si="215"/>
        <v>0</v>
      </c>
      <c r="T842">
        <f t="shared" si="216"/>
        <v>0</v>
      </c>
      <c r="U842">
        <f t="shared" si="217"/>
        <v>0</v>
      </c>
      <c r="V842">
        <f t="shared" si="218"/>
        <v>0</v>
      </c>
      <c r="W842">
        <f t="shared" si="219"/>
        <v>0</v>
      </c>
      <c r="X842">
        <f t="shared" si="220"/>
        <v>0</v>
      </c>
      <c r="Y842">
        <f t="shared" si="221"/>
        <v>0</v>
      </c>
      <c r="Z842">
        <f t="shared" si="222"/>
        <v>0</v>
      </c>
      <c r="AB842">
        <v>838</v>
      </c>
      <c r="AC842">
        <f t="shared" si="223"/>
        <v>33</v>
      </c>
      <c r="AD842">
        <f t="shared" si="213"/>
        <v>0</v>
      </c>
    </row>
    <row r="843" spans="4:30" x14ac:dyDescent="0.25">
      <c r="D843" s="31">
        <f>Simulation_output!A841</f>
        <v>8395000</v>
      </c>
      <c r="E843">
        <f>Sheet2!R840</f>
        <v>0</v>
      </c>
      <c r="F843">
        <f>Sheet2!S840</f>
        <v>0</v>
      </c>
      <c r="G843">
        <f>Sheet2!T840</f>
        <v>0</v>
      </c>
      <c r="H843" s="31">
        <f>Simulation_output!E841</f>
        <v>1</v>
      </c>
      <c r="I843" s="31">
        <f>Simulation_output!F841</f>
        <v>0</v>
      </c>
      <c r="J843" s="31">
        <f>Simulation_output!G841</f>
        <v>0</v>
      </c>
      <c r="K843" s="31">
        <f>Simulation_output!H841</f>
        <v>0</v>
      </c>
      <c r="L843">
        <v>1</v>
      </c>
      <c r="M843">
        <f t="shared" si="211"/>
        <v>0</v>
      </c>
      <c r="N843">
        <f t="shared" si="210"/>
        <v>0</v>
      </c>
      <c r="O843">
        <f t="shared" si="209"/>
        <v>0</v>
      </c>
      <c r="P843">
        <f t="shared" si="212"/>
        <v>0</v>
      </c>
      <c r="Q843">
        <f t="shared" ref="Q843:Q906" si="224">IF(K843&gt;0,I834,0)</f>
        <v>0</v>
      </c>
      <c r="R843">
        <f t="shared" si="214"/>
        <v>0</v>
      </c>
      <c r="S843">
        <f t="shared" si="215"/>
        <v>0</v>
      </c>
      <c r="T843">
        <f t="shared" si="216"/>
        <v>0</v>
      </c>
      <c r="U843">
        <f t="shared" si="217"/>
        <v>0</v>
      </c>
      <c r="V843">
        <f t="shared" si="218"/>
        <v>0</v>
      </c>
      <c r="W843">
        <f t="shared" si="219"/>
        <v>0</v>
      </c>
      <c r="X843">
        <f t="shared" si="220"/>
        <v>0</v>
      </c>
      <c r="Y843">
        <f t="shared" si="221"/>
        <v>0</v>
      </c>
      <c r="Z843">
        <f t="shared" si="222"/>
        <v>0</v>
      </c>
      <c r="AB843">
        <v>839</v>
      </c>
      <c r="AC843">
        <f t="shared" si="223"/>
        <v>33</v>
      </c>
      <c r="AD843">
        <f t="shared" si="213"/>
        <v>0</v>
      </c>
    </row>
    <row r="844" spans="4:30" x14ac:dyDescent="0.25">
      <c r="D844" s="31">
        <f>Simulation_output!A842</f>
        <v>8405000</v>
      </c>
      <c r="E844">
        <f>Sheet2!R841</f>
        <v>0</v>
      </c>
      <c r="F844">
        <f>Sheet2!S841</f>
        <v>0</v>
      </c>
      <c r="G844">
        <f>Sheet2!T841</f>
        <v>0</v>
      </c>
      <c r="H844" s="31">
        <f>Simulation_output!E842</f>
        <v>1</v>
      </c>
      <c r="I844" s="31">
        <f>Simulation_output!F842</f>
        <v>0</v>
      </c>
      <c r="J844" s="31">
        <f>Simulation_output!G842</f>
        <v>0</v>
      </c>
      <c r="K844" s="31">
        <f>Simulation_output!H842</f>
        <v>0</v>
      </c>
      <c r="L844">
        <v>1</v>
      </c>
      <c r="M844">
        <f t="shared" si="211"/>
        <v>0</v>
      </c>
      <c r="N844">
        <f t="shared" si="210"/>
        <v>0</v>
      </c>
      <c r="O844">
        <f t="shared" si="209"/>
        <v>0</v>
      </c>
      <c r="P844">
        <f t="shared" si="212"/>
        <v>0</v>
      </c>
      <c r="Q844">
        <f t="shared" si="224"/>
        <v>0</v>
      </c>
      <c r="R844">
        <f t="shared" si="214"/>
        <v>0</v>
      </c>
      <c r="S844">
        <f t="shared" si="215"/>
        <v>0</v>
      </c>
      <c r="T844">
        <f t="shared" si="216"/>
        <v>0</v>
      </c>
      <c r="U844">
        <f t="shared" si="217"/>
        <v>0</v>
      </c>
      <c r="V844">
        <f t="shared" si="218"/>
        <v>0</v>
      </c>
      <c r="W844">
        <f t="shared" si="219"/>
        <v>0</v>
      </c>
      <c r="X844">
        <f t="shared" si="220"/>
        <v>0</v>
      </c>
      <c r="Y844">
        <f t="shared" si="221"/>
        <v>0</v>
      </c>
      <c r="Z844">
        <f t="shared" si="222"/>
        <v>0</v>
      </c>
      <c r="AB844">
        <v>840</v>
      </c>
      <c r="AC844">
        <f t="shared" si="223"/>
        <v>33</v>
      </c>
      <c r="AD844">
        <f t="shared" si="213"/>
        <v>0</v>
      </c>
    </row>
    <row r="845" spans="4:30" x14ac:dyDescent="0.25">
      <c r="D845" s="31">
        <f>Simulation_output!A843</f>
        <v>8415000</v>
      </c>
      <c r="E845">
        <f>Sheet2!R842</f>
        <v>0</v>
      </c>
      <c r="F845">
        <f>Sheet2!S842</f>
        <v>0</v>
      </c>
      <c r="G845">
        <f>Sheet2!T842</f>
        <v>0</v>
      </c>
      <c r="H845" s="31">
        <f>Simulation_output!E843</f>
        <v>1</v>
      </c>
      <c r="I845" s="31">
        <f>Simulation_output!F843</f>
        <v>0</v>
      </c>
      <c r="J845" s="31">
        <f>Simulation_output!G843</f>
        <v>0</v>
      </c>
      <c r="K845" s="31">
        <f>Simulation_output!H843</f>
        <v>0</v>
      </c>
      <c r="L845">
        <v>1</v>
      </c>
      <c r="M845">
        <f t="shared" si="211"/>
        <v>0</v>
      </c>
      <c r="N845">
        <f t="shared" si="210"/>
        <v>0</v>
      </c>
      <c r="O845">
        <f t="shared" ref="O845:O908" si="225">IF(K845&gt;0,I834,0)</f>
        <v>0</v>
      </c>
      <c r="P845">
        <f t="shared" si="212"/>
        <v>0</v>
      </c>
      <c r="Q845">
        <f t="shared" si="224"/>
        <v>0</v>
      </c>
      <c r="R845">
        <f t="shared" si="214"/>
        <v>0</v>
      </c>
      <c r="S845">
        <f t="shared" si="215"/>
        <v>0</v>
      </c>
      <c r="T845">
        <f t="shared" si="216"/>
        <v>0</v>
      </c>
      <c r="U845">
        <f t="shared" si="217"/>
        <v>0</v>
      </c>
      <c r="V845">
        <f t="shared" si="218"/>
        <v>0</v>
      </c>
      <c r="W845">
        <f t="shared" si="219"/>
        <v>0</v>
      </c>
      <c r="X845">
        <f t="shared" si="220"/>
        <v>0</v>
      </c>
      <c r="Y845">
        <f t="shared" si="221"/>
        <v>0</v>
      </c>
      <c r="Z845">
        <f t="shared" si="222"/>
        <v>0</v>
      </c>
      <c r="AB845">
        <v>841</v>
      </c>
      <c r="AC845">
        <f t="shared" si="223"/>
        <v>33</v>
      </c>
      <c r="AD845">
        <f t="shared" si="213"/>
        <v>0</v>
      </c>
    </row>
    <row r="846" spans="4:30" x14ac:dyDescent="0.25">
      <c r="D846" s="31">
        <f>Simulation_output!A844</f>
        <v>8425000</v>
      </c>
      <c r="E846">
        <f>Sheet2!R843</f>
        <v>0</v>
      </c>
      <c r="F846">
        <f>Sheet2!S843</f>
        <v>0</v>
      </c>
      <c r="G846">
        <f>Sheet2!T843</f>
        <v>0</v>
      </c>
      <c r="H846" s="31">
        <f>Simulation_output!E844</f>
        <v>1</v>
      </c>
      <c r="I846" s="31">
        <f>Simulation_output!F844</f>
        <v>0</v>
      </c>
      <c r="J846" s="31">
        <f>Simulation_output!G844</f>
        <v>0</v>
      </c>
      <c r="K846" s="31">
        <f>Simulation_output!H844</f>
        <v>0</v>
      </c>
      <c r="L846">
        <v>1</v>
      </c>
      <c r="M846">
        <f t="shared" si="211"/>
        <v>0</v>
      </c>
      <c r="N846">
        <f t="shared" ref="N846:N909" si="226">IF(K846&gt;0,I834,0)</f>
        <v>0</v>
      </c>
      <c r="O846">
        <f t="shared" si="225"/>
        <v>0</v>
      </c>
      <c r="P846">
        <f t="shared" si="212"/>
        <v>0</v>
      </c>
      <c r="Q846">
        <f t="shared" si="224"/>
        <v>0</v>
      </c>
      <c r="R846">
        <f t="shared" si="214"/>
        <v>0</v>
      </c>
      <c r="S846">
        <f t="shared" si="215"/>
        <v>0</v>
      </c>
      <c r="T846">
        <f t="shared" si="216"/>
        <v>0</v>
      </c>
      <c r="U846">
        <f t="shared" si="217"/>
        <v>0</v>
      </c>
      <c r="V846">
        <f t="shared" si="218"/>
        <v>0</v>
      </c>
      <c r="W846">
        <f t="shared" si="219"/>
        <v>0</v>
      </c>
      <c r="X846">
        <f t="shared" si="220"/>
        <v>0</v>
      </c>
      <c r="Y846">
        <f t="shared" si="221"/>
        <v>0</v>
      </c>
      <c r="Z846">
        <f t="shared" si="222"/>
        <v>0</v>
      </c>
      <c r="AB846">
        <v>842</v>
      </c>
      <c r="AC846">
        <f t="shared" si="223"/>
        <v>33</v>
      </c>
      <c r="AD846">
        <f t="shared" si="213"/>
        <v>0</v>
      </c>
    </row>
    <row r="847" spans="4:30" x14ac:dyDescent="0.25">
      <c r="D847" s="31">
        <f>Simulation_output!A845</f>
        <v>8435000</v>
      </c>
      <c r="E847">
        <f>Sheet2!R844</f>
        <v>0</v>
      </c>
      <c r="F847">
        <f>Sheet2!S844</f>
        <v>0</v>
      </c>
      <c r="G847">
        <f>Sheet2!T844</f>
        <v>0</v>
      </c>
      <c r="H847" s="31">
        <f>Simulation_output!E845</f>
        <v>1</v>
      </c>
      <c r="I847" s="31">
        <f>Simulation_output!F845</f>
        <v>0</v>
      </c>
      <c r="J847" s="31">
        <f>Simulation_output!G845</f>
        <v>0</v>
      </c>
      <c r="K847" s="31">
        <f>Simulation_output!H845</f>
        <v>0</v>
      </c>
      <c r="L847">
        <v>1</v>
      </c>
      <c r="M847">
        <f t="shared" ref="M847:M910" si="227">IF(K847&gt;0,DEC2HEX(I834),0)</f>
        <v>0</v>
      </c>
      <c r="N847">
        <f t="shared" si="226"/>
        <v>0</v>
      </c>
      <c r="O847">
        <f t="shared" si="225"/>
        <v>0</v>
      </c>
      <c r="P847">
        <f t="shared" ref="P847:P910" si="228">IF(K847&gt;0,I837,0)</f>
        <v>0</v>
      </c>
      <c r="Q847">
        <f t="shared" si="224"/>
        <v>0</v>
      </c>
      <c r="R847">
        <f t="shared" si="214"/>
        <v>0</v>
      </c>
      <c r="S847">
        <f t="shared" si="215"/>
        <v>0</v>
      </c>
      <c r="T847">
        <f t="shared" si="216"/>
        <v>0</v>
      </c>
      <c r="U847">
        <f t="shared" si="217"/>
        <v>0</v>
      </c>
      <c r="V847">
        <f t="shared" si="218"/>
        <v>0</v>
      </c>
      <c r="W847">
        <f t="shared" si="219"/>
        <v>0</v>
      </c>
      <c r="X847">
        <f t="shared" si="220"/>
        <v>0</v>
      </c>
      <c r="Y847">
        <f t="shared" si="221"/>
        <v>0</v>
      </c>
      <c r="Z847">
        <f t="shared" si="222"/>
        <v>0</v>
      </c>
      <c r="AB847">
        <v>843</v>
      </c>
      <c r="AC847">
        <f t="shared" si="223"/>
        <v>33</v>
      </c>
      <c r="AD847">
        <f t="shared" si="213"/>
        <v>0</v>
      </c>
    </row>
    <row r="848" spans="4:30" x14ac:dyDescent="0.25">
      <c r="D848" s="31">
        <f>Simulation_output!A846</f>
        <v>8445000</v>
      </c>
      <c r="E848">
        <f>Sheet2!R845</f>
        <v>0</v>
      </c>
      <c r="F848">
        <f>Sheet2!S845</f>
        <v>0</v>
      </c>
      <c r="G848">
        <f>Sheet2!T845</f>
        <v>0</v>
      </c>
      <c r="H848" s="31">
        <f>Simulation_output!E846</f>
        <v>1</v>
      </c>
      <c r="I848" s="31">
        <f>Simulation_output!F846</f>
        <v>0</v>
      </c>
      <c r="J848" s="31">
        <f>Simulation_output!G846</f>
        <v>0</v>
      </c>
      <c r="K848" s="31">
        <f>Simulation_output!H846</f>
        <v>0</v>
      </c>
      <c r="L848">
        <v>1</v>
      </c>
      <c r="M848">
        <f t="shared" si="227"/>
        <v>0</v>
      </c>
      <c r="N848">
        <f t="shared" si="226"/>
        <v>0</v>
      </c>
      <c r="O848">
        <f t="shared" si="225"/>
        <v>0</v>
      </c>
      <c r="P848">
        <f t="shared" si="228"/>
        <v>0</v>
      </c>
      <c r="Q848">
        <f t="shared" si="224"/>
        <v>0</v>
      </c>
      <c r="R848">
        <f t="shared" si="214"/>
        <v>0</v>
      </c>
      <c r="S848">
        <f t="shared" si="215"/>
        <v>0</v>
      </c>
      <c r="T848">
        <f t="shared" si="216"/>
        <v>0</v>
      </c>
      <c r="U848">
        <f t="shared" si="217"/>
        <v>0</v>
      </c>
      <c r="V848">
        <f t="shared" si="218"/>
        <v>0</v>
      </c>
      <c r="W848">
        <f t="shared" si="219"/>
        <v>0</v>
      </c>
      <c r="X848">
        <f t="shared" si="220"/>
        <v>0</v>
      </c>
      <c r="Y848">
        <f t="shared" si="221"/>
        <v>0</v>
      </c>
      <c r="Z848">
        <f t="shared" si="222"/>
        <v>0</v>
      </c>
      <c r="AB848">
        <v>844</v>
      </c>
      <c r="AC848">
        <f t="shared" si="223"/>
        <v>33</v>
      </c>
      <c r="AD848">
        <f t="shared" si="213"/>
        <v>0</v>
      </c>
    </row>
    <row r="849" spans="4:30" x14ac:dyDescent="0.25">
      <c r="D849" s="31">
        <f>Simulation_output!A847</f>
        <v>8455000</v>
      </c>
      <c r="E849">
        <f>Sheet2!R846</f>
        <v>0</v>
      </c>
      <c r="F849">
        <f>Sheet2!S846</f>
        <v>0</v>
      </c>
      <c r="G849">
        <f>Sheet2!T846</f>
        <v>0</v>
      </c>
      <c r="H849" s="31">
        <f>Simulation_output!E847</f>
        <v>1</v>
      </c>
      <c r="I849" s="31">
        <f>Simulation_output!F847</f>
        <v>0</v>
      </c>
      <c r="J849" s="31">
        <f>Simulation_output!G847</f>
        <v>0</v>
      </c>
      <c r="K849" s="31">
        <f>Simulation_output!H847</f>
        <v>0</v>
      </c>
      <c r="L849">
        <v>1</v>
      </c>
      <c r="M849">
        <f t="shared" si="227"/>
        <v>0</v>
      </c>
      <c r="N849">
        <f t="shared" si="226"/>
        <v>0</v>
      </c>
      <c r="O849">
        <f t="shared" si="225"/>
        <v>0</v>
      </c>
      <c r="P849">
        <f t="shared" si="228"/>
        <v>0</v>
      </c>
      <c r="Q849">
        <f t="shared" si="224"/>
        <v>0</v>
      </c>
      <c r="R849">
        <f t="shared" si="214"/>
        <v>0</v>
      </c>
      <c r="S849">
        <f t="shared" si="215"/>
        <v>0</v>
      </c>
      <c r="T849">
        <f t="shared" si="216"/>
        <v>0</v>
      </c>
      <c r="U849">
        <f t="shared" si="217"/>
        <v>0</v>
      </c>
      <c r="V849">
        <f t="shared" si="218"/>
        <v>0</v>
      </c>
      <c r="W849">
        <f t="shared" si="219"/>
        <v>0</v>
      </c>
      <c r="X849">
        <f t="shared" si="220"/>
        <v>0</v>
      </c>
      <c r="Y849">
        <f t="shared" si="221"/>
        <v>0</v>
      </c>
      <c r="Z849">
        <f t="shared" si="222"/>
        <v>0</v>
      </c>
      <c r="AB849">
        <v>845</v>
      </c>
      <c r="AC849">
        <f t="shared" si="223"/>
        <v>33</v>
      </c>
      <c r="AD849">
        <f t="shared" si="213"/>
        <v>0</v>
      </c>
    </row>
    <row r="850" spans="4:30" x14ac:dyDescent="0.25">
      <c r="D850" s="31">
        <f>Simulation_output!A848</f>
        <v>8465000</v>
      </c>
      <c r="E850">
        <f>Sheet2!R847</f>
        <v>0</v>
      </c>
      <c r="F850">
        <f>Sheet2!S847</f>
        <v>0</v>
      </c>
      <c r="G850">
        <f>Sheet2!T847</f>
        <v>0</v>
      </c>
      <c r="H850" s="31">
        <f>Simulation_output!E848</f>
        <v>1</v>
      </c>
      <c r="I850" s="31">
        <f>Simulation_output!F848</f>
        <v>0</v>
      </c>
      <c r="J850" s="31">
        <f>Simulation_output!G848</f>
        <v>0</v>
      </c>
      <c r="K850" s="31">
        <f>Simulation_output!H848</f>
        <v>0</v>
      </c>
      <c r="L850">
        <v>1</v>
      </c>
      <c r="M850">
        <f t="shared" si="227"/>
        <v>0</v>
      </c>
      <c r="N850">
        <f t="shared" si="226"/>
        <v>0</v>
      </c>
      <c r="O850">
        <f t="shared" si="225"/>
        <v>0</v>
      </c>
      <c r="P850">
        <f t="shared" si="228"/>
        <v>0</v>
      </c>
      <c r="Q850">
        <f t="shared" si="224"/>
        <v>0</v>
      </c>
      <c r="R850">
        <f t="shared" si="214"/>
        <v>0</v>
      </c>
      <c r="S850">
        <f t="shared" si="215"/>
        <v>0</v>
      </c>
      <c r="T850">
        <f t="shared" si="216"/>
        <v>0</v>
      </c>
      <c r="U850">
        <f t="shared" si="217"/>
        <v>0</v>
      </c>
      <c r="V850">
        <f t="shared" si="218"/>
        <v>0</v>
      </c>
      <c r="W850">
        <f t="shared" si="219"/>
        <v>0</v>
      </c>
      <c r="X850">
        <f t="shared" si="220"/>
        <v>0</v>
      </c>
      <c r="Y850">
        <f t="shared" si="221"/>
        <v>0</v>
      </c>
      <c r="Z850">
        <f t="shared" si="222"/>
        <v>0</v>
      </c>
      <c r="AB850">
        <v>846</v>
      </c>
      <c r="AC850">
        <f t="shared" si="223"/>
        <v>33</v>
      </c>
      <c r="AD850">
        <f t="shared" si="213"/>
        <v>0</v>
      </c>
    </row>
    <row r="851" spans="4:30" x14ac:dyDescent="0.25">
      <c r="D851" s="31">
        <f>Simulation_output!A849</f>
        <v>8475000</v>
      </c>
      <c r="E851">
        <f>Sheet2!R848</f>
        <v>0</v>
      </c>
      <c r="F851">
        <f>Sheet2!S848</f>
        <v>0</v>
      </c>
      <c r="G851">
        <f>Sheet2!T848</f>
        <v>0</v>
      </c>
      <c r="H851" s="31">
        <f>Simulation_output!E849</f>
        <v>1</v>
      </c>
      <c r="I851" s="31">
        <f>Simulation_output!F849</f>
        <v>0</v>
      </c>
      <c r="J851" s="31">
        <f>Simulation_output!G849</f>
        <v>0</v>
      </c>
      <c r="K851" s="31">
        <f>Simulation_output!H849</f>
        <v>0</v>
      </c>
      <c r="L851">
        <v>1</v>
      </c>
      <c r="M851">
        <f t="shared" si="227"/>
        <v>0</v>
      </c>
      <c r="N851">
        <f t="shared" si="226"/>
        <v>0</v>
      </c>
      <c r="O851">
        <f t="shared" si="225"/>
        <v>0</v>
      </c>
      <c r="P851">
        <f t="shared" si="228"/>
        <v>0</v>
      </c>
      <c r="Q851">
        <f t="shared" si="224"/>
        <v>0</v>
      </c>
      <c r="R851">
        <f t="shared" si="214"/>
        <v>0</v>
      </c>
      <c r="S851">
        <f t="shared" si="215"/>
        <v>0</v>
      </c>
      <c r="T851">
        <f t="shared" si="216"/>
        <v>0</v>
      </c>
      <c r="U851">
        <f t="shared" si="217"/>
        <v>0</v>
      </c>
      <c r="V851">
        <f t="shared" si="218"/>
        <v>0</v>
      </c>
      <c r="W851">
        <f t="shared" si="219"/>
        <v>0</v>
      </c>
      <c r="X851">
        <f t="shared" si="220"/>
        <v>0</v>
      </c>
      <c r="Y851">
        <f t="shared" si="221"/>
        <v>0</v>
      </c>
      <c r="Z851">
        <f t="shared" si="222"/>
        <v>0</v>
      </c>
      <c r="AB851">
        <v>847</v>
      </c>
      <c r="AC851">
        <f t="shared" si="223"/>
        <v>33</v>
      </c>
      <c r="AD851">
        <f t="shared" si="213"/>
        <v>0</v>
      </c>
    </row>
    <row r="852" spans="4:30" x14ac:dyDescent="0.25">
      <c r="D852" s="31">
        <f>Simulation_output!A850</f>
        <v>8485000</v>
      </c>
      <c r="E852">
        <f>Sheet2!R849</f>
        <v>0</v>
      </c>
      <c r="F852">
        <f>Sheet2!S849</f>
        <v>0</v>
      </c>
      <c r="G852">
        <f>Sheet2!T849</f>
        <v>0</v>
      </c>
      <c r="H852" s="31">
        <f>Simulation_output!E850</f>
        <v>1</v>
      </c>
      <c r="I852" s="31">
        <f>Simulation_output!F850</f>
        <v>0</v>
      </c>
      <c r="J852" s="31">
        <f>Simulation_output!G850</f>
        <v>0</v>
      </c>
      <c r="K852" s="31">
        <f>Simulation_output!H850</f>
        <v>0</v>
      </c>
      <c r="L852">
        <v>1</v>
      </c>
      <c r="M852">
        <f t="shared" si="227"/>
        <v>0</v>
      </c>
      <c r="N852">
        <f t="shared" si="226"/>
        <v>0</v>
      </c>
      <c r="O852">
        <f t="shared" si="225"/>
        <v>0</v>
      </c>
      <c r="P852">
        <f t="shared" si="228"/>
        <v>0</v>
      </c>
      <c r="Q852">
        <f t="shared" si="224"/>
        <v>0</v>
      </c>
      <c r="R852">
        <f t="shared" si="214"/>
        <v>0</v>
      </c>
      <c r="S852">
        <f t="shared" si="215"/>
        <v>0</v>
      </c>
      <c r="T852">
        <f t="shared" si="216"/>
        <v>0</v>
      </c>
      <c r="U852">
        <f t="shared" si="217"/>
        <v>0</v>
      </c>
      <c r="V852">
        <f t="shared" si="218"/>
        <v>0</v>
      </c>
      <c r="W852">
        <f t="shared" si="219"/>
        <v>0</v>
      </c>
      <c r="X852">
        <f t="shared" si="220"/>
        <v>0</v>
      </c>
      <c r="Y852">
        <f t="shared" si="221"/>
        <v>0</v>
      </c>
      <c r="Z852">
        <f t="shared" si="222"/>
        <v>0</v>
      </c>
      <c r="AB852">
        <v>848</v>
      </c>
      <c r="AC852">
        <f t="shared" si="223"/>
        <v>33</v>
      </c>
      <c r="AD852">
        <f t="shared" si="213"/>
        <v>0</v>
      </c>
    </row>
    <row r="853" spans="4:30" x14ac:dyDescent="0.25">
      <c r="D853" s="31">
        <f>Simulation_output!A851</f>
        <v>8495000</v>
      </c>
      <c r="E853">
        <f>Sheet2!R850</f>
        <v>0</v>
      </c>
      <c r="F853">
        <f>Sheet2!S850</f>
        <v>0</v>
      </c>
      <c r="G853">
        <f>Sheet2!T850</f>
        <v>0</v>
      </c>
      <c r="H853" s="31">
        <f>Simulation_output!E851</f>
        <v>1</v>
      </c>
      <c r="I853" s="31">
        <f>Simulation_output!F851</f>
        <v>0</v>
      </c>
      <c r="J853" s="31">
        <f>Simulation_output!G851</f>
        <v>0</v>
      </c>
      <c r="K853" s="31">
        <f>Simulation_output!H851</f>
        <v>0</v>
      </c>
      <c r="L853">
        <v>1</v>
      </c>
      <c r="M853">
        <f t="shared" si="227"/>
        <v>0</v>
      </c>
      <c r="N853">
        <f t="shared" si="226"/>
        <v>0</v>
      </c>
      <c r="O853">
        <f t="shared" si="225"/>
        <v>0</v>
      </c>
      <c r="P853">
        <f t="shared" si="228"/>
        <v>0</v>
      </c>
      <c r="Q853">
        <f t="shared" si="224"/>
        <v>0</v>
      </c>
      <c r="R853">
        <f t="shared" si="214"/>
        <v>0</v>
      </c>
      <c r="S853">
        <f t="shared" si="215"/>
        <v>0</v>
      </c>
      <c r="T853">
        <f t="shared" si="216"/>
        <v>0</v>
      </c>
      <c r="U853">
        <f t="shared" si="217"/>
        <v>0</v>
      </c>
      <c r="V853">
        <f t="shared" si="218"/>
        <v>0</v>
      </c>
      <c r="W853">
        <f t="shared" si="219"/>
        <v>0</v>
      </c>
      <c r="X853">
        <f t="shared" si="220"/>
        <v>0</v>
      </c>
      <c r="Y853">
        <f t="shared" si="221"/>
        <v>0</v>
      </c>
      <c r="Z853">
        <f t="shared" si="222"/>
        <v>0</v>
      </c>
      <c r="AB853">
        <v>849</v>
      </c>
      <c r="AC853">
        <f t="shared" si="223"/>
        <v>33</v>
      </c>
      <c r="AD853">
        <f t="shared" si="213"/>
        <v>0</v>
      </c>
    </row>
    <row r="854" spans="4:30" x14ac:dyDescent="0.25">
      <c r="D854" s="31">
        <f>Simulation_output!A852</f>
        <v>8505000</v>
      </c>
      <c r="E854">
        <f>Sheet2!R851</f>
        <v>0</v>
      </c>
      <c r="F854">
        <f>Sheet2!S851</f>
        <v>0</v>
      </c>
      <c r="G854">
        <f>Sheet2!T851</f>
        <v>0</v>
      </c>
      <c r="H854" s="31">
        <f>Simulation_output!E852</f>
        <v>1</v>
      </c>
      <c r="I854" s="31">
        <f>Simulation_output!F852</f>
        <v>0</v>
      </c>
      <c r="J854" s="31">
        <f>Simulation_output!G852</f>
        <v>0</v>
      </c>
      <c r="K854" s="31">
        <f>Simulation_output!H852</f>
        <v>0</v>
      </c>
      <c r="L854">
        <v>1</v>
      </c>
      <c r="M854">
        <f t="shared" si="227"/>
        <v>0</v>
      </c>
      <c r="N854">
        <f t="shared" si="226"/>
        <v>0</v>
      </c>
      <c r="O854">
        <f t="shared" si="225"/>
        <v>0</v>
      </c>
      <c r="P854">
        <f t="shared" si="228"/>
        <v>0</v>
      </c>
      <c r="Q854">
        <f t="shared" si="224"/>
        <v>0</v>
      </c>
      <c r="R854">
        <f t="shared" si="214"/>
        <v>0</v>
      </c>
      <c r="S854">
        <f t="shared" si="215"/>
        <v>0</v>
      </c>
      <c r="T854">
        <f t="shared" si="216"/>
        <v>0</v>
      </c>
      <c r="U854">
        <f t="shared" si="217"/>
        <v>0</v>
      </c>
      <c r="V854">
        <f t="shared" si="218"/>
        <v>0</v>
      </c>
      <c r="W854">
        <f t="shared" si="219"/>
        <v>0</v>
      </c>
      <c r="X854">
        <f t="shared" si="220"/>
        <v>0</v>
      </c>
      <c r="Y854">
        <f t="shared" si="221"/>
        <v>0</v>
      </c>
      <c r="Z854">
        <f t="shared" si="222"/>
        <v>0</v>
      </c>
      <c r="AB854">
        <v>850</v>
      </c>
      <c r="AC854">
        <f t="shared" si="223"/>
        <v>33</v>
      </c>
      <c r="AD854">
        <f t="shared" si="213"/>
        <v>0</v>
      </c>
    </row>
    <row r="855" spans="4:30" x14ac:dyDescent="0.25">
      <c r="D855" s="31">
        <f>Simulation_output!A853</f>
        <v>8515000</v>
      </c>
      <c r="E855">
        <f>Sheet2!R852</f>
        <v>0</v>
      </c>
      <c r="F855">
        <f>Sheet2!S852</f>
        <v>0</v>
      </c>
      <c r="G855">
        <f>Sheet2!T852</f>
        <v>0</v>
      </c>
      <c r="H855" s="31">
        <f>Simulation_output!E853</f>
        <v>1</v>
      </c>
      <c r="I855" s="31">
        <f>Simulation_output!F853</f>
        <v>0</v>
      </c>
      <c r="J855" s="31">
        <f>Simulation_output!G853</f>
        <v>0</v>
      </c>
      <c r="K855" s="31">
        <f>Simulation_output!H853</f>
        <v>0</v>
      </c>
      <c r="L855">
        <v>1</v>
      </c>
      <c r="M855">
        <f t="shared" si="227"/>
        <v>0</v>
      </c>
      <c r="N855">
        <f t="shared" si="226"/>
        <v>0</v>
      </c>
      <c r="O855">
        <f t="shared" si="225"/>
        <v>0</v>
      </c>
      <c r="P855">
        <f t="shared" si="228"/>
        <v>0</v>
      </c>
      <c r="Q855">
        <f t="shared" si="224"/>
        <v>0</v>
      </c>
      <c r="R855">
        <f t="shared" si="214"/>
        <v>0</v>
      </c>
      <c r="S855">
        <f t="shared" si="215"/>
        <v>0</v>
      </c>
      <c r="T855">
        <f t="shared" si="216"/>
        <v>0</v>
      </c>
      <c r="U855">
        <f t="shared" si="217"/>
        <v>0</v>
      </c>
      <c r="V855">
        <f t="shared" si="218"/>
        <v>0</v>
      </c>
      <c r="W855">
        <f t="shared" si="219"/>
        <v>0</v>
      </c>
      <c r="X855">
        <f t="shared" si="220"/>
        <v>0</v>
      </c>
      <c r="Y855">
        <f t="shared" si="221"/>
        <v>0</v>
      </c>
      <c r="Z855">
        <f t="shared" si="222"/>
        <v>0</v>
      </c>
      <c r="AB855">
        <v>851</v>
      </c>
      <c r="AC855">
        <f t="shared" si="223"/>
        <v>33</v>
      </c>
      <c r="AD855">
        <f t="shared" si="213"/>
        <v>0</v>
      </c>
    </row>
    <row r="856" spans="4:30" x14ac:dyDescent="0.25">
      <c r="D856" s="31">
        <f>Simulation_output!A854</f>
        <v>8525000</v>
      </c>
      <c r="E856">
        <f>Sheet2!R853</f>
        <v>0</v>
      </c>
      <c r="F856">
        <f>Sheet2!S853</f>
        <v>0</v>
      </c>
      <c r="G856">
        <f>Sheet2!T853</f>
        <v>0</v>
      </c>
      <c r="H856" s="31">
        <f>Simulation_output!E854</f>
        <v>1</v>
      </c>
      <c r="I856" s="31">
        <f>Simulation_output!F854</f>
        <v>0</v>
      </c>
      <c r="J856" s="31">
        <f>Simulation_output!G854</f>
        <v>0</v>
      </c>
      <c r="K856" s="31">
        <f>Simulation_output!H854</f>
        <v>0</v>
      </c>
      <c r="L856">
        <v>1</v>
      </c>
      <c r="M856">
        <f t="shared" si="227"/>
        <v>0</v>
      </c>
      <c r="N856">
        <f t="shared" si="226"/>
        <v>0</v>
      </c>
      <c r="O856">
        <f t="shared" si="225"/>
        <v>0</v>
      </c>
      <c r="P856">
        <f t="shared" si="228"/>
        <v>0</v>
      </c>
      <c r="Q856">
        <f t="shared" si="224"/>
        <v>0</v>
      </c>
      <c r="R856">
        <f t="shared" si="214"/>
        <v>0</v>
      </c>
      <c r="S856">
        <f t="shared" si="215"/>
        <v>0</v>
      </c>
      <c r="T856">
        <f t="shared" si="216"/>
        <v>0</v>
      </c>
      <c r="U856">
        <f t="shared" si="217"/>
        <v>0</v>
      </c>
      <c r="V856">
        <f t="shared" si="218"/>
        <v>0</v>
      </c>
      <c r="W856">
        <f t="shared" si="219"/>
        <v>0</v>
      </c>
      <c r="X856">
        <f t="shared" si="220"/>
        <v>0</v>
      </c>
      <c r="Y856">
        <f t="shared" si="221"/>
        <v>0</v>
      </c>
      <c r="Z856">
        <f t="shared" si="222"/>
        <v>0</v>
      </c>
      <c r="AB856">
        <v>852</v>
      </c>
      <c r="AC856">
        <f t="shared" si="223"/>
        <v>33</v>
      </c>
      <c r="AD856">
        <f t="shared" si="213"/>
        <v>0</v>
      </c>
    </row>
    <row r="857" spans="4:30" x14ac:dyDescent="0.25">
      <c r="D857" s="31">
        <f>Simulation_output!A855</f>
        <v>8535000</v>
      </c>
      <c r="E857">
        <f>Sheet2!R854</f>
        <v>0</v>
      </c>
      <c r="F857">
        <f>Sheet2!S854</f>
        <v>0</v>
      </c>
      <c r="G857">
        <f>Sheet2!T854</f>
        <v>0</v>
      </c>
      <c r="H857" s="31">
        <f>Simulation_output!E855</f>
        <v>1</v>
      </c>
      <c r="I857" s="31">
        <f>Simulation_output!F855</f>
        <v>0</v>
      </c>
      <c r="J857" s="31">
        <f>Simulation_output!G855</f>
        <v>0</v>
      </c>
      <c r="K857" s="31">
        <f>Simulation_output!H855</f>
        <v>0</v>
      </c>
      <c r="L857">
        <v>1</v>
      </c>
      <c r="M857">
        <f t="shared" si="227"/>
        <v>0</v>
      </c>
      <c r="N857">
        <f t="shared" si="226"/>
        <v>0</v>
      </c>
      <c r="O857">
        <f t="shared" si="225"/>
        <v>0</v>
      </c>
      <c r="P857">
        <f t="shared" si="228"/>
        <v>0</v>
      </c>
      <c r="Q857">
        <f t="shared" si="224"/>
        <v>0</v>
      </c>
      <c r="R857">
        <f t="shared" si="214"/>
        <v>0</v>
      </c>
      <c r="S857">
        <f t="shared" si="215"/>
        <v>0</v>
      </c>
      <c r="T857">
        <f t="shared" si="216"/>
        <v>0</v>
      </c>
      <c r="U857">
        <f t="shared" si="217"/>
        <v>0</v>
      </c>
      <c r="V857">
        <f t="shared" si="218"/>
        <v>0</v>
      </c>
      <c r="W857">
        <f t="shared" si="219"/>
        <v>0</v>
      </c>
      <c r="X857">
        <f t="shared" si="220"/>
        <v>0</v>
      </c>
      <c r="Y857">
        <f t="shared" si="221"/>
        <v>0</v>
      </c>
      <c r="Z857">
        <f t="shared" si="222"/>
        <v>0</v>
      </c>
      <c r="AB857">
        <v>853</v>
      </c>
      <c r="AC857">
        <f t="shared" si="223"/>
        <v>33</v>
      </c>
      <c r="AD857">
        <f t="shared" si="213"/>
        <v>0</v>
      </c>
    </row>
    <row r="858" spans="4:30" x14ac:dyDescent="0.25">
      <c r="D858" s="31">
        <f>Simulation_output!A856</f>
        <v>8545000</v>
      </c>
      <c r="E858">
        <f>Sheet2!R855</f>
        <v>0</v>
      </c>
      <c r="F858">
        <f>Sheet2!S855</f>
        <v>0</v>
      </c>
      <c r="G858">
        <f>Sheet2!T855</f>
        <v>0</v>
      </c>
      <c r="H858" s="31">
        <f>Simulation_output!E856</f>
        <v>1</v>
      </c>
      <c r="I858" s="31">
        <f>Simulation_output!F856</f>
        <v>0</v>
      </c>
      <c r="J858" s="31">
        <f>Simulation_output!G856</f>
        <v>0</v>
      </c>
      <c r="K858" s="31">
        <f>Simulation_output!H856</f>
        <v>0</v>
      </c>
      <c r="L858">
        <v>1</v>
      </c>
      <c r="M858">
        <f t="shared" si="227"/>
        <v>0</v>
      </c>
      <c r="N858">
        <f t="shared" si="226"/>
        <v>0</v>
      </c>
      <c r="O858">
        <f t="shared" si="225"/>
        <v>0</v>
      </c>
      <c r="P858">
        <f t="shared" si="228"/>
        <v>0</v>
      </c>
      <c r="Q858">
        <f t="shared" si="224"/>
        <v>0</v>
      </c>
      <c r="R858">
        <f t="shared" si="214"/>
        <v>0</v>
      </c>
      <c r="S858">
        <f t="shared" si="215"/>
        <v>0</v>
      </c>
      <c r="T858">
        <f t="shared" si="216"/>
        <v>0</v>
      </c>
      <c r="U858">
        <f t="shared" si="217"/>
        <v>0</v>
      </c>
      <c r="V858">
        <f t="shared" si="218"/>
        <v>0</v>
      </c>
      <c r="W858">
        <f t="shared" si="219"/>
        <v>0</v>
      </c>
      <c r="X858">
        <f t="shared" si="220"/>
        <v>0</v>
      </c>
      <c r="Y858">
        <f t="shared" si="221"/>
        <v>0</v>
      </c>
      <c r="Z858">
        <f t="shared" si="222"/>
        <v>0</v>
      </c>
      <c r="AB858">
        <v>854</v>
      </c>
      <c r="AC858">
        <f t="shared" si="223"/>
        <v>33</v>
      </c>
      <c r="AD858">
        <f t="shared" si="213"/>
        <v>0</v>
      </c>
    </row>
    <row r="859" spans="4:30" x14ac:dyDescent="0.25">
      <c r="D859" s="31">
        <f>Simulation_output!A857</f>
        <v>8555000</v>
      </c>
      <c r="E859">
        <f>Sheet2!R856</f>
        <v>0</v>
      </c>
      <c r="F859">
        <f>Sheet2!S856</f>
        <v>0</v>
      </c>
      <c r="G859">
        <f>Sheet2!T856</f>
        <v>0</v>
      </c>
      <c r="H859" s="31">
        <f>Simulation_output!E857</f>
        <v>1</v>
      </c>
      <c r="I859" s="31">
        <f>Simulation_output!F857</f>
        <v>0</v>
      </c>
      <c r="J859" s="31">
        <f>Simulation_output!G857</f>
        <v>0</v>
      </c>
      <c r="K859" s="31">
        <f>Simulation_output!H857</f>
        <v>0</v>
      </c>
      <c r="L859">
        <v>1</v>
      </c>
      <c r="M859">
        <f t="shared" si="227"/>
        <v>0</v>
      </c>
      <c r="N859">
        <f t="shared" si="226"/>
        <v>0</v>
      </c>
      <c r="O859">
        <f t="shared" si="225"/>
        <v>0</v>
      </c>
      <c r="P859">
        <f t="shared" si="228"/>
        <v>0</v>
      </c>
      <c r="Q859">
        <f t="shared" si="224"/>
        <v>0</v>
      </c>
      <c r="R859">
        <f t="shared" si="214"/>
        <v>0</v>
      </c>
      <c r="S859">
        <f t="shared" si="215"/>
        <v>0</v>
      </c>
      <c r="T859">
        <f t="shared" si="216"/>
        <v>0</v>
      </c>
      <c r="U859">
        <f t="shared" si="217"/>
        <v>0</v>
      </c>
      <c r="V859">
        <f t="shared" si="218"/>
        <v>0</v>
      </c>
      <c r="W859">
        <f t="shared" si="219"/>
        <v>0</v>
      </c>
      <c r="X859">
        <f t="shared" si="220"/>
        <v>0</v>
      </c>
      <c r="Y859">
        <f t="shared" si="221"/>
        <v>0</v>
      </c>
      <c r="Z859">
        <f t="shared" si="222"/>
        <v>0</v>
      </c>
      <c r="AB859">
        <v>855</v>
      </c>
      <c r="AC859">
        <f t="shared" si="223"/>
        <v>33</v>
      </c>
      <c r="AD859">
        <f t="shared" si="213"/>
        <v>0</v>
      </c>
    </row>
    <row r="860" spans="4:30" x14ac:dyDescent="0.25">
      <c r="D860" s="31">
        <f>Simulation_output!A858</f>
        <v>8565000</v>
      </c>
      <c r="E860">
        <f>Sheet2!R857</f>
        <v>0</v>
      </c>
      <c r="F860">
        <f>Sheet2!S857</f>
        <v>0</v>
      </c>
      <c r="G860">
        <f>Sheet2!T857</f>
        <v>0</v>
      </c>
      <c r="H860" s="31">
        <f>Simulation_output!E858</f>
        <v>1</v>
      </c>
      <c r="I860" s="31">
        <f>Simulation_output!F858</f>
        <v>0</v>
      </c>
      <c r="J860" s="31">
        <f>Simulation_output!G858</f>
        <v>0</v>
      </c>
      <c r="K860" s="31">
        <f>Simulation_output!H858</f>
        <v>0</v>
      </c>
      <c r="L860">
        <v>1</v>
      </c>
      <c r="M860">
        <f t="shared" si="227"/>
        <v>0</v>
      </c>
      <c r="N860">
        <f t="shared" si="226"/>
        <v>0</v>
      </c>
      <c r="O860">
        <f t="shared" si="225"/>
        <v>0</v>
      </c>
      <c r="P860">
        <f t="shared" si="228"/>
        <v>0</v>
      </c>
      <c r="Q860">
        <f t="shared" si="224"/>
        <v>0</v>
      </c>
      <c r="R860">
        <f t="shared" si="214"/>
        <v>0</v>
      </c>
      <c r="S860">
        <f t="shared" si="215"/>
        <v>0</v>
      </c>
      <c r="T860">
        <f t="shared" si="216"/>
        <v>0</v>
      </c>
      <c r="U860">
        <f t="shared" si="217"/>
        <v>0</v>
      </c>
      <c r="V860">
        <f t="shared" si="218"/>
        <v>0</v>
      </c>
      <c r="W860">
        <f t="shared" si="219"/>
        <v>0</v>
      </c>
      <c r="X860">
        <f t="shared" si="220"/>
        <v>0</v>
      </c>
      <c r="Y860">
        <f t="shared" si="221"/>
        <v>0</v>
      </c>
      <c r="Z860">
        <f t="shared" si="222"/>
        <v>0</v>
      </c>
      <c r="AB860">
        <v>856</v>
      </c>
      <c r="AC860">
        <f t="shared" si="223"/>
        <v>33</v>
      </c>
      <c r="AD860">
        <f t="shared" si="213"/>
        <v>0</v>
      </c>
    </row>
    <row r="861" spans="4:30" x14ac:dyDescent="0.25">
      <c r="D861" s="31">
        <f>Simulation_output!A859</f>
        <v>8575000</v>
      </c>
      <c r="E861">
        <f>Sheet2!R858</f>
        <v>0</v>
      </c>
      <c r="F861">
        <f>Sheet2!S858</f>
        <v>0</v>
      </c>
      <c r="G861">
        <f>Sheet2!T858</f>
        <v>0</v>
      </c>
      <c r="H861" s="31">
        <f>Simulation_output!E859</f>
        <v>1</v>
      </c>
      <c r="I861" s="31">
        <f>Simulation_output!F859</f>
        <v>0</v>
      </c>
      <c r="J861" s="31">
        <f>Simulation_output!G859</f>
        <v>0</v>
      </c>
      <c r="K861" s="31">
        <f>Simulation_output!H859</f>
        <v>0</v>
      </c>
      <c r="L861">
        <v>1</v>
      </c>
      <c r="M861">
        <f t="shared" si="227"/>
        <v>0</v>
      </c>
      <c r="N861">
        <f t="shared" si="226"/>
        <v>0</v>
      </c>
      <c r="O861">
        <f t="shared" si="225"/>
        <v>0</v>
      </c>
      <c r="P861">
        <f t="shared" si="228"/>
        <v>0</v>
      </c>
      <c r="Q861">
        <f t="shared" si="224"/>
        <v>0</v>
      </c>
      <c r="R861">
        <f t="shared" si="214"/>
        <v>0</v>
      </c>
      <c r="S861">
        <f t="shared" si="215"/>
        <v>0</v>
      </c>
      <c r="T861">
        <f t="shared" si="216"/>
        <v>0</v>
      </c>
      <c r="U861">
        <f t="shared" si="217"/>
        <v>0</v>
      </c>
      <c r="V861">
        <f t="shared" si="218"/>
        <v>0</v>
      </c>
      <c r="W861">
        <f t="shared" si="219"/>
        <v>0</v>
      </c>
      <c r="X861">
        <f t="shared" si="220"/>
        <v>0</v>
      </c>
      <c r="Y861">
        <f t="shared" si="221"/>
        <v>0</v>
      </c>
      <c r="Z861">
        <f t="shared" si="222"/>
        <v>0</v>
      </c>
      <c r="AB861">
        <v>857</v>
      </c>
      <c r="AC861">
        <f t="shared" si="223"/>
        <v>33</v>
      </c>
      <c r="AD861">
        <f t="shared" si="213"/>
        <v>0</v>
      </c>
    </row>
    <row r="862" spans="4:30" x14ac:dyDescent="0.25">
      <c r="D862" s="31">
        <f>Simulation_output!A860</f>
        <v>8585000</v>
      </c>
      <c r="E862">
        <f>Sheet2!R859</f>
        <v>0</v>
      </c>
      <c r="F862">
        <f>Sheet2!S859</f>
        <v>0</v>
      </c>
      <c r="G862">
        <f>Sheet2!T859</f>
        <v>0</v>
      </c>
      <c r="H862" s="31">
        <f>Simulation_output!E860</f>
        <v>1</v>
      </c>
      <c r="I862" s="31">
        <f>Simulation_output!F860</f>
        <v>0</v>
      </c>
      <c r="J862" s="31">
        <f>Simulation_output!G860</f>
        <v>0</v>
      </c>
      <c r="K862" s="31">
        <f>Simulation_output!H860</f>
        <v>0</v>
      </c>
      <c r="L862">
        <v>1</v>
      </c>
      <c r="M862">
        <f t="shared" si="227"/>
        <v>0</v>
      </c>
      <c r="N862">
        <f t="shared" si="226"/>
        <v>0</v>
      </c>
      <c r="O862">
        <f t="shared" si="225"/>
        <v>0</v>
      </c>
      <c r="P862">
        <f t="shared" si="228"/>
        <v>0</v>
      </c>
      <c r="Q862">
        <f t="shared" si="224"/>
        <v>0</v>
      </c>
      <c r="R862">
        <f t="shared" si="214"/>
        <v>0</v>
      </c>
      <c r="S862">
        <f t="shared" si="215"/>
        <v>0</v>
      </c>
      <c r="T862">
        <f t="shared" si="216"/>
        <v>0</v>
      </c>
      <c r="U862">
        <f t="shared" si="217"/>
        <v>0</v>
      </c>
      <c r="V862">
        <f t="shared" si="218"/>
        <v>0</v>
      </c>
      <c r="W862">
        <f t="shared" si="219"/>
        <v>0</v>
      </c>
      <c r="X862">
        <f t="shared" si="220"/>
        <v>0</v>
      </c>
      <c r="Y862">
        <f t="shared" si="221"/>
        <v>0</v>
      </c>
      <c r="Z862">
        <f t="shared" si="222"/>
        <v>0</v>
      </c>
      <c r="AB862">
        <v>858</v>
      </c>
      <c r="AC862">
        <f t="shared" si="223"/>
        <v>33</v>
      </c>
      <c r="AD862">
        <f t="shared" si="213"/>
        <v>0</v>
      </c>
    </row>
    <row r="863" spans="4:30" x14ac:dyDescent="0.25">
      <c r="D863" s="31">
        <f>Simulation_output!A861</f>
        <v>8595000</v>
      </c>
      <c r="E863">
        <f>Sheet2!R860</f>
        <v>0</v>
      </c>
      <c r="F863">
        <f>Sheet2!S860</f>
        <v>0</v>
      </c>
      <c r="G863">
        <f>Sheet2!T860</f>
        <v>0</v>
      </c>
      <c r="H863" s="31">
        <f>Simulation_output!E861</f>
        <v>1</v>
      </c>
      <c r="I863" s="31">
        <f>Simulation_output!F861</f>
        <v>0</v>
      </c>
      <c r="J863" s="31">
        <f>Simulation_output!G861</f>
        <v>0</v>
      </c>
      <c r="K863" s="31">
        <f>Simulation_output!H861</f>
        <v>0</v>
      </c>
      <c r="L863">
        <v>1</v>
      </c>
      <c r="M863">
        <f t="shared" si="227"/>
        <v>0</v>
      </c>
      <c r="N863">
        <f t="shared" si="226"/>
        <v>0</v>
      </c>
      <c r="O863">
        <f t="shared" si="225"/>
        <v>0</v>
      </c>
      <c r="P863">
        <f t="shared" si="228"/>
        <v>0</v>
      </c>
      <c r="Q863">
        <f t="shared" si="224"/>
        <v>0</v>
      </c>
      <c r="R863">
        <f t="shared" si="214"/>
        <v>0</v>
      </c>
      <c r="S863">
        <f t="shared" si="215"/>
        <v>0</v>
      </c>
      <c r="T863">
        <f t="shared" si="216"/>
        <v>0</v>
      </c>
      <c r="U863">
        <f t="shared" si="217"/>
        <v>0</v>
      </c>
      <c r="V863">
        <f t="shared" si="218"/>
        <v>0</v>
      </c>
      <c r="W863">
        <f t="shared" si="219"/>
        <v>0</v>
      </c>
      <c r="X863">
        <f t="shared" si="220"/>
        <v>0</v>
      </c>
      <c r="Y863">
        <f t="shared" si="221"/>
        <v>0</v>
      </c>
      <c r="Z863">
        <f t="shared" si="222"/>
        <v>0</v>
      </c>
      <c r="AB863">
        <v>859</v>
      </c>
      <c r="AC863">
        <f t="shared" si="223"/>
        <v>33</v>
      </c>
      <c r="AD863">
        <f t="shared" si="213"/>
        <v>0</v>
      </c>
    </row>
    <row r="864" spans="4:30" x14ac:dyDescent="0.25">
      <c r="D864" s="31">
        <f>Simulation_output!A862</f>
        <v>8605000</v>
      </c>
      <c r="E864">
        <f>Sheet2!R861</f>
        <v>0</v>
      </c>
      <c r="F864">
        <f>Sheet2!S861</f>
        <v>0</v>
      </c>
      <c r="G864">
        <f>Sheet2!T861</f>
        <v>0</v>
      </c>
      <c r="H864" s="31">
        <f>Simulation_output!E862</f>
        <v>1</v>
      </c>
      <c r="I864" s="31">
        <f>Simulation_output!F862</f>
        <v>0</v>
      </c>
      <c r="J864" s="31">
        <f>Simulation_output!G862</f>
        <v>0</v>
      </c>
      <c r="K864" s="31">
        <f>Simulation_output!H862</f>
        <v>0</v>
      </c>
      <c r="L864">
        <v>1</v>
      </c>
      <c r="M864">
        <f t="shared" si="227"/>
        <v>0</v>
      </c>
      <c r="N864">
        <f t="shared" si="226"/>
        <v>0</v>
      </c>
      <c r="O864">
        <f t="shared" si="225"/>
        <v>0</v>
      </c>
      <c r="P864">
        <f t="shared" si="228"/>
        <v>0</v>
      </c>
      <c r="Q864">
        <f t="shared" si="224"/>
        <v>0</v>
      </c>
      <c r="R864">
        <f t="shared" si="214"/>
        <v>0</v>
      </c>
      <c r="S864">
        <f t="shared" si="215"/>
        <v>0</v>
      </c>
      <c r="T864">
        <f t="shared" si="216"/>
        <v>0</v>
      </c>
      <c r="U864">
        <f t="shared" si="217"/>
        <v>0</v>
      </c>
      <c r="V864">
        <f t="shared" si="218"/>
        <v>0</v>
      </c>
      <c r="W864">
        <f t="shared" si="219"/>
        <v>0</v>
      </c>
      <c r="X864">
        <f t="shared" si="220"/>
        <v>0</v>
      </c>
      <c r="Y864">
        <f t="shared" si="221"/>
        <v>0</v>
      </c>
      <c r="Z864">
        <f t="shared" si="222"/>
        <v>0</v>
      </c>
      <c r="AB864">
        <v>860</v>
      </c>
      <c r="AC864">
        <f t="shared" si="223"/>
        <v>33</v>
      </c>
      <c r="AD864">
        <f t="shared" si="213"/>
        <v>0</v>
      </c>
    </row>
    <row r="865" spans="4:30" x14ac:dyDescent="0.25">
      <c r="D865" s="31">
        <f>Simulation_output!A863</f>
        <v>8615000</v>
      </c>
      <c r="E865">
        <f>Sheet2!R862</f>
        <v>0</v>
      </c>
      <c r="F865">
        <f>Sheet2!S862</f>
        <v>0</v>
      </c>
      <c r="G865">
        <f>Sheet2!T862</f>
        <v>0</v>
      </c>
      <c r="H865" s="31">
        <f>Simulation_output!E863</f>
        <v>1</v>
      </c>
      <c r="I865" s="31">
        <f>Simulation_output!F863</f>
        <v>0</v>
      </c>
      <c r="J865" s="31">
        <f>Simulation_output!G863</f>
        <v>0</v>
      </c>
      <c r="K865" s="31">
        <f>Simulation_output!H863</f>
        <v>0</v>
      </c>
      <c r="L865">
        <v>1</v>
      </c>
      <c r="M865">
        <f t="shared" si="227"/>
        <v>0</v>
      </c>
      <c r="N865">
        <f t="shared" si="226"/>
        <v>0</v>
      </c>
      <c r="O865">
        <f t="shared" si="225"/>
        <v>0</v>
      </c>
      <c r="P865">
        <f t="shared" si="228"/>
        <v>0</v>
      </c>
      <c r="Q865">
        <f t="shared" si="224"/>
        <v>0</v>
      </c>
      <c r="R865">
        <f t="shared" si="214"/>
        <v>0</v>
      </c>
      <c r="S865">
        <f t="shared" si="215"/>
        <v>0</v>
      </c>
      <c r="T865">
        <f t="shared" si="216"/>
        <v>0</v>
      </c>
      <c r="U865">
        <f t="shared" si="217"/>
        <v>0</v>
      </c>
      <c r="V865">
        <f t="shared" si="218"/>
        <v>0</v>
      </c>
      <c r="W865">
        <f t="shared" si="219"/>
        <v>0</v>
      </c>
      <c r="X865">
        <f t="shared" si="220"/>
        <v>0</v>
      </c>
      <c r="Y865">
        <f t="shared" si="221"/>
        <v>0</v>
      </c>
      <c r="Z865">
        <f t="shared" si="222"/>
        <v>0</v>
      </c>
      <c r="AB865">
        <v>861</v>
      </c>
      <c r="AC865">
        <f t="shared" si="223"/>
        <v>33</v>
      </c>
      <c r="AD865">
        <f t="shared" si="213"/>
        <v>0</v>
      </c>
    </row>
    <row r="866" spans="4:30" x14ac:dyDescent="0.25">
      <c r="D866" s="31">
        <f>Simulation_output!A864</f>
        <v>8625000</v>
      </c>
      <c r="E866">
        <f>Sheet2!R863</f>
        <v>0</v>
      </c>
      <c r="F866">
        <f>Sheet2!S863</f>
        <v>0</v>
      </c>
      <c r="G866">
        <f>Sheet2!T863</f>
        <v>0</v>
      </c>
      <c r="H866" s="31">
        <f>Simulation_output!E864</f>
        <v>1</v>
      </c>
      <c r="I866" s="31">
        <f>Simulation_output!F864</f>
        <v>0</v>
      </c>
      <c r="J866" s="31">
        <f>Simulation_output!G864</f>
        <v>0</v>
      </c>
      <c r="K866" s="31">
        <f>Simulation_output!H864</f>
        <v>0</v>
      </c>
      <c r="L866">
        <v>1</v>
      </c>
      <c r="M866">
        <f t="shared" si="227"/>
        <v>0</v>
      </c>
      <c r="N866">
        <f t="shared" si="226"/>
        <v>0</v>
      </c>
      <c r="O866">
        <f t="shared" si="225"/>
        <v>0</v>
      </c>
      <c r="P866">
        <f t="shared" si="228"/>
        <v>0</v>
      </c>
      <c r="Q866">
        <f t="shared" si="224"/>
        <v>0</v>
      </c>
      <c r="R866">
        <f t="shared" si="214"/>
        <v>0</v>
      </c>
      <c r="S866">
        <f t="shared" si="215"/>
        <v>0</v>
      </c>
      <c r="T866">
        <f t="shared" si="216"/>
        <v>0</v>
      </c>
      <c r="U866">
        <f t="shared" si="217"/>
        <v>0</v>
      </c>
      <c r="V866">
        <f t="shared" si="218"/>
        <v>0</v>
      </c>
      <c r="W866">
        <f t="shared" si="219"/>
        <v>0</v>
      </c>
      <c r="X866">
        <f t="shared" si="220"/>
        <v>0</v>
      </c>
      <c r="Y866">
        <f t="shared" si="221"/>
        <v>0</v>
      </c>
      <c r="Z866">
        <f t="shared" si="222"/>
        <v>0</v>
      </c>
      <c r="AB866">
        <v>862</v>
      </c>
      <c r="AC866">
        <f t="shared" si="223"/>
        <v>33</v>
      </c>
      <c r="AD866">
        <f t="shared" si="213"/>
        <v>0</v>
      </c>
    </row>
    <row r="867" spans="4:30" x14ac:dyDescent="0.25">
      <c r="D867" s="31">
        <f>Simulation_output!A865</f>
        <v>8635000</v>
      </c>
      <c r="E867">
        <f>Sheet2!R864</f>
        <v>0</v>
      </c>
      <c r="F867">
        <f>Sheet2!S864</f>
        <v>0</v>
      </c>
      <c r="G867">
        <f>Sheet2!T864</f>
        <v>0</v>
      </c>
      <c r="H867" s="31">
        <f>Simulation_output!E865</f>
        <v>1</v>
      </c>
      <c r="I867" s="31">
        <f>Simulation_output!F865</f>
        <v>0</v>
      </c>
      <c r="J867" s="31">
        <f>Simulation_output!G865</f>
        <v>0</v>
      </c>
      <c r="K867" s="31">
        <f>Simulation_output!H865</f>
        <v>0</v>
      </c>
      <c r="L867">
        <v>1</v>
      </c>
      <c r="M867">
        <f t="shared" si="227"/>
        <v>0</v>
      </c>
      <c r="N867">
        <f t="shared" si="226"/>
        <v>0</v>
      </c>
      <c r="O867">
        <f t="shared" si="225"/>
        <v>0</v>
      </c>
      <c r="P867">
        <f t="shared" si="228"/>
        <v>0</v>
      </c>
      <c r="Q867">
        <f t="shared" si="224"/>
        <v>0</v>
      </c>
      <c r="R867">
        <f t="shared" si="214"/>
        <v>0</v>
      </c>
      <c r="S867">
        <f t="shared" si="215"/>
        <v>0</v>
      </c>
      <c r="T867">
        <f t="shared" si="216"/>
        <v>0</v>
      </c>
      <c r="U867">
        <f t="shared" si="217"/>
        <v>0</v>
      </c>
      <c r="V867">
        <f t="shared" si="218"/>
        <v>0</v>
      </c>
      <c r="W867">
        <f t="shared" si="219"/>
        <v>0</v>
      </c>
      <c r="X867">
        <f t="shared" si="220"/>
        <v>0</v>
      </c>
      <c r="Y867">
        <f t="shared" si="221"/>
        <v>0</v>
      </c>
      <c r="Z867">
        <f t="shared" si="222"/>
        <v>0</v>
      </c>
      <c r="AB867">
        <v>863</v>
      </c>
      <c r="AC867">
        <f t="shared" si="223"/>
        <v>33</v>
      </c>
      <c r="AD867">
        <f t="shared" si="213"/>
        <v>0</v>
      </c>
    </row>
    <row r="868" spans="4:30" x14ac:dyDescent="0.25">
      <c r="D868" s="31">
        <f>Simulation_output!A866</f>
        <v>8645000</v>
      </c>
      <c r="E868">
        <f>Sheet2!R865</f>
        <v>0</v>
      </c>
      <c r="F868">
        <f>Sheet2!S865</f>
        <v>0</v>
      </c>
      <c r="G868">
        <f>Sheet2!T865</f>
        <v>0</v>
      </c>
      <c r="H868" s="31">
        <f>Simulation_output!E866</f>
        <v>1</v>
      </c>
      <c r="I868" s="31">
        <f>Simulation_output!F866</f>
        <v>0</v>
      </c>
      <c r="J868" s="31">
        <f>Simulation_output!G866</f>
        <v>0</v>
      </c>
      <c r="K868" s="31">
        <f>Simulation_output!H866</f>
        <v>0</v>
      </c>
      <c r="L868">
        <v>1</v>
      </c>
      <c r="M868">
        <f t="shared" si="227"/>
        <v>0</v>
      </c>
      <c r="N868">
        <f t="shared" si="226"/>
        <v>0</v>
      </c>
      <c r="O868">
        <f t="shared" si="225"/>
        <v>0</v>
      </c>
      <c r="P868">
        <f t="shared" si="228"/>
        <v>0</v>
      </c>
      <c r="Q868">
        <f t="shared" si="224"/>
        <v>0</v>
      </c>
      <c r="R868">
        <f t="shared" si="214"/>
        <v>0</v>
      </c>
      <c r="S868">
        <f t="shared" si="215"/>
        <v>0</v>
      </c>
      <c r="T868">
        <f t="shared" si="216"/>
        <v>0</v>
      </c>
      <c r="U868">
        <f t="shared" si="217"/>
        <v>0</v>
      </c>
      <c r="V868">
        <f t="shared" si="218"/>
        <v>0</v>
      </c>
      <c r="W868">
        <f t="shared" si="219"/>
        <v>0</v>
      </c>
      <c r="X868">
        <f t="shared" si="220"/>
        <v>0</v>
      </c>
      <c r="Y868">
        <f t="shared" si="221"/>
        <v>0</v>
      </c>
      <c r="Z868">
        <f t="shared" si="222"/>
        <v>0</v>
      </c>
      <c r="AB868">
        <v>864</v>
      </c>
      <c r="AC868">
        <f t="shared" si="223"/>
        <v>33</v>
      </c>
      <c r="AD868">
        <f t="shared" si="213"/>
        <v>0</v>
      </c>
    </row>
    <row r="869" spans="4:30" x14ac:dyDescent="0.25">
      <c r="D869" s="31">
        <f>Simulation_output!A867</f>
        <v>8655000</v>
      </c>
      <c r="E869">
        <f>Sheet2!R866</f>
        <v>0</v>
      </c>
      <c r="F869">
        <f>Sheet2!S866</f>
        <v>0</v>
      </c>
      <c r="G869">
        <f>Sheet2!T866</f>
        <v>0</v>
      </c>
      <c r="H869" s="31">
        <f>Simulation_output!E867</f>
        <v>1</v>
      </c>
      <c r="I869" s="31">
        <f>Simulation_output!F867</f>
        <v>0</v>
      </c>
      <c r="J869" s="31">
        <f>Simulation_output!G867</f>
        <v>0</v>
      </c>
      <c r="K869" s="31">
        <f>Simulation_output!H867</f>
        <v>0</v>
      </c>
      <c r="L869">
        <v>1</v>
      </c>
      <c r="M869">
        <f t="shared" si="227"/>
        <v>0</v>
      </c>
      <c r="N869">
        <f t="shared" si="226"/>
        <v>0</v>
      </c>
      <c r="O869">
        <f t="shared" si="225"/>
        <v>0</v>
      </c>
      <c r="P869">
        <f t="shared" si="228"/>
        <v>0</v>
      </c>
      <c r="Q869">
        <f t="shared" si="224"/>
        <v>0</v>
      </c>
      <c r="R869">
        <f t="shared" si="214"/>
        <v>0</v>
      </c>
      <c r="S869">
        <f t="shared" si="215"/>
        <v>0</v>
      </c>
      <c r="T869">
        <f t="shared" si="216"/>
        <v>0</v>
      </c>
      <c r="U869">
        <f t="shared" si="217"/>
        <v>0</v>
      </c>
      <c r="V869">
        <f t="shared" si="218"/>
        <v>0</v>
      </c>
      <c r="W869">
        <f t="shared" si="219"/>
        <v>0</v>
      </c>
      <c r="X869">
        <f t="shared" si="220"/>
        <v>0</v>
      </c>
      <c r="Y869">
        <f t="shared" si="221"/>
        <v>0</v>
      </c>
      <c r="Z869">
        <f t="shared" si="222"/>
        <v>0</v>
      </c>
      <c r="AB869">
        <v>865</v>
      </c>
      <c r="AC869">
        <f t="shared" si="223"/>
        <v>33</v>
      </c>
      <c r="AD869">
        <f t="shared" si="213"/>
        <v>0</v>
      </c>
    </row>
    <row r="870" spans="4:30" x14ac:dyDescent="0.25">
      <c r="D870" s="31">
        <f>Simulation_output!A868</f>
        <v>8665000</v>
      </c>
      <c r="E870">
        <f>Sheet2!R867</f>
        <v>0</v>
      </c>
      <c r="F870">
        <f>Sheet2!S867</f>
        <v>0</v>
      </c>
      <c r="G870">
        <f>Sheet2!T867</f>
        <v>0</v>
      </c>
      <c r="H870" s="31">
        <f>Simulation_output!E868</f>
        <v>1</v>
      </c>
      <c r="I870" s="31">
        <f>Simulation_output!F868</f>
        <v>0</v>
      </c>
      <c r="J870" s="31">
        <f>Simulation_output!G868</f>
        <v>0</v>
      </c>
      <c r="K870" s="31">
        <f>Simulation_output!H868</f>
        <v>0</v>
      </c>
      <c r="L870">
        <v>1</v>
      </c>
      <c r="M870">
        <f t="shared" si="227"/>
        <v>0</v>
      </c>
      <c r="N870">
        <f t="shared" si="226"/>
        <v>0</v>
      </c>
      <c r="O870">
        <f t="shared" si="225"/>
        <v>0</v>
      </c>
      <c r="P870">
        <f t="shared" si="228"/>
        <v>0</v>
      </c>
      <c r="Q870">
        <f t="shared" si="224"/>
        <v>0</v>
      </c>
      <c r="R870">
        <f t="shared" si="214"/>
        <v>0</v>
      </c>
      <c r="S870">
        <f t="shared" si="215"/>
        <v>0</v>
      </c>
      <c r="T870">
        <f t="shared" si="216"/>
        <v>0</v>
      </c>
      <c r="U870">
        <f t="shared" si="217"/>
        <v>0</v>
      </c>
      <c r="V870">
        <f t="shared" si="218"/>
        <v>0</v>
      </c>
      <c r="W870">
        <f t="shared" si="219"/>
        <v>0</v>
      </c>
      <c r="X870">
        <f t="shared" si="220"/>
        <v>0</v>
      </c>
      <c r="Y870">
        <f t="shared" si="221"/>
        <v>0</v>
      </c>
      <c r="Z870">
        <f t="shared" si="222"/>
        <v>0</v>
      </c>
      <c r="AB870">
        <v>866</v>
      </c>
      <c r="AC870">
        <f t="shared" si="223"/>
        <v>33</v>
      </c>
      <c r="AD870">
        <f t="shared" si="213"/>
        <v>0</v>
      </c>
    </row>
    <row r="871" spans="4:30" x14ac:dyDescent="0.25">
      <c r="D871" s="31">
        <f>Simulation_output!A869</f>
        <v>8675000</v>
      </c>
      <c r="E871">
        <f>Sheet2!R868</f>
        <v>0</v>
      </c>
      <c r="F871">
        <f>Sheet2!S868</f>
        <v>0</v>
      </c>
      <c r="G871">
        <f>Sheet2!T868</f>
        <v>0</v>
      </c>
      <c r="H871" s="31">
        <f>Simulation_output!E869</f>
        <v>1</v>
      </c>
      <c r="I871" s="31">
        <f>Simulation_output!F869</f>
        <v>0</v>
      </c>
      <c r="J871" s="31">
        <f>Simulation_output!G869</f>
        <v>0</v>
      </c>
      <c r="K871" s="31">
        <f>Simulation_output!H869</f>
        <v>0</v>
      </c>
      <c r="L871">
        <v>1</v>
      </c>
      <c r="M871">
        <f t="shared" si="227"/>
        <v>0</v>
      </c>
      <c r="N871">
        <f t="shared" si="226"/>
        <v>0</v>
      </c>
      <c r="O871">
        <f t="shared" si="225"/>
        <v>0</v>
      </c>
      <c r="P871">
        <f t="shared" si="228"/>
        <v>0</v>
      </c>
      <c r="Q871">
        <f t="shared" si="224"/>
        <v>0</v>
      </c>
      <c r="R871">
        <f t="shared" si="214"/>
        <v>0</v>
      </c>
      <c r="S871">
        <f t="shared" si="215"/>
        <v>0</v>
      </c>
      <c r="T871">
        <f t="shared" si="216"/>
        <v>0</v>
      </c>
      <c r="U871">
        <f t="shared" si="217"/>
        <v>0</v>
      </c>
      <c r="V871">
        <f t="shared" si="218"/>
        <v>0</v>
      </c>
      <c r="W871">
        <f t="shared" si="219"/>
        <v>0</v>
      </c>
      <c r="X871">
        <f t="shared" si="220"/>
        <v>0</v>
      </c>
      <c r="Y871">
        <f t="shared" si="221"/>
        <v>0</v>
      </c>
      <c r="Z871">
        <f t="shared" si="222"/>
        <v>0</v>
      </c>
      <c r="AB871">
        <v>867</v>
      </c>
      <c r="AC871">
        <f t="shared" si="223"/>
        <v>33</v>
      </c>
      <c r="AD871">
        <f t="shared" si="213"/>
        <v>0</v>
      </c>
    </row>
    <row r="872" spans="4:30" x14ac:dyDescent="0.25">
      <c r="D872" s="31">
        <f>Simulation_output!A870</f>
        <v>8685000</v>
      </c>
      <c r="E872">
        <f>Sheet2!R869</f>
        <v>0</v>
      </c>
      <c r="F872">
        <f>Sheet2!S869</f>
        <v>0</v>
      </c>
      <c r="G872">
        <f>Sheet2!T869</f>
        <v>0</v>
      </c>
      <c r="H872" s="31">
        <f>Simulation_output!E870</f>
        <v>1</v>
      </c>
      <c r="I872" s="31">
        <f>Simulation_output!F870</f>
        <v>0</v>
      </c>
      <c r="J872" s="31">
        <f>Simulation_output!G870</f>
        <v>0</v>
      </c>
      <c r="K872" s="31">
        <f>Simulation_output!H870</f>
        <v>0</v>
      </c>
      <c r="L872">
        <v>1</v>
      </c>
      <c r="M872">
        <f t="shared" si="227"/>
        <v>0</v>
      </c>
      <c r="N872">
        <f t="shared" si="226"/>
        <v>0</v>
      </c>
      <c r="O872">
        <f t="shared" si="225"/>
        <v>0</v>
      </c>
      <c r="P872">
        <f t="shared" si="228"/>
        <v>0</v>
      </c>
      <c r="Q872">
        <f t="shared" si="224"/>
        <v>0</v>
      </c>
      <c r="R872">
        <f t="shared" si="214"/>
        <v>0</v>
      </c>
      <c r="S872">
        <f t="shared" si="215"/>
        <v>0</v>
      </c>
      <c r="T872">
        <f t="shared" si="216"/>
        <v>0</v>
      </c>
      <c r="U872">
        <f t="shared" si="217"/>
        <v>0</v>
      </c>
      <c r="V872">
        <f t="shared" si="218"/>
        <v>0</v>
      </c>
      <c r="W872">
        <f t="shared" si="219"/>
        <v>0</v>
      </c>
      <c r="X872">
        <f t="shared" si="220"/>
        <v>0</v>
      </c>
      <c r="Y872">
        <f t="shared" si="221"/>
        <v>0</v>
      </c>
      <c r="Z872">
        <f t="shared" si="222"/>
        <v>0</v>
      </c>
      <c r="AB872">
        <v>868</v>
      </c>
      <c r="AC872">
        <f t="shared" si="223"/>
        <v>33</v>
      </c>
      <c r="AD872">
        <f t="shared" si="213"/>
        <v>0</v>
      </c>
    </row>
    <row r="873" spans="4:30" x14ac:dyDescent="0.25">
      <c r="D873" s="31">
        <f>Simulation_output!A871</f>
        <v>8695000</v>
      </c>
      <c r="E873">
        <f>Sheet2!R870</f>
        <v>0</v>
      </c>
      <c r="F873">
        <f>Sheet2!S870</f>
        <v>0</v>
      </c>
      <c r="G873">
        <f>Sheet2!T870</f>
        <v>0</v>
      </c>
      <c r="H873" s="31">
        <f>Simulation_output!E871</f>
        <v>1</v>
      </c>
      <c r="I873" s="31">
        <f>Simulation_output!F871</f>
        <v>0</v>
      </c>
      <c r="J873" s="31">
        <f>Simulation_output!G871</f>
        <v>0</v>
      </c>
      <c r="K873" s="31">
        <f>Simulation_output!H871</f>
        <v>0</v>
      </c>
      <c r="L873">
        <v>1</v>
      </c>
      <c r="M873">
        <f t="shared" si="227"/>
        <v>0</v>
      </c>
      <c r="N873">
        <f t="shared" si="226"/>
        <v>0</v>
      </c>
      <c r="O873">
        <f t="shared" si="225"/>
        <v>0</v>
      </c>
      <c r="P873">
        <f t="shared" si="228"/>
        <v>0</v>
      </c>
      <c r="Q873">
        <f t="shared" si="224"/>
        <v>0</v>
      </c>
      <c r="R873">
        <f t="shared" si="214"/>
        <v>0</v>
      </c>
      <c r="S873">
        <f t="shared" si="215"/>
        <v>0</v>
      </c>
      <c r="T873">
        <f t="shared" si="216"/>
        <v>0</v>
      </c>
      <c r="U873">
        <f t="shared" si="217"/>
        <v>0</v>
      </c>
      <c r="V873">
        <f t="shared" si="218"/>
        <v>0</v>
      </c>
      <c r="W873">
        <f t="shared" si="219"/>
        <v>0</v>
      </c>
      <c r="X873">
        <f t="shared" si="220"/>
        <v>0</v>
      </c>
      <c r="Y873">
        <f t="shared" si="221"/>
        <v>0</v>
      </c>
      <c r="Z873">
        <f t="shared" si="222"/>
        <v>0</v>
      </c>
      <c r="AB873">
        <v>869</v>
      </c>
      <c r="AC873">
        <f t="shared" si="223"/>
        <v>33</v>
      </c>
      <c r="AD873">
        <f t="shared" si="213"/>
        <v>0</v>
      </c>
    </row>
    <row r="874" spans="4:30" x14ac:dyDescent="0.25">
      <c r="D874" s="31">
        <f>Simulation_output!A872</f>
        <v>8705000</v>
      </c>
      <c r="E874">
        <f>Sheet2!R871</f>
        <v>0</v>
      </c>
      <c r="F874">
        <f>Sheet2!S871</f>
        <v>0</v>
      </c>
      <c r="G874">
        <f>Sheet2!T871</f>
        <v>0</v>
      </c>
      <c r="H874" s="31">
        <f>Simulation_output!E872</f>
        <v>1</v>
      </c>
      <c r="I874" s="31">
        <f>Simulation_output!F872</f>
        <v>0</v>
      </c>
      <c r="J874" s="31">
        <f>Simulation_output!G872</f>
        <v>0</v>
      </c>
      <c r="K874" s="31">
        <f>Simulation_output!H872</f>
        <v>0</v>
      </c>
      <c r="L874">
        <v>1</v>
      </c>
      <c r="M874">
        <f t="shared" si="227"/>
        <v>0</v>
      </c>
      <c r="N874">
        <f t="shared" si="226"/>
        <v>0</v>
      </c>
      <c r="O874">
        <f t="shared" si="225"/>
        <v>0</v>
      </c>
      <c r="P874">
        <f t="shared" si="228"/>
        <v>0</v>
      </c>
      <c r="Q874">
        <f t="shared" si="224"/>
        <v>0</v>
      </c>
      <c r="R874">
        <f t="shared" si="214"/>
        <v>0</v>
      </c>
      <c r="S874">
        <f t="shared" si="215"/>
        <v>0</v>
      </c>
      <c r="T874">
        <f t="shared" si="216"/>
        <v>0</v>
      </c>
      <c r="U874">
        <f t="shared" si="217"/>
        <v>0</v>
      </c>
      <c r="V874">
        <f t="shared" si="218"/>
        <v>0</v>
      </c>
      <c r="W874">
        <f t="shared" si="219"/>
        <v>0</v>
      </c>
      <c r="X874">
        <f t="shared" si="220"/>
        <v>0</v>
      </c>
      <c r="Y874">
        <f t="shared" si="221"/>
        <v>0</v>
      </c>
      <c r="Z874">
        <f t="shared" si="222"/>
        <v>0</v>
      </c>
      <c r="AB874">
        <v>870</v>
      </c>
      <c r="AC874">
        <f t="shared" si="223"/>
        <v>33</v>
      </c>
      <c r="AD874">
        <f t="shared" si="213"/>
        <v>0</v>
      </c>
    </row>
    <row r="875" spans="4:30" x14ac:dyDescent="0.25">
      <c r="D875" s="31">
        <f>Simulation_output!A873</f>
        <v>8715000</v>
      </c>
      <c r="E875">
        <f>Sheet2!R872</f>
        <v>0</v>
      </c>
      <c r="F875">
        <f>Sheet2!S872</f>
        <v>0</v>
      </c>
      <c r="G875">
        <f>Sheet2!T872</f>
        <v>0</v>
      </c>
      <c r="H875" s="31">
        <f>Simulation_output!E873</f>
        <v>1</v>
      </c>
      <c r="I875" s="31">
        <f>Simulation_output!F873</f>
        <v>0</v>
      </c>
      <c r="J875" s="31">
        <f>Simulation_output!G873</f>
        <v>0</v>
      </c>
      <c r="K875" s="31">
        <f>Simulation_output!H873</f>
        <v>0</v>
      </c>
      <c r="L875">
        <v>1</v>
      </c>
      <c r="M875">
        <f t="shared" si="227"/>
        <v>0</v>
      </c>
      <c r="N875">
        <f t="shared" si="226"/>
        <v>0</v>
      </c>
      <c r="O875">
        <f t="shared" si="225"/>
        <v>0</v>
      </c>
      <c r="P875">
        <f t="shared" si="228"/>
        <v>0</v>
      </c>
      <c r="Q875">
        <f t="shared" si="224"/>
        <v>0</v>
      </c>
      <c r="R875">
        <f t="shared" si="214"/>
        <v>0</v>
      </c>
      <c r="S875">
        <f t="shared" si="215"/>
        <v>0</v>
      </c>
      <c r="T875">
        <f t="shared" si="216"/>
        <v>0</v>
      </c>
      <c r="U875">
        <f t="shared" si="217"/>
        <v>0</v>
      </c>
      <c r="V875">
        <f t="shared" si="218"/>
        <v>0</v>
      </c>
      <c r="W875">
        <f t="shared" si="219"/>
        <v>0</v>
      </c>
      <c r="X875">
        <f t="shared" si="220"/>
        <v>0</v>
      </c>
      <c r="Y875">
        <f t="shared" si="221"/>
        <v>0</v>
      </c>
      <c r="Z875">
        <f t="shared" si="222"/>
        <v>0</v>
      </c>
      <c r="AB875">
        <v>871</v>
      </c>
      <c r="AC875">
        <f t="shared" si="223"/>
        <v>33</v>
      </c>
      <c r="AD875">
        <f t="shared" si="213"/>
        <v>0</v>
      </c>
    </row>
    <row r="876" spans="4:30" x14ac:dyDescent="0.25">
      <c r="D876" s="31">
        <f>Simulation_output!A874</f>
        <v>8725000</v>
      </c>
      <c r="E876">
        <f>Sheet2!R873</f>
        <v>0</v>
      </c>
      <c r="F876">
        <f>Sheet2!S873</f>
        <v>0</v>
      </c>
      <c r="G876">
        <f>Sheet2!T873</f>
        <v>0</v>
      </c>
      <c r="H876" s="31">
        <f>Simulation_output!E874</f>
        <v>1</v>
      </c>
      <c r="I876" s="31">
        <f>Simulation_output!F874</f>
        <v>0</v>
      </c>
      <c r="J876" s="31">
        <f>Simulation_output!G874</f>
        <v>0</v>
      </c>
      <c r="K876" s="31">
        <f>Simulation_output!H874</f>
        <v>0</v>
      </c>
      <c r="L876">
        <v>1</v>
      </c>
      <c r="M876">
        <f t="shared" si="227"/>
        <v>0</v>
      </c>
      <c r="N876">
        <f t="shared" si="226"/>
        <v>0</v>
      </c>
      <c r="O876">
        <f t="shared" si="225"/>
        <v>0</v>
      </c>
      <c r="P876">
        <f t="shared" si="228"/>
        <v>0</v>
      </c>
      <c r="Q876">
        <f t="shared" si="224"/>
        <v>0</v>
      </c>
      <c r="R876">
        <f t="shared" si="214"/>
        <v>0</v>
      </c>
      <c r="S876">
        <f t="shared" si="215"/>
        <v>0</v>
      </c>
      <c r="T876">
        <f t="shared" si="216"/>
        <v>0</v>
      </c>
      <c r="U876">
        <f t="shared" si="217"/>
        <v>0</v>
      </c>
      <c r="V876">
        <f t="shared" si="218"/>
        <v>0</v>
      </c>
      <c r="W876">
        <f t="shared" si="219"/>
        <v>0</v>
      </c>
      <c r="X876">
        <f t="shared" si="220"/>
        <v>0</v>
      </c>
      <c r="Y876">
        <f t="shared" si="221"/>
        <v>0</v>
      </c>
      <c r="Z876">
        <f t="shared" si="222"/>
        <v>0</v>
      </c>
      <c r="AB876">
        <v>872</v>
      </c>
      <c r="AC876">
        <f t="shared" si="223"/>
        <v>33</v>
      </c>
      <c r="AD876">
        <f t="shared" si="213"/>
        <v>0</v>
      </c>
    </row>
    <row r="877" spans="4:30" x14ac:dyDescent="0.25">
      <c r="D877" s="31">
        <f>Simulation_output!A875</f>
        <v>8735000</v>
      </c>
      <c r="E877">
        <f>Sheet2!R874</f>
        <v>0</v>
      </c>
      <c r="F877">
        <f>Sheet2!S874</f>
        <v>0</v>
      </c>
      <c r="G877">
        <f>Sheet2!T874</f>
        <v>0</v>
      </c>
      <c r="H877" s="31">
        <f>Simulation_output!E875</f>
        <v>1</v>
      </c>
      <c r="I877" s="31">
        <f>Simulation_output!F875</f>
        <v>0</v>
      </c>
      <c r="J877" s="31">
        <f>Simulation_output!G875</f>
        <v>0</v>
      </c>
      <c r="K877" s="31">
        <f>Simulation_output!H875</f>
        <v>0</v>
      </c>
      <c r="L877">
        <v>1</v>
      </c>
      <c r="M877">
        <f t="shared" si="227"/>
        <v>0</v>
      </c>
      <c r="N877">
        <f t="shared" si="226"/>
        <v>0</v>
      </c>
      <c r="O877">
        <f t="shared" si="225"/>
        <v>0</v>
      </c>
      <c r="P877">
        <f t="shared" si="228"/>
        <v>0</v>
      </c>
      <c r="Q877">
        <f t="shared" si="224"/>
        <v>0</v>
      </c>
      <c r="R877">
        <f t="shared" si="214"/>
        <v>0</v>
      </c>
      <c r="S877">
        <f t="shared" si="215"/>
        <v>0</v>
      </c>
      <c r="T877">
        <f t="shared" si="216"/>
        <v>0</v>
      </c>
      <c r="U877">
        <f t="shared" si="217"/>
        <v>0</v>
      </c>
      <c r="V877">
        <f t="shared" si="218"/>
        <v>0</v>
      </c>
      <c r="W877">
        <f t="shared" si="219"/>
        <v>0</v>
      </c>
      <c r="X877">
        <f t="shared" si="220"/>
        <v>0</v>
      </c>
      <c r="Y877">
        <f t="shared" si="221"/>
        <v>0</v>
      </c>
      <c r="Z877">
        <f t="shared" si="222"/>
        <v>0</v>
      </c>
      <c r="AB877">
        <v>873</v>
      </c>
      <c r="AC877">
        <f t="shared" si="223"/>
        <v>33</v>
      </c>
      <c r="AD877">
        <f t="shared" si="213"/>
        <v>0</v>
      </c>
    </row>
    <row r="878" spans="4:30" x14ac:dyDescent="0.25">
      <c r="D878" s="31">
        <f>Simulation_output!A876</f>
        <v>8745000</v>
      </c>
      <c r="E878">
        <f>Sheet2!R875</f>
        <v>0</v>
      </c>
      <c r="F878">
        <f>Sheet2!S875</f>
        <v>0</v>
      </c>
      <c r="G878">
        <f>Sheet2!T875</f>
        <v>0</v>
      </c>
      <c r="H878" s="31">
        <f>Simulation_output!E876</f>
        <v>1</v>
      </c>
      <c r="I878" s="31">
        <f>Simulation_output!F876</f>
        <v>0</v>
      </c>
      <c r="J878" s="31">
        <f>Simulation_output!G876</f>
        <v>0</v>
      </c>
      <c r="K878" s="31">
        <f>Simulation_output!H876</f>
        <v>0</v>
      </c>
      <c r="L878">
        <v>1</v>
      </c>
      <c r="M878">
        <f t="shared" si="227"/>
        <v>0</v>
      </c>
      <c r="N878">
        <f t="shared" si="226"/>
        <v>0</v>
      </c>
      <c r="O878">
        <f t="shared" si="225"/>
        <v>0</v>
      </c>
      <c r="P878">
        <f t="shared" si="228"/>
        <v>0</v>
      </c>
      <c r="Q878">
        <f t="shared" si="224"/>
        <v>0</v>
      </c>
      <c r="R878">
        <f t="shared" si="214"/>
        <v>0</v>
      </c>
      <c r="S878">
        <f t="shared" si="215"/>
        <v>0</v>
      </c>
      <c r="T878">
        <f t="shared" si="216"/>
        <v>0</v>
      </c>
      <c r="U878">
        <f t="shared" si="217"/>
        <v>0</v>
      </c>
      <c r="V878">
        <f t="shared" si="218"/>
        <v>0</v>
      </c>
      <c r="W878">
        <f t="shared" si="219"/>
        <v>0</v>
      </c>
      <c r="X878">
        <f t="shared" si="220"/>
        <v>0</v>
      </c>
      <c r="Y878">
        <f t="shared" si="221"/>
        <v>0</v>
      </c>
      <c r="Z878">
        <f t="shared" si="222"/>
        <v>0</v>
      </c>
      <c r="AB878">
        <v>874</v>
      </c>
      <c r="AC878">
        <f t="shared" si="223"/>
        <v>33</v>
      </c>
      <c r="AD878">
        <f t="shared" si="213"/>
        <v>0</v>
      </c>
    </row>
    <row r="879" spans="4:30" x14ac:dyDescent="0.25">
      <c r="D879" s="31">
        <f>Simulation_output!A877</f>
        <v>8755000</v>
      </c>
      <c r="E879">
        <f>Sheet2!R876</f>
        <v>0</v>
      </c>
      <c r="F879">
        <f>Sheet2!S876</f>
        <v>0</v>
      </c>
      <c r="G879">
        <f>Sheet2!T876</f>
        <v>0</v>
      </c>
      <c r="H879" s="31">
        <f>Simulation_output!E877</f>
        <v>1</v>
      </c>
      <c r="I879" s="31">
        <f>Simulation_output!F877</f>
        <v>0</v>
      </c>
      <c r="J879" s="31">
        <f>Simulation_output!G877</f>
        <v>0</v>
      </c>
      <c r="K879" s="31">
        <f>Simulation_output!H877</f>
        <v>0</v>
      </c>
      <c r="L879">
        <v>1</v>
      </c>
      <c r="M879">
        <f t="shared" si="227"/>
        <v>0</v>
      </c>
      <c r="N879">
        <f t="shared" si="226"/>
        <v>0</v>
      </c>
      <c r="O879">
        <f t="shared" si="225"/>
        <v>0</v>
      </c>
      <c r="P879">
        <f t="shared" si="228"/>
        <v>0</v>
      </c>
      <c r="Q879">
        <f t="shared" si="224"/>
        <v>0</v>
      </c>
      <c r="R879">
        <f t="shared" si="214"/>
        <v>0</v>
      </c>
      <c r="S879">
        <f t="shared" si="215"/>
        <v>0</v>
      </c>
      <c r="T879">
        <f t="shared" si="216"/>
        <v>0</v>
      </c>
      <c r="U879">
        <f t="shared" si="217"/>
        <v>0</v>
      </c>
      <c r="V879">
        <f t="shared" si="218"/>
        <v>0</v>
      </c>
      <c r="W879">
        <f t="shared" si="219"/>
        <v>0</v>
      </c>
      <c r="X879">
        <f t="shared" si="220"/>
        <v>0</v>
      </c>
      <c r="Y879">
        <f t="shared" si="221"/>
        <v>0</v>
      </c>
      <c r="Z879">
        <f t="shared" si="222"/>
        <v>0</v>
      </c>
      <c r="AB879">
        <v>875</v>
      </c>
      <c r="AC879">
        <f t="shared" si="223"/>
        <v>33</v>
      </c>
      <c r="AD879">
        <f t="shared" si="213"/>
        <v>0</v>
      </c>
    </row>
    <row r="880" spans="4:30" x14ac:dyDescent="0.25">
      <c r="D880" s="31">
        <f>Simulation_output!A878</f>
        <v>8765000</v>
      </c>
      <c r="E880">
        <f>Sheet2!R877</f>
        <v>0</v>
      </c>
      <c r="F880">
        <f>Sheet2!S877</f>
        <v>0</v>
      </c>
      <c r="G880">
        <f>Sheet2!T877</f>
        <v>0</v>
      </c>
      <c r="H880" s="31">
        <f>Simulation_output!E878</f>
        <v>1</v>
      </c>
      <c r="I880" s="31">
        <f>Simulation_output!F878</f>
        <v>0</v>
      </c>
      <c r="J880" s="31">
        <f>Simulation_output!G878</f>
        <v>0</v>
      </c>
      <c r="K880" s="31">
        <f>Simulation_output!H878</f>
        <v>0</v>
      </c>
      <c r="L880">
        <v>1</v>
      </c>
      <c r="M880">
        <f t="shared" si="227"/>
        <v>0</v>
      </c>
      <c r="N880">
        <f t="shared" si="226"/>
        <v>0</v>
      </c>
      <c r="O880">
        <f t="shared" si="225"/>
        <v>0</v>
      </c>
      <c r="P880">
        <f t="shared" si="228"/>
        <v>0</v>
      </c>
      <c r="Q880">
        <f t="shared" si="224"/>
        <v>0</v>
      </c>
      <c r="R880">
        <f t="shared" si="214"/>
        <v>0</v>
      </c>
      <c r="S880">
        <f t="shared" si="215"/>
        <v>0</v>
      </c>
      <c r="T880">
        <f t="shared" si="216"/>
        <v>0</v>
      </c>
      <c r="U880">
        <f t="shared" si="217"/>
        <v>0</v>
      </c>
      <c r="V880">
        <f t="shared" si="218"/>
        <v>0</v>
      </c>
      <c r="W880">
        <f t="shared" si="219"/>
        <v>0</v>
      </c>
      <c r="X880">
        <f t="shared" si="220"/>
        <v>0</v>
      </c>
      <c r="Y880">
        <f t="shared" si="221"/>
        <v>0</v>
      </c>
      <c r="Z880">
        <f t="shared" si="222"/>
        <v>0</v>
      </c>
      <c r="AB880">
        <v>876</v>
      </c>
      <c r="AC880">
        <f t="shared" si="223"/>
        <v>33</v>
      </c>
      <c r="AD880">
        <f t="shared" si="213"/>
        <v>0</v>
      </c>
    </row>
    <row r="881" spans="4:30" x14ac:dyDescent="0.25">
      <c r="D881" s="31">
        <f>Simulation_output!A879</f>
        <v>8775000</v>
      </c>
      <c r="E881">
        <f>Sheet2!R878</f>
        <v>0</v>
      </c>
      <c r="F881">
        <f>Sheet2!S878</f>
        <v>0</v>
      </c>
      <c r="G881">
        <f>Sheet2!T878</f>
        <v>0</v>
      </c>
      <c r="H881" s="31">
        <f>Simulation_output!E879</f>
        <v>1</v>
      </c>
      <c r="I881" s="31">
        <f>Simulation_output!F879</f>
        <v>0</v>
      </c>
      <c r="J881" s="31">
        <f>Simulation_output!G879</f>
        <v>0</v>
      </c>
      <c r="K881" s="31">
        <f>Simulation_output!H879</f>
        <v>0</v>
      </c>
      <c r="L881">
        <v>1</v>
      </c>
      <c r="M881">
        <f t="shared" si="227"/>
        <v>0</v>
      </c>
      <c r="N881">
        <f t="shared" si="226"/>
        <v>0</v>
      </c>
      <c r="O881">
        <f t="shared" si="225"/>
        <v>0</v>
      </c>
      <c r="P881">
        <f t="shared" si="228"/>
        <v>0</v>
      </c>
      <c r="Q881">
        <f t="shared" si="224"/>
        <v>0</v>
      </c>
      <c r="R881">
        <f t="shared" si="214"/>
        <v>0</v>
      </c>
      <c r="S881">
        <f t="shared" si="215"/>
        <v>0</v>
      </c>
      <c r="T881">
        <f t="shared" si="216"/>
        <v>0</v>
      </c>
      <c r="U881">
        <f t="shared" si="217"/>
        <v>0</v>
      </c>
      <c r="V881">
        <f t="shared" si="218"/>
        <v>0</v>
      </c>
      <c r="W881">
        <f t="shared" si="219"/>
        <v>0</v>
      </c>
      <c r="X881">
        <f t="shared" si="220"/>
        <v>0</v>
      </c>
      <c r="Y881">
        <f t="shared" si="221"/>
        <v>0</v>
      </c>
      <c r="Z881">
        <f t="shared" si="222"/>
        <v>0</v>
      </c>
      <c r="AB881">
        <v>877</v>
      </c>
      <c r="AC881">
        <f t="shared" si="223"/>
        <v>33</v>
      </c>
      <c r="AD881">
        <f t="shared" si="213"/>
        <v>0</v>
      </c>
    </row>
    <row r="882" spans="4:30" x14ac:dyDescent="0.25">
      <c r="D882" s="31">
        <f>Simulation_output!A880</f>
        <v>8785000</v>
      </c>
      <c r="E882">
        <f>Sheet2!R879</f>
        <v>0</v>
      </c>
      <c r="F882">
        <f>Sheet2!S879</f>
        <v>0</v>
      </c>
      <c r="G882">
        <f>Sheet2!T879</f>
        <v>0</v>
      </c>
      <c r="H882" s="31">
        <f>Simulation_output!E880</f>
        <v>1</v>
      </c>
      <c r="I882" s="31">
        <f>Simulation_output!F880</f>
        <v>0</v>
      </c>
      <c r="J882" s="31">
        <f>Simulation_output!G880</f>
        <v>0</v>
      </c>
      <c r="K882" s="31">
        <f>Simulation_output!H880</f>
        <v>0</v>
      </c>
      <c r="L882">
        <v>1</v>
      </c>
      <c r="M882">
        <f t="shared" si="227"/>
        <v>0</v>
      </c>
      <c r="N882">
        <f t="shared" si="226"/>
        <v>0</v>
      </c>
      <c r="O882">
        <f t="shared" si="225"/>
        <v>0</v>
      </c>
      <c r="P882">
        <f t="shared" si="228"/>
        <v>0</v>
      </c>
      <c r="Q882">
        <f t="shared" si="224"/>
        <v>0</v>
      </c>
      <c r="R882">
        <f t="shared" si="214"/>
        <v>0</v>
      </c>
      <c r="S882">
        <f t="shared" si="215"/>
        <v>0</v>
      </c>
      <c r="T882">
        <f t="shared" si="216"/>
        <v>0</v>
      </c>
      <c r="U882">
        <f t="shared" si="217"/>
        <v>0</v>
      </c>
      <c r="V882">
        <f t="shared" si="218"/>
        <v>0</v>
      </c>
      <c r="W882">
        <f t="shared" si="219"/>
        <v>0</v>
      </c>
      <c r="X882">
        <f t="shared" si="220"/>
        <v>0</v>
      </c>
      <c r="Y882">
        <f t="shared" si="221"/>
        <v>0</v>
      </c>
      <c r="Z882">
        <f t="shared" si="222"/>
        <v>0</v>
      </c>
      <c r="AB882">
        <v>878</v>
      </c>
      <c r="AC882">
        <f t="shared" si="223"/>
        <v>33</v>
      </c>
      <c r="AD882">
        <f t="shared" si="213"/>
        <v>0</v>
      </c>
    </row>
    <row r="883" spans="4:30" x14ac:dyDescent="0.25">
      <c r="D883" s="31">
        <f>Simulation_output!A881</f>
        <v>8795000</v>
      </c>
      <c r="E883">
        <f>Sheet2!R880</f>
        <v>0</v>
      </c>
      <c r="F883">
        <f>Sheet2!S880</f>
        <v>0</v>
      </c>
      <c r="G883">
        <f>Sheet2!T880</f>
        <v>0</v>
      </c>
      <c r="H883" s="31">
        <f>Simulation_output!E881</f>
        <v>1</v>
      </c>
      <c r="I883" s="31">
        <f>Simulation_output!F881</f>
        <v>0</v>
      </c>
      <c r="J883" s="31">
        <f>Simulation_output!G881</f>
        <v>0</v>
      </c>
      <c r="K883" s="31">
        <f>Simulation_output!H881</f>
        <v>0</v>
      </c>
      <c r="L883">
        <v>1</v>
      </c>
      <c r="M883">
        <f t="shared" si="227"/>
        <v>0</v>
      </c>
      <c r="N883">
        <f t="shared" si="226"/>
        <v>0</v>
      </c>
      <c r="O883">
        <f t="shared" si="225"/>
        <v>0</v>
      </c>
      <c r="P883">
        <f t="shared" si="228"/>
        <v>0</v>
      </c>
      <c r="Q883">
        <f t="shared" si="224"/>
        <v>0</v>
      </c>
      <c r="R883">
        <f t="shared" si="214"/>
        <v>0</v>
      </c>
      <c r="S883">
        <f t="shared" si="215"/>
        <v>0</v>
      </c>
      <c r="T883">
        <f t="shared" si="216"/>
        <v>0</v>
      </c>
      <c r="U883">
        <f t="shared" si="217"/>
        <v>0</v>
      </c>
      <c r="V883">
        <f t="shared" si="218"/>
        <v>0</v>
      </c>
      <c r="W883">
        <f t="shared" si="219"/>
        <v>0</v>
      </c>
      <c r="X883">
        <f t="shared" si="220"/>
        <v>0</v>
      </c>
      <c r="Y883">
        <f t="shared" si="221"/>
        <v>0</v>
      </c>
      <c r="Z883">
        <f t="shared" si="222"/>
        <v>0</v>
      </c>
      <c r="AB883">
        <v>879</v>
      </c>
      <c r="AC883">
        <f t="shared" si="223"/>
        <v>33</v>
      </c>
      <c r="AD883">
        <f t="shared" si="213"/>
        <v>0</v>
      </c>
    </row>
    <row r="884" spans="4:30" x14ac:dyDescent="0.25">
      <c r="D884" s="31">
        <f>Simulation_output!A882</f>
        <v>8805000</v>
      </c>
      <c r="E884">
        <f>Sheet2!R881</f>
        <v>0</v>
      </c>
      <c r="F884">
        <f>Sheet2!S881</f>
        <v>0</v>
      </c>
      <c r="G884">
        <f>Sheet2!T881</f>
        <v>0</v>
      </c>
      <c r="H884" s="31">
        <f>Simulation_output!E882</f>
        <v>1</v>
      </c>
      <c r="I884" s="31">
        <f>Simulation_output!F882</f>
        <v>0</v>
      </c>
      <c r="J884" s="31">
        <f>Simulation_output!G882</f>
        <v>0</v>
      </c>
      <c r="K884" s="31">
        <f>Simulation_output!H882</f>
        <v>0</v>
      </c>
      <c r="L884">
        <v>1</v>
      </c>
      <c r="M884">
        <f t="shared" si="227"/>
        <v>0</v>
      </c>
      <c r="N884">
        <f t="shared" si="226"/>
        <v>0</v>
      </c>
      <c r="O884">
        <f t="shared" si="225"/>
        <v>0</v>
      </c>
      <c r="P884">
        <f t="shared" si="228"/>
        <v>0</v>
      </c>
      <c r="Q884">
        <f t="shared" si="224"/>
        <v>0</v>
      </c>
      <c r="R884">
        <f t="shared" si="214"/>
        <v>0</v>
      </c>
      <c r="S884">
        <f t="shared" si="215"/>
        <v>0</v>
      </c>
      <c r="T884">
        <f t="shared" si="216"/>
        <v>0</v>
      </c>
      <c r="U884">
        <f t="shared" si="217"/>
        <v>0</v>
      </c>
      <c r="V884">
        <f t="shared" si="218"/>
        <v>0</v>
      </c>
      <c r="W884">
        <f t="shared" si="219"/>
        <v>0</v>
      </c>
      <c r="X884">
        <f t="shared" si="220"/>
        <v>0</v>
      </c>
      <c r="Y884">
        <f t="shared" si="221"/>
        <v>0</v>
      </c>
      <c r="Z884">
        <f t="shared" si="222"/>
        <v>0</v>
      </c>
      <c r="AB884">
        <v>880</v>
      </c>
      <c r="AC884">
        <f t="shared" si="223"/>
        <v>33</v>
      </c>
      <c r="AD884">
        <f t="shared" si="213"/>
        <v>0</v>
      </c>
    </row>
    <row r="885" spans="4:30" x14ac:dyDescent="0.25">
      <c r="D885" s="31">
        <f>Simulation_output!A883</f>
        <v>8815000</v>
      </c>
      <c r="E885">
        <f>Sheet2!R882</f>
        <v>0</v>
      </c>
      <c r="F885">
        <f>Sheet2!S882</f>
        <v>0</v>
      </c>
      <c r="G885">
        <f>Sheet2!T882</f>
        <v>0</v>
      </c>
      <c r="H885" s="31">
        <f>Simulation_output!E883</f>
        <v>1</v>
      </c>
      <c r="I885" s="31">
        <f>Simulation_output!F883</f>
        <v>0</v>
      </c>
      <c r="J885" s="31">
        <f>Simulation_output!G883</f>
        <v>0</v>
      </c>
      <c r="K885" s="31">
        <f>Simulation_output!H883</f>
        <v>0</v>
      </c>
      <c r="L885">
        <v>1</v>
      </c>
      <c r="M885">
        <f t="shared" si="227"/>
        <v>0</v>
      </c>
      <c r="N885">
        <f t="shared" si="226"/>
        <v>0</v>
      </c>
      <c r="O885">
        <f t="shared" si="225"/>
        <v>0</v>
      </c>
      <c r="P885">
        <f t="shared" si="228"/>
        <v>0</v>
      </c>
      <c r="Q885">
        <f t="shared" si="224"/>
        <v>0</v>
      </c>
      <c r="R885">
        <f t="shared" si="214"/>
        <v>0</v>
      </c>
      <c r="S885">
        <f t="shared" si="215"/>
        <v>0</v>
      </c>
      <c r="T885">
        <f t="shared" si="216"/>
        <v>0</v>
      </c>
      <c r="U885">
        <f t="shared" si="217"/>
        <v>0</v>
      </c>
      <c r="V885">
        <f t="shared" si="218"/>
        <v>0</v>
      </c>
      <c r="W885">
        <f t="shared" si="219"/>
        <v>0</v>
      </c>
      <c r="X885">
        <f t="shared" si="220"/>
        <v>0</v>
      </c>
      <c r="Y885">
        <f t="shared" si="221"/>
        <v>0</v>
      </c>
      <c r="Z885">
        <f t="shared" si="222"/>
        <v>0</v>
      </c>
      <c r="AB885">
        <v>881</v>
      </c>
      <c r="AC885">
        <f t="shared" si="223"/>
        <v>33</v>
      </c>
      <c r="AD885">
        <f t="shared" si="213"/>
        <v>0</v>
      </c>
    </row>
    <row r="886" spans="4:30" x14ac:dyDescent="0.25">
      <c r="D886" s="31">
        <f>Simulation_output!A884</f>
        <v>8825000</v>
      </c>
      <c r="E886">
        <f>Sheet2!R883</f>
        <v>0</v>
      </c>
      <c r="F886">
        <f>Sheet2!S883</f>
        <v>0</v>
      </c>
      <c r="G886">
        <f>Sheet2!T883</f>
        <v>0</v>
      </c>
      <c r="H886" s="31">
        <f>Simulation_output!E884</f>
        <v>1</v>
      </c>
      <c r="I886" s="31">
        <f>Simulation_output!F884</f>
        <v>0</v>
      </c>
      <c r="J886" s="31">
        <f>Simulation_output!G884</f>
        <v>0</v>
      </c>
      <c r="K886" s="31">
        <f>Simulation_output!H884</f>
        <v>0</v>
      </c>
      <c r="L886">
        <v>1</v>
      </c>
      <c r="M886">
        <f t="shared" si="227"/>
        <v>0</v>
      </c>
      <c r="N886">
        <f t="shared" si="226"/>
        <v>0</v>
      </c>
      <c r="O886">
        <f t="shared" si="225"/>
        <v>0</v>
      </c>
      <c r="P886">
        <f t="shared" si="228"/>
        <v>0</v>
      </c>
      <c r="Q886">
        <f t="shared" si="224"/>
        <v>0</v>
      </c>
      <c r="R886">
        <f t="shared" si="214"/>
        <v>0</v>
      </c>
      <c r="S886">
        <f t="shared" si="215"/>
        <v>0</v>
      </c>
      <c r="T886">
        <f t="shared" si="216"/>
        <v>0</v>
      </c>
      <c r="U886">
        <f t="shared" si="217"/>
        <v>0</v>
      </c>
      <c r="V886">
        <f t="shared" si="218"/>
        <v>0</v>
      </c>
      <c r="W886">
        <f t="shared" si="219"/>
        <v>0</v>
      </c>
      <c r="X886">
        <f t="shared" si="220"/>
        <v>0</v>
      </c>
      <c r="Y886">
        <f t="shared" si="221"/>
        <v>0</v>
      </c>
      <c r="Z886">
        <f t="shared" si="222"/>
        <v>0</v>
      </c>
      <c r="AB886">
        <v>882</v>
      </c>
      <c r="AC886">
        <f t="shared" si="223"/>
        <v>33</v>
      </c>
      <c r="AD886">
        <f t="shared" si="213"/>
        <v>0</v>
      </c>
    </row>
    <row r="887" spans="4:30" x14ac:dyDescent="0.25">
      <c r="D887" s="31">
        <f>Simulation_output!A885</f>
        <v>8835000</v>
      </c>
      <c r="E887">
        <f>Sheet2!R884</f>
        <v>0</v>
      </c>
      <c r="F887">
        <f>Sheet2!S884</f>
        <v>0</v>
      </c>
      <c r="G887">
        <f>Sheet2!T884</f>
        <v>0</v>
      </c>
      <c r="H887" s="31">
        <f>Simulation_output!E885</f>
        <v>1</v>
      </c>
      <c r="I887" s="31">
        <f>Simulation_output!F885</f>
        <v>0</v>
      </c>
      <c r="J887" s="31">
        <f>Simulation_output!G885</f>
        <v>0</v>
      </c>
      <c r="K887" s="31">
        <f>Simulation_output!H885</f>
        <v>0</v>
      </c>
      <c r="L887">
        <v>1</v>
      </c>
      <c r="M887">
        <f t="shared" si="227"/>
        <v>0</v>
      </c>
      <c r="N887">
        <f t="shared" si="226"/>
        <v>0</v>
      </c>
      <c r="O887">
        <f t="shared" si="225"/>
        <v>0</v>
      </c>
      <c r="P887">
        <f t="shared" si="228"/>
        <v>0</v>
      </c>
      <c r="Q887">
        <f t="shared" si="224"/>
        <v>0</v>
      </c>
      <c r="R887">
        <f t="shared" si="214"/>
        <v>0</v>
      </c>
      <c r="S887">
        <f t="shared" si="215"/>
        <v>0</v>
      </c>
      <c r="T887">
        <f t="shared" si="216"/>
        <v>0</v>
      </c>
      <c r="U887">
        <f t="shared" si="217"/>
        <v>0</v>
      </c>
      <c r="V887">
        <f t="shared" si="218"/>
        <v>0</v>
      </c>
      <c r="W887">
        <f t="shared" si="219"/>
        <v>0</v>
      </c>
      <c r="X887">
        <f t="shared" si="220"/>
        <v>0</v>
      </c>
      <c r="Y887">
        <f t="shared" si="221"/>
        <v>0</v>
      </c>
      <c r="Z887">
        <f t="shared" si="222"/>
        <v>0</v>
      </c>
      <c r="AB887">
        <v>883</v>
      </c>
      <c r="AC887">
        <f t="shared" si="223"/>
        <v>33</v>
      </c>
      <c r="AD887">
        <f t="shared" si="213"/>
        <v>0</v>
      </c>
    </row>
    <row r="888" spans="4:30" x14ac:dyDescent="0.25">
      <c r="D888" s="31">
        <f>Simulation_output!A886</f>
        <v>8845000</v>
      </c>
      <c r="E888">
        <f>Sheet2!R885</f>
        <v>0</v>
      </c>
      <c r="F888">
        <f>Sheet2!S885</f>
        <v>0</v>
      </c>
      <c r="G888">
        <f>Sheet2!T885</f>
        <v>0</v>
      </c>
      <c r="H888" s="31">
        <f>Simulation_output!E886</f>
        <v>1</v>
      </c>
      <c r="I888" s="31">
        <f>Simulation_output!F886</f>
        <v>0</v>
      </c>
      <c r="J888" s="31">
        <f>Simulation_output!G886</f>
        <v>0</v>
      </c>
      <c r="K888" s="31">
        <f>Simulation_output!H886</f>
        <v>0</v>
      </c>
      <c r="L888">
        <v>1</v>
      </c>
      <c r="M888">
        <f t="shared" si="227"/>
        <v>0</v>
      </c>
      <c r="N888">
        <f t="shared" si="226"/>
        <v>0</v>
      </c>
      <c r="O888">
        <f t="shared" si="225"/>
        <v>0</v>
      </c>
      <c r="P888">
        <f t="shared" si="228"/>
        <v>0</v>
      </c>
      <c r="Q888">
        <f t="shared" si="224"/>
        <v>0</v>
      </c>
      <c r="R888">
        <f t="shared" si="214"/>
        <v>0</v>
      </c>
      <c r="S888">
        <f t="shared" si="215"/>
        <v>0</v>
      </c>
      <c r="T888">
        <f t="shared" si="216"/>
        <v>0</v>
      </c>
      <c r="U888">
        <f t="shared" si="217"/>
        <v>0</v>
      </c>
      <c r="V888">
        <f t="shared" si="218"/>
        <v>0</v>
      </c>
      <c r="W888">
        <f t="shared" si="219"/>
        <v>0</v>
      </c>
      <c r="X888">
        <f t="shared" si="220"/>
        <v>0</v>
      </c>
      <c r="Y888">
        <f t="shared" si="221"/>
        <v>0</v>
      </c>
      <c r="Z888">
        <f t="shared" si="222"/>
        <v>0</v>
      </c>
      <c r="AB888">
        <v>884</v>
      </c>
      <c r="AC888">
        <f t="shared" si="223"/>
        <v>33</v>
      </c>
      <c r="AD888">
        <f t="shared" si="213"/>
        <v>0</v>
      </c>
    </row>
    <row r="889" spans="4:30" x14ac:dyDescent="0.25">
      <c r="D889" s="31">
        <f>Simulation_output!A887</f>
        <v>8855000</v>
      </c>
      <c r="E889">
        <f>Sheet2!R886</f>
        <v>0</v>
      </c>
      <c r="F889">
        <f>Sheet2!S886</f>
        <v>0</v>
      </c>
      <c r="G889">
        <f>Sheet2!T886</f>
        <v>0</v>
      </c>
      <c r="H889" s="31">
        <f>Simulation_output!E887</f>
        <v>1</v>
      </c>
      <c r="I889" s="31">
        <f>Simulation_output!F887</f>
        <v>0</v>
      </c>
      <c r="J889" s="31">
        <f>Simulation_output!G887</f>
        <v>0</v>
      </c>
      <c r="K889" s="31">
        <f>Simulation_output!H887</f>
        <v>0</v>
      </c>
      <c r="L889">
        <v>1</v>
      </c>
      <c r="M889">
        <f t="shared" si="227"/>
        <v>0</v>
      </c>
      <c r="N889">
        <f t="shared" si="226"/>
        <v>0</v>
      </c>
      <c r="O889">
        <f t="shared" si="225"/>
        <v>0</v>
      </c>
      <c r="P889">
        <f t="shared" si="228"/>
        <v>0</v>
      </c>
      <c r="Q889">
        <f t="shared" si="224"/>
        <v>0</v>
      </c>
      <c r="R889">
        <f t="shared" si="214"/>
        <v>0</v>
      </c>
      <c r="S889">
        <f t="shared" si="215"/>
        <v>0</v>
      </c>
      <c r="T889">
        <f t="shared" si="216"/>
        <v>0</v>
      </c>
      <c r="U889">
        <f t="shared" si="217"/>
        <v>0</v>
      </c>
      <c r="V889">
        <f t="shared" si="218"/>
        <v>0</v>
      </c>
      <c r="W889">
        <f t="shared" si="219"/>
        <v>0</v>
      </c>
      <c r="X889">
        <f t="shared" si="220"/>
        <v>0</v>
      </c>
      <c r="Y889">
        <f t="shared" si="221"/>
        <v>0</v>
      </c>
      <c r="Z889">
        <f t="shared" si="222"/>
        <v>0</v>
      </c>
      <c r="AB889">
        <v>885</v>
      </c>
      <c r="AC889">
        <f t="shared" si="223"/>
        <v>33</v>
      </c>
      <c r="AD889">
        <f t="shared" si="213"/>
        <v>0</v>
      </c>
    </row>
    <row r="890" spans="4:30" x14ac:dyDescent="0.25">
      <c r="D890" s="31">
        <f>Simulation_output!A888</f>
        <v>8865000</v>
      </c>
      <c r="E890">
        <f>Sheet2!R887</f>
        <v>0</v>
      </c>
      <c r="F890">
        <f>Sheet2!S887</f>
        <v>0</v>
      </c>
      <c r="G890">
        <f>Sheet2!T887</f>
        <v>0</v>
      </c>
      <c r="H890" s="31">
        <f>Simulation_output!E888</f>
        <v>1</v>
      </c>
      <c r="I890" s="31">
        <f>Simulation_output!F888</f>
        <v>0</v>
      </c>
      <c r="J890" s="31">
        <f>Simulation_output!G888</f>
        <v>0</v>
      </c>
      <c r="K890" s="31">
        <f>Simulation_output!H888</f>
        <v>0</v>
      </c>
      <c r="L890">
        <v>1</v>
      </c>
      <c r="M890">
        <f t="shared" si="227"/>
        <v>0</v>
      </c>
      <c r="N890">
        <f t="shared" si="226"/>
        <v>0</v>
      </c>
      <c r="O890">
        <f t="shared" si="225"/>
        <v>0</v>
      </c>
      <c r="P890">
        <f t="shared" si="228"/>
        <v>0</v>
      </c>
      <c r="Q890">
        <f t="shared" si="224"/>
        <v>0</v>
      </c>
      <c r="R890">
        <f t="shared" si="214"/>
        <v>0</v>
      </c>
      <c r="S890">
        <f t="shared" si="215"/>
        <v>0</v>
      </c>
      <c r="T890">
        <f t="shared" si="216"/>
        <v>0</v>
      </c>
      <c r="U890">
        <f t="shared" si="217"/>
        <v>0</v>
      </c>
      <c r="V890">
        <f t="shared" si="218"/>
        <v>0</v>
      </c>
      <c r="W890">
        <f t="shared" si="219"/>
        <v>0</v>
      </c>
      <c r="X890">
        <f t="shared" si="220"/>
        <v>0</v>
      </c>
      <c r="Y890">
        <f t="shared" si="221"/>
        <v>0</v>
      </c>
      <c r="Z890">
        <f t="shared" si="222"/>
        <v>0</v>
      </c>
      <c r="AB890">
        <v>886</v>
      </c>
      <c r="AC890">
        <f t="shared" si="223"/>
        <v>33</v>
      </c>
      <c r="AD890">
        <f t="shared" si="213"/>
        <v>0</v>
      </c>
    </row>
    <row r="891" spans="4:30" x14ac:dyDescent="0.25">
      <c r="D891" s="31">
        <f>Simulation_output!A889</f>
        <v>8875000</v>
      </c>
      <c r="E891">
        <f>Sheet2!R888</f>
        <v>0</v>
      </c>
      <c r="F891">
        <f>Sheet2!S888</f>
        <v>0</v>
      </c>
      <c r="G891">
        <f>Sheet2!T888</f>
        <v>0</v>
      </c>
      <c r="H891" s="31">
        <f>Simulation_output!E889</f>
        <v>1</v>
      </c>
      <c r="I891" s="31">
        <f>Simulation_output!F889</f>
        <v>0</v>
      </c>
      <c r="J891" s="31">
        <f>Simulation_output!G889</f>
        <v>0</v>
      </c>
      <c r="K891" s="31">
        <f>Simulation_output!H889</f>
        <v>0</v>
      </c>
      <c r="L891">
        <v>1</v>
      </c>
      <c r="M891">
        <f t="shared" si="227"/>
        <v>0</v>
      </c>
      <c r="N891">
        <f t="shared" si="226"/>
        <v>0</v>
      </c>
      <c r="O891">
        <f t="shared" si="225"/>
        <v>0</v>
      </c>
      <c r="P891">
        <f t="shared" si="228"/>
        <v>0</v>
      </c>
      <c r="Q891">
        <f t="shared" si="224"/>
        <v>0</v>
      </c>
      <c r="R891">
        <f t="shared" si="214"/>
        <v>0</v>
      </c>
      <c r="S891">
        <f t="shared" si="215"/>
        <v>0</v>
      </c>
      <c r="T891">
        <f t="shared" si="216"/>
        <v>0</v>
      </c>
      <c r="U891">
        <f t="shared" si="217"/>
        <v>0</v>
      </c>
      <c r="V891">
        <f t="shared" si="218"/>
        <v>0</v>
      </c>
      <c r="W891">
        <f t="shared" si="219"/>
        <v>0</v>
      </c>
      <c r="X891">
        <f t="shared" si="220"/>
        <v>0</v>
      </c>
      <c r="Y891">
        <f t="shared" si="221"/>
        <v>0</v>
      </c>
      <c r="Z891">
        <f t="shared" si="222"/>
        <v>0</v>
      </c>
      <c r="AB891">
        <v>887</v>
      </c>
      <c r="AC891">
        <f t="shared" si="223"/>
        <v>33</v>
      </c>
      <c r="AD891">
        <f t="shared" si="213"/>
        <v>0</v>
      </c>
    </row>
    <row r="892" spans="4:30" x14ac:dyDescent="0.25">
      <c r="D892" s="31">
        <f>Simulation_output!A890</f>
        <v>8885000</v>
      </c>
      <c r="E892">
        <f>Sheet2!R889</f>
        <v>0</v>
      </c>
      <c r="F892">
        <f>Sheet2!S889</f>
        <v>0</v>
      </c>
      <c r="G892">
        <f>Sheet2!T889</f>
        <v>0</v>
      </c>
      <c r="H892" s="31">
        <f>Simulation_output!E890</f>
        <v>1</v>
      </c>
      <c r="I892" s="31">
        <f>Simulation_output!F890</f>
        <v>0</v>
      </c>
      <c r="J892" s="31">
        <f>Simulation_output!G890</f>
        <v>0</v>
      </c>
      <c r="K892" s="31">
        <f>Simulation_output!H890</f>
        <v>0</v>
      </c>
      <c r="L892">
        <v>1</v>
      </c>
      <c r="M892">
        <f t="shared" si="227"/>
        <v>0</v>
      </c>
      <c r="N892">
        <f t="shared" si="226"/>
        <v>0</v>
      </c>
      <c r="O892">
        <f t="shared" si="225"/>
        <v>0</v>
      </c>
      <c r="P892">
        <f t="shared" si="228"/>
        <v>0</v>
      </c>
      <c r="Q892">
        <f t="shared" si="224"/>
        <v>0</v>
      </c>
      <c r="R892">
        <f t="shared" si="214"/>
        <v>0</v>
      </c>
      <c r="S892">
        <f t="shared" si="215"/>
        <v>0</v>
      </c>
      <c r="T892">
        <f t="shared" si="216"/>
        <v>0</v>
      </c>
      <c r="U892">
        <f t="shared" si="217"/>
        <v>0</v>
      </c>
      <c r="V892">
        <f t="shared" si="218"/>
        <v>0</v>
      </c>
      <c r="W892">
        <f t="shared" si="219"/>
        <v>0</v>
      </c>
      <c r="X892">
        <f t="shared" si="220"/>
        <v>0</v>
      </c>
      <c r="Y892">
        <f t="shared" si="221"/>
        <v>0</v>
      </c>
      <c r="Z892">
        <f t="shared" si="222"/>
        <v>0</v>
      </c>
      <c r="AB892">
        <v>888</v>
      </c>
      <c r="AC892">
        <f t="shared" si="223"/>
        <v>33</v>
      </c>
      <c r="AD892">
        <f t="shared" si="213"/>
        <v>0</v>
      </c>
    </row>
    <row r="893" spans="4:30" x14ac:dyDescent="0.25">
      <c r="D893" s="31">
        <f>Simulation_output!A891</f>
        <v>8895000</v>
      </c>
      <c r="E893">
        <f>Sheet2!R890</f>
        <v>0</v>
      </c>
      <c r="F893">
        <f>Sheet2!S890</f>
        <v>0</v>
      </c>
      <c r="G893">
        <f>Sheet2!T890</f>
        <v>0</v>
      </c>
      <c r="H893" s="31">
        <f>Simulation_output!E891</f>
        <v>1</v>
      </c>
      <c r="I893" s="31">
        <f>Simulation_output!F891</f>
        <v>0</v>
      </c>
      <c r="J893" s="31">
        <f>Simulation_output!G891</f>
        <v>0</v>
      </c>
      <c r="K893" s="31">
        <f>Simulation_output!H891</f>
        <v>0</v>
      </c>
      <c r="L893">
        <v>1</v>
      </c>
      <c r="M893">
        <f t="shared" si="227"/>
        <v>0</v>
      </c>
      <c r="N893">
        <f t="shared" si="226"/>
        <v>0</v>
      </c>
      <c r="O893">
        <f t="shared" si="225"/>
        <v>0</v>
      </c>
      <c r="P893">
        <f t="shared" si="228"/>
        <v>0</v>
      </c>
      <c r="Q893">
        <f t="shared" si="224"/>
        <v>0</v>
      </c>
      <c r="R893">
        <f t="shared" si="214"/>
        <v>0</v>
      </c>
      <c r="S893">
        <f t="shared" si="215"/>
        <v>0</v>
      </c>
      <c r="T893">
        <f t="shared" si="216"/>
        <v>0</v>
      </c>
      <c r="U893">
        <f t="shared" si="217"/>
        <v>0</v>
      </c>
      <c r="V893">
        <f t="shared" si="218"/>
        <v>0</v>
      </c>
      <c r="W893">
        <f t="shared" si="219"/>
        <v>0</v>
      </c>
      <c r="X893">
        <f t="shared" si="220"/>
        <v>0</v>
      </c>
      <c r="Y893">
        <f t="shared" si="221"/>
        <v>0</v>
      </c>
      <c r="Z893">
        <f t="shared" si="222"/>
        <v>0</v>
      </c>
      <c r="AB893">
        <v>889</v>
      </c>
      <c r="AC893">
        <f t="shared" si="223"/>
        <v>33</v>
      </c>
      <c r="AD893">
        <f t="shared" si="213"/>
        <v>0</v>
      </c>
    </row>
    <row r="894" spans="4:30" x14ac:dyDescent="0.25">
      <c r="D894" s="31">
        <f>Simulation_output!A892</f>
        <v>8905000</v>
      </c>
      <c r="E894">
        <f>Sheet2!R891</f>
        <v>0</v>
      </c>
      <c r="F894">
        <f>Sheet2!S891</f>
        <v>0</v>
      </c>
      <c r="G894">
        <f>Sheet2!T891</f>
        <v>0</v>
      </c>
      <c r="H894" s="31">
        <f>Simulation_output!E892</f>
        <v>1</v>
      </c>
      <c r="I894" s="31">
        <f>Simulation_output!F892</f>
        <v>0</v>
      </c>
      <c r="J894" s="31">
        <f>Simulation_output!G892</f>
        <v>0</v>
      </c>
      <c r="K894" s="31">
        <f>Simulation_output!H892</f>
        <v>0</v>
      </c>
      <c r="L894">
        <v>1</v>
      </c>
      <c r="M894">
        <f t="shared" si="227"/>
        <v>0</v>
      </c>
      <c r="N894">
        <f t="shared" si="226"/>
        <v>0</v>
      </c>
      <c r="O894">
        <f t="shared" si="225"/>
        <v>0</v>
      </c>
      <c r="P894">
        <f t="shared" si="228"/>
        <v>0</v>
      </c>
      <c r="Q894">
        <f t="shared" si="224"/>
        <v>0</v>
      </c>
      <c r="R894">
        <f t="shared" si="214"/>
        <v>0</v>
      </c>
      <c r="S894">
        <f t="shared" si="215"/>
        <v>0</v>
      </c>
      <c r="T894">
        <f t="shared" si="216"/>
        <v>0</v>
      </c>
      <c r="U894">
        <f t="shared" si="217"/>
        <v>0</v>
      </c>
      <c r="V894">
        <f t="shared" si="218"/>
        <v>0</v>
      </c>
      <c r="W894">
        <f t="shared" si="219"/>
        <v>0</v>
      </c>
      <c r="X894">
        <f t="shared" si="220"/>
        <v>0</v>
      </c>
      <c r="Y894">
        <f t="shared" si="221"/>
        <v>0</v>
      </c>
      <c r="Z894">
        <f t="shared" si="222"/>
        <v>0</v>
      </c>
      <c r="AB894">
        <v>890</v>
      </c>
      <c r="AC894">
        <f t="shared" si="223"/>
        <v>33</v>
      </c>
      <c r="AD894">
        <f t="shared" si="213"/>
        <v>0</v>
      </c>
    </row>
    <row r="895" spans="4:30" x14ac:dyDescent="0.25">
      <c r="D895" s="31">
        <f>Simulation_output!A893</f>
        <v>8915000</v>
      </c>
      <c r="E895">
        <f>Sheet2!R892</f>
        <v>0</v>
      </c>
      <c r="F895">
        <f>Sheet2!S892</f>
        <v>0</v>
      </c>
      <c r="G895">
        <f>Sheet2!T892</f>
        <v>0</v>
      </c>
      <c r="H895" s="31">
        <f>Simulation_output!E893</f>
        <v>1</v>
      </c>
      <c r="I895" s="31">
        <f>Simulation_output!F893</f>
        <v>0</v>
      </c>
      <c r="J895" s="31">
        <f>Simulation_output!G893</f>
        <v>0</v>
      </c>
      <c r="K895" s="31">
        <f>Simulation_output!H893</f>
        <v>0</v>
      </c>
      <c r="L895">
        <v>1</v>
      </c>
      <c r="M895">
        <f t="shared" si="227"/>
        <v>0</v>
      </c>
      <c r="N895">
        <f t="shared" si="226"/>
        <v>0</v>
      </c>
      <c r="O895">
        <f t="shared" si="225"/>
        <v>0</v>
      </c>
      <c r="P895">
        <f t="shared" si="228"/>
        <v>0</v>
      </c>
      <c r="Q895">
        <f t="shared" si="224"/>
        <v>0</v>
      </c>
      <c r="R895">
        <f t="shared" si="214"/>
        <v>0</v>
      </c>
      <c r="S895">
        <f t="shared" si="215"/>
        <v>0</v>
      </c>
      <c r="T895">
        <f t="shared" si="216"/>
        <v>0</v>
      </c>
      <c r="U895">
        <f t="shared" si="217"/>
        <v>0</v>
      </c>
      <c r="V895">
        <f t="shared" si="218"/>
        <v>0</v>
      </c>
      <c r="W895">
        <f t="shared" si="219"/>
        <v>0</v>
      </c>
      <c r="X895">
        <f t="shared" si="220"/>
        <v>0</v>
      </c>
      <c r="Y895">
        <f t="shared" si="221"/>
        <v>0</v>
      </c>
      <c r="Z895">
        <f t="shared" si="222"/>
        <v>0</v>
      </c>
      <c r="AB895">
        <v>891</v>
      </c>
      <c r="AC895">
        <f t="shared" si="223"/>
        <v>33</v>
      </c>
      <c r="AD895">
        <f t="shared" si="213"/>
        <v>0</v>
      </c>
    </row>
    <row r="896" spans="4:30" x14ac:dyDescent="0.25">
      <c r="D896" s="31">
        <f>Simulation_output!A894</f>
        <v>8925000</v>
      </c>
      <c r="E896">
        <f>Sheet2!R893</f>
        <v>0</v>
      </c>
      <c r="F896">
        <f>Sheet2!S893</f>
        <v>0</v>
      </c>
      <c r="G896">
        <f>Sheet2!T893</f>
        <v>0</v>
      </c>
      <c r="H896" s="31">
        <f>Simulation_output!E894</f>
        <v>1</v>
      </c>
      <c r="I896" s="31">
        <f>Simulation_output!F894</f>
        <v>0</v>
      </c>
      <c r="J896" s="31">
        <f>Simulation_output!G894</f>
        <v>0</v>
      </c>
      <c r="K896" s="31">
        <f>Simulation_output!H894</f>
        <v>0</v>
      </c>
      <c r="L896">
        <v>1</v>
      </c>
      <c r="M896">
        <f t="shared" si="227"/>
        <v>0</v>
      </c>
      <c r="N896">
        <f t="shared" si="226"/>
        <v>0</v>
      </c>
      <c r="O896">
        <f t="shared" si="225"/>
        <v>0</v>
      </c>
      <c r="P896">
        <f t="shared" si="228"/>
        <v>0</v>
      </c>
      <c r="Q896">
        <f t="shared" si="224"/>
        <v>0</v>
      </c>
      <c r="R896">
        <f t="shared" si="214"/>
        <v>0</v>
      </c>
      <c r="S896">
        <f t="shared" si="215"/>
        <v>0</v>
      </c>
      <c r="T896">
        <f t="shared" si="216"/>
        <v>0</v>
      </c>
      <c r="U896">
        <f t="shared" si="217"/>
        <v>0</v>
      </c>
      <c r="V896">
        <f t="shared" si="218"/>
        <v>0</v>
      </c>
      <c r="W896">
        <f t="shared" si="219"/>
        <v>0</v>
      </c>
      <c r="X896">
        <f t="shared" si="220"/>
        <v>0</v>
      </c>
      <c r="Y896">
        <f t="shared" si="221"/>
        <v>0</v>
      </c>
      <c r="Z896">
        <f t="shared" si="222"/>
        <v>0</v>
      </c>
      <c r="AB896">
        <v>892</v>
      </c>
      <c r="AC896">
        <f t="shared" si="223"/>
        <v>33</v>
      </c>
      <c r="AD896">
        <f t="shared" si="213"/>
        <v>0</v>
      </c>
    </row>
    <row r="897" spans="4:30" x14ac:dyDescent="0.25">
      <c r="D897" s="31">
        <f>Simulation_output!A895</f>
        <v>8935000</v>
      </c>
      <c r="E897">
        <f>Sheet2!R894</f>
        <v>0</v>
      </c>
      <c r="F897">
        <f>Sheet2!S894</f>
        <v>0</v>
      </c>
      <c r="G897">
        <f>Sheet2!T894</f>
        <v>0</v>
      </c>
      <c r="H897" s="31">
        <f>Simulation_output!E895</f>
        <v>1</v>
      </c>
      <c r="I897" s="31">
        <f>Simulation_output!F895</f>
        <v>0</v>
      </c>
      <c r="J897" s="31">
        <f>Simulation_output!G895</f>
        <v>0</v>
      </c>
      <c r="K897" s="31">
        <f>Simulation_output!H895</f>
        <v>0</v>
      </c>
      <c r="L897">
        <v>1</v>
      </c>
      <c r="M897">
        <f t="shared" si="227"/>
        <v>0</v>
      </c>
      <c r="N897">
        <f t="shared" si="226"/>
        <v>0</v>
      </c>
      <c r="O897">
        <f t="shared" si="225"/>
        <v>0</v>
      </c>
      <c r="P897">
        <f t="shared" si="228"/>
        <v>0</v>
      </c>
      <c r="Q897">
        <f t="shared" si="224"/>
        <v>0</v>
      </c>
      <c r="R897">
        <f t="shared" si="214"/>
        <v>0</v>
      </c>
      <c r="S897">
        <f t="shared" si="215"/>
        <v>0</v>
      </c>
      <c r="T897">
        <f t="shared" si="216"/>
        <v>0</v>
      </c>
      <c r="U897">
        <f t="shared" si="217"/>
        <v>0</v>
      </c>
      <c r="V897">
        <f t="shared" si="218"/>
        <v>0</v>
      </c>
      <c r="W897">
        <f t="shared" si="219"/>
        <v>0</v>
      </c>
      <c r="X897">
        <f t="shared" si="220"/>
        <v>0</v>
      </c>
      <c r="Y897">
        <f t="shared" si="221"/>
        <v>0</v>
      </c>
      <c r="Z897">
        <f t="shared" si="222"/>
        <v>0</v>
      </c>
      <c r="AB897">
        <v>893</v>
      </c>
      <c r="AC897">
        <f t="shared" si="223"/>
        <v>33</v>
      </c>
      <c r="AD897">
        <f t="shared" si="213"/>
        <v>0</v>
      </c>
    </row>
    <row r="898" spans="4:30" x14ac:dyDescent="0.25">
      <c r="D898" s="31">
        <f>Simulation_output!A896</f>
        <v>8945000</v>
      </c>
      <c r="E898">
        <f>Sheet2!R895</f>
        <v>0</v>
      </c>
      <c r="F898">
        <f>Sheet2!S895</f>
        <v>0</v>
      </c>
      <c r="G898">
        <f>Sheet2!T895</f>
        <v>0</v>
      </c>
      <c r="H898" s="31">
        <f>Simulation_output!E896</f>
        <v>1</v>
      </c>
      <c r="I898" s="31">
        <f>Simulation_output!F896</f>
        <v>0</v>
      </c>
      <c r="J898" s="31">
        <f>Simulation_output!G896</f>
        <v>0</v>
      </c>
      <c r="K898" s="31">
        <f>Simulation_output!H896</f>
        <v>0</v>
      </c>
      <c r="L898">
        <v>1</v>
      </c>
      <c r="M898">
        <f t="shared" si="227"/>
        <v>0</v>
      </c>
      <c r="N898">
        <f t="shared" si="226"/>
        <v>0</v>
      </c>
      <c r="O898">
        <f t="shared" si="225"/>
        <v>0</v>
      </c>
      <c r="P898">
        <f t="shared" si="228"/>
        <v>0</v>
      </c>
      <c r="Q898">
        <f t="shared" si="224"/>
        <v>0</v>
      </c>
      <c r="R898">
        <f t="shared" si="214"/>
        <v>0</v>
      </c>
      <c r="S898">
        <f t="shared" si="215"/>
        <v>0</v>
      </c>
      <c r="T898">
        <f t="shared" si="216"/>
        <v>0</v>
      </c>
      <c r="U898">
        <f t="shared" si="217"/>
        <v>0</v>
      </c>
      <c r="V898">
        <f t="shared" si="218"/>
        <v>0</v>
      </c>
      <c r="W898">
        <f t="shared" si="219"/>
        <v>0</v>
      </c>
      <c r="X898">
        <f t="shared" si="220"/>
        <v>0</v>
      </c>
      <c r="Y898">
        <f t="shared" si="221"/>
        <v>0</v>
      </c>
      <c r="Z898">
        <f t="shared" si="222"/>
        <v>0</v>
      </c>
      <c r="AB898">
        <v>894</v>
      </c>
      <c r="AC898">
        <f t="shared" si="223"/>
        <v>33</v>
      </c>
      <c r="AD898">
        <f t="shared" si="213"/>
        <v>0</v>
      </c>
    </row>
    <row r="899" spans="4:30" x14ac:dyDescent="0.25">
      <c r="D899" s="31">
        <f>Simulation_output!A897</f>
        <v>8955000</v>
      </c>
      <c r="E899">
        <f>Sheet2!R896</f>
        <v>0</v>
      </c>
      <c r="F899">
        <f>Sheet2!S896</f>
        <v>0</v>
      </c>
      <c r="G899">
        <f>Sheet2!T896</f>
        <v>0</v>
      </c>
      <c r="H899" s="31">
        <f>Simulation_output!E897</f>
        <v>1</v>
      </c>
      <c r="I899" s="31">
        <f>Simulation_output!F897</f>
        <v>0</v>
      </c>
      <c r="J899" s="31">
        <f>Simulation_output!G897</f>
        <v>0</v>
      </c>
      <c r="K899" s="31">
        <f>Simulation_output!H897</f>
        <v>0</v>
      </c>
      <c r="L899">
        <v>1</v>
      </c>
      <c r="M899">
        <f t="shared" si="227"/>
        <v>0</v>
      </c>
      <c r="N899">
        <f t="shared" si="226"/>
        <v>0</v>
      </c>
      <c r="O899">
        <f t="shared" si="225"/>
        <v>0</v>
      </c>
      <c r="P899">
        <f t="shared" si="228"/>
        <v>0</v>
      </c>
      <c r="Q899">
        <f t="shared" si="224"/>
        <v>0</v>
      </c>
      <c r="R899">
        <f t="shared" si="214"/>
        <v>0</v>
      </c>
      <c r="S899">
        <f t="shared" si="215"/>
        <v>0</v>
      </c>
      <c r="T899">
        <f t="shared" si="216"/>
        <v>0</v>
      </c>
      <c r="U899">
        <f t="shared" si="217"/>
        <v>0</v>
      </c>
      <c r="V899">
        <f t="shared" si="218"/>
        <v>0</v>
      </c>
      <c r="W899">
        <f t="shared" si="219"/>
        <v>0</v>
      </c>
      <c r="X899">
        <f t="shared" si="220"/>
        <v>0</v>
      </c>
      <c r="Y899">
        <f t="shared" si="221"/>
        <v>0</v>
      </c>
      <c r="Z899">
        <f t="shared" si="222"/>
        <v>0</v>
      </c>
      <c r="AB899">
        <v>895</v>
      </c>
      <c r="AC899">
        <f t="shared" si="223"/>
        <v>33</v>
      </c>
      <c r="AD899">
        <f t="shared" si="213"/>
        <v>0</v>
      </c>
    </row>
    <row r="900" spans="4:30" x14ac:dyDescent="0.25">
      <c r="D900" s="31">
        <f>Simulation_output!A898</f>
        <v>8965000</v>
      </c>
      <c r="E900">
        <f>Sheet2!R897</f>
        <v>0</v>
      </c>
      <c r="F900">
        <f>Sheet2!S897</f>
        <v>0</v>
      </c>
      <c r="G900">
        <f>Sheet2!T897</f>
        <v>0</v>
      </c>
      <c r="H900" s="31">
        <f>Simulation_output!E898</f>
        <v>1</v>
      </c>
      <c r="I900" s="31">
        <f>Simulation_output!F898</f>
        <v>0</v>
      </c>
      <c r="J900" s="31">
        <f>Simulation_output!G898</f>
        <v>0</v>
      </c>
      <c r="K900" s="31">
        <f>Simulation_output!H898</f>
        <v>0</v>
      </c>
      <c r="L900">
        <v>1</v>
      </c>
      <c r="M900">
        <f t="shared" si="227"/>
        <v>0</v>
      </c>
      <c r="N900">
        <f t="shared" si="226"/>
        <v>0</v>
      </c>
      <c r="O900">
        <f t="shared" si="225"/>
        <v>0</v>
      </c>
      <c r="P900">
        <f t="shared" si="228"/>
        <v>0</v>
      </c>
      <c r="Q900">
        <f t="shared" si="224"/>
        <v>0</v>
      </c>
      <c r="R900">
        <f t="shared" si="214"/>
        <v>0</v>
      </c>
      <c r="S900">
        <f t="shared" si="215"/>
        <v>0</v>
      </c>
      <c r="T900">
        <f t="shared" si="216"/>
        <v>0</v>
      </c>
      <c r="U900">
        <f t="shared" si="217"/>
        <v>0</v>
      </c>
      <c r="V900">
        <f t="shared" si="218"/>
        <v>0</v>
      </c>
      <c r="W900">
        <f t="shared" si="219"/>
        <v>0</v>
      </c>
      <c r="X900">
        <f t="shared" si="220"/>
        <v>0</v>
      </c>
      <c r="Y900">
        <f t="shared" si="221"/>
        <v>0</v>
      </c>
      <c r="Z900">
        <f t="shared" si="222"/>
        <v>0</v>
      </c>
      <c r="AB900">
        <v>896</v>
      </c>
      <c r="AC900">
        <f t="shared" si="223"/>
        <v>33</v>
      </c>
      <c r="AD900">
        <f t="shared" si="213"/>
        <v>0</v>
      </c>
    </row>
    <row r="901" spans="4:30" x14ac:dyDescent="0.25">
      <c r="D901" s="31">
        <f>Simulation_output!A899</f>
        <v>8975000</v>
      </c>
      <c r="E901">
        <f>Sheet2!R898</f>
        <v>0</v>
      </c>
      <c r="F901">
        <f>Sheet2!S898</f>
        <v>0</v>
      </c>
      <c r="G901">
        <f>Sheet2!T898</f>
        <v>0</v>
      </c>
      <c r="H901" s="31">
        <f>Simulation_output!E899</f>
        <v>1</v>
      </c>
      <c r="I901" s="31">
        <f>Simulation_output!F899</f>
        <v>0</v>
      </c>
      <c r="J901" s="31">
        <f>Simulation_output!G899</f>
        <v>0</v>
      </c>
      <c r="K901" s="31">
        <f>Simulation_output!H899</f>
        <v>0</v>
      </c>
      <c r="L901">
        <v>1</v>
      </c>
      <c r="M901">
        <f t="shared" si="227"/>
        <v>0</v>
      </c>
      <c r="N901">
        <f t="shared" si="226"/>
        <v>0</v>
      </c>
      <c r="O901">
        <f t="shared" si="225"/>
        <v>0</v>
      </c>
      <c r="P901">
        <f t="shared" si="228"/>
        <v>0</v>
      </c>
      <c r="Q901">
        <f t="shared" si="224"/>
        <v>0</v>
      </c>
      <c r="R901">
        <f t="shared" si="214"/>
        <v>0</v>
      </c>
      <c r="S901">
        <f t="shared" si="215"/>
        <v>0</v>
      </c>
      <c r="T901">
        <f t="shared" si="216"/>
        <v>0</v>
      </c>
      <c r="U901">
        <f t="shared" si="217"/>
        <v>0</v>
      </c>
      <c r="V901">
        <f t="shared" si="218"/>
        <v>0</v>
      </c>
      <c r="W901">
        <f t="shared" si="219"/>
        <v>0</v>
      </c>
      <c r="X901">
        <f t="shared" si="220"/>
        <v>0</v>
      </c>
      <c r="Y901">
        <f t="shared" si="221"/>
        <v>0</v>
      </c>
      <c r="Z901">
        <f t="shared" si="222"/>
        <v>0</v>
      </c>
      <c r="AB901">
        <v>897</v>
      </c>
      <c r="AC901">
        <f t="shared" si="223"/>
        <v>33</v>
      </c>
      <c r="AD901">
        <f t="shared" si="213"/>
        <v>0</v>
      </c>
    </row>
    <row r="902" spans="4:30" x14ac:dyDescent="0.25">
      <c r="D902" s="31">
        <f>Simulation_output!A900</f>
        <v>8985000</v>
      </c>
      <c r="E902">
        <f>Sheet2!R899</f>
        <v>0</v>
      </c>
      <c r="F902">
        <f>Sheet2!S899</f>
        <v>0</v>
      </c>
      <c r="G902">
        <f>Sheet2!T899</f>
        <v>0</v>
      </c>
      <c r="H902" s="31">
        <f>Simulation_output!E900</f>
        <v>1</v>
      </c>
      <c r="I902" s="31">
        <f>Simulation_output!F900</f>
        <v>0</v>
      </c>
      <c r="J902" s="31">
        <f>Simulation_output!G900</f>
        <v>0</v>
      </c>
      <c r="K902" s="31">
        <f>Simulation_output!H900</f>
        <v>0</v>
      </c>
      <c r="L902">
        <v>1</v>
      </c>
      <c r="M902">
        <f t="shared" si="227"/>
        <v>0</v>
      </c>
      <c r="N902">
        <f t="shared" si="226"/>
        <v>0</v>
      </c>
      <c r="O902">
        <f t="shared" si="225"/>
        <v>0</v>
      </c>
      <c r="P902">
        <f t="shared" si="228"/>
        <v>0</v>
      </c>
      <c r="Q902">
        <f t="shared" si="224"/>
        <v>0</v>
      </c>
      <c r="R902">
        <f t="shared" si="214"/>
        <v>0</v>
      </c>
      <c r="S902">
        <f t="shared" si="215"/>
        <v>0</v>
      </c>
      <c r="T902">
        <f t="shared" si="216"/>
        <v>0</v>
      </c>
      <c r="U902">
        <f t="shared" si="217"/>
        <v>0</v>
      </c>
      <c r="V902">
        <f t="shared" si="218"/>
        <v>0</v>
      </c>
      <c r="W902">
        <f t="shared" si="219"/>
        <v>0</v>
      </c>
      <c r="X902">
        <f t="shared" si="220"/>
        <v>0</v>
      </c>
      <c r="Y902">
        <f t="shared" si="221"/>
        <v>0</v>
      </c>
      <c r="Z902">
        <f t="shared" si="222"/>
        <v>0</v>
      </c>
      <c r="AB902">
        <v>898</v>
      </c>
      <c r="AC902">
        <f t="shared" si="223"/>
        <v>33</v>
      </c>
      <c r="AD902">
        <f t="shared" ref="AD902:AD965" si="229">IF(M902="FFFFFFF",AC902,0)</f>
        <v>0</v>
      </c>
    </row>
    <row r="903" spans="4:30" x14ac:dyDescent="0.25">
      <c r="D903" s="31">
        <f>Simulation_output!A901</f>
        <v>8995000</v>
      </c>
      <c r="E903">
        <f>Sheet2!R900</f>
        <v>0</v>
      </c>
      <c r="F903">
        <f>Sheet2!S900</f>
        <v>0</v>
      </c>
      <c r="G903">
        <f>Sheet2!T900</f>
        <v>0</v>
      </c>
      <c r="H903" s="31">
        <f>Simulation_output!E901</f>
        <v>1</v>
      </c>
      <c r="I903" s="31">
        <f>Simulation_output!F901</f>
        <v>0</v>
      </c>
      <c r="J903" s="31">
        <f>Simulation_output!G901</f>
        <v>0</v>
      </c>
      <c r="K903" s="31">
        <f>Simulation_output!H901</f>
        <v>0</v>
      </c>
      <c r="L903">
        <v>1</v>
      </c>
      <c r="M903">
        <f t="shared" si="227"/>
        <v>0</v>
      </c>
      <c r="N903">
        <f t="shared" si="226"/>
        <v>0</v>
      </c>
      <c r="O903">
        <f t="shared" si="225"/>
        <v>0</v>
      </c>
      <c r="P903">
        <f t="shared" si="228"/>
        <v>0</v>
      </c>
      <c r="Q903">
        <f t="shared" si="224"/>
        <v>0</v>
      </c>
      <c r="R903">
        <f t="shared" ref="R903:R966" si="230">IF(K903&gt;0,I895,0)</f>
        <v>0</v>
      </c>
      <c r="S903">
        <f t="shared" ref="S903:S966" si="231">IF(K903&gt;0,I896,0)</f>
        <v>0</v>
      </c>
      <c r="T903">
        <f t="shared" ref="T903:T966" si="232">IF(K903&gt;0,I897,0)</f>
        <v>0</v>
      </c>
      <c r="U903">
        <f t="shared" ref="U903:U966" si="233">IF(K903&gt;0,I898,0)</f>
        <v>0</v>
      </c>
      <c r="V903">
        <f t="shared" ref="V903:V966" si="234">IF(K903&gt;0,I899,0)</f>
        <v>0</v>
      </c>
      <c r="W903">
        <f t="shared" ref="W903:W966" si="235">IF(K903&gt;0,I900,0)</f>
        <v>0</v>
      </c>
      <c r="X903">
        <f t="shared" ref="X903:X966" si="236">IF(K903&gt;0,I901,0)</f>
        <v>0</v>
      </c>
      <c r="Y903">
        <f t="shared" ref="Y903:Y966" si="237">IF(K903&gt;0,I902,0)</f>
        <v>0</v>
      </c>
      <c r="Z903">
        <f t="shared" ref="Z903:Z966" si="238">IF(K903&gt;0,DEC2HEX(I903),0)</f>
        <v>0</v>
      </c>
      <c r="AB903">
        <v>899</v>
      </c>
      <c r="AC903">
        <f t="shared" ref="AC903:AC966" si="239">IF(M903="FFFFFFF",AC902+1,AC902)</f>
        <v>33</v>
      </c>
      <c r="AD903">
        <f t="shared" si="229"/>
        <v>0</v>
      </c>
    </row>
    <row r="904" spans="4:30" x14ac:dyDescent="0.25">
      <c r="D904" s="31">
        <f>Simulation_output!A902</f>
        <v>9005000</v>
      </c>
      <c r="E904">
        <f>Sheet2!R901</f>
        <v>0</v>
      </c>
      <c r="F904">
        <f>Sheet2!S901</f>
        <v>0</v>
      </c>
      <c r="G904">
        <f>Sheet2!T901</f>
        <v>0</v>
      </c>
      <c r="H904" s="31">
        <f>Simulation_output!E902</f>
        <v>1</v>
      </c>
      <c r="I904" s="31">
        <f>Simulation_output!F902</f>
        <v>0</v>
      </c>
      <c r="J904" s="31">
        <f>Simulation_output!G902</f>
        <v>0</v>
      </c>
      <c r="K904" s="31">
        <f>Simulation_output!H902</f>
        <v>0</v>
      </c>
      <c r="L904">
        <v>1</v>
      </c>
      <c r="M904">
        <f t="shared" si="227"/>
        <v>0</v>
      </c>
      <c r="N904">
        <f t="shared" si="226"/>
        <v>0</v>
      </c>
      <c r="O904">
        <f t="shared" si="225"/>
        <v>0</v>
      </c>
      <c r="P904">
        <f t="shared" si="228"/>
        <v>0</v>
      </c>
      <c r="Q904">
        <f t="shared" si="224"/>
        <v>0</v>
      </c>
      <c r="R904">
        <f t="shared" si="230"/>
        <v>0</v>
      </c>
      <c r="S904">
        <f t="shared" si="231"/>
        <v>0</v>
      </c>
      <c r="T904">
        <f t="shared" si="232"/>
        <v>0</v>
      </c>
      <c r="U904">
        <f t="shared" si="233"/>
        <v>0</v>
      </c>
      <c r="V904">
        <f t="shared" si="234"/>
        <v>0</v>
      </c>
      <c r="W904">
        <f t="shared" si="235"/>
        <v>0</v>
      </c>
      <c r="X904">
        <f t="shared" si="236"/>
        <v>0</v>
      </c>
      <c r="Y904">
        <f t="shared" si="237"/>
        <v>0</v>
      </c>
      <c r="Z904">
        <f t="shared" si="238"/>
        <v>0</v>
      </c>
      <c r="AB904">
        <v>900</v>
      </c>
      <c r="AC904">
        <f t="shared" si="239"/>
        <v>33</v>
      </c>
      <c r="AD904">
        <f t="shared" si="229"/>
        <v>0</v>
      </c>
    </row>
    <row r="905" spans="4:30" x14ac:dyDescent="0.25">
      <c r="D905" s="31">
        <f>Simulation_output!A903</f>
        <v>9015000</v>
      </c>
      <c r="E905">
        <f>Sheet2!R902</f>
        <v>0</v>
      </c>
      <c r="F905">
        <f>Sheet2!S902</f>
        <v>0</v>
      </c>
      <c r="G905">
        <f>Sheet2!T902</f>
        <v>0</v>
      </c>
      <c r="H905" s="31">
        <f>Simulation_output!E903</f>
        <v>1</v>
      </c>
      <c r="I905" s="31">
        <f>Simulation_output!F903</f>
        <v>0</v>
      </c>
      <c r="J905" s="31">
        <f>Simulation_output!G903</f>
        <v>0</v>
      </c>
      <c r="K905" s="31">
        <f>Simulation_output!H903</f>
        <v>0</v>
      </c>
      <c r="L905">
        <v>1</v>
      </c>
      <c r="M905">
        <f t="shared" si="227"/>
        <v>0</v>
      </c>
      <c r="N905">
        <f t="shared" si="226"/>
        <v>0</v>
      </c>
      <c r="O905">
        <f t="shared" si="225"/>
        <v>0</v>
      </c>
      <c r="P905">
        <f t="shared" si="228"/>
        <v>0</v>
      </c>
      <c r="Q905">
        <f t="shared" si="224"/>
        <v>0</v>
      </c>
      <c r="R905">
        <f t="shared" si="230"/>
        <v>0</v>
      </c>
      <c r="S905">
        <f t="shared" si="231"/>
        <v>0</v>
      </c>
      <c r="T905">
        <f t="shared" si="232"/>
        <v>0</v>
      </c>
      <c r="U905">
        <f t="shared" si="233"/>
        <v>0</v>
      </c>
      <c r="V905">
        <f t="shared" si="234"/>
        <v>0</v>
      </c>
      <c r="W905">
        <f t="shared" si="235"/>
        <v>0</v>
      </c>
      <c r="X905">
        <f t="shared" si="236"/>
        <v>0</v>
      </c>
      <c r="Y905">
        <f t="shared" si="237"/>
        <v>0</v>
      </c>
      <c r="Z905">
        <f t="shared" si="238"/>
        <v>0</v>
      </c>
      <c r="AB905">
        <v>901</v>
      </c>
      <c r="AC905">
        <f t="shared" si="239"/>
        <v>33</v>
      </c>
      <c r="AD905">
        <f t="shared" si="229"/>
        <v>0</v>
      </c>
    </row>
    <row r="906" spans="4:30" x14ac:dyDescent="0.25">
      <c r="D906" s="31">
        <f>Simulation_output!A904</f>
        <v>9025000</v>
      </c>
      <c r="E906">
        <f>Sheet2!R903</f>
        <v>0</v>
      </c>
      <c r="F906">
        <f>Sheet2!S903</f>
        <v>0</v>
      </c>
      <c r="G906">
        <f>Sheet2!T903</f>
        <v>0</v>
      </c>
      <c r="H906" s="31">
        <f>Simulation_output!E904</f>
        <v>1</v>
      </c>
      <c r="I906" s="31">
        <f>Simulation_output!F904</f>
        <v>0</v>
      </c>
      <c r="J906" s="31">
        <f>Simulation_output!G904</f>
        <v>0</v>
      </c>
      <c r="K906" s="31">
        <f>Simulation_output!H904</f>
        <v>0</v>
      </c>
      <c r="L906">
        <v>1</v>
      </c>
      <c r="M906">
        <f t="shared" si="227"/>
        <v>0</v>
      </c>
      <c r="N906">
        <f t="shared" si="226"/>
        <v>0</v>
      </c>
      <c r="O906">
        <f t="shared" si="225"/>
        <v>0</v>
      </c>
      <c r="P906">
        <f t="shared" si="228"/>
        <v>0</v>
      </c>
      <c r="Q906">
        <f t="shared" si="224"/>
        <v>0</v>
      </c>
      <c r="R906">
        <f t="shared" si="230"/>
        <v>0</v>
      </c>
      <c r="S906">
        <f t="shared" si="231"/>
        <v>0</v>
      </c>
      <c r="T906">
        <f t="shared" si="232"/>
        <v>0</v>
      </c>
      <c r="U906">
        <f t="shared" si="233"/>
        <v>0</v>
      </c>
      <c r="V906">
        <f t="shared" si="234"/>
        <v>0</v>
      </c>
      <c r="W906">
        <f t="shared" si="235"/>
        <v>0</v>
      </c>
      <c r="X906">
        <f t="shared" si="236"/>
        <v>0</v>
      </c>
      <c r="Y906">
        <f t="shared" si="237"/>
        <v>0</v>
      </c>
      <c r="Z906">
        <f t="shared" si="238"/>
        <v>0</v>
      </c>
      <c r="AB906">
        <v>902</v>
      </c>
      <c r="AC906">
        <f t="shared" si="239"/>
        <v>33</v>
      </c>
      <c r="AD906">
        <f t="shared" si="229"/>
        <v>0</v>
      </c>
    </row>
    <row r="907" spans="4:30" x14ac:dyDescent="0.25">
      <c r="D907" s="31">
        <f>Simulation_output!A905</f>
        <v>9035000</v>
      </c>
      <c r="E907">
        <f>Sheet2!R904</f>
        <v>0</v>
      </c>
      <c r="F907">
        <f>Sheet2!S904</f>
        <v>0</v>
      </c>
      <c r="G907">
        <f>Sheet2!T904</f>
        <v>0</v>
      </c>
      <c r="H907" s="31">
        <f>Simulation_output!E905</f>
        <v>1</v>
      </c>
      <c r="I907" s="31">
        <f>Simulation_output!F905</f>
        <v>0</v>
      </c>
      <c r="J907" s="31">
        <f>Simulation_output!G905</f>
        <v>0</v>
      </c>
      <c r="K907" s="31">
        <f>Simulation_output!H905</f>
        <v>0</v>
      </c>
      <c r="L907">
        <v>1</v>
      </c>
      <c r="M907">
        <f t="shared" si="227"/>
        <v>0</v>
      </c>
      <c r="N907">
        <f t="shared" si="226"/>
        <v>0</v>
      </c>
      <c r="O907">
        <f t="shared" si="225"/>
        <v>0</v>
      </c>
      <c r="P907">
        <f t="shared" si="228"/>
        <v>0</v>
      </c>
      <c r="Q907">
        <f t="shared" ref="Q907:Q970" si="240">IF(K907&gt;0,I898,0)</f>
        <v>0</v>
      </c>
      <c r="R907">
        <f t="shared" si="230"/>
        <v>0</v>
      </c>
      <c r="S907">
        <f t="shared" si="231"/>
        <v>0</v>
      </c>
      <c r="T907">
        <f t="shared" si="232"/>
        <v>0</v>
      </c>
      <c r="U907">
        <f t="shared" si="233"/>
        <v>0</v>
      </c>
      <c r="V907">
        <f t="shared" si="234"/>
        <v>0</v>
      </c>
      <c r="W907">
        <f t="shared" si="235"/>
        <v>0</v>
      </c>
      <c r="X907">
        <f t="shared" si="236"/>
        <v>0</v>
      </c>
      <c r="Y907">
        <f t="shared" si="237"/>
        <v>0</v>
      </c>
      <c r="Z907">
        <f t="shared" si="238"/>
        <v>0</v>
      </c>
      <c r="AB907">
        <v>903</v>
      </c>
      <c r="AC907">
        <f t="shared" si="239"/>
        <v>33</v>
      </c>
      <c r="AD907">
        <f t="shared" si="229"/>
        <v>0</v>
      </c>
    </row>
    <row r="908" spans="4:30" x14ac:dyDescent="0.25">
      <c r="D908" s="31">
        <f>Simulation_output!A906</f>
        <v>9045000</v>
      </c>
      <c r="E908">
        <f>Sheet2!R905</f>
        <v>0</v>
      </c>
      <c r="F908">
        <f>Sheet2!S905</f>
        <v>0</v>
      </c>
      <c r="G908">
        <f>Sheet2!T905</f>
        <v>0</v>
      </c>
      <c r="H908" s="31">
        <f>Simulation_output!E906</f>
        <v>1</v>
      </c>
      <c r="I908" s="31">
        <f>Simulation_output!F906</f>
        <v>0</v>
      </c>
      <c r="J908" s="31">
        <f>Simulation_output!G906</f>
        <v>0</v>
      </c>
      <c r="K908" s="31">
        <f>Simulation_output!H906</f>
        <v>0</v>
      </c>
      <c r="L908">
        <v>1</v>
      </c>
      <c r="M908">
        <f t="shared" si="227"/>
        <v>0</v>
      </c>
      <c r="N908">
        <f t="shared" si="226"/>
        <v>0</v>
      </c>
      <c r="O908">
        <f t="shared" si="225"/>
        <v>0</v>
      </c>
      <c r="P908">
        <f t="shared" si="228"/>
        <v>0</v>
      </c>
      <c r="Q908">
        <f t="shared" si="240"/>
        <v>0</v>
      </c>
      <c r="R908">
        <f t="shared" si="230"/>
        <v>0</v>
      </c>
      <c r="S908">
        <f t="shared" si="231"/>
        <v>0</v>
      </c>
      <c r="T908">
        <f t="shared" si="232"/>
        <v>0</v>
      </c>
      <c r="U908">
        <f t="shared" si="233"/>
        <v>0</v>
      </c>
      <c r="V908">
        <f t="shared" si="234"/>
        <v>0</v>
      </c>
      <c r="W908">
        <f t="shared" si="235"/>
        <v>0</v>
      </c>
      <c r="X908">
        <f t="shared" si="236"/>
        <v>0</v>
      </c>
      <c r="Y908">
        <f t="shared" si="237"/>
        <v>0</v>
      </c>
      <c r="Z908">
        <f t="shared" si="238"/>
        <v>0</v>
      </c>
      <c r="AB908">
        <v>904</v>
      </c>
      <c r="AC908">
        <f t="shared" si="239"/>
        <v>33</v>
      </c>
      <c r="AD908">
        <f t="shared" si="229"/>
        <v>0</v>
      </c>
    </row>
    <row r="909" spans="4:30" x14ac:dyDescent="0.25">
      <c r="D909" s="31">
        <f>Simulation_output!A907</f>
        <v>9055000</v>
      </c>
      <c r="E909">
        <f>Sheet2!R906</f>
        <v>0</v>
      </c>
      <c r="F909">
        <f>Sheet2!S906</f>
        <v>0</v>
      </c>
      <c r="G909">
        <f>Sheet2!T906</f>
        <v>0</v>
      </c>
      <c r="H909" s="31">
        <f>Simulation_output!E907</f>
        <v>1</v>
      </c>
      <c r="I909" s="31">
        <f>Simulation_output!F907</f>
        <v>0</v>
      </c>
      <c r="J909" s="31">
        <f>Simulation_output!G907</f>
        <v>0</v>
      </c>
      <c r="K909" s="31">
        <f>Simulation_output!H907</f>
        <v>0</v>
      </c>
      <c r="L909">
        <v>1</v>
      </c>
      <c r="M909">
        <f t="shared" si="227"/>
        <v>0</v>
      </c>
      <c r="N909">
        <f t="shared" si="226"/>
        <v>0</v>
      </c>
      <c r="O909">
        <f t="shared" ref="O909:O972" si="241">IF(K909&gt;0,I898,0)</f>
        <v>0</v>
      </c>
      <c r="P909">
        <f t="shared" si="228"/>
        <v>0</v>
      </c>
      <c r="Q909">
        <f t="shared" si="240"/>
        <v>0</v>
      </c>
      <c r="R909">
        <f t="shared" si="230"/>
        <v>0</v>
      </c>
      <c r="S909">
        <f t="shared" si="231"/>
        <v>0</v>
      </c>
      <c r="T909">
        <f t="shared" si="232"/>
        <v>0</v>
      </c>
      <c r="U909">
        <f t="shared" si="233"/>
        <v>0</v>
      </c>
      <c r="V909">
        <f t="shared" si="234"/>
        <v>0</v>
      </c>
      <c r="W909">
        <f t="shared" si="235"/>
        <v>0</v>
      </c>
      <c r="X909">
        <f t="shared" si="236"/>
        <v>0</v>
      </c>
      <c r="Y909">
        <f t="shared" si="237"/>
        <v>0</v>
      </c>
      <c r="Z909">
        <f t="shared" si="238"/>
        <v>0</v>
      </c>
      <c r="AB909">
        <v>905</v>
      </c>
      <c r="AC909">
        <f t="shared" si="239"/>
        <v>33</v>
      </c>
      <c r="AD909">
        <f t="shared" si="229"/>
        <v>0</v>
      </c>
    </row>
    <row r="910" spans="4:30" x14ac:dyDescent="0.25">
      <c r="D910" s="31">
        <f>Simulation_output!A908</f>
        <v>9065000</v>
      </c>
      <c r="E910">
        <f>Sheet2!R907</f>
        <v>0</v>
      </c>
      <c r="F910">
        <f>Sheet2!S907</f>
        <v>0</v>
      </c>
      <c r="G910">
        <f>Sheet2!T907</f>
        <v>0</v>
      </c>
      <c r="H910" s="31">
        <f>Simulation_output!E908</f>
        <v>1</v>
      </c>
      <c r="I910" s="31">
        <f>Simulation_output!F908</f>
        <v>0</v>
      </c>
      <c r="J910" s="31">
        <f>Simulation_output!G908</f>
        <v>0</v>
      </c>
      <c r="K910" s="31">
        <f>Simulation_output!H908</f>
        <v>0</v>
      </c>
      <c r="L910">
        <v>1</v>
      </c>
      <c r="M910">
        <f t="shared" si="227"/>
        <v>0</v>
      </c>
      <c r="N910">
        <f t="shared" ref="N910:N973" si="242">IF(K910&gt;0,I898,0)</f>
        <v>0</v>
      </c>
      <c r="O910">
        <f t="shared" si="241"/>
        <v>0</v>
      </c>
      <c r="P910">
        <f t="shared" si="228"/>
        <v>0</v>
      </c>
      <c r="Q910">
        <f t="shared" si="240"/>
        <v>0</v>
      </c>
      <c r="R910">
        <f t="shared" si="230"/>
        <v>0</v>
      </c>
      <c r="S910">
        <f t="shared" si="231"/>
        <v>0</v>
      </c>
      <c r="T910">
        <f t="shared" si="232"/>
        <v>0</v>
      </c>
      <c r="U910">
        <f t="shared" si="233"/>
        <v>0</v>
      </c>
      <c r="V910">
        <f t="shared" si="234"/>
        <v>0</v>
      </c>
      <c r="W910">
        <f t="shared" si="235"/>
        <v>0</v>
      </c>
      <c r="X910">
        <f t="shared" si="236"/>
        <v>0</v>
      </c>
      <c r="Y910">
        <f t="shared" si="237"/>
        <v>0</v>
      </c>
      <c r="Z910">
        <f t="shared" si="238"/>
        <v>0</v>
      </c>
      <c r="AB910">
        <v>906</v>
      </c>
      <c r="AC910">
        <f t="shared" si="239"/>
        <v>33</v>
      </c>
      <c r="AD910">
        <f t="shared" si="229"/>
        <v>0</v>
      </c>
    </row>
    <row r="911" spans="4:30" x14ac:dyDescent="0.25">
      <c r="D911" s="31">
        <f>Simulation_output!A909</f>
        <v>9075000</v>
      </c>
      <c r="E911">
        <f>Sheet2!R908</f>
        <v>0</v>
      </c>
      <c r="F911">
        <f>Sheet2!S908</f>
        <v>0</v>
      </c>
      <c r="G911">
        <f>Sheet2!T908</f>
        <v>0</v>
      </c>
      <c r="H911" s="31">
        <f>Simulation_output!E909</f>
        <v>1</v>
      </c>
      <c r="I911" s="31">
        <f>Simulation_output!F909</f>
        <v>0</v>
      </c>
      <c r="J911" s="31">
        <f>Simulation_output!G909</f>
        <v>0</v>
      </c>
      <c r="K911" s="31">
        <f>Simulation_output!H909</f>
        <v>0</v>
      </c>
      <c r="L911">
        <v>1</v>
      </c>
      <c r="M911">
        <f t="shared" ref="M911:M974" si="243">IF(K911&gt;0,DEC2HEX(I898),0)</f>
        <v>0</v>
      </c>
      <c r="N911">
        <f t="shared" si="242"/>
        <v>0</v>
      </c>
      <c r="O911">
        <f t="shared" si="241"/>
        <v>0</v>
      </c>
      <c r="P911">
        <f t="shared" ref="P911:P974" si="244">IF(K911&gt;0,I901,0)</f>
        <v>0</v>
      </c>
      <c r="Q911">
        <f t="shared" si="240"/>
        <v>0</v>
      </c>
      <c r="R911">
        <f t="shared" si="230"/>
        <v>0</v>
      </c>
      <c r="S911">
        <f t="shared" si="231"/>
        <v>0</v>
      </c>
      <c r="T911">
        <f t="shared" si="232"/>
        <v>0</v>
      </c>
      <c r="U911">
        <f t="shared" si="233"/>
        <v>0</v>
      </c>
      <c r="V911">
        <f t="shared" si="234"/>
        <v>0</v>
      </c>
      <c r="W911">
        <f t="shared" si="235"/>
        <v>0</v>
      </c>
      <c r="X911">
        <f t="shared" si="236"/>
        <v>0</v>
      </c>
      <c r="Y911">
        <f t="shared" si="237"/>
        <v>0</v>
      </c>
      <c r="Z911">
        <f t="shared" si="238"/>
        <v>0</v>
      </c>
      <c r="AB911">
        <v>907</v>
      </c>
      <c r="AC911">
        <f t="shared" si="239"/>
        <v>33</v>
      </c>
      <c r="AD911">
        <f t="shared" si="229"/>
        <v>0</v>
      </c>
    </row>
    <row r="912" spans="4:30" x14ac:dyDescent="0.25">
      <c r="D912" s="31">
        <f>Simulation_output!A910</f>
        <v>9085000</v>
      </c>
      <c r="E912">
        <f>Sheet2!R909</f>
        <v>0</v>
      </c>
      <c r="F912">
        <f>Sheet2!S909</f>
        <v>0</v>
      </c>
      <c r="G912">
        <f>Sheet2!T909</f>
        <v>0</v>
      </c>
      <c r="H912" s="31">
        <f>Simulation_output!E910</f>
        <v>1</v>
      </c>
      <c r="I912" s="31">
        <f>Simulation_output!F910</f>
        <v>0</v>
      </c>
      <c r="J912" s="31">
        <f>Simulation_output!G910</f>
        <v>0</v>
      </c>
      <c r="K912" s="31">
        <f>Simulation_output!H910</f>
        <v>0</v>
      </c>
      <c r="L912">
        <v>1</v>
      </c>
      <c r="M912">
        <f t="shared" si="243"/>
        <v>0</v>
      </c>
      <c r="N912">
        <f t="shared" si="242"/>
        <v>0</v>
      </c>
      <c r="O912">
        <f t="shared" si="241"/>
        <v>0</v>
      </c>
      <c r="P912">
        <f t="shared" si="244"/>
        <v>0</v>
      </c>
      <c r="Q912">
        <f t="shared" si="240"/>
        <v>0</v>
      </c>
      <c r="R912">
        <f t="shared" si="230"/>
        <v>0</v>
      </c>
      <c r="S912">
        <f t="shared" si="231"/>
        <v>0</v>
      </c>
      <c r="T912">
        <f t="shared" si="232"/>
        <v>0</v>
      </c>
      <c r="U912">
        <f t="shared" si="233"/>
        <v>0</v>
      </c>
      <c r="V912">
        <f t="shared" si="234"/>
        <v>0</v>
      </c>
      <c r="W912">
        <f t="shared" si="235"/>
        <v>0</v>
      </c>
      <c r="X912">
        <f t="shared" si="236"/>
        <v>0</v>
      </c>
      <c r="Y912">
        <f t="shared" si="237"/>
        <v>0</v>
      </c>
      <c r="Z912">
        <f t="shared" si="238"/>
        <v>0</v>
      </c>
      <c r="AB912">
        <v>908</v>
      </c>
      <c r="AC912">
        <f t="shared" si="239"/>
        <v>33</v>
      </c>
      <c r="AD912">
        <f t="shared" si="229"/>
        <v>0</v>
      </c>
    </row>
    <row r="913" spans="4:30" x14ac:dyDescent="0.25">
      <c r="D913" s="31">
        <f>Simulation_output!A911</f>
        <v>9095000</v>
      </c>
      <c r="E913">
        <f>Sheet2!R910</f>
        <v>0</v>
      </c>
      <c r="F913">
        <f>Sheet2!S910</f>
        <v>0</v>
      </c>
      <c r="G913">
        <f>Sheet2!T910</f>
        <v>0</v>
      </c>
      <c r="H913" s="31">
        <f>Simulation_output!E911</f>
        <v>1</v>
      </c>
      <c r="I913" s="31">
        <f>Simulation_output!F911</f>
        <v>0</v>
      </c>
      <c r="J913" s="31">
        <f>Simulation_output!G911</f>
        <v>0</v>
      </c>
      <c r="K913" s="31">
        <f>Simulation_output!H911</f>
        <v>0</v>
      </c>
      <c r="L913">
        <v>1</v>
      </c>
      <c r="M913">
        <f t="shared" si="243"/>
        <v>0</v>
      </c>
      <c r="N913">
        <f t="shared" si="242"/>
        <v>0</v>
      </c>
      <c r="O913">
        <f t="shared" si="241"/>
        <v>0</v>
      </c>
      <c r="P913">
        <f t="shared" si="244"/>
        <v>0</v>
      </c>
      <c r="Q913">
        <f t="shared" si="240"/>
        <v>0</v>
      </c>
      <c r="R913">
        <f t="shared" si="230"/>
        <v>0</v>
      </c>
      <c r="S913">
        <f t="shared" si="231"/>
        <v>0</v>
      </c>
      <c r="T913">
        <f t="shared" si="232"/>
        <v>0</v>
      </c>
      <c r="U913">
        <f t="shared" si="233"/>
        <v>0</v>
      </c>
      <c r="V913">
        <f t="shared" si="234"/>
        <v>0</v>
      </c>
      <c r="W913">
        <f t="shared" si="235"/>
        <v>0</v>
      </c>
      <c r="X913">
        <f t="shared" si="236"/>
        <v>0</v>
      </c>
      <c r="Y913">
        <f t="shared" si="237"/>
        <v>0</v>
      </c>
      <c r="Z913">
        <f t="shared" si="238"/>
        <v>0</v>
      </c>
      <c r="AB913">
        <v>909</v>
      </c>
      <c r="AC913">
        <f t="shared" si="239"/>
        <v>33</v>
      </c>
      <c r="AD913">
        <f t="shared" si="229"/>
        <v>0</v>
      </c>
    </row>
    <row r="914" spans="4:30" x14ac:dyDescent="0.25">
      <c r="D914" s="31">
        <f>Simulation_output!A912</f>
        <v>9105000</v>
      </c>
      <c r="E914">
        <f>Sheet2!R911</f>
        <v>0</v>
      </c>
      <c r="F914">
        <f>Sheet2!S911</f>
        <v>0</v>
      </c>
      <c r="G914">
        <f>Sheet2!T911</f>
        <v>0</v>
      </c>
      <c r="H914" s="31">
        <f>Simulation_output!E912</f>
        <v>1</v>
      </c>
      <c r="I914" s="31">
        <f>Simulation_output!F912</f>
        <v>0</v>
      </c>
      <c r="J914" s="31">
        <f>Simulation_output!G912</f>
        <v>0</v>
      </c>
      <c r="K914" s="31">
        <f>Simulation_output!H912</f>
        <v>0</v>
      </c>
      <c r="L914">
        <v>1</v>
      </c>
      <c r="M914">
        <f t="shared" si="243"/>
        <v>0</v>
      </c>
      <c r="N914">
        <f t="shared" si="242"/>
        <v>0</v>
      </c>
      <c r="O914">
        <f t="shared" si="241"/>
        <v>0</v>
      </c>
      <c r="P914">
        <f t="shared" si="244"/>
        <v>0</v>
      </c>
      <c r="Q914">
        <f t="shared" si="240"/>
        <v>0</v>
      </c>
      <c r="R914">
        <f t="shared" si="230"/>
        <v>0</v>
      </c>
      <c r="S914">
        <f t="shared" si="231"/>
        <v>0</v>
      </c>
      <c r="T914">
        <f t="shared" si="232"/>
        <v>0</v>
      </c>
      <c r="U914">
        <f t="shared" si="233"/>
        <v>0</v>
      </c>
      <c r="V914">
        <f t="shared" si="234"/>
        <v>0</v>
      </c>
      <c r="W914">
        <f t="shared" si="235"/>
        <v>0</v>
      </c>
      <c r="X914">
        <f t="shared" si="236"/>
        <v>0</v>
      </c>
      <c r="Y914">
        <f t="shared" si="237"/>
        <v>0</v>
      </c>
      <c r="Z914">
        <f t="shared" si="238"/>
        <v>0</v>
      </c>
      <c r="AB914">
        <v>910</v>
      </c>
      <c r="AC914">
        <f t="shared" si="239"/>
        <v>33</v>
      </c>
      <c r="AD914">
        <f t="shared" si="229"/>
        <v>0</v>
      </c>
    </row>
    <row r="915" spans="4:30" x14ac:dyDescent="0.25">
      <c r="D915" s="31">
        <f>Simulation_output!A913</f>
        <v>9115000</v>
      </c>
      <c r="E915">
        <f>Sheet2!R912</f>
        <v>0</v>
      </c>
      <c r="F915">
        <f>Sheet2!S912</f>
        <v>0</v>
      </c>
      <c r="G915">
        <f>Sheet2!T912</f>
        <v>0</v>
      </c>
      <c r="H915" s="31">
        <f>Simulation_output!E913</f>
        <v>1</v>
      </c>
      <c r="I915" s="31">
        <f>Simulation_output!F913</f>
        <v>0</v>
      </c>
      <c r="J915" s="31">
        <f>Simulation_output!G913</f>
        <v>0</v>
      </c>
      <c r="K915" s="31">
        <f>Simulation_output!H913</f>
        <v>0</v>
      </c>
      <c r="L915">
        <v>1</v>
      </c>
      <c r="M915">
        <f t="shared" si="243"/>
        <v>0</v>
      </c>
      <c r="N915">
        <f t="shared" si="242"/>
        <v>0</v>
      </c>
      <c r="O915">
        <f t="shared" si="241"/>
        <v>0</v>
      </c>
      <c r="P915">
        <f t="shared" si="244"/>
        <v>0</v>
      </c>
      <c r="Q915">
        <f t="shared" si="240"/>
        <v>0</v>
      </c>
      <c r="R915">
        <f t="shared" si="230"/>
        <v>0</v>
      </c>
      <c r="S915">
        <f t="shared" si="231"/>
        <v>0</v>
      </c>
      <c r="T915">
        <f t="shared" si="232"/>
        <v>0</v>
      </c>
      <c r="U915">
        <f t="shared" si="233"/>
        <v>0</v>
      </c>
      <c r="V915">
        <f t="shared" si="234"/>
        <v>0</v>
      </c>
      <c r="W915">
        <f t="shared" si="235"/>
        <v>0</v>
      </c>
      <c r="X915">
        <f t="shared" si="236"/>
        <v>0</v>
      </c>
      <c r="Y915">
        <f t="shared" si="237"/>
        <v>0</v>
      </c>
      <c r="Z915">
        <f t="shared" si="238"/>
        <v>0</v>
      </c>
      <c r="AB915">
        <v>911</v>
      </c>
      <c r="AC915">
        <f t="shared" si="239"/>
        <v>33</v>
      </c>
      <c r="AD915">
        <f t="shared" si="229"/>
        <v>0</v>
      </c>
    </row>
    <row r="916" spans="4:30" x14ac:dyDescent="0.25">
      <c r="D916" s="31">
        <f>Simulation_output!A914</f>
        <v>9125000</v>
      </c>
      <c r="E916">
        <f>Sheet2!R913</f>
        <v>0</v>
      </c>
      <c r="F916">
        <f>Sheet2!S913</f>
        <v>0</v>
      </c>
      <c r="G916">
        <f>Sheet2!T913</f>
        <v>0</v>
      </c>
      <c r="H916" s="31">
        <f>Simulation_output!E914</f>
        <v>1</v>
      </c>
      <c r="I916" s="31">
        <f>Simulation_output!F914</f>
        <v>0</v>
      </c>
      <c r="J916" s="31">
        <f>Simulation_output!G914</f>
        <v>0</v>
      </c>
      <c r="K916" s="31">
        <f>Simulation_output!H914</f>
        <v>0</v>
      </c>
      <c r="L916">
        <v>1</v>
      </c>
      <c r="M916">
        <f t="shared" si="243"/>
        <v>0</v>
      </c>
      <c r="N916">
        <f t="shared" si="242"/>
        <v>0</v>
      </c>
      <c r="O916">
        <f t="shared" si="241"/>
        <v>0</v>
      </c>
      <c r="P916">
        <f t="shared" si="244"/>
        <v>0</v>
      </c>
      <c r="Q916">
        <f t="shared" si="240"/>
        <v>0</v>
      </c>
      <c r="R916">
        <f t="shared" si="230"/>
        <v>0</v>
      </c>
      <c r="S916">
        <f t="shared" si="231"/>
        <v>0</v>
      </c>
      <c r="T916">
        <f t="shared" si="232"/>
        <v>0</v>
      </c>
      <c r="U916">
        <f t="shared" si="233"/>
        <v>0</v>
      </c>
      <c r="V916">
        <f t="shared" si="234"/>
        <v>0</v>
      </c>
      <c r="W916">
        <f t="shared" si="235"/>
        <v>0</v>
      </c>
      <c r="X916">
        <f t="shared" si="236"/>
        <v>0</v>
      </c>
      <c r="Y916">
        <f t="shared" si="237"/>
        <v>0</v>
      </c>
      <c r="Z916">
        <f t="shared" si="238"/>
        <v>0</v>
      </c>
      <c r="AB916">
        <v>912</v>
      </c>
      <c r="AC916">
        <f t="shared" si="239"/>
        <v>33</v>
      </c>
      <c r="AD916">
        <f t="shared" si="229"/>
        <v>0</v>
      </c>
    </row>
    <row r="917" spans="4:30" x14ac:dyDescent="0.25">
      <c r="D917" s="31">
        <f>Simulation_output!A915</f>
        <v>9135000</v>
      </c>
      <c r="E917">
        <f>Sheet2!R914</f>
        <v>0</v>
      </c>
      <c r="F917">
        <f>Sheet2!S914</f>
        <v>0</v>
      </c>
      <c r="G917">
        <f>Sheet2!T914</f>
        <v>0</v>
      </c>
      <c r="H917" s="31">
        <f>Simulation_output!E915</f>
        <v>1</v>
      </c>
      <c r="I917" s="31">
        <f>Simulation_output!F915</f>
        <v>0</v>
      </c>
      <c r="J917" s="31">
        <f>Simulation_output!G915</f>
        <v>0</v>
      </c>
      <c r="K917" s="31">
        <f>Simulation_output!H915</f>
        <v>0</v>
      </c>
      <c r="L917">
        <v>1</v>
      </c>
      <c r="M917">
        <f t="shared" si="243"/>
        <v>0</v>
      </c>
      <c r="N917">
        <f t="shared" si="242"/>
        <v>0</v>
      </c>
      <c r="O917">
        <f t="shared" si="241"/>
        <v>0</v>
      </c>
      <c r="P917">
        <f t="shared" si="244"/>
        <v>0</v>
      </c>
      <c r="Q917">
        <f t="shared" si="240"/>
        <v>0</v>
      </c>
      <c r="R917">
        <f t="shared" si="230"/>
        <v>0</v>
      </c>
      <c r="S917">
        <f t="shared" si="231"/>
        <v>0</v>
      </c>
      <c r="T917">
        <f t="shared" si="232"/>
        <v>0</v>
      </c>
      <c r="U917">
        <f t="shared" si="233"/>
        <v>0</v>
      </c>
      <c r="V917">
        <f t="shared" si="234"/>
        <v>0</v>
      </c>
      <c r="W917">
        <f t="shared" si="235"/>
        <v>0</v>
      </c>
      <c r="X917">
        <f t="shared" si="236"/>
        <v>0</v>
      </c>
      <c r="Y917">
        <f t="shared" si="237"/>
        <v>0</v>
      </c>
      <c r="Z917">
        <f t="shared" si="238"/>
        <v>0</v>
      </c>
      <c r="AB917">
        <v>913</v>
      </c>
      <c r="AC917">
        <f t="shared" si="239"/>
        <v>33</v>
      </c>
      <c r="AD917">
        <f t="shared" si="229"/>
        <v>0</v>
      </c>
    </row>
    <row r="918" spans="4:30" x14ac:dyDescent="0.25">
      <c r="D918" s="31">
        <f>Simulation_output!A916</f>
        <v>9145000</v>
      </c>
      <c r="E918">
        <f>Sheet2!R915</f>
        <v>0</v>
      </c>
      <c r="F918">
        <f>Sheet2!S915</f>
        <v>0</v>
      </c>
      <c r="G918">
        <f>Sheet2!T915</f>
        <v>0</v>
      </c>
      <c r="H918" s="31">
        <f>Simulation_output!E916</f>
        <v>1</v>
      </c>
      <c r="I918" s="31">
        <f>Simulation_output!F916</f>
        <v>0</v>
      </c>
      <c r="J918" s="31">
        <f>Simulation_output!G916</f>
        <v>0</v>
      </c>
      <c r="K918" s="31">
        <f>Simulation_output!H916</f>
        <v>0</v>
      </c>
      <c r="L918">
        <v>1</v>
      </c>
      <c r="M918">
        <f t="shared" si="243"/>
        <v>0</v>
      </c>
      <c r="N918">
        <f t="shared" si="242"/>
        <v>0</v>
      </c>
      <c r="O918">
        <f t="shared" si="241"/>
        <v>0</v>
      </c>
      <c r="P918">
        <f t="shared" si="244"/>
        <v>0</v>
      </c>
      <c r="Q918">
        <f t="shared" si="240"/>
        <v>0</v>
      </c>
      <c r="R918">
        <f t="shared" si="230"/>
        <v>0</v>
      </c>
      <c r="S918">
        <f t="shared" si="231"/>
        <v>0</v>
      </c>
      <c r="T918">
        <f t="shared" si="232"/>
        <v>0</v>
      </c>
      <c r="U918">
        <f t="shared" si="233"/>
        <v>0</v>
      </c>
      <c r="V918">
        <f t="shared" si="234"/>
        <v>0</v>
      </c>
      <c r="W918">
        <f t="shared" si="235"/>
        <v>0</v>
      </c>
      <c r="X918">
        <f t="shared" si="236"/>
        <v>0</v>
      </c>
      <c r="Y918">
        <f t="shared" si="237"/>
        <v>0</v>
      </c>
      <c r="Z918">
        <f t="shared" si="238"/>
        <v>0</v>
      </c>
      <c r="AB918">
        <v>914</v>
      </c>
      <c r="AC918">
        <f t="shared" si="239"/>
        <v>33</v>
      </c>
      <c r="AD918">
        <f t="shared" si="229"/>
        <v>0</v>
      </c>
    </row>
    <row r="919" spans="4:30" x14ac:dyDescent="0.25">
      <c r="D919" s="31">
        <f>Simulation_output!A917</f>
        <v>9155000</v>
      </c>
      <c r="E919">
        <f>Sheet2!R916</f>
        <v>0</v>
      </c>
      <c r="F919">
        <f>Sheet2!S916</f>
        <v>0</v>
      </c>
      <c r="G919">
        <f>Sheet2!T916</f>
        <v>0</v>
      </c>
      <c r="H919" s="31">
        <f>Simulation_output!E917</f>
        <v>1</v>
      </c>
      <c r="I919" s="31">
        <f>Simulation_output!F917</f>
        <v>0</v>
      </c>
      <c r="J919" s="31">
        <f>Simulation_output!G917</f>
        <v>0</v>
      </c>
      <c r="K919" s="31">
        <f>Simulation_output!H917</f>
        <v>0</v>
      </c>
      <c r="L919">
        <v>1</v>
      </c>
      <c r="M919">
        <f t="shared" si="243"/>
        <v>0</v>
      </c>
      <c r="N919">
        <f t="shared" si="242"/>
        <v>0</v>
      </c>
      <c r="O919">
        <f t="shared" si="241"/>
        <v>0</v>
      </c>
      <c r="P919">
        <f t="shared" si="244"/>
        <v>0</v>
      </c>
      <c r="Q919">
        <f t="shared" si="240"/>
        <v>0</v>
      </c>
      <c r="R919">
        <f t="shared" si="230"/>
        <v>0</v>
      </c>
      <c r="S919">
        <f t="shared" si="231"/>
        <v>0</v>
      </c>
      <c r="T919">
        <f t="shared" si="232"/>
        <v>0</v>
      </c>
      <c r="U919">
        <f t="shared" si="233"/>
        <v>0</v>
      </c>
      <c r="V919">
        <f t="shared" si="234"/>
        <v>0</v>
      </c>
      <c r="W919">
        <f t="shared" si="235"/>
        <v>0</v>
      </c>
      <c r="X919">
        <f t="shared" si="236"/>
        <v>0</v>
      </c>
      <c r="Y919">
        <f t="shared" si="237"/>
        <v>0</v>
      </c>
      <c r="Z919">
        <f t="shared" si="238"/>
        <v>0</v>
      </c>
      <c r="AB919">
        <v>915</v>
      </c>
      <c r="AC919">
        <f t="shared" si="239"/>
        <v>33</v>
      </c>
      <c r="AD919">
        <f t="shared" si="229"/>
        <v>0</v>
      </c>
    </row>
    <row r="920" spans="4:30" x14ac:dyDescent="0.25">
      <c r="D920" s="31">
        <f>Simulation_output!A918</f>
        <v>9165000</v>
      </c>
      <c r="E920">
        <f>Sheet2!R917</f>
        <v>0</v>
      </c>
      <c r="F920">
        <f>Sheet2!S917</f>
        <v>0</v>
      </c>
      <c r="G920">
        <f>Sheet2!T917</f>
        <v>0</v>
      </c>
      <c r="H920" s="31">
        <f>Simulation_output!E918</f>
        <v>1</v>
      </c>
      <c r="I920" s="31">
        <f>Simulation_output!F918</f>
        <v>0</v>
      </c>
      <c r="J920" s="31">
        <f>Simulation_output!G918</f>
        <v>0</v>
      </c>
      <c r="K920" s="31">
        <f>Simulation_output!H918</f>
        <v>0</v>
      </c>
      <c r="L920">
        <v>1</v>
      </c>
      <c r="M920">
        <f t="shared" si="243"/>
        <v>0</v>
      </c>
      <c r="N920">
        <f t="shared" si="242"/>
        <v>0</v>
      </c>
      <c r="O920">
        <f t="shared" si="241"/>
        <v>0</v>
      </c>
      <c r="P920">
        <f t="shared" si="244"/>
        <v>0</v>
      </c>
      <c r="Q920">
        <f t="shared" si="240"/>
        <v>0</v>
      </c>
      <c r="R920">
        <f t="shared" si="230"/>
        <v>0</v>
      </c>
      <c r="S920">
        <f t="shared" si="231"/>
        <v>0</v>
      </c>
      <c r="T920">
        <f t="shared" si="232"/>
        <v>0</v>
      </c>
      <c r="U920">
        <f t="shared" si="233"/>
        <v>0</v>
      </c>
      <c r="V920">
        <f t="shared" si="234"/>
        <v>0</v>
      </c>
      <c r="W920">
        <f t="shared" si="235"/>
        <v>0</v>
      </c>
      <c r="X920">
        <f t="shared" si="236"/>
        <v>0</v>
      </c>
      <c r="Y920">
        <f t="shared" si="237"/>
        <v>0</v>
      </c>
      <c r="Z920">
        <f t="shared" si="238"/>
        <v>0</v>
      </c>
      <c r="AB920">
        <v>916</v>
      </c>
      <c r="AC920">
        <f t="shared" si="239"/>
        <v>33</v>
      </c>
      <c r="AD920">
        <f t="shared" si="229"/>
        <v>0</v>
      </c>
    </row>
    <row r="921" spans="4:30" x14ac:dyDescent="0.25">
      <c r="D921" s="31">
        <f>Simulation_output!A919</f>
        <v>9175000</v>
      </c>
      <c r="E921">
        <f>Sheet2!R918</f>
        <v>0</v>
      </c>
      <c r="F921">
        <f>Sheet2!S918</f>
        <v>0</v>
      </c>
      <c r="G921">
        <f>Sheet2!T918</f>
        <v>0</v>
      </c>
      <c r="H921" s="31">
        <f>Simulation_output!E919</f>
        <v>1</v>
      </c>
      <c r="I921" s="31">
        <f>Simulation_output!F919</f>
        <v>0</v>
      </c>
      <c r="J921" s="31">
        <f>Simulation_output!G919</f>
        <v>0</v>
      </c>
      <c r="K921" s="31">
        <f>Simulation_output!H919</f>
        <v>0</v>
      </c>
      <c r="L921">
        <v>1</v>
      </c>
      <c r="M921">
        <f t="shared" si="243"/>
        <v>0</v>
      </c>
      <c r="N921">
        <f t="shared" si="242"/>
        <v>0</v>
      </c>
      <c r="O921">
        <f t="shared" si="241"/>
        <v>0</v>
      </c>
      <c r="P921">
        <f t="shared" si="244"/>
        <v>0</v>
      </c>
      <c r="Q921">
        <f t="shared" si="240"/>
        <v>0</v>
      </c>
      <c r="R921">
        <f t="shared" si="230"/>
        <v>0</v>
      </c>
      <c r="S921">
        <f t="shared" si="231"/>
        <v>0</v>
      </c>
      <c r="T921">
        <f t="shared" si="232"/>
        <v>0</v>
      </c>
      <c r="U921">
        <f t="shared" si="233"/>
        <v>0</v>
      </c>
      <c r="V921">
        <f t="shared" si="234"/>
        <v>0</v>
      </c>
      <c r="W921">
        <f t="shared" si="235"/>
        <v>0</v>
      </c>
      <c r="X921">
        <f t="shared" si="236"/>
        <v>0</v>
      </c>
      <c r="Y921">
        <f t="shared" si="237"/>
        <v>0</v>
      </c>
      <c r="Z921">
        <f t="shared" si="238"/>
        <v>0</v>
      </c>
      <c r="AB921">
        <v>917</v>
      </c>
      <c r="AC921">
        <f t="shared" si="239"/>
        <v>33</v>
      </c>
      <c r="AD921">
        <f t="shared" si="229"/>
        <v>0</v>
      </c>
    </row>
    <row r="922" spans="4:30" x14ac:dyDescent="0.25">
      <c r="D922" s="31">
        <f>Simulation_output!A920</f>
        <v>9185000</v>
      </c>
      <c r="E922">
        <f>Sheet2!R919</f>
        <v>0</v>
      </c>
      <c r="F922">
        <f>Sheet2!S919</f>
        <v>0</v>
      </c>
      <c r="G922">
        <f>Sheet2!T919</f>
        <v>0</v>
      </c>
      <c r="H922" s="31">
        <f>Simulation_output!E920</f>
        <v>1</v>
      </c>
      <c r="I922" s="31">
        <f>Simulation_output!F920</f>
        <v>0</v>
      </c>
      <c r="J922" s="31">
        <f>Simulation_output!G920</f>
        <v>0</v>
      </c>
      <c r="K922" s="31">
        <f>Simulation_output!H920</f>
        <v>0</v>
      </c>
      <c r="L922">
        <v>1</v>
      </c>
      <c r="M922">
        <f t="shared" si="243"/>
        <v>0</v>
      </c>
      <c r="N922">
        <f t="shared" si="242"/>
        <v>0</v>
      </c>
      <c r="O922">
        <f t="shared" si="241"/>
        <v>0</v>
      </c>
      <c r="P922">
        <f t="shared" si="244"/>
        <v>0</v>
      </c>
      <c r="Q922">
        <f t="shared" si="240"/>
        <v>0</v>
      </c>
      <c r="R922">
        <f t="shared" si="230"/>
        <v>0</v>
      </c>
      <c r="S922">
        <f t="shared" si="231"/>
        <v>0</v>
      </c>
      <c r="T922">
        <f t="shared" si="232"/>
        <v>0</v>
      </c>
      <c r="U922">
        <f t="shared" si="233"/>
        <v>0</v>
      </c>
      <c r="V922">
        <f t="shared" si="234"/>
        <v>0</v>
      </c>
      <c r="W922">
        <f t="shared" si="235"/>
        <v>0</v>
      </c>
      <c r="X922">
        <f t="shared" si="236"/>
        <v>0</v>
      </c>
      <c r="Y922">
        <f t="shared" si="237"/>
        <v>0</v>
      </c>
      <c r="Z922">
        <f t="shared" si="238"/>
        <v>0</v>
      </c>
      <c r="AB922">
        <v>918</v>
      </c>
      <c r="AC922">
        <f t="shared" si="239"/>
        <v>33</v>
      </c>
      <c r="AD922">
        <f t="shared" si="229"/>
        <v>0</v>
      </c>
    </row>
    <row r="923" spans="4:30" x14ac:dyDescent="0.25">
      <c r="D923" s="31">
        <f>Simulation_output!A921</f>
        <v>9195000</v>
      </c>
      <c r="E923">
        <f>Sheet2!R920</f>
        <v>0</v>
      </c>
      <c r="F923">
        <f>Sheet2!S920</f>
        <v>0</v>
      </c>
      <c r="G923">
        <f>Sheet2!T920</f>
        <v>0</v>
      </c>
      <c r="H923" s="31">
        <f>Simulation_output!E921</f>
        <v>1</v>
      </c>
      <c r="I923" s="31">
        <f>Simulation_output!F921</f>
        <v>0</v>
      </c>
      <c r="J923" s="31">
        <f>Simulation_output!G921</f>
        <v>0</v>
      </c>
      <c r="K923" s="31">
        <f>Simulation_output!H921</f>
        <v>0</v>
      </c>
      <c r="L923">
        <v>1</v>
      </c>
      <c r="M923">
        <f t="shared" si="243"/>
        <v>0</v>
      </c>
      <c r="N923">
        <f t="shared" si="242"/>
        <v>0</v>
      </c>
      <c r="O923">
        <f t="shared" si="241"/>
        <v>0</v>
      </c>
      <c r="P923">
        <f t="shared" si="244"/>
        <v>0</v>
      </c>
      <c r="Q923">
        <f t="shared" si="240"/>
        <v>0</v>
      </c>
      <c r="R923">
        <f t="shared" si="230"/>
        <v>0</v>
      </c>
      <c r="S923">
        <f t="shared" si="231"/>
        <v>0</v>
      </c>
      <c r="T923">
        <f t="shared" si="232"/>
        <v>0</v>
      </c>
      <c r="U923">
        <f t="shared" si="233"/>
        <v>0</v>
      </c>
      <c r="V923">
        <f t="shared" si="234"/>
        <v>0</v>
      </c>
      <c r="W923">
        <f t="shared" si="235"/>
        <v>0</v>
      </c>
      <c r="X923">
        <f t="shared" si="236"/>
        <v>0</v>
      </c>
      <c r="Y923">
        <f t="shared" si="237"/>
        <v>0</v>
      </c>
      <c r="Z923">
        <f t="shared" si="238"/>
        <v>0</v>
      </c>
      <c r="AB923">
        <v>919</v>
      </c>
      <c r="AC923">
        <f t="shared" si="239"/>
        <v>33</v>
      </c>
      <c r="AD923">
        <f t="shared" si="229"/>
        <v>0</v>
      </c>
    </row>
    <row r="924" spans="4:30" x14ac:dyDescent="0.25">
      <c r="D924" s="31">
        <f>Simulation_output!A922</f>
        <v>9205000</v>
      </c>
      <c r="E924">
        <f>Sheet2!R921</f>
        <v>0</v>
      </c>
      <c r="F924">
        <f>Sheet2!S921</f>
        <v>0</v>
      </c>
      <c r="G924">
        <f>Sheet2!T921</f>
        <v>0</v>
      </c>
      <c r="H924" s="31">
        <f>Simulation_output!E922</f>
        <v>1</v>
      </c>
      <c r="I924" s="31">
        <f>Simulation_output!F922</f>
        <v>0</v>
      </c>
      <c r="J924" s="31">
        <f>Simulation_output!G922</f>
        <v>0</v>
      </c>
      <c r="K924" s="31">
        <f>Simulation_output!H922</f>
        <v>0</v>
      </c>
      <c r="L924">
        <v>1</v>
      </c>
      <c r="M924">
        <f t="shared" si="243"/>
        <v>0</v>
      </c>
      <c r="N924">
        <f t="shared" si="242"/>
        <v>0</v>
      </c>
      <c r="O924">
        <f t="shared" si="241"/>
        <v>0</v>
      </c>
      <c r="P924">
        <f t="shared" si="244"/>
        <v>0</v>
      </c>
      <c r="Q924">
        <f t="shared" si="240"/>
        <v>0</v>
      </c>
      <c r="R924">
        <f t="shared" si="230"/>
        <v>0</v>
      </c>
      <c r="S924">
        <f t="shared" si="231"/>
        <v>0</v>
      </c>
      <c r="T924">
        <f t="shared" si="232"/>
        <v>0</v>
      </c>
      <c r="U924">
        <f t="shared" si="233"/>
        <v>0</v>
      </c>
      <c r="V924">
        <f t="shared" si="234"/>
        <v>0</v>
      </c>
      <c r="W924">
        <f t="shared" si="235"/>
        <v>0</v>
      </c>
      <c r="X924">
        <f t="shared" si="236"/>
        <v>0</v>
      </c>
      <c r="Y924">
        <f t="shared" si="237"/>
        <v>0</v>
      </c>
      <c r="Z924">
        <f t="shared" si="238"/>
        <v>0</v>
      </c>
      <c r="AB924">
        <v>920</v>
      </c>
      <c r="AC924">
        <f t="shared" si="239"/>
        <v>33</v>
      </c>
      <c r="AD924">
        <f t="shared" si="229"/>
        <v>0</v>
      </c>
    </row>
    <row r="925" spans="4:30" x14ac:dyDescent="0.25">
      <c r="D925" s="31">
        <f>Simulation_output!A923</f>
        <v>9215000</v>
      </c>
      <c r="E925">
        <f>Sheet2!R922</f>
        <v>0</v>
      </c>
      <c r="F925">
        <f>Sheet2!S922</f>
        <v>0</v>
      </c>
      <c r="G925">
        <f>Sheet2!T922</f>
        <v>0</v>
      </c>
      <c r="H925" s="31">
        <f>Simulation_output!E923</f>
        <v>1</v>
      </c>
      <c r="I925" s="31">
        <f>Simulation_output!F923</f>
        <v>0</v>
      </c>
      <c r="J925" s="31">
        <f>Simulation_output!G923</f>
        <v>0</v>
      </c>
      <c r="K925" s="31">
        <f>Simulation_output!H923</f>
        <v>0</v>
      </c>
      <c r="L925">
        <v>1</v>
      </c>
      <c r="M925">
        <f t="shared" si="243"/>
        <v>0</v>
      </c>
      <c r="N925">
        <f t="shared" si="242"/>
        <v>0</v>
      </c>
      <c r="O925">
        <f t="shared" si="241"/>
        <v>0</v>
      </c>
      <c r="P925">
        <f t="shared" si="244"/>
        <v>0</v>
      </c>
      <c r="Q925">
        <f t="shared" si="240"/>
        <v>0</v>
      </c>
      <c r="R925">
        <f t="shared" si="230"/>
        <v>0</v>
      </c>
      <c r="S925">
        <f t="shared" si="231"/>
        <v>0</v>
      </c>
      <c r="T925">
        <f t="shared" si="232"/>
        <v>0</v>
      </c>
      <c r="U925">
        <f t="shared" si="233"/>
        <v>0</v>
      </c>
      <c r="V925">
        <f t="shared" si="234"/>
        <v>0</v>
      </c>
      <c r="W925">
        <f t="shared" si="235"/>
        <v>0</v>
      </c>
      <c r="X925">
        <f t="shared" si="236"/>
        <v>0</v>
      </c>
      <c r="Y925">
        <f t="shared" si="237"/>
        <v>0</v>
      </c>
      <c r="Z925">
        <f t="shared" si="238"/>
        <v>0</v>
      </c>
      <c r="AB925">
        <v>921</v>
      </c>
      <c r="AC925">
        <f t="shared" si="239"/>
        <v>33</v>
      </c>
      <c r="AD925">
        <f t="shared" si="229"/>
        <v>0</v>
      </c>
    </row>
    <row r="926" spans="4:30" x14ac:dyDescent="0.25">
      <c r="D926" s="31">
        <f>Simulation_output!A924</f>
        <v>9225000</v>
      </c>
      <c r="E926">
        <f>Sheet2!R923</f>
        <v>0</v>
      </c>
      <c r="F926">
        <f>Sheet2!S923</f>
        <v>0</v>
      </c>
      <c r="G926">
        <f>Sheet2!T923</f>
        <v>0</v>
      </c>
      <c r="H926" s="31">
        <f>Simulation_output!E924</f>
        <v>1</v>
      </c>
      <c r="I926" s="31">
        <f>Simulation_output!F924</f>
        <v>0</v>
      </c>
      <c r="J926" s="31">
        <f>Simulation_output!G924</f>
        <v>0</v>
      </c>
      <c r="K926" s="31">
        <f>Simulation_output!H924</f>
        <v>0</v>
      </c>
      <c r="L926">
        <v>1</v>
      </c>
      <c r="M926">
        <f t="shared" si="243"/>
        <v>0</v>
      </c>
      <c r="N926">
        <f t="shared" si="242"/>
        <v>0</v>
      </c>
      <c r="O926">
        <f t="shared" si="241"/>
        <v>0</v>
      </c>
      <c r="P926">
        <f t="shared" si="244"/>
        <v>0</v>
      </c>
      <c r="Q926">
        <f t="shared" si="240"/>
        <v>0</v>
      </c>
      <c r="R926">
        <f t="shared" si="230"/>
        <v>0</v>
      </c>
      <c r="S926">
        <f t="shared" si="231"/>
        <v>0</v>
      </c>
      <c r="T926">
        <f t="shared" si="232"/>
        <v>0</v>
      </c>
      <c r="U926">
        <f t="shared" si="233"/>
        <v>0</v>
      </c>
      <c r="V926">
        <f t="shared" si="234"/>
        <v>0</v>
      </c>
      <c r="W926">
        <f t="shared" si="235"/>
        <v>0</v>
      </c>
      <c r="X926">
        <f t="shared" si="236"/>
        <v>0</v>
      </c>
      <c r="Y926">
        <f t="shared" si="237"/>
        <v>0</v>
      </c>
      <c r="Z926">
        <f t="shared" si="238"/>
        <v>0</v>
      </c>
      <c r="AB926">
        <v>922</v>
      </c>
      <c r="AC926">
        <f t="shared" si="239"/>
        <v>33</v>
      </c>
      <c r="AD926">
        <f t="shared" si="229"/>
        <v>0</v>
      </c>
    </row>
    <row r="927" spans="4:30" x14ac:dyDescent="0.25">
      <c r="D927" s="31">
        <f>Simulation_output!A925</f>
        <v>9235000</v>
      </c>
      <c r="E927">
        <f>Sheet2!R924</f>
        <v>0</v>
      </c>
      <c r="F927">
        <f>Sheet2!S924</f>
        <v>0</v>
      </c>
      <c r="G927">
        <f>Sheet2!T924</f>
        <v>0</v>
      </c>
      <c r="H927" s="31">
        <f>Simulation_output!E925</f>
        <v>1</v>
      </c>
      <c r="I927" s="31">
        <f>Simulation_output!F925</f>
        <v>0</v>
      </c>
      <c r="J927" s="31">
        <f>Simulation_output!G925</f>
        <v>0</v>
      </c>
      <c r="K927" s="31">
        <f>Simulation_output!H925</f>
        <v>0</v>
      </c>
      <c r="L927">
        <v>1</v>
      </c>
      <c r="M927">
        <f t="shared" si="243"/>
        <v>0</v>
      </c>
      <c r="N927">
        <f t="shared" si="242"/>
        <v>0</v>
      </c>
      <c r="O927">
        <f t="shared" si="241"/>
        <v>0</v>
      </c>
      <c r="P927">
        <f t="shared" si="244"/>
        <v>0</v>
      </c>
      <c r="Q927">
        <f t="shared" si="240"/>
        <v>0</v>
      </c>
      <c r="R927">
        <f t="shared" si="230"/>
        <v>0</v>
      </c>
      <c r="S927">
        <f t="shared" si="231"/>
        <v>0</v>
      </c>
      <c r="T927">
        <f t="shared" si="232"/>
        <v>0</v>
      </c>
      <c r="U927">
        <f t="shared" si="233"/>
        <v>0</v>
      </c>
      <c r="V927">
        <f t="shared" si="234"/>
        <v>0</v>
      </c>
      <c r="W927">
        <f t="shared" si="235"/>
        <v>0</v>
      </c>
      <c r="X927">
        <f t="shared" si="236"/>
        <v>0</v>
      </c>
      <c r="Y927">
        <f t="shared" si="237"/>
        <v>0</v>
      </c>
      <c r="Z927">
        <f t="shared" si="238"/>
        <v>0</v>
      </c>
      <c r="AB927">
        <v>923</v>
      </c>
      <c r="AC927">
        <f t="shared" si="239"/>
        <v>33</v>
      </c>
      <c r="AD927">
        <f t="shared" si="229"/>
        <v>0</v>
      </c>
    </row>
    <row r="928" spans="4:30" x14ac:dyDescent="0.25">
      <c r="D928" s="31">
        <f>Simulation_output!A926</f>
        <v>9245000</v>
      </c>
      <c r="E928">
        <f>Sheet2!R925</f>
        <v>0</v>
      </c>
      <c r="F928">
        <f>Sheet2!S925</f>
        <v>0</v>
      </c>
      <c r="G928">
        <f>Sheet2!T925</f>
        <v>0</v>
      </c>
      <c r="H928" s="31">
        <f>Simulation_output!E926</f>
        <v>1</v>
      </c>
      <c r="I928" s="31">
        <f>Simulation_output!F926</f>
        <v>0</v>
      </c>
      <c r="J928" s="31">
        <f>Simulation_output!G926</f>
        <v>0</v>
      </c>
      <c r="K928" s="31">
        <f>Simulation_output!H926</f>
        <v>0</v>
      </c>
      <c r="L928">
        <v>1</v>
      </c>
      <c r="M928">
        <f t="shared" si="243"/>
        <v>0</v>
      </c>
      <c r="N928">
        <f t="shared" si="242"/>
        <v>0</v>
      </c>
      <c r="O928">
        <f t="shared" si="241"/>
        <v>0</v>
      </c>
      <c r="P928">
        <f t="shared" si="244"/>
        <v>0</v>
      </c>
      <c r="Q928">
        <f t="shared" si="240"/>
        <v>0</v>
      </c>
      <c r="R928">
        <f t="shared" si="230"/>
        <v>0</v>
      </c>
      <c r="S928">
        <f t="shared" si="231"/>
        <v>0</v>
      </c>
      <c r="T928">
        <f t="shared" si="232"/>
        <v>0</v>
      </c>
      <c r="U928">
        <f t="shared" si="233"/>
        <v>0</v>
      </c>
      <c r="V928">
        <f t="shared" si="234"/>
        <v>0</v>
      </c>
      <c r="W928">
        <f t="shared" si="235"/>
        <v>0</v>
      </c>
      <c r="X928">
        <f t="shared" si="236"/>
        <v>0</v>
      </c>
      <c r="Y928">
        <f t="shared" si="237"/>
        <v>0</v>
      </c>
      <c r="Z928">
        <f t="shared" si="238"/>
        <v>0</v>
      </c>
      <c r="AB928">
        <v>924</v>
      </c>
      <c r="AC928">
        <f t="shared" si="239"/>
        <v>33</v>
      </c>
      <c r="AD928">
        <f t="shared" si="229"/>
        <v>0</v>
      </c>
    </row>
    <row r="929" spans="4:30" x14ac:dyDescent="0.25">
      <c r="D929" s="31">
        <f>Simulation_output!A927</f>
        <v>9255000</v>
      </c>
      <c r="E929">
        <f>Sheet2!R926</f>
        <v>0</v>
      </c>
      <c r="F929">
        <f>Sheet2!S926</f>
        <v>0</v>
      </c>
      <c r="G929">
        <f>Sheet2!T926</f>
        <v>0</v>
      </c>
      <c r="H929" s="31">
        <f>Simulation_output!E927</f>
        <v>1</v>
      </c>
      <c r="I929" s="31">
        <f>Simulation_output!F927</f>
        <v>0</v>
      </c>
      <c r="J929" s="31">
        <f>Simulation_output!G927</f>
        <v>0</v>
      </c>
      <c r="K929" s="31">
        <f>Simulation_output!H927</f>
        <v>0</v>
      </c>
      <c r="L929">
        <v>1</v>
      </c>
      <c r="M929">
        <f t="shared" si="243"/>
        <v>0</v>
      </c>
      <c r="N929">
        <f t="shared" si="242"/>
        <v>0</v>
      </c>
      <c r="O929">
        <f t="shared" si="241"/>
        <v>0</v>
      </c>
      <c r="P929">
        <f t="shared" si="244"/>
        <v>0</v>
      </c>
      <c r="Q929">
        <f t="shared" si="240"/>
        <v>0</v>
      </c>
      <c r="R929">
        <f t="shared" si="230"/>
        <v>0</v>
      </c>
      <c r="S929">
        <f t="shared" si="231"/>
        <v>0</v>
      </c>
      <c r="T929">
        <f t="shared" si="232"/>
        <v>0</v>
      </c>
      <c r="U929">
        <f t="shared" si="233"/>
        <v>0</v>
      </c>
      <c r="V929">
        <f t="shared" si="234"/>
        <v>0</v>
      </c>
      <c r="W929">
        <f t="shared" si="235"/>
        <v>0</v>
      </c>
      <c r="X929">
        <f t="shared" si="236"/>
        <v>0</v>
      </c>
      <c r="Y929">
        <f t="shared" si="237"/>
        <v>0</v>
      </c>
      <c r="Z929">
        <f t="shared" si="238"/>
        <v>0</v>
      </c>
      <c r="AB929">
        <v>925</v>
      </c>
      <c r="AC929">
        <f t="shared" si="239"/>
        <v>33</v>
      </c>
      <c r="AD929">
        <f t="shared" si="229"/>
        <v>0</v>
      </c>
    </row>
    <row r="930" spans="4:30" x14ac:dyDescent="0.25">
      <c r="D930" s="31">
        <f>Simulation_output!A928</f>
        <v>9265000</v>
      </c>
      <c r="E930">
        <f>Sheet2!R927</f>
        <v>0</v>
      </c>
      <c r="F930">
        <f>Sheet2!S927</f>
        <v>0</v>
      </c>
      <c r="G930">
        <f>Sheet2!T927</f>
        <v>0</v>
      </c>
      <c r="H930" s="31">
        <f>Simulation_output!E928</f>
        <v>1</v>
      </c>
      <c r="I930" s="31">
        <f>Simulation_output!F928</f>
        <v>0</v>
      </c>
      <c r="J930" s="31">
        <f>Simulation_output!G928</f>
        <v>0</v>
      </c>
      <c r="K930" s="31">
        <f>Simulation_output!H928</f>
        <v>0</v>
      </c>
      <c r="L930">
        <v>1</v>
      </c>
      <c r="M930">
        <f t="shared" si="243"/>
        <v>0</v>
      </c>
      <c r="N930">
        <f t="shared" si="242"/>
        <v>0</v>
      </c>
      <c r="O930">
        <f t="shared" si="241"/>
        <v>0</v>
      </c>
      <c r="P930">
        <f t="shared" si="244"/>
        <v>0</v>
      </c>
      <c r="Q930">
        <f t="shared" si="240"/>
        <v>0</v>
      </c>
      <c r="R930">
        <f t="shared" si="230"/>
        <v>0</v>
      </c>
      <c r="S930">
        <f t="shared" si="231"/>
        <v>0</v>
      </c>
      <c r="T930">
        <f t="shared" si="232"/>
        <v>0</v>
      </c>
      <c r="U930">
        <f t="shared" si="233"/>
        <v>0</v>
      </c>
      <c r="V930">
        <f t="shared" si="234"/>
        <v>0</v>
      </c>
      <c r="W930">
        <f t="shared" si="235"/>
        <v>0</v>
      </c>
      <c r="X930">
        <f t="shared" si="236"/>
        <v>0</v>
      </c>
      <c r="Y930">
        <f t="shared" si="237"/>
        <v>0</v>
      </c>
      <c r="Z930">
        <f t="shared" si="238"/>
        <v>0</v>
      </c>
      <c r="AB930">
        <v>926</v>
      </c>
      <c r="AC930">
        <f t="shared" si="239"/>
        <v>33</v>
      </c>
      <c r="AD930">
        <f t="shared" si="229"/>
        <v>0</v>
      </c>
    </row>
    <row r="931" spans="4:30" x14ac:dyDescent="0.25">
      <c r="D931" s="31">
        <f>Simulation_output!A929</f>
        <v>9275000</v>
      </c>
      <c r="E931">
        <f>Sheet2!R928</f>
        <v>0</v>
      </c>
      <c r="F931">
        <f>Sheet2!S928</f>
        <v>0</v>
      </c>
      <c r="G931">
        <f>Sheet2!T928</f>
        <v>0</v>
      </c>
      <c r="H931" s="31">
        <f>Simulation_output!E929</f>
        <v>1</v>
      </c>
      <c r="I931" s="31">
        <f>Simulation_output!F929</f>
        <v>0</v>
      </c>
      <c r="J931" s="31">
        <f>Simulation_output!G929</f>
        <v>0</v>
      </c>
      <c r="K931" s="31">
        <f>Simulation_output!H929</f>
        <v>0</v>
      </c>
      <c r="L931">
        <v>1</v>
      </c>
      <c r="M931">
        <f t="shared" si="243"/>
        <v>0</v>
      </c>
      <c r="N931">
        <f t="shared" si="242"/>
        <v>0</v>
      </c>
      <c r="O931">
        <f t="shared" si="241"/>
        <v>0</v>
      </c>
      <c r="P931">
        <f t="shared" si="244"/>
        <v>0</v>
      </c>
      <c r="Q931">
        <f t="shared" si="240"/>
        <v>0</v>
      </c>
      <c r="R931">
        <f t="shared" si="230"/>
        <v>0</v>
      </c>
      <c r="S931">
        <f t="shared" si="231"/>
        <v>0</v>
      </c>
      <c r="T931">
        <f t="shared" si="232"/>
        <v>0</v>
      </c>
      <c r="U931">
        <f t="shared" si="233"/>
        <v>0</v>
      </c>
      <c r="V931">
        <f t="shared" si="234"/>
        <v>0</v>
      </c>
      <c r="W931">
        <f t="shared" si="235"/>
        <v>0</v>
      </c>
      <c r="X931">
        <f t="shared" si="236"/>
        <v>0</v>
      </c>
      <c r="Y931">
        <f t="shared" si="237"/>
        <v>0</v>
      </c>
      <c r="Z931">
        <f t="shared" si="238"/>
        <v>0</v>
      </c>
      <c r="AB931">
        <v>927</v>
      </c>
      <c r="AC931">
        <f t="shared" si="239"/>
        <v>33</v>
      </c>
      <c r="AD931">
        <f t="shared" si="229"/>
        <v>0</v>
      </c>
    </row>
    <row r="932" spans="4:30" x14ac:dyDescent="0.25">
      <c r="D932" s="31">
        <f>Simulation_output!A930</f>
        <v>9285000</v>
      </c>
      <c r="E932">
        <f>Sheet2!R929</f>
        <v>0</v>
      </c>
      <c r="F932">
        <f>Sheet2!S929</f>
        <v>0</v>
      </c>
      <c r="G932">
        <f>Sheet2!T929</f>
        <v>0</v>
      </c>
      <c r="H932" s="31">
        <f>Simulation_output!E930</f>
        <v>1</v>
      </c>
      <c r="I932" s="31">
        <f>Simulation_output!F930</f>
        <v>0</v>
      </c>
      <c r="J932" s="31">
        <f>Simulation_output!G930</f>
        <v>0</v>
      </c>
      <c r="K932" s="31">
        <f>Simulation_output!H930</f>
        <v>0</v>
      </c>
      <c r="L932">
        <v>1</v>
      </c>
      <c r="M932">
        <f t="shared" si="243"/>
        <v>0</v>
      </c>
      <c r="N932">
        <f t="shared" si="242"/>
        <v>0</v>
      </c>
      <c r="O932">
        <f t="shared" si="241"/>
        <v>0</v>
      </c>
      <c r="P932">
        <f t="shared" si="244"/>
        <v>0</v>
      </c>
      <c r="Q932">
        <f t="shared" si="240"/>
        <v>0</v>
      </c>
      <c r="R932">
        <f t="shared" si="230"/>
        <v>0</v>
      </c>
      <c r="S932">
        <f t="shared" si="231"/>
        <v>0</v>
      </c>
      <c r="T932">
        <f t="shared" si="232"/>
        <v>0</v>
      </c>
      <c r="U932">
        <f t="shared" si="233"/>
        <v>0</v>
      </c>
      <c r="V932">
        <f t="shared" si="234"/>
        <v>0</v>
      </c>
      <c r="W932">
        <f t="shared" si="235"/>
        <v>0</v>
      </c>
      <c r="X932">
        <f t="shared" si="236"/>
        <v>0</v>
      </c>
      <c r="Y932">
        <f t="shared" si="237"/>
        <v>0</v>
      </c>
      <c r="Z932">
        <f t="shared" si="238"/>
        <v>0</v>
      </c>
      <c r="AB932">
        <v>928</v>
      </c>
      <c r="AC932">
        <f t="shared" si="239"/>
        <v>33</v>
      </c>
      <c r="AD932">
        <f t="shared" si="229"/>
        <v>0</v>
      </c>
    </row>
    <row r="933" spans="4:30" x14ac:dyDescent="0.25">
      <c r="D933" s="31">
        <f>Simulation_output!A931</f>
        <v>9295000</v>
      </c>
      <c r="E933">
        <f>Sheet2!R930</f>
        <v>0</v>
      </c>
      <c r="F933">
        <f>Sheet2!S930</f>
        <v>0</v>
      </c>
      <c r="G933">
        <f>Sheet2!T930</f>
        <v>0</v>
      </c>
      <c r="H933" s="31">
        <f>Simulation_output!E931</f>
        <v>1</v>
      </c>
      <c r="I933" s="31">
        <f>Simulation_output!F931</f>
        <v>0</v>
      </c>
      <c r="J933" s="31">
        <f>Simulation_output!G931</f>
        <v>0</v>
      </c>
      <c r="K933" s="31">
        <f>Simulation_output!H931</f>
        <v>0</v>
      </c>
      <c r="L933">
        <v>1</v>
      </c>
      <c r="M933">
        <f t="shared" si="243"/>
        <v>0</v>
      </c>
      <c r="N933">
        <f t="shared" si="242"/>
        <v>0</v>
      </c>
      <c r="O933">
        <f t="shared" si="241"/>
        <v>0</v>
      </c>
      <c r="P933">
        <f t="shared" si="244"/>
        <v>0</v>
      </c>
      <c r="Q933">
        <f t="shared" si="240"/>
        <v>0</v>
      </c>
      <c r="R933">
        <f t="shared" si="230"/>
        <v>0</v>
      </c>
      <c r="S933">
        <f t="shared" si="231"/>
        <v>0</v>
      </c>
      <c r="T933">
        <f t="shared" si="232"/>
        <v>0</v>
      </c>
      <c r="U933">
        <f t="shared" si="233"/>
        <v>0</v>
      </c>
      <c r="V933">
        <f t="shared" si="234"/>
        <v>0</v>
      </c>
      <c r="W933">
        <f t="shared" si="235"/>
        <v>0</v>
      </c>
      <c r="X933">
        <f t="shared" si="236"/>
        <v>0</v>
      </c>
      <c r="Y933">
        <f t="shared" si="237"/>
        <v>0</v>
      </c>
      <c r="Z933">
        <f t="shared" si="238"/>
        <v>0</v>
      </c>
      <c r="AB933">
        <v>929</v>
      </c>
      <c r="AC933">
        <f t="shared" si="239"/>
        <v>33</v>
      </c>
      <c r="AD933">
        <f t="shared" si="229"/>
        <v>0</v>
      </c>
    </row>
    <row r="934" spans="4:30" x14ac:dyDescent="0.25">
      <c r="D934" s="31">
        <f>Simulation_output!A932</f>
        <v>9305000</v>
      </c>
      <c r="E934">
        <f>Sheet2!R931</f>
        <v>0</v>
      </c>
      <c r="F934">
        <f>Sheet2!S931</f>
        <v>0</v>
      </c>
      <c r="G934">
        <f>Sheet2!T931</f>
        <v>0</v>
      </c>
      <c r="H934" s="31">
        <f>Simulation_output!E932</f>
        <v>1</v>
      </c>
      <c r="I934" s="31">
        <f>Simulation_output!F932</f>
        <v>0</v>
      </c>
      <c r="J934" s="31">
        <f>Simulation_output!G932</f>
        <v>0</v>
      </c>
      <c r="K934" s="31">
        <f>Simulation_output!H932</f>
        <v>0</v>
      </c>
      <c r="L934">
        <v>1</v>
      </c>
      <c r="M934">
        <f t="shared" si="243"/>
        <v>0</v>
      </c>
      <c r="N934">
        <f t="shared" si="242"/>
        <v>0</v>
      </c>
      <c r="O934">
        <f t="shared" si="241"/>
        <v>0</v>
      </c>
      <c r="P934">
        <f t="shared" si="244"/>
        <v>0</v>
      </c>
      <c r="Q934">
        <f t="shared" si="240"/>
        <v>0</v>
      </c>
      <c r="R934">
        <f t="shared" si="230"/>
        <v>0</v>
      </c>
      <c r="S934">
        <f t="shared" si="231"/>
        <v>0</v>
      </c>
      <c r="T934">
        <f t="shared" si="232"/>
        <v>0</v>
      </c>
      <c r="U934">
        <f t="shared" si="233"/>
        <v>0</v>
      </c>
      <c r="V934">
        <f t="shared" si="234"/>
        <v>0</v>
      </c>
      <c r="W934">
        <f t="shared" si="235"/>
        <v>0</v>
      </c>
      <c r="X934">
        <f t="shared" si="236"/>
        <v>0</v>
      </c>
      <c r="Y934">
        <f t="shared" si="237"/>
        <v>0</v>
      </c>
      <c r="Z934">
        <f t="shared" si="238"/>
        <v>0</v>
      </c>
      <c r="AB934">
        <v>930</v>
      </c>
      <c r="AC934">
        <f t="shared" si="239"/>
        <v>33</v>
      </c>
      <c r="AD934">
        <f t="shared" si="229"/>
        <v>0</v>
      </c>
    </row>
    <row r="935" spans="4:30" x14ac:dyDescent="0.25">
      <c r="D935" s="31">
        <f>Simulation_output!A933</f>
        <v>9315000</v>
      </c>
      <c r="E935">
        <f>Sheet2!R932</f>
        <v>0</v>
      </c>
      <c r="F935">
        <f>Sheet2!S932</f>
        <v>0</v>
      </c>
      <c r="G935">
        <f>Sheet2!T932</f>
        <v>0</v>
      </c>
      <c r="H935" s="31">
        <f>Simulation_output!E933</f>
        <v>1</v>
      </c>
      <c r="I935" s="31">
        <f>Simulation_output!F933</f>
        <v>0</v>
      </c>
      <c r="J935" s="31">
        <f>Simulation_output!G933</f>
        <v>0</v>
      </c>
      <c r="K935" s="31">
        <f>Simulation_output!H933</f>
        <v>0</v>
      </c>
      <c r="L935">
        <v>1</v>
      </c>
      <c r="M935">
        <f t="shared" si="243"/>
        <v>0</v>
      </c>
      <c r="N935">
        <f t="shared" si="242"/>
        <v>0</v>
      </c>
      <c r="O935">
        <f t="shared" si="241"/>
        <v>0</v>
      </c>
      <c r="P935">
        <f t="shared" si="244"/>
        <v>0</v>
      </c>
      <c r="Q935">
        <f t="shared" si="240"/>
        <v>0</v>
      </c>
      <c r="R935">
        <f t="shared" si="230"/>
        <v>0</v>
      </c>
      <c r="S935">
        <f t="shared" si="231"/>
        <v>0</v>
      </c>
      <c r="T935">
        <f t="shared" si="232"/>
        <v>0</v>
      </c>
      <c r="U935">
        <f t="shared" si="233"/>
        <v>0</v>
      </c>
      <c r="V935">
        <f t="shared" si="234"/>
        <v>0</v>
      </c>
      <c r="W935">
        <f t="shared" si="235"/>
        <v>0</v>
      </c>
      <c r="X935">
        <f t="shared" si="236"/>
        <v>0</v>
      </c>
      <c r="Y935">
        <f t="shared" si="237"/>
        <v>0</v>
      </c>
      <c r="Z935">
        <f t="shared" si="238"/>
        <v>0</v>
      </c>
      <c r="AB935">
        <v>931</v>
      </c>
      <c r="AC935">
        <f t="shared" si="239"/>
        <v>33</v>
      </c>
      <c r="AD935">
        <f t="shared" si="229"/>
        <v>0</v>
      </c>
    </row>
    <row r="936" spans="4:30" x14ac:dyDescent="0.25">
      <c r="D936" s="31">
        <f>Simulation_output!A934</f>
        <v>9325000</v>
      </c>
      <c r="E936">
        <f>Sheet2!R933</f>
        <v>0</v>
      </c>
      <c r="F936">
        <f>Sheet2!S933</f>
        <v>0</v>
      </c>
      <c r="G936">
        <f>Sheet2!T933</f>
        <v>0</v>
      </c>
      <c r="H936" s="31">
        <f>Simulation_output!E934</f>
        <v>1</v>
      </c>
      <c r="I936" s="31">
        <f>Simulation_output!F934</f>
        <v>0</v>
      </c>
      <c r="J936" s="31">
        <f>Simulation_output!G934</f>
        <v>0</v>
      </c>
      <c r="K936" s="31">
        <f>Simulation_output!H934</f>
        <v>0</v>
      </c>
      <c r="L936">
        <v>1</v>
      </c>
      <c r="M936">
        <f t="shared" si="243"/>
        <v>0</v>
      </c>
      <c r="N936">
        <f t="shared" si="242"/>
        <v>0</v>
      </c>
      <c r="O936">
        <f t="shared" si="241"/>
        <v>0</v>
      </c>
      <c r="P936">
        <f t="shared" si="244"/>
        <v>0</v>
      </c>
      <c r="Q936">
        <f t="shared" si="240"/>
        <v>0</v>
      </c>
      <c r="R936">
        <f t="shared" si="230"/>
        <v>0</v>
      </c>
      <c r="S936">
        <f t="shared" si="231"/>
        <v>0</v>
      </c>
      <c r="T936">
        <f t="shared" si="232"/>
        <v>0</v>
      </c>
      <c r="U936">
        <f t="shared" si="233"/>
        <v>0</v>
      </c>
      <c r="V936">
        <f t="shared" si="234"/>
        <v>0</v>
      </c>
      <c r="W936">
        <f t="shared" si="235"/>
        <v>0</v>
      </c>
      <c r="X936">
        <f t="shared" si="236"/>
        <v>0</v>
      </c>
      <c r="Y936">
        <f t="shared" si="237"/>
        <v>0</v>
      </c>
      <c r="Z936">
        <f t="shared" si="238"/>
        <v>0</v>
      </c>
      <c r="AB936">
        <v>932</v>
      </c>
      <c r="AC936">
        <f t="shared" si="239"/>
        <v>33</v>
      </c>
      <c r="AD936">
        <f t="shared" si="229"/>
        <v>0</v>
      </c>
    </row>
    <row r="937" spans="4:30" x14ac:dyDescent="0.25">
      <c r="D937" s="31">
        <f>Simulation_output!A935</f>
        <v>9335000</v>
      </c>
      <c r="E937">
        <f>Sheet2!R934</f>
        <v>0</v>
      </c>
      <c r="F937">
        <f>Sheet2!S934</f>
        <v>0</v>
      </c>
      <c r="G937">
        <f>Sheet2!T934</f>
        <v>0</v>
      </c>
      <c r="H937" s="31">
        <f>Simulation_output!E935</f>
        <v>1</v>
      </c>
      <c r="I937" s="31">
        <f>Simulation_output!F935</f>
        <v>0</v>
      </c>
      <c r="J937" s="31">
        <f>Simulation_output!G935</f>
        <v>0</v>
      </c>
      <c r="K937" s="31">
        <f>Simulation_output!H935</f>
        <v>0</v>
      </c>
      <c r="L937">
        <v>1</v>
      </c>
      <c r="M937">
        <f t="shared" si="243"/>
        <v>0</v>
      </c>
      <c r="N937">
        <f t="shared" si="242"/>
        <v>0</v>
      </c>
      <c r="O937">
        <f t="shared" si="241"/>
        <v>0</v>
      </c>
      <c r="P937">
        <f t="shared" si="244"/>
        <v>0</v>
      </c>
      <c r="Q937">
        <f t="shared" si="240"/>
        <v>0</v>
      </c>
      <c r="R937">
        <f t="shared" si="230"/>
        <v>0</v>
      </c>
      <c r="S937">
        <f t="shared" si="231"/>
        <v>0</v>
      </c>
      <c r="T937">
        <f t="shared" si="232"/>
        <v>0</v>
      </c>
      <c r="U937">
        <f t="shared" si="233"/>
        <v>0</v>
      </c>
      <c r="V937">
        <f t="shared" si="234"/>
        <v>0</v>
      </c>
      <c r="W937">
        <f t="shared" si="235"/>
        <v>0</v>
      </c>
      <c r="X937">
        <f t="shared" si="236"/>
        <v>0</v>
      </c>
      <c r="Y937">
        <f t="shared" si="237"/>
        <v>0</v>
      </c>
      <c r="Z937">
        <f t="shared" si="238"/>
        <v>0</v>
      </c>
      <c r="AB937">
        <v>933</v>
      </c>
      <c r="AC937">
        <f t="shared" si="239"/>
        <v>33</v>
      </c>
      <c r="AD937">
        <f t="shared" si="229"/>
        <v>0</v>
      </c>
    </row>
    <row r="938" spans="4:30" x14ac:dyDescent="0.25">
      <c r="D938" s="31">
        <f>Simulation_output!A936</f>
        <v>9345000</v>
      </c>
      <c r="E938">
        <f>Sheet2!R935</f>
        <v>0</v>
      </c>
      <c r="F938">
        <f>Sheet2!S935</f>
        <v>0</v>
      </c>
      <c r="G938">
        <f>Sheet2!T935</f>
        <v>0</v>
      </c>
      <c r="H938" s="31">
        <f>Simulation_output!E936</f>
        <v>1</v>
      </c>
      <c r="I938" s="31">
        <f>Simulation_output!F936</f>
        <v>0</v>
      </c>
      <c r="J938" s="31">
        <f>Simulation_output!G936</f>
        <v>0</v>
      </c>
      <c r="K938" s="31">
        <f>Simulation_output!H936</f>
        <v>0</v>
      </c>
      <c r="L938">
        <v>1</v>
      </c>
      <c r="M938">
        <f t="shared" si="243"/>
        <v>0</v>
      </c>
      <c r="N938">
        <f t="shared" si="242"/>
        <v>0</v>
      </c>
      <c r="O938">
        <f t="shared" si="241"/>
        <v>0</v>
      </c>
      <c r="P938">
        <f t="shared" si="244"/>
        <v>0</v>
      </c>
      <c r="Q938">
        <f t="shared" si="240"/>
        <v>0</v>
      </c>
      <c r="R938">
        <f t="shared" si="230"/>
        <v>0</v>
      </c>
      <c r="S938">
        <f t="shared" si="231"/>
        <v>0</v>
      </c>
      <c r="T938">
        <f t="shared" si="232"/>
        <v>0</v>
      </c>
      <c r="U938">
        <f t="shared" si="233"/>
        <v>0</v>
      </c>
      <c r="V938">
        <f t="shared" si="234"/>
        <v>0</v>
      </c>
      <c r="W938">
        <f t="shared" si="235"/>
        <v>0</v>
      </c>
      <c r="X938">
        <f t="shared" si="236"/>
        <v>0</v>
      </c>
      <c r="Y938">
        <f t="shared" si="237"/>
        <v>0</v>
      </c>
      <c r="Z938">
        <f t="shared" si="238"/>
        <v>0</v>
      </c>
      <c r="AB938">
        <v>934</v>
      </c>
      <c r="AC938">
        <f t="shared" si="239"/>
        <v>33</v>
      </c>
      <c r="AD938">
        <f t="shared" si="229"/>
        <v>0</v>
      </c>
    </row>
    <row r="939" spans="4:30" x14ac:dyDescent="0.25">
      <c r="D939" s="31">
        <f>Simulation_output!A937</f>
        <v>9355000</v>
      </c>
      <c r="E939">
        <f>Sheet2!R936</f>
        <v>0</v>
      </c>
      <c r="F939">
        <f>Sheet2!S936</f>
        <v>0</v>
      </c>
      <c r="G939">
        <f>Sheet2!T936</f>
        <v>0</v>
      </c>
      <c r="H939" s="31">
        <f>Simulation_output!E937</f>
        <v>1</v>
      </c>
      <c r="I939" s="31">
        <f>Simulation_output!F937</f>
        <v>0</v>
      </c>
      <c r="J939" s="31">
        <f>Simulation_output!G937</f>
        <v>0</v>
      </c>
      <c r="K939" s="31">
        <f>Simulation_output!H937</f>
        <v>0</v>
      </c>
      <c r="L939">
        <v>1</v>
      </c>
      <c r="M939">
        <f t="shared" si="243"/>
        <v>0</v>
      </c>
      <c r="N939">
        <f t="shared" si="242"/>
        <v>0</v>
      </c>
      <c r="O939">
        <f t="shared" si="241"/>
        <v>0</v>
      </c>
      <c r="P939">
        <f t="shared" si="244"/>
        <v>0</v>
      </c>
      <c r="Q939">
        <f t="shared" si="240"/>
        <v>0</v>
      </c>
      <c r="R939">
        <f t="shared" si="230"/>
        <v>0</v>
      </c>
      <c r="S939">
        <f t="shared" si="231"/>
        <v>0</v>
      </c>
      <c r="T939">
        <f t="shared" si="232"/>
        <v>0</v>
      </c>
      <c r="U939">
        <f t="shared" si="233"/>
        <v>0</v>
      </c>
      <c r="V939">
        <f t="shared" si="234"/>
        <v>0</v>
      </c>
      <c r="W939">
        <f t="shared" si="235"/>
        <v>0</v>
      </c>
      <c r="X939">
        <f t="shared" si="236"/>
        <v>0</v>
      </c>
      <c r="Y939">
        <f t="shared" si="237"/>
        <v>0</v>
      </c>
      <c r="Z939">
        <f t="shared" si="238"/>
        <v>0</v>
      </c>
      <c r="AB939">
        <v>935</v>
      </c>
      <c r="AC939">
        <f t="shared" si="239"/>
        <v>33</v>
      </c>
      <c r="AD939">
        <f t="shared" si="229"/>
        <v>0</v>
      </c>
    </row>
    <row r="940" spans="4:30" x14ac:dyDescent="0.25">
      <c r="D940" s="31">
        <f>Simulation_output!A938</f>
        <v>9365000</v>
      </c>
      <c r="E940">
        <f>Sheet2!R937</f>
        <v>0</v>
      </c>
      <c r="F940">
        <f>Sheet2!S937</f>
        <v>0</v>
      </c>
      <c r="G940">
        <f>Sheet2!T937</f>
        <v>0</v>
      </c>
      <c r="H940" s="31">
        <f>Simulation_output!E938</f>
        <v>1</v>
      </c>
      <c r="I940" s="31">
        <f>Simulation_output!F938</f>
        <v>0</v>
      </c>
      <c r="J940" s="31">
        <f>Simulation_output!G938</f>
        <v>0</v>
      </c>
      <c r="K940" s="31">
        <f>Simulation_output!H938</f>
        <v>0</v>
      </c>
      <c r="L940">
        <v>1</v>
      </c>
      <c r="M940">
        <f t="shared" si="243"/>
        <v>0</v>
      </c>
      <c r="N940">
        <f t="shared" si="242"/>
        <v>0</v>
      </c>
      <c r="O940">
        <f t="shared" si="241"/>
        <v>0</v>
      </c>
      <c r="P940">
        <f t="shared" si="244"/>
        <v>0</v>
      </c>
      <c r="Q940">
        <f t="shared" si="240"/>
        <v>0</v>
      </c>
      <c r="R940">
        <f t="shared" si="230"/>
        <v>0</v>
      </c>
      <c r="S940">
        <f t="shared" si="231"/>
        <v>0</v>
      </c>
      <c r="T940">
        <f t="shared" si="232"/>
        <v>0</v>
      </c>
      <c r="U940">
        <f t="shared" si="233"/>
        <v>0</v>
      </c>
      <c r="V940">
        <f t="shared" si="234"/>
        <v>0</v>
      </c>
      <c r="W940">
        <f t="shared" si="235"/>
        <v>0</v>
      </c>
      <c r="X940">
        <f t="shared" si="236"/>
        <v>0</v>
      </c>
      <c r="Y940">
        <f t="shared" si="237"/>
        <v>0</v>
      </c>
      <c r="Z940">
        <f t="shared" si="238"/>
        <v>0</v>
      </c>
      <c r="AB940">
        <v>936</v>
      </c>
      <c r="AC940">
        <f t="shared" si="239"/>
        <v>33</v>
      </c>
      <c r="AD940">
        <f t="shared" si="229"/>
        <v>0</v>
      </c>
    </row>
    <row r="941" spans="4:30" x14ac:dyDescent="0.25">
      <c r="D941" s="31">
        <f>Simulation_output!A939</f>
        <v>9375000</v>
      </c>
      <c r="E941">
        <f>Sheet2!R938</f>
        <v>0</v>
      </c>
      <c r="F941">
        <f>Sheet2!S938</f>
        <v>0</v>
      </c>
      <c r="G941">
        <f>Sheet2!T938</f>
        <v>0</v>
      </c>
      <c r="H941" s="31">
        <f>Simulation_output!E939</f>
        <v>1</v>
      </c>
      <c r="I941" s="31">
        <f>Simulation_output!F939</f>
        <v>0</v>
      </c>
      <c r="J941" s="31">
        <f>Simulation_output!G939</f>
        <v>0</v>
      </c>
      <c r="K941" s="31">
        <f>Simulation_output!H939</f>
        <v>0</v>
      </c>
      <c r="L941">
        <v>1</v>
      </c>
      <c r="M941">
        <f t="shared" si="243"/>
        <v>0</v>
      </c>
      <c r="N941">
        <f t="shared" si="242"/>
        <v>0</v>
      </c>
      <c r="O941">
        <f t="shared" si="241"/>
        <v>0</v>
      </c>
      <c r="P941">
        <f t="shared" si="244"/>
        <v>0</v>
      </c>
      <c r="Q941">
        <f t="shared" si="240"/>
        <v>0</v>
      </c>
      <c r="R941">
        <f t="shared" si="230"/>
        <v>0</v>
      </c>
      <c r="S941">
        <f t="shared" si="231"/>
        <v>0</v>
      </c>
      <c r="T941">
        <f t="shared" si="232"/>
        <v>0</v>
      </c>
      <c r="U941">
        <f t="shared" si="233"/>
        <v>0</v>
      </c>
      <c r="V941">
        <f t="shared" si="234"/>
        <v>0</v>
      </c>
      <c r="W941">
        <f t="shared" si="235"/>
        <v>0</v>
      </c>
      <c r="X941">
        <f t="shared" si="236"/>
        <v>0</v>
      </c>
      <c r="Y941">
        <f t="shared" si="237"/>
        <v>0</v>
      </c>
      <c r="Z941">
        <f t="shared" si="238"/>
        <v>0</v>
      </c>
      <c r="AB941">
        <v>937</v>
      </c>
      <c r="AC941">
        <f t="shared" si="239"/>
        <v>33</v>
      </c>
      <c r="AD941">
        <f t="shared" si="229"/>
        <v>0</v>
      </c>
    </row>
    <row r="942" spans="4:30" x14ac:dyDescent="0.25">
      <c r="D942" s="31">
        <f>Simulation_output!A940</f>
        <v>9385000</v>
      </c>
      <c r="E942">
        <f>Sheet2!R939</f>
        <v>0</v>
      </c>
      <c r="F942">
        <f>Sheet2!S939</f>
        <v>0</v>
      </c>
      <c r="G942">
        <f>Sheet2!T939</f>
        <v>0</v>
      </c>
      <c r="H942" s="31">
        <f>Simulation_output!E940</f>
        <v>1</v>
      </c>
      <c r="I942" s="31">
        <f>Simulation_output!F940</f>
        <v>0</v>
      </c>
      <c r="J942" s="31">
        <f>Simulation_output!G940</f>
        <v>0</v>
      </c>
      <c r="K942" s="31">
        <f>Simulation_output!H940</f>
        <v>0</v>
      </c>
      <c r="L942">
        <v>1</v>
      </c>
      <c r="M942">
        <f t="shared" si="243"/>
        <v>0</v>
      </c>
      <c r="N942">
        <f t="shared" si="242"/>
        <v>0</v>
      </c>
      <c r="O942">
        <f t="shared" si="241"/>
        <v>0</v>
      </c>
      <c r="P942">
        <f t="shared" si="244"/>
        <v>0</v>
      </c>
      <c r="Q942">
        <f t="shared" si="240"/>
        <v>0</v>
      </c>
      <c r="R942">
        <f t="shared" si="230"/>
        <v>0</v>
      </c>
      <c r="S942">
        <f t="shared" si="231"/>
        <v>0</v>
      </c>
      <c r="T942">
        <f t="shared" si="232"/>
        <v>0</v>
      </c>
      <c r="U942">
        <f t="shared" si="233"/>
        <v>0</v>
      </c>
      <c r="V942">
        <f t="shared" si="234"/>
        <v>0</v>
      </c>
      <c r="W942">
        <f t="shared" si="235"/>
        <v>0</v>
      </c>
      <c r="X942">
        <f t="shared" si="236"/>
        <v>0</v>
      </c>
      <c r="Y942">
        <f t="shared" si="237"/>
        <v>0</v>
      </c>
      <c r="Z942">
        <f t="shared" si="238"/>
        <v>0</v>
      </c>
      <c r="AB942">
        <v>938</v>
      </c>
      <c r="AC942">
        <f t="shared" si="239"/>
        <v>33</v>
      </c>
      <c r="AD942">
        <f t="shared" si="229"/>
        <v>0</v>
      </c>
    </row>
    <row r="943" spans="4:30" x14ac:dyDescent="0.25">
      <c r="D943" s="31">
        <f>Simulation_output!A941</f>
        <v>9395000</v>
      </c>
      <c r="E943">
        <f>Sheet2!R940</f>
        <v>0</v>
      </c>
      <c r="F943">
        <f>Sheet2!S940</f>
        <v>0</v>
      </c>
      <c r="G943">
        <f>Sheet2!T940</f>
        <v>0</v>
      </c>
      <c r="H943" s="31">
        <f>Simulation_output!E941</f>
        <v>1</v>
      </c>
      <c r="I943" s="31">
        <f>Simulation_output!F941</f>
        <v>0</v>
      </c>
      <c r="J943" s="31">
        <f>Simulation_output!G941</f>
        <v>0</v>
      </c>
      <c r="K943" s="31">
        <f>Simulation_output!H941</f>
        <v>0</v>
      </c>
      <c r="L943">
        <v>1</v>
      </c>
      <c r="M943">
        <f t="shared" si="243"/>
        <v>0</v>
      </c>
      <c r="N943">
        <f t="shared" si="242"/>
        <v>0</v>
      </c>
      <c r="O943">
        <f t="shared" si="241"/>
        <v>0</v>
      </c>
      <c r="P943">
        <f t="shared" si="244"/>
        <v>0</v>
      </c>
      <c r="Q943">
        <f t="shared" si="240"/>
        <v>0</v>
      </c>
      <c r="R943">
        <f t="shared" si="230"/>
        <v>0</v>
      </c>
      <c r="S943">
        <f t="shared" si="231"/>
        <v>0</v>
      </c>
      <c r="T943">
        <f t="shared" si="232"/>
        <v>0</v>
      </c>
      <c r="U943">
        <f t="shared" si="233"/>
        <v>0</v>
      </c>
      <c r="V943">
        <f t="shared" si="234"/>
        <v>0</v>
      </c>
      <c r="W943">
        <f t="shared" si="235"/>
        <v>0</v>
      </c>
      <c r="X943">
        <f t="shared" si="236"/>
        <v>0</v>
      </c>
      <c r="Y943">
        <f t="shared" si="237"/>
        <v>0</v>
      </c>
      <c r="Z943">
        <f t="shared" si="238"/>
        <v>0</v>
      </c>
      <c r="AB943">
        <v>939</v>
      </c>
      <c r="AC943">
        <f t="shared" si="239"/>
        <v>33</v>
      </c>
      <c r="AD943">
        <f t="shared" si="229"/>
        <v>0</v>
      </c>
    </row>
    <row r="944" spans="4:30" x14ac:dyDescent="0.25">
      <c r="D944" s="31">
        <f>Simulation_output!A942</f>
        <v>9405000</v>
      </c>
      <c r="E944">
        <f>Sheet2!R941</f>
        <v>0</v>
      </c>
      <c r="F944">
        <f>Sheet2!S941</f>
        <v>0</v>
      </c>
      <c r="G944">
        <f>Sheet2!T941</f>
        <v>0</v>
      </c>
      <c r="H944" s="31">
        <f>Simulation_output!E942</f>
        <v>1</v>
      </c>
      <c r="I944" s="31">
        <f>Simulation_output!F942</f>
        <v>0</v>
      </c>
      <c r="J944" s="31">
        <f>Simulation_output!G942</f>
        <v>0</v>
      </c>
      <c r="K944" s="31">
        <f>Simulation_output!H942</f>
        <v>0</v>
      </c>
      <c r="L944">
        <v>1</v>
      </c>
      <c r="M944">
        <f t="shared" si="243"/>
        <v>0</v>
      </c>
      <c r="N944">
        <f t="shared" si="242"/>
        <v>0</v>
      </c>
      <c r="O944">
        <f t="shared" si="241"/>
        <v>0</v>
      </c>
      <c r="P944">
        <f t="shared" si="244"/>
        <v>0</v>
      </c>
      <c r="Q944">
        <f t="shared" si="240"/>
        <v>0</v>
      </c>
      <c r="R944">
        <f t="shared" si="230"/>
        <v>0</v>
      </c>
      <c r="S944">
        <f t="shared" si="231"/>
        <v>0</v>
      </c>
      <c r="T944">
        <f t="shared" si="232"/>
        <v>0</v>
      </c>
      <c r="U944">
        <f t="shared" si="233"/>
        <v>0</v>
      </c>
      <c r="V944">
        <f t="shared" si="234"/>
        <v>0</v>
      </c>
      <c r="W944">
        <f t="shared" si="235"/>
        <v>0</v>
      </c>
      <c r="X944">
        <f t="shared" si="236"/>
        <v>0</v>
      </c>
      <c r="Y944">
        <f t="shared" si="237"/>
        <v>0</v>
      </c>
      <c r="Z944">
        <f t="shared" si="238"/>
        <v>0</v>
      </c>
      <c r="AB944">
        <v>940</v>
      </c>
      <c r="AC944">
        <f t="shared" si="239"/>
        <v>33</v>
      </c>
      <c r="AD944">
        <f t="shared" si="229"/>
        <v>0</v>
      </c>
    </row>
    <row r="945" spans="4:30" x14ac:dyDescent="0.25">
      <c r="D945" s="31">
        <f>Simulation_output!A943</f>
        <v>9415000</v>
      </c>
      <c r="E945">
        <f>Sheet2!R942</f>
        <v>0</v>
      </c>
      <c r="F945">
        <f>Sheet2!S942</f>
        <v>0</v>
      </c>
      <c r="G945">
        <f>Sheet2!T942</f>
        <v>0</v>
      </c>
      <c r="H945" s="31">
        <f>Simulation_output!E943</f>
        <v>1</v>
      </c>
      <c r="I945" s="31">
        <f>Simulation_output!F943</f>
        <v>0</v>
      </c>
      <c r="J945" s="31">
        <f>Simulation_output!G943</f>
        <v>0</v>
      </c>
      <c r="K945" s="31">
        <f>Simulation_output!H943</f>
        <v>0</v>
      </c>
      <c r="L945">
        <v>1</v>
      </c>
      <c r="M945">
        <f t="shared" si="243"/>
        <v>0</v>
      </c>
      <c r="N945">
        <f t="shared" si="242"/>
        <v>0</v>
      </c>
      <c r="O945">
        <f t="shared" si="241"/>
        <v>0</v>
      </c>
      <c r="P945">
        <f t="shared" si="244"/>
        <v>0</v>
      </c>
      <c r="Q945">
        <f t="shared" si="240"/>
        <v>0</v>
      </c>
      <c r="R945">
        <f t="shared" si="230"/>
        <v>0</v>
      </c>
      <c r="S945">
        <f t="shared" si="231"/>
        <v>0</v>
      </c>
      <c r="T945">
        <f t="shared" si="232"/>
        <v>0</v>
      </c>
      <c r="U945">
        <f t="shared" si="233"/>
        <v>0</v>
      </c>
      <c r="V945">
        <f t="shared" si="234"/>
        <v>0</v>
      </c>
      <c r="W945">
        <f t="shared" si="235"/>
        <v>0</v>
      </c>
      <c r="X945">
        <f t="shared" si="236"/>
        <v>0</v>
      </c>
      <c r="Y945">
        <f t="shared" si="237"/>
        <v>0</v>
      </c>
      <c r="Z945">
        <f t="shared" si="238"/>
        <v>0</v>
      </c>
      <c r="AB945">
        <v>941</v>
      </c>
      <c r="AC945">
        <f t="shared" si="239"/>
        <v>33</v>
      </c>
      <c r="AD945">
        <f t="shared" si="229"/>
        <v>0</v>
      </c>
    </row>
    <row r="946" spans="4:30" x14ac:dyDescent="0.25">
      <c r="D946" s="31">
        <f>Simulation_output!A944</f>
        <v>9425000</v>
      </c>
      <c r="E946">
        <f>Sheet2!R943</f>
        <v>0</v>
      </c>
      <c r="F946">
        <f>Sheet2!S943</f>
        <v>0</v>
      </c>
      <c r="G946">
        <f>Sheet2!T943</f>
        <v>0</v>
      </c>
      <c r="H946" s="31">
        <f>Simulation_output!E944</f>
        <v>1</v>
      </c>
      <c r="I946" s="31">
        <f>Simulation_output!F944</f>
        <v>0</v>
      </c>
      <c r="J946" s="31">
        <f>Simulation_output!G944</f>
        <v>0</v>
      </c>
      <c r="K946" s="31">
        <f>Simulation_output!H944</f>
        <v>0</v>
      </c>
      <c r="L946">
        <v>1</v>
      </c>
      <c r="M946">
        <f t="shared" si="243"/>
        <v>0</v>
      </c>
      <c r="N946">
        <f t="shared" si="242"/>
        <v>0</v>
      </c>
      <c r="O946">
        <f t="shared" si="241"/>
        <v>0</v>
      </c>
      <c r="P946">
        <f t="shared" si="244"/>
        <v>0</v>
      </c>
      <c r="Q946">
        <f t="shared" si="240"/>
        <v>0</v>
      </c>
      <c r="R946">
        <f t="shared" si="230"/>
        <v>0</v>
      </c>
      <c r="S946">
        <f t="shared" si="231"/>
        <v>0</v>
      </c>
      <c r="T946">
        <f t="shared" si="232"/>
        <v>0</v>
      </c>
      <c r="U946">
        <f t="shared" si="233"/>
        <v>0</v>
      </c>
      <c r="V946">
        <f t="shared" si="234"/>
        <v>0</v>
      </c>
      <c r="W946">
        <f t="shared" si="235"/>
        <v>0</v>
      </c>
      <c r="X946">
        <f t="shared" si="236"/>
        <v>0</v>
      </c>
      <c r="Y946">
        <f t="shared" si="237"/>
        <v>0</v>
      </c>
      <c r="Z946">
        <f t="shared" si="238"/>
        <v>0</v>
      </c>
      <c r="AB946">
        <v>942</v>
      </c>
      <c r="AC946">
        <f t="shared" si="239"/>
        <v>33</v>
      </c>
      <c r="AD946">
        <f t="shared" si="229"/>
        <v>0</v>
      </c>
    </row>
    <row r="947" spans="4:30" x14ac:dyDescent="0.25">
      <c r="D947" s="31">
        <f>Simulation_output!A945</f>
        <v>9435000</v>
      </c>
      <c r="E947">
        <f>Sheet2!R944</f>
        <v>0</v>
      </c>
      <c r="F947">
        <f>Sheet2!S944</f>
        <v>0</v>
      </c>
      <c r="G947">
        <f>Sheet2!T944</f>
        <v>0</v>
      </c>
      <c r="H947" s="31">
        <f>Simulation_output!E945</f>
        <v>1</v>
      </c>
      <c r="I947" s="31">
        <f>Simulation_output!F945</f>
        <v>0</v>
      </c>
      <c r="J947" s="31">
        <f>Simulation_output!G945</f>
        <v>0</v>
      </c>
      <c r="K947" s="31">
        <f>Simulation_output!H945</f>
        <v>0</v>
      </c>
      <c r="L947">
        <v>1</v>
      </c>
      <c r="M947">
        <f t="shared" si="243"/>
        <v>0</v>
      </c>
      <c r="N947">
        <f t="shared" si="242"/>
        <v>0</v>
      </c>
      <c r="O947">
        <f t="shared" si="241"/>
        <v>0</v>
      </c>
      <c r="P947">
        <f t="shared" si="244"/>
        <v>0</v>
      </c>
      <c r="Q947">
        <f t="shared" si="240"/>
        <v>0</v>
      </c>
      <c r="R947">
        <f t="shared" si="230"/>
        <v>0</v>
      </c>
      <c r="S947">
        <f t="shared" si="231"/>
        <v>0</v>
      </c>
      <c r="T947">
        <f t="shared" si="232"/>
        <v>0</v>
      </c>
      <c r="U947">
        <f t="shared" si="233"/>
        <v>0</v>
      </c>
      <c r="V947">
        <f t="shared" si="234"/>
        <v>0</v>
      </c>
      <c r="W947">
        <f t="shared" si="235"/>
        <v>0</v>
      </c>
      <c r="X947">
        <f t="shared" si="236"/>
        <v>0</v>
      </c>
      <c r="Y947">
        <f t="shared" si="237"/>
        <v>0</v>
      </c>
      <c r="Z947">
        <f t="shared" si="238"/>
        <v>0</v>
      </c>
      <c r="AB947">
        <v>943</v>
      </c>
      <c r="AC947">
        <f t="shared" si="239"/>
        <v>33</v>
      </c>
      <c r="AD947">
        <f t="shared" si="229"/>
        <v>0</v>
      </c>
    </row>
    <row r="948" spans="4:30" x14ac:dyDescent="0.25">
      <c r="D948" s="31">
        <f>Simulation_output!A946</f>
        <v>9445000</v>
      </c>
      <c r="E948">
        <f>Sheet2!R945</f>
        <v>0</v>
      </c>
      <c r="F948">
        <f>Sheet2!S945</f>
        <v>0</v>
      </c>
      <c r="G948">
        <f>Sheet2!T945</f>
        <v>0</v>
      </c>
      <c r="H948" s="31">
        <f>Simulation_output!E946</f>
        <v>1</v>
      </c>
      <c r="I948" s="31">
        <f>Simulation_output!F946</f>
        <v>0</v>
      </c>
      <c r="J948" s="31">
        <f>Simulation_output!G946</f>
        <v>0</v>
      </c>
      <c r="K948" s="31">
        <f>Simulation_output!H946</f>
        <v>0</v>
      </c>
      <c r="L948">
        <v>1</v>
      </c>
      <c r="M948">
        <f t="shared" si="243"/>
        <v>0</v>
      </c>
      <c r="N948">
        <f t="shared" si="242"/>
        <v>0</v>
      </c>
      <c r="O948">
        <f t="shared" si="241"/>
        <v>0</v>
      </c>
      <c r="P948">
        <f t="shared" si="244"/>
        <v>0</v>
      </c>
      <c r="Q948">
        <f t="shared" si="240"/>
        <v>0</v>
      </c>
      <c r="R948">
        <f t="shared" si="230"/>
        <v>0</v>
      </c>
      <c r="S948">
        <f t="shared" si="231"/>
        <v>0</v>
      </c>
      <c r="T948">
        <f t="shared" si="232"/>
        <v>0</v>
      </c>
      <c r="U948">
        <f t="shared" si="233"/>
        <v>0</v>
      </c>
      <c r="V948">
        <f t="shared" si="234"/>
        <v>0</v>
      </c>
      <c r="W948">
        <f t="shared" si="235"/>
        <v>0</v>
      </c>
      <c r="X948">
        <f t="shared" si="236"/>
        <v>0</v>
      </c>
      <c r="Y948">
        <f t="shared" si="237"/>
        <v>0</v>
      </c>
      <c r="Z948">
        <f t="shared" si="238"/>
        <v>0</v>
      </c>
      <c r="AB948">
        <v>944</v>
      </c>
      <c r="AC948">
        <f t="shared" si="239"/>
        <v>33</v>
      </c>
      <c r="AD948">
        <f t="shared" si="229"/>
        <v>0</v>
      </c>
    </row>
    <row r="949" spans="4:30" x14ac:dyDescent="0.25">
      <c r="D949" s="31">
        <f>Simulation_output!A947</f>
        <v>9455000</v>
      </c>
      <c r="E949">
        <f>Sheet2!R946</f>
        <v>0</v>
      </c>
      <c r="F949">
        <f>Sheet2!S946</f>
        <v>0</v>
      </c>
      <c r="G949">
        <f>Sheet2!T946</f>
        <v>0</v>
      </c>
      <c r="H949" s="31">
        <f>Simulation_output!E947</f>
        <v>1</v>
      </c>
      <c r="I949" s="31">
        <f>Simulation_output!F947</f>
        <v>0</v>
      </c>
      <c r="J949" s="31">
        <f>Simulation_output!G947</f>
        <v>0</v>
      </c>
      <c r="K949" s="31">
        <f>Simulation_output!H947</f>
        <v>0</v>
      </c>
      <c r="L949">
        <v>1</v>
      </c>
      <c r="M949">
        <f t="shared" si="243"/>
        <v>0</v>
      </c>
      <c r="N949">
        <f t="shared" si="242"/>
        <v>0</v>
      </c>
      <c r="O949">
        <f t="shared" si="241"/>
        <v>0</v>
      </c>
      <c r="P949">
        <f t="shared" si="244"/>
        <v>0</v>
      </c>
      <c r="Q949">
        <f t="shared" si="240"/>
        <v>0</v>
      </c>
      <c r="R949">
        <f t="shared" si="230"/>
        <v>0</v>
      </c>
      <c r="S949">
        <f t="shared" si="231"/>
        <v>0</v>
      </c>
      <c r="T949">
        <f t="shared" si="232"/>
        <v>0</v>
      </c>
      <c r="U949">
        <f t="shared" si="233"/>
        <v>0</v>
      </c>
      <c r="V949">
        <f t="shared" si="234"/>
        <v>0</v>
      </c>
      <c r="W949">
        <f t="shared" si="235"/>
        <v>0</v>
      </c>
      <c r="X949">
        <f t="shared" si="236"/>
        <v>0</v>
      </c>
      <c r="Y949">
        <f t="shared" si="237"/>
        <v>0</v>
      </c>
      <c r="Z949">
        <f t="shared" si="238"/>
        <v>0</v>
      </c>
      <c r="AB949">
        <v>945</v>
      </c>
      <c r="AC949">
        <f t="shared" si="239"/>
        <v>33</v>
      </c>
      <c r="AD949">
        <f t="shared" si="229"/>
        <v>0</v>
      </c>
    </row>
    <row r="950" spans="4:30" x14ac:dyDescent="0.25">
      <c r="D950" s="31">
        <f>Simulation_output!A948</f>
        <v>9465000</v>
      </c>
      <c r="E950">
        <f>Sheet2!R947</f>
        <v>0</v>
      </c>
      <c r="F950">
        <f>Sheet2!S947</f>
        <v>0</v>
      </c>
      <c r="G950">
        <f>Sheet2!T947</f>
        <v>0</v>
      </c>
      <c r="H950" s="31">
        <f>Simulation_output!E948</f>
        <v>1</v>
      </c>
      <c r="I950" s="31">
        <f>Simulation_output!F948</f>
        <v>0</v>
      </c>
      <c r="J950" s="31">
        <f>Simulation_output!G948</f>
        <v>0</v>
      </c>
      <c r="K950" s="31">
        <f>Simulation_output!H948</f>
        <v>0</v>
      </c>
      <c r="L950">
        <v>1</v>
      </c>
      <c r="M950">
        <f t="shared" si="243"/>
        <v>0</v>
      </c>
      <c r="N950">
        <f t="shared" si="242"/>
        <v>0</v>
      </c>
      <c r="O950">
        <f t="shared" si="241"/>
        <v>0</v>
      </c>
      <c r="P950">
        <f t="shared" si="244"/>
        <v>0</v>
      </c>
      <c r="Q950">
        <f t="shared" si="240"/>
        <v>0</v>
      </c>
      <c r="R950">
        <f t="shared" si="230"/>
        <v>0</v>
      </c>
      <c r="S950">
        <f t="shared" si="231"/>
        <v>0</v>
      </c>
      <c r="T950">
        <f t="shared" si="232"/>
        <v>0</v>
      </c>
      <c r="U950">
        <f t="shared" si="233"/>
        <v>0</v>
      </c>
      <c r="V950">
        <f t="shared" si="234"/>
        <v>0</v>
      </c>
      <c r="W950">
        <f t="shared" si="235"/>
        <v>0</v>
      </c>
      <c r="X950">
        <f t="shared" si="236"/>
        <v>0</v>
      </c>
      <c r="Y950">
        <f t="shared" si="237"/>
        <v>0</v>
      </c>
      <c r="Z950">
        <f t="shared" si="238"/>
        <v>0</v>
      </c>
      <c r="AB950">
        <v>946</v>
      </c>
      <c r="AC950">
        <f t="shared" si="239"/>
        <v>33</v>
      </c>
      <c r="AD950">
        <f t="shared" si="229"/>
        <v>0</v>
      </c>
    </row>
    <row r="951" spans="4:30" x14ac:dyDescent="0.25">
      <c r="D951" s="31">
        <f>Simulation_output!A949</f>
        <v>9475000</v>
      </c>
      <c r="E951">
        <f>Sheet2!R948</f>
        <v>0</v>
      </c>
      <c r="F951">
        <f>Sheet2!S948</f>
        <v>0</v>
      </c>
      <c r="G951">
        <f>Sheet2!T948</f>
        <v>0</v>
      </c>
      <c r="H951" s="31">
        <f>Simulation_output!E949</f>
        <v>1</v>
      </c>
      <c r="I951" s="31">
        <f>Simulation_output!F949</f>
        <v>0</v>
      </c>
      <c r="J951" s="31">
        <f>Simulation_output!G949</f>
        <v>0</v>
      </c>
      <c r="K951" s="31">
        <f>Simulation_output!H949</f>
        <v>0</v>
      </c>
      <c r="L951">
        <v>1</v>
      </c>
      <c r="M951">
        <f t="shared" si="243"/>
        <v>0</v>
      </c>
      <c r="N951">
        <f t="shared" si="242"/>
        <v>0</v>
      </c>
      <c r="O951">
        <f t="shared" si="241"/>
        <v>0</v>
      </c>
      <c r="P951">
        <f t="shared" si="244"/>
        <v>0</v>
      </c>
      <c r="Q951">
        <f t="shared" si="240"/>
        <v>0</v>
      </c>
      <c r="R951">
        <f t="shared" si="230"/>
        <v>0</v>
      </c>
      <c r="S951">
        <f t="shared" si="231"/>
        <v>0</v>
      </c>
      <c r="T951">
        <f t="shared" si="232"/>
        <v>0</v>
      </c>
      <c r="U951">
        <f t="shared" si="233"/>
        <v>0</v>
      </c>
      <c r="V951">
        <f t="shared" si="234"/>
        <v>0</v>
      </c>
      <c r="W951">
        <f t="shared" si="235"/>
        <v>0</v>
      </c>
      <c r="X951">
        <f t="shared" si="236"/>
        <v>0</v>
      </c>
      <c r="Y951">
        <f t="shared" si="237"/>
        <v>0</v>
      </c>
      <c r="Z951">
        <f t="shared" si="238"/>
        <v>0</v>
      </c>
      <c r="AB951">
        <v>947</v>
      </c>
      <c r="AC951">
        <f t="shared" si="239"/>
        <v>33</v>
      </c>
      <c r="AD951">
        <f t="shared" si="229"/>
        <v>0</v>
      </c>
    </row>
    <row r="952" spans="4:30" x14ac:dyDescent="0.25">
      <c r="D952" s="31">
        <f>Simulation_output!A950</f>
        <v>9485000</v>
      </c>
      <c r="E952">
        <f>Sheet2!R949</f>
        <v>0</v>
      </c>
      <c r="F952">
        <f>Sheet2!S949</f>
        <v>0</v>
      </c>
      <c r="G952">
        <f>Sheet2!T949</f>
        <v>0</v>
      </c>
      <c r="H952" s="31">
        <f>Simulation_output!E950</f>
        <v>1</v>
      </c>
      <c r="I952" s="31">
        <f>Simulation_output!F950</f>
        <v>0</v>
      </c>
      <c r="J952" s="31">
        <f>Simulation_output!G950</f>
        <v>0</v>
      </c>
      <c r="K952" s="31">
        <f>Simulation_output!H950</f>
        <v>0</v>
      </c>
      <c r="L952">
        <v>1</v>
      </c>
      <c r="M952">
        <f t="shared" si="243"/>
        <v>0</v>
      </c>
      <c r="N952">
        <f t="shared" si="242"/>
        <v>0</v>
      </c>
      <c r="O952">
        <f t="shared" si="241"/>
        <v>0</v>
      </c>
      <c r="P952">
        <f t="shared" si="244"/>
        <v>0</v>
      </c>
      <c r="Q952">
        <f t="shared" si="240"/>
        <v>0</v>
      </c>
      <c r="R952">
        <f t="shared" si="230"/>
        <v>0</v>
      </c>
      <c r="S952">
        <f t="shared" si="231"/>
        <v>0</v>
      </c>
      <c r="T952">
        <f t="shared" si="232"/>
        <v>0</v>
      </c>
      <c r="U952">
        <f t="shared" si="233"/>
        <v>0</v>
      </c>
      <c r="V952">
        <f t="shared" si="234"/>
        <v>0</v>
      </c>
      <c r="W952">
        <f t="shared" si="235"/>
        <v>0</v>
      </c>
      <c r="X952">
        <f t="shared" si="236"/>
        <v>0</v>
      </c>
      <c r="Y952">
        <f t="shared" si="237"/>
        <v>0</v>
      </c>
      <c r="Z952">
        <f t="shared" si="238"/>
        <v>0</v>
      </c>
      <c r="AB952">
        <v>948</v>
      </c>
      <c r="AC952">
        <f t="shared" si="239"/>
        <v>33</v>
      </c>
      <c r="AD952">
        <f t="shared" si="229"/>
        <v>0</v>
      </c>
    </row>
    <row r="953" spans="4:30" x14ac:dyDescent="0.25">
      <c r="D953" s="31">
        <f>Simulation_output!A951</f>
        <v>9495000</v>
      </c>
      <c r="E953">
        <f>Sheet2!R950</f>
        <v>0</v>
      </c>
      <c r="F953">
        <f>Sheet2!S950</f>
        <v>0</v>
      </c>
      <c r="G953">
        <f>Sheet2!T950</f>
        <v>0</v>
      </c>
      <c r="H953" s="31">
        <f>Simulation_output!E951</f>
        <v>1</v>
      </c>
      <c r="I953" s="31">
        <f>Simulation_output!F951</f>
        <v>0</v>
      </c>
      <c r="J953" s="31">
        <f>Simulation_output!G951</f>
        <v>0</v>
      </c>
      <c r="K953" s="31">
        <f>Simulation_output!H951</f>
        <v>0</v>
      </c>
      <c r="L953">
        <v>1</v>
      </c>
      <c r="M953">
        <f t="shared" si="243"/>
        <v>0</v>
      </c>
      <c r="N953">
        <f t="shared" si="242"/>
        <v>0</v>
      </c>
      <c r="O953">
        <f t="shared" si="241"/>
        <v>0</v>
      </c>
      <c r="P953">
        <f t="shared" si="244"/>
        <v>0</v>
      </c>
      <c r="Q953">
        <f t="shared" si="240"/>
        <v>0</v>
      </c>
      <c r="R953">
        <f t="shared" si="230"/>
        <v>0</v>
      </c>
      <c r="S953">
        <f t="shared" si="231"/>
        <v>0</v>
      </c>
      <c r="T953">
        <f t="shared" si="232"/>
        <v>0</v>
      </c>
      <c r="U953">
        <f t="shared" si="233"/>
        <v>0</v>
      </c>
      <c r="V953">
        <f t="shared" si="234"/>
        <v>0</v>
      </c>
      <c r="W953">
        <f t="shared" si="235"/>
        <v>0</v>
      </c>
      <c r="X953">
        <f t="shared" si="236"/>
        <v>0</v>
      </c>
      <c r="Y953">
        <f t="shared" si="237"/>
        <v>0</v>
      </c>
      <c r="Z953">
        <f t="shared" si="238"/>
        <v>0</v>
      </c>
      <c r="AB953">
        <v>949</v>
      </c>
      <c r="AC953">
        <f t="shared" si="239"/>
        <v>33</v>
      </c>
      <c r="AD953">
        <f t="shared" si="229"/>
        <v>0</v>
      </c>
    </row>
    <row r="954" spans="4:30" x14ac:dyDescent="0.25">
      <c r="D954" s="31">
        <f>Simulation_output!A952</f>
        <v>9505000</v>
      </c>
      <c r="E954">
        <f>Sheet2!R951</f>
        <v>0</v>
      </c>
      <c r="F954">
        <f>Sheet2!S951</f>
        <v>0</v>
      </c>
      <c r="G954">
        <f>Sheet2!T951</f>
        <v>0</v>
      </c>
      <c r="H954" s="31">
        <f>Simulation_output!E952</f>
        <v>1</v>
      </c>
      <c r="I954" s="31">
        <f>Simulation_output!F952</f>
        <v>0</v>
      </c>
      <c r="J954" s="31">
        <f>Simulation_output!G952</f>
        <v>0</v>
      </c>
      <c r="K954" s="31">
        <f>Simulation_output!H952</f>
        <v>0</v>
      </c>
      <c r="L954">
        <v>1</v>
      </c>
      <c r="M954">
        <f t="shared" si="243"/>
        <v>0</v>
      </c>
      <c r="N954">
        <f t="shared" si="242"/>
        <v>0</v>
      </c>
      <c r="O954">
        <f t="shared" si="241"/>
        <v>0</v>
      </c>
      <c r="P954">
        <f t="shared" si="244"/>
        <v>0</v>
      </c>
      <c r="Q954">
        <f t="shared" si="240"/>
        <v>0</v>
      </c>
      <c r="R954">
        <f t="shared" si="230"/>
        <v>0</v>
      </c>
      <c r="S954">
        <f t="shared" si="231"/>
        <v>0</v>
      </c>
      <c r="T954">
        <f t="shared" si="232"/>
        <v>0</v>
      </c>
      <c r="U954">
        <f t="shared" si="233"/>
        <v>0</v>
      </c>
      <c r="V954">
        <f t="shared" si="234"/>
        <v>0</v>
      </c>
      <c r="W954">
        <f t="shared" si="235"/>
        <v>0</v>
      </c>
      <c r="X954">
        <f t="shared" si="236"/>
        <v>0</v>
      </c>
      <c r="Y954">
        <f t="shared" si="237"/>
        <v>0</v>
      </c>
      <c r="Z954">
        <f t="shared" si="238"/>
        <v>0</v>
      </c>
      <c r="AB954">
        <v>950</v>
      </c>
      <c r="AC954">
        <f t="shared" si="239"/>
        <v>33</v>
      </c>
      <c r="AD954">
        <f t="shared" si="229"/>
        <v>0</v>
      </c>
    </row>
    <row r="955" spans="4:30" x14ac:dyDescent="0.25">
      <c r="D955" s="31">
        <f>Simulation_output!A953</f>
        <v>9515000</v>
      </c>
      <c r="E955">
        <f>Sheet2!R952</f>
        <v>0</v>
      </c>
      <c r="F955">
        <f>Sheet2!S952</f>
        <v>0</v>
      </c>
      <c r="G955">
        <f>Sheet2!T952</f>
        <v>0</v>
      </c>
      <c r="H955" s="31">
        <f>Simulation_output!E953</f>
        <v>1</v>
      </c>
      <c r="I955" s="31">
        <f>Simulation_output!F953</f>
        <v>0</v>
      </c>
      <c r="J955" s="31">
        <f>Simulation_output!G953</f>
        <v>0</v>
      </c>
      <c r="K955" s="31">
        <f>Simulation_output!H953</f>
        <v>0</v>
      </c>
      <c r="L955">
        <v>1</v>
      </c>
      <c r="M955">
        <f t="shared" si="243"/>
        <v>0</v>
      </c>
      <c r="N955">
        <f t="shared" si="242"/>
        <v>0</v>
      </c>
      <c r="O955">
        <f t="shared" si="241"/>
        <v>0</v>
      </c>
      <c r="P955">
        <f t="shared" si="244"/>
        <v>0</v>
      </c>
      <c r="Q955">
        <f t="shared" si="240"/>
        <v>0</v>
      </c>
      <c r="R955">
        <f t="shared" si="230"/>
        <v>0</v>
      </c>
      <c r="S955">
        <f t="shared" si="231"/>
        <v>0</v>
      </c>
      <c r="T955">
        <f t="shared" si="232"/>
        <v>0</v>
      </c>
      <c r="U955">
        <f t="shared" si="233"/>
        <v>0</v>
      </c>
      <c r="V955">
        <f t="shared" si="234"/>
        <v>0</v>
      </c>
      <c r="W955">
        <f t="shared" si="235"/>
        <v>0</v>
      </c>
      <c r="X955">
        <f t="shared" si="236"/>
        <v>0</v>
      </c>
      <c r="Y955">
        <f t="shared" si="237"/>
        <v>0</v>
      </c>
      <c r="Z955">
        <f t="shared" si="238"/>
        <v>0</v>
      </c>
      <c r="AB955">
        <v>951</v>
      </c>
      <c r="AC955">
        <f t="shared" si="239"/>
        <v>33</v>
      </c>
      <c r="AD955">
        <f t="shared" si="229"/>
        <v>0</v>
      </c>
    </row>
    <row r="956" spans="4:30" x14ac:dyDescent="0.25">
      <c r="D956" s="31">
        <f>Simulation_output!A954</f>
        <v>9525000</v>
      </c>
      <c r="E956">
        <f>Sheet2!R953</f>
        <v>0</v>
      </c>
      <c r="F956">
        <f>Sheet2!S953</f>
        <v>0</v>
      </c>
      <c r="G956">
        <f>Sheet2!T953</f>
        <v>0</v>
      </c>
      <c r="H956" s="31">
        <f>Simulation_output!E954</f>
        <v>1</v>
      </c>
      <c r="I956" s="31">
        <f>Simulation_output!F954</f>
        <v>0</v>
      </c>
      <c r="J956" s="31">
        <f>Simulation_output!G954</f>
        <v>0</v>
      </c>
      <c r="K956" s="31">
        <f>Simulation_output!H954</f>
        <v>0</v>
      </c>
      <c r="L956">
        <v>1</v>
      </c>
      <c r="M956">
        <f t="shared" si="243"/>
        <v>0</v>
      </c>
      <c r="N956">
        <f t="shared" si="242"/>
        <v>0</v>
      </c>
      <c r="O956">
        <f t="shared" si="241"/>
        <v>0</v>
      </c>
      <c r="P956">
        <f t="shared" si="244"/>
        <v>0</v>
      </c>
      <c r="Q956">
        <f t="shared" si="240"/>
        <v>0</v>
      </c>
      <c r="R956">
        <f t="shared" si="230"/>
        <v>0</v>
      </c>
      <c r="S956">
        <f t="shared" si="231"/>
        <v>0</v>
      </c>
      <c r="T956">
        <f t="shared" si="232"/>
        <v>0</v>
      </c>
      <c r="U956">
        <f t="shared" si="233"/>
        <v>0</v>
      </c>
      <c r="V956">
        <f t="shared" si="234"/>
        <v>0</v>
      </c>
      <c r="W956">
        <f t="shared" si="235"/>
        <v>0</v>
      </c>
      <c r="X956">
        <f t="shared" si="236"/>
        <v>0</v>
      </c>
      <c r="Y956">
        <f t="shared" si="237"/>
        <v>0</v>
      </c>
      <c r="Z956">
        <f t="shared" si="238"/>
        <v>0</v>
      </c>
      <c r="AB956">
        <v>952</v>
      </c>
      <c r="AC956">
        <f t="shared" si="239"/>
        <v>33</v>
      </c>
      <c r="AD956">
        <f t="shared" si="229"/>
        <v>0</v>
      </c>
    </row>
    <row r="957" spans="4:30" x14ac:dyDescent="0.25">
      <c r="D957" s="31">
        <f>Simulation_output!A955</f>
        <v>9535000</v>
      </c>
      <c r="E957">
        <f>Sheet2!R954</f>
        <v>0</v>
      </c>
      <c r="F957">
        <f>Sheet2!S954</f>
        <v>0</v>
      </c>
      <c r="G957">
        <f>Sheet2!T954</f>
        <v>0</v>
      </c>
      <c r="H957" s="31">
        <f>Simulation_output!E955</f>
        <v>1</v>
      </c>
      <c r="I957" s="31">
        <f>Simulation_output!F955</f>
        <v>0</v>
      </c>
      <c r="J957" s="31">
        <f>Simulation_output!G955</f>
        <v>0</v>
      </c>
      <c r="K957" s="31">
        <f>Simulation_output!H955</f>
        <v>0</v>
      </c>
      <c r="L957">
        <v>1</v>
      </c>
      <c r="M957">
        <f t="shared" si="243"/>
        <v>0</v>
      </c>
      <c r="N957">
        <f t="shared" si="242"/>
        <v>0</v>
      </c>
      <c r="O957">
        <f t="shared" si="241"/>
        <v>0</v>
      </c>
      <c r="P957">
        <f t="shared" si="244"/>
        <v>0</v>
      </c>
      <c r="Q957">
        <f t="shared" si="240"/>
        <v>0</v>
      </c>
      <c r="R957">
        <f t="shared" si="230"/>
        <v>0</v>
      </c>
      <c r="S957">
        <f t="shared" si="231"/>
        <v>0</v>
      </c>
      <c r="T957">
        <f t="shared" si="232"/>
        <v>0</v>
      </c>
      <c r="U957">
        <f t="shared" si="233"/>
        <v>0</v>
      </c>
      <c r="V957">
        <f t="shared" si="234"/>
        <v>0</v>
      </c>
      <c r="W957">
        <f t="shared" si="235"/>
        <v>0</v>
      </c>
      <c r="X957">
        <f t="shared" si="236"/>
        <v>0</v>
      </c>
      <c r="Y957">
        <f t="shared" si="237"/>
        <v>0</v>
      </c>
      <c r="Z957">
        <f t="shared" si="238"/>
        <v>0</v>
      </c>
      <c r="AB957">
        <v>953</v>
      </c>
      <c r="AC957">
        <f t="shared" si="239"/>
        <v>33</v>
      </c>
      <c r="AD957">
        <f t="shared" si="229"/>
        <v>0</v>
      </c>
    </row>
    <row r="958" spans="4:30" x14ac:dyDescent="0.25">
      <c r="D958" s="31">
        <f>Simulation_output!A956</f>
        <v>9545000</v>
      </c>
      <c r="E958">
        <f>Sheet2!R955</f>
        <v>0</v>
      </c>
      <c r="F958">
        <f>Sheet2!S955</f>
        <v>0</v>
      </c>
      <c r="G958">
        <f>Sheet2!T955</f>
        <v>0</v>
      </c>
      <c r="H958" s="31">
        <f>Simulation_output!E956</f>
        <v>1</v>
      </c>
      <c r="I958" s="31">
        <f>Simulation_output!F956</f>
        <v>0</v>
      </c>
      <c r="J958" s="31">
        <f>Simulation_output!G956</f>
        <v>0</v>
      </c>
      <c r="K958" s="31">
        <f>Simulation_output!H956</f>
        <v>0</v>
      </c>
      <c r="L958">
        <v>1</v>
      </c>
      <c r="M958">
        <f t="shared" si="243"/>
        <v>0</v>
      </c>
      <c r="N958">
        <f t="shared" si="242"/>
        <v>0</v>
      </c>
      <c r="O958">
        <f t="shared" si="241"/>
        <v>0</v>
      </c>
      <c r="P958">
        <f t="shared" si="244"/>
        <v>0</v>
      </c>
      <c r="Q958">
        <f t="shared" si="240"/>
        <v>0</v>
      </c>
      <c r="R958">
        <f t="shared" si="230"/>
        <v>0</v>
      </c>
      <c r="S958">
        <f t="shared" si="231"/>
        <v>0</v>
      </c>
      <c r="T958">
        <f t="shared" si="232"/>
        <v>0</v>
      </c>
      <c r="U958">
        <f t="shared" si="233"/>
        <v>0</v>
      </c>
      <c r="V958">
        <f t="shared" si="234"/>
        <v>0</v>
      </c>
      <c r="W958">
        <f t="shared" si="235"/>
        <v>0</v>
      </c>
      <c r="X958">
        <f t="shared" si="236"/>
        <v>0</v>
      </c>
      <c r="Y958">
        <f t="shared" si="237"/>
        <v>0</v>
      </c>
      <c r="Z958">
        <f t="shared" si="238"/>
        <v>0</v>
      </c>
      <c r="AB958">
        <v>954</v>
      </c>
      <c r="AC958">
        <f t="shared" si="239"/>
        <v>33</v>
      </c>
      <c r="AD958">
        <f t="shared" si="229"/>
        <v>0</v>
      </c>
    </row>
    <row r="959" spans="4:30" x14ac:dyDescent="0.25">
      <c r="D959" s="31">
        <f>Simulation_output!A957</f>
        <v>9555000</v>
      </c>
      <c r="E959">
        <f>Sheet2!R956</f>
        <v>0</v>
      </c>
      <c r="F959">
        <f>Sheet2!S956</f>
        <v>0</v>
      </c>
      <c r="G959">
        <f>Sheet2!T956</f>
        <v>0</v>
      </c>
      <c r="H959" s="31">
        <f>Simulation_output!E957</f>
        <v>1</v>
      </c>
      <c r="I959" s="31">
        <f>Simulation_output!F957</f>
        <v>0</v>
      </c>
      <c r="J959" s="31">
        <f>Simulation_output!G957</f>
        <v>0</v>
      </c>
      <c r="K959" s="31">
        <f>Simulation_output!H957</f>
        <v>0</v>
      </c>
      <c r="L959">
        <v>1</v>
      </c>
      <c r="M959">
        <f t="shared" si="243"/>
        <v>0</v>
      </c>
      <c r="N959">
        <f t="shared" si="242"/>
        <v>0</v>
      </c>
      <c r="O959">
        <f t="shared" si="241"/>
        <v>0</v>
      </c>
      <c r="P959">
        <f t="shared" si="244"/>
        <v>0</v>
      </c>
      <c r="Q959">
        <f t="shared" si="240"/>
        <v>0</v>
      </c>
      <c r="R959">
        <f t="shared" si="230"/>
        <v>0</v>
      </c>
      <c r="S959">
        <f t="shared" si="231"/>
        <v>0</v>
      </c>
      <c r="T959">
        <f t="shared" si="232"/>
        <v>0</v>
      </c>
      <c r="U959">
        <f t="shared" si="233"/>
        <v>0</v>
      </c>
      <c r="V959">
        <f t="shared" si="234"/>
        <v>0</v>
      </c>
      <c r="W959">
        <f t="shared" si="235"/>
        <v>0</v>
      </c>
      <c r="X959">
        <f t="shared" si="236"/>
        <v>0</v>
      </c>
      <c r="Y959">
        <f t="shared" si="237"/>
        <v>0</v>
      </c>
      <c r="Z959">
        <f t="shared" si="238"/>
        <v>0</v>
      </c>
      <c r="AB959">
        <v>955</v>
      </c>
      <c r="AC959">
        <f t="shared" si="239"/>
        <v>33</v>
      </c>
      <c r="AD959">
        <f t="shared" si="229"/>
        <v>0</v>
      </c>
    </row>
    <row r="960" spans="4:30" x14ac:dyDescent="0.25">
      <c r="D960" s="31">
        <f>Simulation_output!A958</f>
        <v>9565000</v>
      </c>
      <c r="E960">
        <f>Sheet2!R957</f>
        <v>0</v>
      </c>
      <c r="F960">
        <f>Sheet2!S957</f>
        <v>0</v>
      </c>
      <c r="G960">
        <f>Sheet2!T957</f>
        <v>0</v>
      </c>
      <c r="H960" s="31">
        <f>Simulation_output!E958</f>
        <v>1</v>
      </c>
      <c r="I960" s="31">
        <f>Simulation_output!F958</f>
        <v>0</v>
      </c>
      <c r="J960" s="31">
        <f>Simulation_output!G958</f>
        <v>0</v>
      </c>
      <c r="K960" s="31">
        <f>Simulation_output!H958</f>
        <v>0</v>
      </c>
      <c r="L960">
        <v>1</v>
      </c>
      <c r="M960">
        <f t="shared" si="243"/>
        <v>0</v>
      </c>
      <c r="N960">
        <f t="shared" si="242"/>
        <v>0</v>
      </c>
      <c r="O960">
        <f t="shared" si="241"/>
        <v>0</v>
      </c>
      <c r="P960">
        <f t="shared" si="244"/>
        <v>0</v>
      </c>
      <c r="Q960">
        <f t="shared" si="240"/>
        <v>0</v>
      </c>
      <c r="R960">
        <f t="shared" si="230"/>
        <v>0</v>
      </c>
      <c r="S960">
        <f t="shared" si="231"/>
        <v>0</v>
      </c>
      <c r="T960">
        <f t="shared" si="232"/>
        <v>0</v>
      </c>
      <c r="U960">
        <f t="shared" si="233"/>
        <v>0</v>
      </c>
      <c r="V960">
        <f t="shared" si="234"/>
        <v>0</v>
      </c>
      <c r="W960">
        <f t="shared" si="235"/>
        <v>0</v>
      </c>
      <c r="X960">
        <f t="shared" si="236"/>
        <v>0</v>
      </c>
      <c r="Y960">
        <f t="shared" si="237"/>
        <v>0</v>
      </c>
      <c r="Z960">
        <f t="shared" si="238"/>
        <v>0</v>
      </c>
      <c r="AB960">
        <v>956</v>
      </c>
      <c r="AC960">
        <f t="shared" si="239"/>
        <v>33</v>
      </c>
      <c r="AD960">
        <f t="shared" si="229"/>
        <v>0</v>
      </c>
    </row>
    <row r="961" spans="4:30" x14ac:dyDescent="0.25">
      <c r="D961" s="31">
        <f>Simulation_output!A959</f>
        <v>9575000</v>
      </c>
      <c r="E961">
        <f>Sheet2!R958</f>
        <v>0</v>
      </c>
      <c r="F961">
        <f>Sheet2!S958</f>
        <v>0</v>
      </c>
      <c r="G961">
        <f>Sheet2!T958</f>
        <v>0</v>
      </c>
      <c r="H961" s="31">
        <f>Simulation_output!E959</f>
        <v>1</v>
      </c>
      <c r="I961" s="31">
        <f>Simulation_output!F959</f>
        <v>0</v>
      </c>
      <c r="J961" s="31">
        <f>Simulation_output!G959</f>
        <v>0</v>
      </c>
      <c r="K961" s="31">
        <f>Simulation_output!H959</f>
        <v>0</v>
      </c>
      <c r="L961">
        <v>1</v>
      </c>
      <c r="M961">
        <f t="shared" si="243"/>
        <v>0</v>
      </c>
      <c r="N961">
        <f t="shared" si="242"/>
        <v>0</v>
      </c>
      <c r="O961">
        <f t="shared" si="241"/>
        <v>0</v>
      </c>
      <c r="P961">
        <f t="shared" si="244"/>
        <v>0</v>
      </c>
      <c r="Q961">
        <f t="shared" si="240"/>
        <v>0</v>
      </c>
      <c r="R961">
        <f t="shared" si="230"/>
        <v>0</v>
      </c>
      <c r="S961">
        <f t="shared" si="231"/>
        <v>0</v>
      </c>
      <c r="T961">
        <f t="shared" si="232"/>
        <v>0</v>
      </c>
      <c r="U961">
        <f t="shared" si="233"/>
        <v>0</v>
      </c>
      <c r="V961">
        <f t="shared" si="234"/>
        <v>0</v>
      </c>
      <c r="W961">
        <f t="shared" si="235"/>
        <v>0</v>
      </c>
      <c r="X961">
        <f t="shared" si="236"/>
        <v>0</v>
      </c>
      <c r="Y961">
        <f t="shared" si="237"/>
        <v>0</v>
      </c>
      <c r="Z961">
        <f t="shared" si="238"/>
        <v>0</v>
      </c>
      <c r="AB961">
        <v>957</v>
      </c>
      <c r="AC961">
        <f t="shared" si="239"/>
        <v>33</v>
      </c>
      <c r="AD961">
        <f t="shared" si="229"/>
        <v>0</v>
      </c>
    </row>
    <row r="962" spans="4:30" x14ac:dyDescent="0.25">
      <c r="D962" s="31">
        <f>Simulation_output!A960</f>
        <v>9585000</v>
      </c>
      <c r="E962">
        <f>Sheet2!R959</f>
        <v>0</v>
      </c>
      <c r="F962">
        <f>Sheet2!S959</f>
        <v>0</v>
      </c>
      <c r="G962">
        <f>Sheet2!T959</f>
        <v>0</v>
      </c>
      <c r="H962" s="31">
        <f>Simulation_output!E960</f>
        <v>1</v>
      </c>
      <c r="I962" s="31">
        <f>Simulation_output!F960</f>
        <v>0</v>
      </c>
      <c r="J962" s="31">
        <f>Simulation_output!G960</f>
        <v>0</v>
      </c>
      <c r="K962" s="31">
        <f>Simulation_output!H960</f>
        <v>0</v>
      </c>
      <c r="L962">
        <v>1</v>
      </c>
      <c r="M962">
        <f t="shared" si="243"/>
        <v>0</v>
      </c>
      <c r="N962">
        <f t="shared" si="242"/>
        <v>0</v>
      </c>
      <c r="O962">
        <f t="shared" si="241"/>
        <v>0</v>
      </c>
      <c r="P962">
        <f t="shared" si="244"/>
        <v>0</v>
      </c>
      <c r="Q962">
        <f t="shared" si="240"/>
        <v>0</v>
      </c>
      <c r="R962">
        <f t="shared" si="230"/>
        <v>0</v>
      </c>
      <c r="S962">
        <f t="shared" si="231"/>
        <v>0</v>
      </c>
      <c r="T962">
        <f t="shared" si="232"/>
        <v>0</v>
      </c>
      <c r="U962">
        <f t="shared" si="233"/>
        <v>0</v>
      </c>
      <c r="V962">
        <f t="shared" si="234"/>
        <v>0</v>
      </c>
      <c r="W962">
        <f t="shared" si="235"/>
        <v>0</v>
      </c>
      <c r="X962">
        <f t="shared" si="236"/>
        <v>0</v>
      </c>
      <c r="Y962">
        <f t="shared" si="237"/>
        <v>0</v>
      </c>
      <c r="Z962">
        <f t="shared" si="238"/>
        <v>0</v>
      </c>
      <c r="AB962">
        <v>958</v>
      </c>
      <c r="AC962">
        <f t="shared" si="239"/>
        <v>33</v>
      </c>
      <c r="AD962">
        <f t="shared" si="229"/>
        <v>0</v>
      </c>
    </row>
    <row r="963" spans="4:30" x14ac:dyDescent="0.25">
      <c r="D963" s="31">
        <f>Simulation_output!A961</f>
        <v>9595000</v>
      </c>
      <c r="E963">
        <f>Sheet2!R960</f>
        <v>0</v>
      </c>
      <c r="F963">
        <f>Sheet2!S960</f>
        <v>0</v>
      </c>
      <c r="G963">
        <f>Sheet2!T960</f>
        <v>0</v>
      </c>
      <c r="H963" s="31">
        <f>Simulation_output!E961</f>
        <v>1</v>
      </c>
      <c r="I963" s="31">
        <f>Simulation_output!F961</f>
        <v>0</v>
      </c>
      <c r="J963" s="31">
        <f>Simulation_output!G961</f>
        <v>0</v>
      </c>
      <c r="K963" s="31">
        <f>Simulation_output!H961</f>
        <v>0</v>
      </c>
      <c r="L963">
        <v>1</v>
      </c>
      <c r="M963">
        <f t="shared" si="243"/>
        <v>0</v>
      </c>
      <c r="N963">
        <f t="shared" si="242"/>
        <v>0</v>
      </c>
      <c r="O963">
        <f t="shared" si="241"/>
        <v>0</v>
      </c>
      <c r="P963">
        <f t="shared" si="244"/>
        <v>0</v>
      </c>
      <c r="Q963">
        <f t="shared" si="240"/>
        <v>0</v>
      </c>
      <c r="R963">
        <f t="shared" si="230"/>
        <v>0</v>
      </c>
      <c r="S963">
        <f t="shared" si="231"/>
        <v>0</v>
      </c>
      <c r="T963">
        <f t="shared" si="232"/>
        <v>0</v>
      </c>
      <c r="U963">
        <f t="shared" si="233"/>
        <v>0</v>
      </c>
      <c r="V963">
        <f t="shared" si="234"/>
        <v>0</v>
      </c>
      <c r="W963">
        <f t="shared" si="235"/>
        <v>0</v>
      </c>
      <c r="X963">
        <f t="shared" si="236"/>
        <v>0</v>
      </c>
      <c r="Y963">
        <f t="shared" si="237"/>
        <v>0</v>
      </c>
      <c r="Z963">
        <f t="shared" si="238"/>
        <v>0</v>
      </c>
      <c r="AB963">
        <v>959</v>
      </c>
      <c r="AC963">
        <f t="shared" si="239"/>
        <v>33</v>
      </c>
      <c r="AD963">
        <f t="shared" si="229"/>
        <v>0</v>
      </c>
    </row>
    <row r="964" spans="4:30" x14ac:dyDescent="0.25">
      <c r="D964" s="31">
        <f>Simulation_output!A962</f>
        <v>9605000</v>
      </c>
      <c r="E964">
        <f>Sheet2!R961</f>
        <v>0</v>
      </c>
      <c r="F964">
        <f>Sheet2!S961</f>
        <v>0</v>
      </c>
      <c r="G964">
        <f>Sheet2!T961</f>
        <v>0</v>
      </c>
      <c r="H964" s="31">
        <f>Simulation_output!E962</f>
        <v>1</v>
      </c>
      <c r="I964" s="31">
        <f>Simulation_output!F962</f>
        <v>0</v>
      </c>
      <c r="J964" s="31">
        <f>Simulation_output!G962</f>
        <v>0</v>
      </c>
      <c r="K964" s="31">
        <f>Simulation_output!H962</f>
        <v>0</v>
      </c>
      <c r="L964">
        <v>1</v>
      </c>
      <c r="M964">
        <f t="shared" si="243"/>
        <v>0</v>
      </c>
      <c r="N964">
        <f t="shared" si="242"/>
        <v>0</v>
      </c>
      <c r="O964">
        <f t="shared" si="241"/>
        <v>0</v>
      </c>
      <c r="P964">
        <f t="shared" si="244"/>
        <v>0</v>
      </c>
      <c r="Q964">
        <f t="shared" si="240"/>
        <v>0</v>
      </c>
      <c r="R964">
        <f t="shared" si="230"/>
        <v>0</v>
      </c>
      <c r="S964">
        <f t="shared" si="231"/>
        <v>0</v>
      </c>
      <c r="T964">
        <f t="shared" si="232"/>
        <v>0</v>
      </c>
      <c r="U964">
        <f t="shared" si="233"/>
        <v>0</v>
      </c>
      <c r="V964">
        <f t="shared" si="234"/>
        <v>0</v>
      </c>
      <c r="W964">
        <f t="shared" si="235"/>
        <v>0</v>
      </c>
      <c r="X964">
        <f t="shared" si="236"/>
        <v>0</v>
      </c>
      <c r="Y964">
        <f t="shared" si="237"/>
        <v>0</v>
      </c>
      <c r="Z964">
        <f t="shared" si="238"/>
        <v>0</v>
      </c>
      <c r="AB964">
        <v>960</v>
      </c>
      <c r="AC964">
        <f t="shared" si="239"/>
        <v>33</v>
      </c>
      <c r="AD964">
        <f t="shared" si="229"/>
        <v>0</v>
      </c>
    </row>
    <row r="965" spans="4:30" x14ac:dyDescent="0.25">
      <c r="D965" s="31">
        <f>Simulation_output!A963</f>
        <v>9615000</v>
      </c>
      <c r="E965">
        <f>Sheet2!R962</f>
        <v>0</v>
      </c>
      <c r="F965">
        <f>Sheet2!S962</f>
        <v>0</v>
      </c>
      <c r="G965">
        <f>Sheet2!T962</f>
        <v>0</v>
      </c>
      <c r="H965" s="31">
        <f>Simulation_output!E963</f>
        <v>1</v>
      </c>
      <c r="I965" s="31">
        <f>Simulation_output!F963</f>
        <v>0</v>
      </c>
      <c r="J965" s="31">
        <f>Simulation_output!G963</f>
        <v>0</v>
      </c>
      <c r="K965" s="31">
        <f>Simulation_output!H963</f>
        <v>0</v>
      </c>
      <c r="L965">
        <v>1</v>
      </c>
      <c r="M965">
        <f t="shared" si="243"/>
        <v>0</v>
      </c>
      <c r="N965">
        <f t="shared" si="242"/>
        <v>0</v>
      </c>
      <c r="O965">
        <f t="shared" si="241"/>
        <v>0</v>
      </c>
      <c r="P965">
        <f t="shared" si="244"/>
        <v>0</v>
      </c>
      <c r="Q965">
        <f t="shared" si="240"/>
        <v>0</v>
      </c>
      <c r="R965">
        <f t="shared" si="230"/>
        <v>0</v>
      </c>
      <c r="S965">
        <f t="shared" si="231"/>
        <v>0</v>
      </c>
      <c r="T965">
        <f t="shared" si="232"/>
        <v>0</v>
      </c>
      <c r="U965">
        <f t="shared" si="233"/>
        <v>0</v>
      </c>
      <c r="V965">
        <f t="shared" si="234"/>
        <v>0</v>
      </c>
      <c r="W965">
        <f t="shared" si="235"/>
        <v>0</v>
      </c>
      <c r="X965">
        <f t="shared" si="236"/>
        <v>0</v>
      </c>
      <c r="Y965">
        <f t="shared" si="237"/>
        <v>0</v>
      </c>
      <c r="Z965">
        <f t="shared" si="238"/>
        <v>0</v>
      </c>
      <c r="AB965">
        <v>961</v>
      </c>
      <c r="AC965">
        <f t="shared" si="239"/>
        <v>33</v>
      </c>
      <c r="AD965">
        <f t="shared" si="229"/>
        <v>0</v>
      </c>
    </row>
    <row r="966" spans="4:30" x14ac:dyDescent="0.25">
      <c r="D966" s="31">
        <f>Simulation_output!A964</f>
        <v>9625000</v>
      </c>
      <c r="E966">
        <f>Sheet2!R963</f>
        <v>0</v>
      </c>
      <c r="F966">
        <f>Sheet2!S963</f>
        <v>0</v>
      </c>
      <c r="G966">
        <f>Sheet2!T963</f>
        <v>0</v>
      </c>
      <c r="H966" s="31">
        <f>Simulation_output!E964</f>
        <v>1</v>
      </c>
      <c r="I966" s="31">
        <f>Simulation_output!F964</f>
        <v>0</v>
      </c>
      <c r="J966" s="31">
        <f>Simulation_output!G964</f>
        <v>0</v>
      </c>
      <c r="K966" s="31">
        <f>Simulation_output!H964</f>
        <v>0</v>
      </c>
      <c r="L966">
        <v>1</v>
      </c>
      <c r="M966">
        <f t="shared" si="243"/>
        <v>0</v>
      </c>
      <c r="N966">
        <f t="shared" si="242"/>
        <v>0</v>
      </c>
      <c r="O966">
        <f t="shared" si="241"/>
        <v>0</v>
      </c>
      <c r="P966">
        <f t="shared" si="244"/>
        <v>0</v>
      </c>
      <c r="Q966">
        <f t="shared" si="240"/>
        <v>0</v>
      </c>
      <c r="R966">
        <f t="shared" si="230"/>
        <v>0</v>
      </c>
      <c r="S966">
        <f t="shared" si="231"/>
        <v>0</v>
      </c>
      <c r="T966">
        <f t="shared" si="232"/>
        <v>0</v>
      </c>
      <c r="U966">
        <f t="shared" si="233"/>
        <v>0</v>
      </c>
      <c r="V966">
        <f t="shared" si="234"/>
        <v>0</v>
      </c>
      <c r="W966">
        <f t="shared" si="235"/>
        <v>0</v>
      </c>
      <c r="X966">
        <f t="shared" si="236"/>
        <v>0</v>
      </c>
      <c r="Y966">
        <f t="shared" si="237"/>
        <v>0</v>
      </c>
      <c r="Z966">
        <f t="shared" si="238"/>
        <v>0</v>
      </c>
      <c r="AB966">
        <v>962</v>
      </c>
      <c r="AC966">
        <f t="shared" si="239"/>
        <v>33</v>
      </c>
      <c r="AD966">
        <f t="shared" ref="AD966:AD1003" si="245">IF(M966="FFFFFFF",AC966,0)</f>
        <v>0</v>
      </c>
    </row>
    <row r="967" spans="4:30" x14ac:dyDescent="0.25">
      <c r="D967" s="31">
        <f>Simulation_output!A965</f>
        <v>9635000</v>
      </c>
      <c r="E967">
        <f>Sheet2!R964</f>
        <v>0</v>
      </c>
      <c r="F967">
        <f>Sheet2!S964</f>
        <v>0</v>
      </c>
      <c r="G967">
        <f>Sheet2!T964</f>
        <v>0</v>
      </c>
      <c r="H967" s="31">
        <f>Simulation_output!E965</f>
        <v>1</v>
      </c>
      <c r="I967" s="31">
        <f>Simulation_output!F965</f>
        <v>0</v>
      </c>
      <c r="J967" s="31">
        <f>Simulation_output!G965</f>
        <v>0</v>
      </c>
      <c r="K967" s="31">
        <f>Simulation_output!H965</f>
        <v>0</v>
      </c>
      <c r="L967">
        <v>1</v>
      </c>
      <c r="M967">
        <f t="shared" si="243"/>
        <v>0</v>
      </c>
      <c r="N967">
        <f t="shared" si="242"/>
        <v>0</v>
      </c>
      <c r="O967">
        <f t="shared" si="241"/>
        <v>0</v>
      </c>
      <c r="P967">
        <f t="shared" si="244"/>
        <v>0</v>
      </c>
      <c r="Q967">
        <f t="shared" si="240"/>
        <v>0</v>
      </c>
      <c r="R967">
        <f t="shared" ref="R967:R1003" si="246">IF(K967&gt;0,I959,0)</f>
        <v>0</v>
      </c>
      <c r="S967">
        <f t="shared" ref="S967:S1003" si="247">IF(K967&gt;0,I960,0)</f>
        <v>0</v>
      </c>
      <c r="T967">
        <f t="shared" ref="T967:T1003" si="248">IF(K967&gt;0,I961,0)</f>
        <v>0</v>
      </c>
      <c r="U967">
        <f t="shared" ref="U967:U1003" si="249">IF(K967&gt;0,I962,0)</f>
        <v>0</v>
      </c>
      <c r="V967">
        <f t="shared" ref="V967:V1003" si="250">IF(K967&gt;0,I963,0)</f>
        <v>0</v>
      </c>
      <c r="W967">
        <f t="shared" ref="W967:W1003" si="251">IF(K967&gt;0,I964,0)</f>
        <v>0</v>
      </c>
      <c r="X967">
        <f t="shared" ref="X967:X1003" si="252">IF(K967&gt;0,I965,0)</f>
        <v>0</v>
      </c>
      <c r="Y967">
        <f t="shared" ref="Y967:Y1003" si="253">IF(K967&gt;0,I966,0)</f>
        <v>0</v>
      </c>
      <c r="Z967">
        <f t="shared" ref="Z967:Z1003" si="254">IF(K967&gt;0,DEC2HEX(I967),0)</f>
        <v>0</v>
      </c>
      <c r="AB967">
        <v>963</v>
      </c>
      <c r="AC967">
        <f t="shared" ref="AC967:AC1003" si="255">IF(M967="FFFFFFF",AC966+1,AC966)</f>
        <v>33</v>
      </c>
      <c r="AD967">
        <f t="shared" si="245"/>
        <v>0</v>
      </c>
    </row>
    <row r="968" spans="4:30" x14ac:dyDescent="0.25">
      <c r="D968" s="31">
        <f>Simulation_output!A966</f>
        <v>9645000</v>
      </c>
      <c r="E968">
        <f>Sheet2!R965</f>
        <v>0</v>
      </c>
      <c r="F968">
        <f>Sheet2!S965</f>
        <v>0</v>
      </c>
      <c r="G968">
        <f>Sheet2!T965</f>
        <v>0</v>
      </c>
      <c r="H968" s="31">
        <f>Simulation_output!E966</f>
        <v>1</v>
      </c>
      <c r="I968" s="31">
        <f>Simulation_output!F966</f>
        <v>0</v>
      </c>
      <c r="J968" s="31">
        <f>Simulation_output!G966</f>
        <v>0</v>
      </c>
      <c r="K968" s="31">
        <f>Simulation_output!H966</f>
        <v>0</v>
      </c>
      <c r="L968">
        <v>1</v>
      </c>
      <c r="M968">
        <f t="shared" si="243"/>
        <v>0</v>
      </c>
      <c r="N968">
        <f t="shared" si="242"/>
        <v>0</v>
      </c>
      <c r="O968">
        <f t="shared" si="241"/>
        <v>0</v>
      </c>
      <c r="P968">
        <f t="shared" si="244"/>
        <v>0</v>
      </c>
      <c r="Q968">
        <f t="shared" si="240"/>
        <v>0</v>
      </c>
      <c r="R968">
        <f t="shared" si="246"/>
        <v>0</v>
      </c>
      <c r="S968">
        <f t="shared" si="247"/>
        <v>0</v>
      </c>
      <c r="T968">
        <f t="shared" si="248"/>
        <v>0</v>
      </c>
      <c r="U968">
        <f t="shared" si="249"/>
        <v>0</v>
      </c>
      <c r="V968">
        <f t="shared" si="250"/>
        <v>0</v>
      </c>
      <c r="W968">
        <f t="shared" si="251"/>
        <v>0</v>
      </c>
      <c r="X968">
        <f t="shared" si="252"/>
        <v>0</v>
      </c>
      <c r="Y968">
        <f t="shared" si="253"/>
        <v>0</v>
      </c>
      <c r="Z968">
        <f t="shared" si="254"/>
        <v>0</v>
      </c>
      <c r="AB968">
        <v>964</v>
      </c>
      <c r="AC968">
        <f t="shared" si="255"/>
        <v>33</v>
      </c>
      <c r="AD968">
        <f t="shared" si="245"/>
        <v>0</v>
      </c>
    </row>
    <row r="969" spans="4:30" x14ac:dyDescent="0.25">
      <c r="D969" s="31">
        <f>Simulation_output!A967</f>
        <v>9655000</v>
      </c>
      <c r="E969">
        <f>Sheet2!R966</f>
        <v>0</v>
      </c>
      <c r="F969">
        <f>Sheet2!S966</f>
        <v>0</v>
      </c>
      <c r="G969">
        <f>Sheet2!T966</f>
        <v>0</v>
      </c>
      <c r="H969" s="31">
        <f>Simulation_output!E967</f>
        <v>1</v>
      </c>
      <c r="I969" s="31">
        <f>Simulation_output!F967</f>
        <v>0</v>
      </c>
      <c r="J969" s="31">
        <f>Simulation_output!G967</f>
        <v>0</v>
      </c>
      <c r="K969" s="31">
        <f>Simulation_output!H967</f>
        <v>0</v>
      </c>
      <c r="L969">
        <v>1</v>
      </c>
      <c r="M969">
        <f t="shared" si="243"/>
        <v>0</v>
      </c>
      <c r="N969">
        <f t="shared" si="242"/>
        <v>0</v>
      </c>
      <c r="O969">
        <f t="shared" si="241"/>
        <v>0</v>
      </c>
      <c r="P969">
        <f t="shared" si="244"/>
        <v>0</v>
      </c>
      <c r="Q969">
        <f t="shared" si="240"/>
        <v>0</v>
      </c>
      <c r="R969">
        <f t="shared" si="246"/>
        <v>0</v>
      </c>
      <c r="S969">
        <f t="shared" si="247"/>
        <v>0</v>
      </c>
      <c r="T969">
        <f t="shared" si="248"/>
        <v>0</v>
      </c>
      <c r="U969">
        <f t="shared" si="249"/>
        <v>0</v>
      </c>
      <c r="V969">
        <f t="shared" si="250"/>
        <v>0</v>
      </c>
      <c r="W969">
        <f t="shared" si="251"/>
        <v>0</v>
      </c>
      <c r="X969">
        <f t="shared" si="252"/>
        <v>0</v>
      </c>
      <c r="Y969">
        <f t="shared" si="253"/>
        <v>0</v>
      </c>
      <c r="Z969">
        <f t="shared" si="254"/>
        <v>0</v>
      </c>
      <c r="AB969">
        <v>965</v>
      </c>
      <c r="AC969">
        <f t="shared" si="255"/>
        <v>33</v>
      </c>
      <c r="AD969">
        <f t="shared" si="245"/>
        <v>0</v>
      </c>
    </row>
    <row r="970" spans="4:30" x14ac:dyDescent="0.25">
      <c r="D970" s="31">
        <f>Simulation_output!A968</f>
        <v>9665000</v>
      </c>
      <c r="E970">
        <f>Sheet2!R967</f>
        <v>0</v>
      </c>
      <c r="F970">
        <f>Sheet2!S967</f>
        <v>0</v>
      </c>
      <c r="G970">
        <f>Sheet2!T967</f>
        <v>0</v>
      </c>
      <c r="H970" s="31">
        <f>Simulation_output!E968</f>
        <v>1</v>
      </c>
      <c r="I970" s="31">
        <f>Simulation_output!F968</f>
        <v>0</v>
      </c>
      <c r="J970" s="31">
        <f>Simulation_output!G968</f>
        <v>0</v>
      </c>
      <c r="K970" s="31">
        <f>Simulation_output!H968</f>
        <v>0</v>
      </c>
      <c r="L970">
        <v>1</v>
      </c>
      <c r="M970">
        <f t="shared" si="243"/>
        <v>0</v>
      </c>
      <c r="N970">
        <f t="shared" si="242"/>
        <v>0</v>
      </c>
      <c r="O970">
        <f t="shared" si="241"/>
        <v>0</v>
      </c>
      <c r="P970">
        <f t="shared" si="244"/>
        <v>0</v>
      </c>
      <c r="Q970">
        <f t="shared" si="240"/>
        <v>0</v>
      </c>
      <c r="R970">
        <f t="shared" si="246"/>
        <v>0</v>
      </c>
      <c r="S970">
        <f t="shared" si="247"/>
        <v>0</v>
      </c>
      <c r="T970">
        <f t="shared" si="248"/>
        <v>0</v>
      </c>
      <c r="U970">
        <f t="shared" si="249"/>
        <v>0</v>
      </c>
      <c r="V970">
        <f t="shared" si="250"/>
        <v>0</v>
      </c>
      <c r="W970">
        <f t="shared" si="251"/>
        <v>0</v>
      </c>
      <c r="X970">
        <f t="shared" si="252"/>
        <v>0</v>
      </c>
      <c r="Y970">
        <f t="shared" si="253"/>
        <v>0</v>
      </c>
      <c r="Z970">
        <f t="shared" si="254"/>
        <v>0</v>
      </c>
      <c r="AB970">
        <v>966</v>
      </c>
      <c r="AC970">
        <f t="shared" si="255"/>
        <v>33</v>
      </c>
      <c r="AD970">
        <f t="shared" si="245"/>
        <v>0</v>
      </c>
    </row>
    <row r="971" spans="4:30" x14ac:dyDescent="0.25">
      <c r="D971" s="31">
        <f>Simulation_output!A969</f>
        <v>9675000</v>
      </c>
      <c r="E971">
        <f>Sheet2!R968</f>
        <v>0</v>
      </c>
      <c r="F971">
        <f>Sheet2!S968</f>
        <v>0</v>
      </c>
      <c r="G971">
        <f>Sheet2!T968</f>
        <v>0</v>
      </c>
      <c r="H971" s="31">
        <f>Simulation_output!E969</f>
        <v>1</v>
      </c>
      <c r="I971" s="31">
        <f>Simulation_output!F969</f>
        <v>0</v>
      </c>
      <c r="J971" s="31">
        <f>Simulation_output!G969</f>
        <v>0</v>
      </c>
      <c r="K971" s="31">
        <f>Simulation_output!H969</f>
        <v>0</v>
      </c>
      <c r="L971">
        <v>1</v>
      </c>
      <c r="M971">
        <f t="shared" si="243"/>
        <v>0</v>
      </c>
      <c r="N971">
        <f t="shared" si="242"/>
        <v>0</v>
      </c>
      <c r="O971">
        <f t="shared" si="241"/>
        <v>0</v>
      </c>
      <c r="P971">
        <f t="shared" si="244"/>
        <v>0</v>
      </c>
      <c r="Q971">
        <f t="shared" ref="Q971:Q1003" si="256">IF(K971&gt;0,I962,0)</f>
        <v>0</v>
      </c>
      <c r="R971">
        <f t="shared" si="246"/>
        <v>0</v>
      </c>
      <c r="S971">
        <f t="shared" si="247"/>
        <v>0</v>
      </c>
      <c r="T971">
        <f t="shared" si="248"/>
        <v>0</v>
      </c>
      <c r="U971">
        <f t="shared" si="249"/>
        <v>0</v>
      </c>
      <c r="V971">
        <f t="shared" si="250"/>
        <v>0</v>
      </c>
      <c r="W971">
        <f t="shared" si="251"/>
        <v>0</v>
      </c>
      <c r="X971">
        <f t="shared" si="252"/>
        <v>0</v>
      </c>
      <c r="Y971">
        <f t="shared" si="253"/>
        <v>0</v>
      </c>
      <c r="Z971">
        <f t="shared" si="254"/>
        <v>0</v>
      </c>
      <c r="AB971">
        <v>967</v>
      </c>
      <c r="AC971">
        <f t="shared" si="255"/>
        <v>33</v>
      </c>
      <c r="AD971">
        <f t="shared" si="245"/>
        <v>0</v>
      </c>
    </row>
    <row r="972" spans="4:30" x14ac:dyDescent="0.25">
      <c r="D972" s="31">
        <f>Simulation_output!A970</f>
        <v>9685000</v>
      </c>
      <c r="E972">
        <f>Sheet2!R969</f>
        <v>0</v>
      </c>
      <c r="F972">
        <f>Sheet2!S969</f>
        <v>0</v>
      </c>
      <c r="G972">
        <f>Sheet2!T969</f>
        <v>0</v>
      </c>
      <c r="H972" s="31">
        <f>Simulation_output!E970</f>
        <v>1</v>
      </c>
      <c r="I972" s="31">
        <f>Simulation_output!F970</f>
        <v>0</v>
      </c>
      <c r="J972" s="31">
        <f>Simulation_output!G970</f>
        <v>0</v>
      </c>
      <c r="K972" s="31">
        <f>Simulation_output!H970</f>
        <v>0</v>
      </c>
      <c r="L972">
        <v>1</v>
      </c>
      <c r="M972">
        <f t="shared" si="243"/>
        <v>0</v>
      </c>
      <c r="N972">
        <f t="shared" si="242"/>
        <v>0</v>
      </c>
      <c r="O972">
        <f t="shared" si="241"/>
        <v>0</v>
      </c>
      <c r="P972">
        <f t="shared" si="244"/>
        <v>0</v>
      </c>
      <c r="Q972">
        <f t="shared" si="256"/>
        <v>0</v>
      </c>
      <c r="R972">
        <f t="shared" si="246"/>
        <v>0</v>
      </c>
      <c r="S972">
        <f t="shared" si="247"/>
        <v>0</v>
      </c>
      <c r="T972">
        <f t="shared" si="248"/>
        <v>0</v>
      </c>
      <c r="U972">
        <f t="shared" si="249"/>
        <v>0</v>
      </c>
      <c r="V972">
        <f t="shared" si="250"/>
        <v>0</v>
      </c>
      <c r="W972">
        <f t="shared" si="251"/>
        <v>0</v>
      </c>
      <c r="X972">
        <f t="shared" si="252"/>
        <v>0</v>
      </c>
      <c r="Y972">
        <f t="shared" si="253"/>
        <v>0</v>
      </c>
      <c r="Z972">
        <f t="shared" si="254"/>
        <v>0</v>
      </c>
      <c r="AB972">
        <v>968</v>
      </c>
      <c r="AC972">
        <f t="shared" si="255"/>
        <v>33</v>
      </c>
      <c r="AD972">
        <f t="shared" si="245"/>
        <v>0</v>
      </c>
    </row>
    <row r="973" spans="4:30" x14ac:dyDescent="0.25">
      <c r="D973" s="31">
        <f>Simulation_output!A971</f>
        <v>9695000</v>
      </c>
      <c r="E973">
        <f>Sheet2!R970</f>
        <v>0</v>
      </c>
      <c r="F973">
        <f>Sheet2!S970</f>
        <v>0</v>
      </c>
      <c r="G973">
        <f>Sheet2!T970</f>
        <v>0</v>
      </c>
      <c r="H973" s="31">
        <f>Simulation_output!E971</f>
        <v>1</v>
      </c>
      <c r="I973" s="31">
        <f>Simulation_output!F971</f>
        <v>0</v>
      </c>
      <c r="J973" s="31">
        <f>Simulation_output!G971</f>
        <v>0</v>
      </c>
      <c r="K973" s="31">
        <f>Simulation_output!H971</f>
        <v>0</v>
      </c>
      <c r="L973">
        <v>1</v>
      </c>
      <c r="M973">
        <f t="shared" si="243"/>
        <v>0</v>
      </c>
      <c r="N973">
        <f t="shared" si="242"/>
        <v>0</v>
      </c>
      <c r="O973">
        <f t="shared" ref="O973:O1003" si="257">IF(K973&gt;0,I962,0)</f>
        <v>0</v>
      </c>
      <c r="P973">
        <f t="shared" si="244"/>
        <v>0</v>
      </c>
      <c r="Q973">
        <f t="shared" si="256"/>
        <v>0</v>
      </c>
      <c r="R973">
        <f t="shared" si="246"/>
        <v>0</v>
      </c>
      <c r="S973">
        <f t="shared" si="247"/>
        <v>0</v>
      </c>
      <c r="T973">
        <f t="shared" si="248"/>
        <v>0</v>
      </c>
      <c r="U973">
        <f t="shared" si="249"/>
        <v>0</v>
      </c>
      <c r="V973">
        <f t="shared" si="250"/>
        <v>0</v>
      </c>
      <c r="W973">
        <f t="shared" si="251"/>
        <v>0</v>
      </c>
      <c r="X973">
        <f t="shared" si="252"/>
        <v>0</v>
      </c>
      <c r="Y973">
        <f t="shared" si="253"/>
        <v>0</v>
      </c>
      <c r="Z973">
        <f t="shared" si="254"/>
        <v>0</v>
      </c>
      <c r="AB973">
        <v>969</v>
      </c>
      <c r="AC973">
        <f t="shared" si="255"/>
        <v>33</v>
      </c>
      <c r="AD973">
        <f t="shared" si="245"/>
        <v>0</v>
      </c>
    </row>
    <row r="974" spans="4:30" x14ac:dyDescent="0.25">
      <c r="D974" s="31">
        <f>Simulation_output!A972</f>
        <v>9705000</v>
      </c>
      <c r="E974">
        <f>Sheet2!R971</f>
        <v>0</v>
      </c>
      <c r="F974">
        <f>Sheet2!S971</f>
        <v>0</v>
      </c>
      <c r="G974">
        <f>Sheet2!T971</f>
        <v>0</v>
      </c>
      <c r="H974" s="31">
        <f>Simulation_output!E972</f>
        <v>1</v>
      </c>
      <c r="I974" s="31">
        <f>Simulation_output!F972</f>
        <v>0</v>
      </c>
      <c r="J974" s="31">
        <f>Simulation_output!G972</f>
        <v>0</v>
      </c>
      <c r="K974" s="31">
        <f>Simulation_output!H972</f>
        <v>0</v>
      </c>
      <c r="L974">
        <v>1</v>
      </c>
      <c r="M974">
        <f t="shared" si="243"/>
        <v>0</v>
      </c>
      <c r="N974">
        <f t="shared" ref="N974:N1003" si="258">IF(K974&gt;0,I962,0)</f>
        <v>0</v>
      </c>
      <c r="O974">
        <f t="shared" si="257"/>
        <v>0</v>
      </c>
      <c r="P974">
        <f t="shared" si="244"/>
        <v>0</v>
      </c>
      <c r="Q974">
        <f t="shared" si="256"/>
        <v>0</v>
      </c>
      <c r="R974">
        <f t="shared" si="246"/>
        <v>0</v>
      </c>
      <c r="S974">
        <f t="shared" si="247"/>
        <v>0</v>
      </c>
      <c r="T974">
        <f t="shared" si="248"/>
        <v>0</v>
      </c>
      <c r="U974">
        <f t="shared" si="249"/>
        <v>0</v>
      </c>
      <c r="V974">
        <f t="shared" si="250"/>
        <v>0</v>
      </c>
      <c r="W974">
        <f t="shared" si="251"/>
        <v>0</v>
      </c>
      <c r="X974">
        <f t="shared" si="252"/>
        <v>0</v>
      </c>
      <c r="Y974">
        <f t="shared" si="253"/>
        <v>0</v>
      </c>
      <c r="Z974">
        <f t="shared" si="254"/>
        <v>0</v>
      </c>
      <c r="AB974">
        <v>970</v>
      </c>
      <c r="AC974">
        <f t="shared" si="255"/>
        <v>33</v>
      </c>
      <c r="AD974">
        <f t="shared" si="245"/>
        <v>0</v>
      </c>
    </row>
    <row r="975" spans="4:30" x14ac:dyDescent="0.25">
      <c r="D975" s="31">
        <f>Simulation_output!A973</f>
        <v>9715000</v>
      </c>
      <c r="E975">
        <f>Sheet2!R972</f>
        <v>0</v>
      </c>
      <c r="F975">
        <f>Sheet2!S972</f>
        <v>0</v>
      </c>
      <c r="G975">
        <f>Sheet2!T972</f>
        <v>0</v>
      </c>
      <c r="H975" s="31">
        <f>Simulation_output!E973</f>
        <v>1</v>
      </c>
      <c r="I975" s="31">
        <f>Simulation_output!F973</f>
        <v>0</v>
      </c>
      <c r="J975" s="31">
        <f>Simulation_output!G973</f>
        <v>0</v>
      </c>
      <c r="K975" s="31">
        <f>Simulation_output!H973</f>
        <v>0</v>
      </c>
      <c r="L975">
        <v>1</v>
      </c>
      <c r="M975">
        <f t="shared" ref="M975:M1003" si="259">IF(K975&gt;0,DEC2HEX(I962),0)</f>
        <v>0</v>
      </c>
      <c r="N975">
        <f t="shared" si="258"/>
        <v>0</v>
      </c>
      <c r="O975">
        <f t="shared" si="257"/>
        <v>0</v>
      </c>
      <c r="P975">
        <f t="shared" ref="P975:P1003" si="260">IF(K975&gt;0,I965,0)</f>
        <v>0</v>
      </c>
      <c r="Q975">
        <f t="shared" si="256"/>
        <v>0</v>
      </c>
      <c r="R975">
        <f t="shared" si="246"/>
        <v>0</v>
      </c>
      <c r="S975">
        <f t="shared" si="247"/>
        <v>0</v>
      </c>
      <c r="T975">
        <f t="shared" si="248"/>
        <v>0</v>
      </c>
      <c r="U975">
        <f t="shared" si="249"/>
        <v>0</v>
      </c>
      <c r="V975">
        <f t="shared" si="250"/>
        <v>0</v>
      </c>
      <c r="W975">
        <f t="shared" si="251"/>
        <v>0</v>
      </c>
      <c r="X975">
        <f t="shared" si="252"/>
        <v>0</v>
      </c>
      <c r="Y975">
        <f t="shared" si="253"/>
        <v>0</v>
      </c>
      <c r="Z975">
        <f t="shared" si="254"/>
        <v>0</v>
      </c>
      <c r="AB975">
        <v>971</v>
      </c>
      <c r="AC975">
        <f t="shared" si="255"/>
        <v>33</v>
      </c>
      <c r="AD975">
        <f t="shared" si="245"/>
        <v>0</v>
      </c>
    </row>
    <row r="976" spans="4:30" x14ac:dyDescent="0.25">
      <c r="D976" s="31">
        <f>Simulation_output!A974</f>
        <v>9725000</v>
      </c>
      <c r="E976">
        <f>Sheet2!R973</f>
        <v>0</v>
      </c>
      <c r="F976">
        <f>Sheet2!S973</f>
        <v>0</v>
      </c>
      <c r="G976">
        <f>Sheet2!T973</f>
        <v>0</v>
      </c>
      <c r="H976" s="31">
        <f>Simulation_output!E974</f>
        <v>1</v>
      </c>
      <c r="I976" s="31">
        <f>Simulation_output!F974</f>
        <v>0</v>
      </c>
      <c r="J976" s="31">
        <f>Simulation_output!G974</f>
        <v>0</v>
      </c>
      <c r="K976" s="31">
        <f>Simulation_output!H974</f>
        <v>0</v>
      </c>
      <c r="L976">
        <v>1</v>
      </c>
      <c r="M976">
        <f t="shared" si="259"/>
        <v>0</v>
      </c>
      <c r="N976">
        <f t="shared" si="258"/>
        <v>0</v>
      </c>
      <c r="O976">
        <f t="shared" si="257"/>
        <v>0</v>
      </c>
      <c r="P976">
        <f t="shared" si="260"/>
        <v>0</v>
      </c>
      <c r="Q976">
        <f t="shared" si="256"/>
        <v>0</v>
      </c>
      <c r="R976">
        <f t="shared" si="246"/>
        <v>0</v>
      </c>
      <c r="S976">
        <f t="shared" si="247"/>
        <v>0</v>
      </c>
      <c r="T976">
        <f t="shared" si="248"/>
        <v>0</v>
      </c>
      <c r="U976">
        <f t="shared" si="249"/>
        <v>0</v>
      </c>
      <c r="V976">
        <f t="shared" si="250"/>
        <v>0</v>
      </c>
      <c r="W976">
        <f t="shared" si="251"/>
        <v>0</v>
      </c>
      <c r="X976">
        <f t="shared" si="252"/>
        <v>0</v>
      </c>
      <c r="Y976">
        <f t="shared" si="253"/>
        <v>0</v>
      </c>
      <c r="Z976">
        <f t="shared" si="254"/>
        <v>0</v>
      </c>
      <c r="AB976">
        <v>972</v>
      </c>
      <c r="AC976">
        <f t="shared" si="255"/>
        <v>33</v>
      </c>
      <c r="AD976">
        <f t="shared" si="245"/>
        <v>0</v>
      </c>
    </row>
    <row r="977" spans="4:30" x14ac:dyDescent="0.25">
      <c r="D977" s="31">
        <f>Simulation_output!A975</f>
        <v>9735000</v>
      </c>
      <c r="E977">
        <f>Sheet2!R974</f>
        <v>0</v>
      </c>
      <c r="F977">
        <f>Sheet2!S974</f>
        <v>0</v>
      </c>
      <c r="G977">
        <f>Sheet2!T974</f>
        <v>0</v>
      </c>
      <c r="H977" s="31">
        <f>Simulation_output!E975</f>
        <v>1</v>
      </c>
      <c r="I977" s="31">
        <f>Simulation_output!F975</f>
        <v>0</v>
      </c>
      <c r="J977" s="31">
        <f>Simulation_output!G975</f>
        <v>0</v>
      </c>
      <c r="K977" s="31">
        <f>Simulation_output!H975</f>
        <v>0</v>
      </c>
      <c r="L977">
        <v>1</v>
      </c>
      <c r="M977">
        <f t="shared" si="259"/>
        <v>0</v>
      </c>
      <c r="N977">
        <f t="shared" si="258"/>
        <v>0</v>
      </c>
      <c r="O977">
        <f t="shared" si="257"/>
        <v>0</v>
      </c>
      <c r="P977">
        <f t="shared" si="260"/>
        <v>0</v>
      </c>
      <c r="Q977">
        <f t="shared" si="256"/>
        <v>0</v>
      </c>
      <c r="R977">
        <f t="shared" si="246"/>
        <v>0</v>
      </c>
      <c r="S977">
        <f t="shared" si="247"/>
        <v>0</v>
      </c>
      <c r="T977">
        <f t="shared" si="248"/>
        <v>0</v>
      </c>
      <c r="U977">
        <f t="shared" si="249"/>
        <v>0</v>
      </c>
      <c r="V977">
        <f t="shared" si="250"/>
        <v>0</v>
      </c>
      <c r="W977">
        <f t="shared" si="251"/>
        <v>0</v>
      </c>
      <c r="X977">
        <f t="shared" si="252"/>
        <v>0</v>
      </c>
      <c r="Y977">
        <f t="shared" si="253"/>
        <v>0</v>
      </c>
      <c r="Z977">
        <f t="shared" si="254"/>
        <v>0</v>
      </c>
      <c r="AB977">
        <v>973</v>
      </c>
      <c r="AC977">
        <f t="shared" si="255"/>
        <v>33</v>
      </c>
      <c r="AD977">
        <f t="shared" si="245"/>
        <v>0</v>
      </c>
    </row>
    <row r="978" spans="4:30" x14ac:dyDescent="0.25">
      <c r="D978" s="31">
        <f>Simulation_output!A976</f>
        <v>9745000</v>
      </c>
      <c r="E978">
        <f>Sheet2!R975</f>
        <v>0</v>
      </c>
      <c r="F978">
        <f>Sheet2!S975</f>
        <v>0</v>
      </c>
      <c r="G978">
        <f>Sheet2!T975</f>
        <v>0</v>
      </c>
      <c r="H978" s="31">
        <f>Simulation_output!E976</f>
        <v>1</v>
      </c>
      <c r="I978" s="31">
        <f>Simulation_output!F976</f>
        <v>0</v>
      </c>
      <c r="J978" s="31">
        <f>Simulation_output!G976</f>
        <v>0</v>
      </c>
      <c r="K978" s="31">
        <f>Simulation_output!H976</f>
        <v>0</v>
      </c>
      <c r="L978">
        <v>1</v>
      </c>
      <c r="M978">
        <f t="shared" si="259"/>
        <v>0</v>
      </c>
      <c r="N978">
        <f t="shared" si="258"/>
        <v>0</v>
      </c>
      <c r="O978">
        <f t="shared" si="257"/>
        <v>0</v>
      </c>
      <c r="P978">
        <f t="shared" si="260"/>
        <v>0</v>
      </c>
      <c r="Q978">
        <f t="shared" si="256"/>
        <v>0</v>
      </c>
      <c r="R978">
        <f t="shared" si="246"/>
        <v>0</v>
      </c>
      <c r="S978">
        <f t="shared" si="247"/>
        <v>0</v>
      </c>
      <c r="T978">
        <f t="shared" si="248"/>
        <v>0</v>
      </c>
      <c r="U978">
        <f t="shared" si="249"/>
        <v>0</v>
      </c>
      <c r="V978">
        <f t="shared" si="250"/>
        <v>0</v>
      </c>
      <c r="W978">
        <f t="shared" si="251"/>
        <v>0</v>
      </c>
      <c r="X978">
        <f t="shared" si="252"/>
        <v>0</v>
      </c>
      <c r="Y978">
        <f t="shared" si="253"/>
        <v>0</v>
      </c>
      <c r="Z978">
        <f t="shared" si="254"/>
        <v>0</v>
      </c>
      <c r="AB978">
        <v>974</v>
      </c>
      <c r="AC978">
        <f t="shared" si="255"/>
        <v>33</v>
      </c>
      <c r="AD978">
        <f t="shared" si="245"/>
        <v>0</v>
      </c>
    </row>
    <row r="979" spans="4:30" x14ac:dyDescent="0.25">
      <c r="D979" s="31">
        <f>Simulation_output!A977</f>
        <v>9755000</v>
      </c>
      <c r="E979">
        <f>Sheet2!R976</f>
        <v>0</v>
      </c>
      <c r="F979">
        <f>Sheet2!S976</f>
        <v>0</v>
      </c>
      <c r="G979">
        <f>Sheet2!T976</f>
        <v>0</v>
      </c>
      <c r="H979" s="31">
        <f>Simulation_output!E977</f>
        <v>1</v>
      </c>
      <c r="I979" s="31">
        <f>Simulation_output!F977</f>
        <v>0</v>
      </c>
      <c r="J979" s="31">
        <f>Simulation_output!G977</f>
        <v>0</v>
      </c>
      <c r="K979" s="31">
        <f>Simulation_output!H977</f>
        <v>0</v>
      </c>
      <c r="L979">
        <v>1</v>
      </c>
      <c r="M979">
        <f t="shared" si="259"/>
        <v>0</v>
      </c>
      <c r="N979">
        <f t="shared" si="258"/>
        <v>0</v>
      </c>
      <c r="O979">
        <f t="shared" si="257"/>
        <v>0</v>
      </c>
      <c r="P979">
        <f t="shared" si="260"/>
        <v>0</v>
      </c>
      <c r="Q979">
        <f t="shared" si="256"/>
        <v>0</v>
      </c>
      <c r="R979">
        <f t="shared" si="246"/>
        <v>0</v>
      </c>
      <c r="S979">
        <f t="shared" si="247"/>
        <v>0</v>
      </c>
      <c r="T979">
        <f t="shared" si="248"/>
        <v>0</v>
      </c>
      <c r="U979">
        <f t="shared" si="249"/>
        <v>0</v>
      </c>
      <c r="V979">
        <f t="shared" si="250"/>
        <v>0</v>
      </c>
      <c r="W979">
        <f t="shared" si="251"/>
        <v>0</v>
      </c>
      <c r="X979">
        <f t="shared" si="252"/>
        <v>0</v>
      </c>
      <c r="Y979">
        <f t="shared" si="253"/>
        <v>0</v>
      </c>
      <c r="Z979">
        <f t="shared" si="254"/>
        <v>0</v>
      </c>
      <c r="AB979">
        <v>975</v>
      </c>
      <c r="AC979">
        <f t="shared" si="255"/>
        <v>33</v>
      </c>
      <c r="AD979">
        <f t="shared" si="245"/>
        <v>0</v>
      </c>
    </row>
    <row r="980" spans="4:30" x14ac:dyDescent="0.25">
      <c r="D980" s="31">
        <f>Simulation_output!A978</f>
        <v>9765000</v>
      </c>
      <c r="E980">
        <f>Sheet2!R977</f>
        <v>0</v>
      </c>
      <c r="F980">
        <f>Sheet2!S977</f>
        <v>0</v>
      </c>
      <c r="G980">
        <f>Sheet2!T977</f>
        <v>0</v>
      </c>
      <c r="H980" s="31">
        <f>Simulation_output!E978</f>
        <v>1</v>
      </c>
      <c r="I980" s="31">
        <f>Simulation_output!F978</f>
        <v>0</v>
      </c>
      <c r="J980" s="31">
        <f>Simulation_output!G978</f>
        <v>0</v>
      </c>
      <c r="K980" s="31">
        <f>Simulation_output!H978</f>
        <v>0</v>
      </c>
      <c r="L980">
        <v>1</v>
      </c>
      <c r="M980">
        <f t="shared" si="259"/>
        <v>0</v>
      </c>
      <c r="N980">
        <f t="shared" si="258"/>
        <v>0</v>
      </c>
      <c r="O980">
        <f t="shared" si="257"/>
        <v>0</v>
      </c>
      <c r="P980">
        <f t="shared" si="260"/>
        <v>0</v>
      </c>
      <c r="Q980">
        <f t="shared" si="256"/>
        <v>0</v>
      </c>
      <c r="R980">
        <f t="shared" si="246"/>
        <v>0</v>
      </c>
      <c r="S980">
        <f t="shared" si="247"/>
        <v>0</v>
      </c>
      <c r="T980">
        <f t="shared" si="248"/>
        <v>0</v>
      </c>
      <c r="U980">
        <f t="shared" si="249"/>
        <v>0</v>
      </c>
      <c r="V980">
        <f t="shared" si="250"/>
        <v>0</v>
      </c>
      <c r="W980">
        <f t="shared" si="251"/>
        <v>0</v>
      </c>
      <c r="X980">
        <f t="shared" si="252"/>
        <v>0</v>
      </c>
      <c r="Y980">
        <f t="shared" si="253"/>
        <v>0</v>
      </c>
      <c r="Z980">
        <f t="shared" si="254"/>
        <v>0</v>
      </c>
      <c r="AB980">
        <v>976</v>
      </c>
      <c r="AC980">
        <f t="shared" si="255"/>
        <v>33</v>
      </c>
      <c r="AD980">
        <f t="shared" si="245"/>
        <v>0</v>
      </c>
    </row>
    <row r="981" spans="4:30" x14ac:dyDescent="0.25">
      <c r="D981" s="31">
        <f>Simulation_output!A979</f>
        <v>9775000</v>
      </c>
      <c r="E981">
        <f>Sheet2!R978</f>
        <v>0</v>
      </c>
      <c r="F981">
        <f>Sheet2!S978</f>
        <v>0</v>
      </c>
      <c r="G981">
        <f>Sheet2!T978</f>
        <v>0</v>
      </c>
      <c r="H981" s="31">
        <f>Simulation_output!E979</f>
        <v>1</v>
      </c>
      <c r="I981" s="31">
        <f>Simulation_output!F979</f>
        <v>0</v>
      </c>
      <c r="J981" s="31">
        <f>Simulation_output!G979</f>
        <v>0</v>
      </c>
      <c r="K981" s="31">
        <f>Simulation_output!H979</f>
        <v>0</v>
      </c>
      <c r="L981">
        <v>1</v>
      </c>
      <c r="M981">
        <f t="shared" si="259"/>
        <v>0</v>
      </c>
      <c r="N981">
        <f t="shared" si="258"/>
        <v>0</v>
      </c>
      <c r="O981">
        <f t="shared" si="257"/>
        <v>0</v>
      </c>
      <c r="P981">
        <f t="shared" si="260"/>
        <v>0</v>
      </c>
      <c r="Q981">
        <f t="shared" si="256"/>
        <v>0</v>
      </c>
      <c r="R981">
        <f t="shared" si="246"/>
        <v>0</v>
      </c>
      <c r="S981">
        <f t="shared" si="247"/>
        <v>0</v>
      </c>
      <c r="T981">
        <f t="shared" si="248"/>
        <v>0</v>
      </c>
      <c r="U981">
        <f t="shared" si="249"/>
        <v>0</v>
      </c>
      <c r="V981">
        <f t="shared" si="250"/>
        <v>0</v>
      </c>
      <c r="W981">
        <f t="shared" si="251"/>
        <v>0</v>
      </c>
      <c r="X981">
        <f t="shared" si="252"/>
        <v>0</v>
      </c>
      <c r="Y981">
        <f t="shared" si="253"/>
        <v>0</v>
      </c>
      <c r="Z981">
        <f t="shared" si="254"/>
        <v>0</v>
      </c>
      <c r="AB981">
        <v>977</v>
      </c>
      <c r="AC981">
        <f t="shared" si="255"/>
        <v>33</v>
      </c>
      <c r="AD981">
        <f t="shared" si="245"/>
        <v>0</v>
      </c>
    </row>
    <row r="982" spans="4:30" x14ac:dyDescent="0.25">
      <c r="D982" s="31">
        <f>Simulation_output!A980</f>
        <v>9785000</v>
      </c>
      <c r="E982">
        <f>Sheet2!R979</f>
        <v>0</v>
      </c>
      <c r="F982">
        <f>Sheet2!S979</f>
        <v>0</v>
      </c>
      <c r="G982">
        <f>Sheet2!T979</f>
        <v>0</v>
      </c>
      <c r="H982" s="31">
        <f>Simulation_output!E980</f>
        <v>1</v>
      </c>
      <c r="I982" s="31">
        <f>Simulation_output!F980</f>
        <v>0</v>
      </c>
      <c r="J982" s="31">
        <f>Simulation_output!G980</f>
        <v>0</v>
      </c>
      <c r="K982" s="31">
        <f>Simulation_output!H980</f>
        <v>0</v>
      </c>
      <c r="L982">
        <v>1</v>
      </c>
      <c r="M982">
        <f t="shared" si="259"/>
        <v>0</v>
      </c>
      <c r="N982">
        <f t="shared" si="258"/>
        <v>0</v>
      </c>
      <c r="O982">
        <f t="shared" si="257"/>
        <v>0</v>
      </c>
      <c r="P982">
        <f t="shared" si="260"/>
        <v>0</v>
      </c>
      <c r="Q982">
        <f t="shared" si="256"/>
        <v>0</v>
      </c>
      <c r="R982">
        <f t="shared" si="246"/>
        <v>0</v>
      </c>
      <c r="S982">
        <f t="shared" si="247"/>
        <v>0</v>
      </c>
      <c r="T982">
        <f t="shared" si="248"/>
        <v>0</v>
      </c>
      <c r="U982">
        <f t="shared" si="249"/>
        <v>0</v>
      </c>
      <c r="V982">
        <f t="shared" si="250"/>
        <v>0</v>
      </c>
      <c r="W982">
        <f t="shared" si="251"/>
        <v>0</v>
      </c>
      <c r="X982">
        <f t="shared" si="252"/>
        <v>0</v>
      </c>
      <c r="Y982">
        <f t="shared" si="253"/>
        <v>0</v>
      </c>
      <c r="Z982">
        <f t="shared" si="254"/>
        <v>0</v>
      </c>
      <c r="AB982">
        <v>978</v>
      </c>
      <c r="AC982">
        <f t="shared" si="255"/>
        <v>33</v>
      </c>
      <c r="AD982">
        <f t="shared" si="245"/>
        <v>0</v>
      </c>
    </row>
    <row r="983" spans="4:30" x14ac:dyDescent="0.25">
      <c r="D983" s="31">
        <f>Simulation_output!A981</f>
        <v>9795000</v>
      </c>
      <c r="E983">
        <f>Sheet2!R980</f>
        <v>0</v>
      </c>
      <c r="F983">
        <f>Sheet2!S980</f>
        <v>0</v>
      </c>
      <c r="G983">
        <f>Sheet2!T980</f>
        <v>0</v>
      </c>
      <c r="H983" s="31">
        <f>Simulation_output!E981</f>
        <v>1</v>
      </c>
      <c r="I983" s="31">
        <f>Simulation_output!F981</f>
        <v>0</v>
      </c>
      <c r="J983" s="31">
        <f>Simulation_output!G981</f>
        <v>0</v>
      </c>
      <c r="K983" s="31">
        <f>Simulation_output!H981</f>
        <v>0</v>
      </c>
      <c r="L983">
        <v>1</v>
      </c>
      <c r="M983">
        <f t="shared" si="259"/>
        <v>0</v>
      </c>
      <c r="N983">
        <f t="shared" si="258"/>
        <v>0</v>
      </c>
      <c r="O983">
        <f t="shared" si="257"/>
        <v>0</v>
      </c>
      <c r="P983">
        <f t="shared" si="260"/>
        <v>0</v>
      </c>
      <c r="Q983">
        <f t="shared" si="256"/>
        <v>0</v>
      </c>
      <c r="R983">
        <f t="shared" si="246"/>
        <v>0</v>
      </c>
      <c r="S983">
        <f t="shared" si="247"/>
        <v>0</v>
      </c>
      <c r="T983">
        <f t="shared" si="248"/>
        <v>0</v>
      </c>
      <c r="U983">
        <f t="shared" si="249"/>
        <v>0</v>
      </c>
      <c r="V983">
        <f t="shared" si="250"/>
        <v>0</v>
      </c>
      <c r="W983">
        <f t="shared" si="251"/>
        <v>0</v>
      </c>
      <c r="X983">
        <f t="shared" si="252"/>
        <v>0</v>
      </c>
      <c r="Y983">
        <f t="shared" si="253"/>
        <v>0</v>
      </c>
      <c r="Z983">
        <f t="shared" si="254"/>
        <v>0</v>
      </c>
      <c r="AB983">
        <v>979</v>
      </c>
      <c r="AC983">
        <f t="shared" si="255"/>
        <v>33</v>
      </c>
      <c r="AD983">
        <f t="shared" si="245"/>
        <v>0</v>
      </c>
    </row>
    <row r="984" spans="4:30" x14ac:dyDescent="0.25">
      <c r="D984" s="31">
        <f>Simulation_output!A982</f>
        <v>9805000</v>
      </c>
      <c r="E984">
        <f>Sheet2!R981</f>
        <v>0</v>
      </c>
      <c r="F984">
        <f>Sheet2!S981</f>
        <v>0</v>
      </c>
      <c r="G984">
        <f>Sheet2!T981</f>
        <v>0</v>
      </c>
      <c r="H984" s="31">
        <f>Simulation_output!E982</f>
        <v>1</v>
      </c>
      <c r="I984" s="31">
        <f>Simulation_output!F982</f>
        <v>0</v>
      </c>
      <c r="J984" s="31">
        <f>Simulation_output!G982</f>
        <v>0</v>
      </c>
      <c r="K984" s="31">
        <f>Simulation_output!H982</f>
        <v>0</v>
      </c>
      <c r="L984">
        <v>1</v>
      </c>
      <c r="M984">
        <f t="shared" si="259"/>
        <v>0</v>
      </c>
      <c r="N984">
        <f t="shared" si="258"/>
        <v>0</v>
      </c>
      <c r="O984">
        <f t="shared" si="257"/>
        <v>0</v>
      </c>
      <c r="P984">
        <f t="shared" si="260"/>
        <v>0</v>
      </c>
      <c r="Q984">
        <f t="shared" si="256"/>
        <v>0</v>
      </c>
      <c r="R984">
        <f t="shared" si="246"/>
        <v>0</v>
      </c>
      <c r="S984">
        <f t="shared" si="247"/>
        <v>0</v>
      </c>
      <c r="T984">
        <f t="shared" si="248"/>
        <v>0</v>
      </c>
      <c r="U984">
        <f t="shared" si="249"/>
        <v>0</v>
      </c>
      <c r="V984">
        <f t="shared" si="250"/>
        <v>0</v>
      </c>
      <c r="W984">
        <f t="shared" si="251"/>
        <v>0</v>
      </c>
      <c r="X984">
        <f t="shared" si="252"/>
        <v>0</v>
      </c>
      <c r="Y984">
        <f t="shared" si="253"/>
        <v>0</v>
      </c>
      <c r="Z984">
        <f t="shared" si="254"/>
        <v>0</v>
      </c>
      <c r="AB984">
        <v>980</v>
      </c>
      <c r="AC984">
        <f t="shared" si="255"/>
        <v>33</v>
      </c>
      <c r="AD984">
        <f t="shared" si="245"/>
        <v>0</v>
      </c>
    </row>
    <row r="985" spans="4:30" x14ac:dyDescent="0.25">
      <c r="D985" s="31">
        <f>Simulation_output!A983</f>
        <v>9815000</v>
      </c>
      <c r="E985">
        <f>Sheet2!R982</f>
        <v>0</v>
      </c>
      <c r="F985">
        <f>Sheet2!S982</f>
        <v>0</v>
      </c>
      <c r="G985">
        <f>Sheet2!T982</f>
        <v>0</v>
      </c>
      <c r="H985" s="31">
        <f>Simulation_output!E983</f>
        <v>1</v>
      </c>
      <c r="I985" s="31">
        <f>Simulation_output!F983</f>
        <v>0</v>
      </c>
      <c r="J985" s="31">
        <f>Simulation_output!G983</f>
        <v>0</v>
      </c>
      <c r="K985" s="31">
        <f>Simulation_output!H983</f>
        <v>0</v>
      </c>
      <c r="L985">
        <v>1</v>
      </c>
      <c r="M985">
        <f t="shared" si="259"/>
        <v>0</v>
      </c>
      <c r="N985">
        <f t="shared" si="258"/>
        <v>0</v>
      </c>
      <c r="O985">
        <f t="shared" si="257"/>
        <v>0</v>
      </c>
      <c r="P985">
        <f t="shared" si="260"/>
        <v>0</v>
      </c>
      <c r="Q985">
        <f t="shared" si="256"/>
        <v>0</v>
      </c>
      <c r="R985">
        <f t="shared" si="246"/>
        <v>0</v>
      </c>
      <c r="S985">
        <f t="shared" si="247"/>
        <v>0</v>
      </c>
      <c r="T985">
        <f t="shared" si="248"/>
        <v>0</v>
      </c>
      <c r="U985">
        <f t="shared" si="249"/>
        <v>0</v>
      </c>
      <c r="V985">
        <f t="shared" si="250"/>
        <v>0</v>
      </c>
      <c r="W985">
        <f t="shared" si="251"/>
        <v>0</v>
      </c>
      <c r="X985">
        <f t="shared" si="252"/>
        <v>0</v>
      </c>
      <c r="Y985">
        <f t="shared" si="253"/>
        <v>0</v>
      </c>
      <c r="Z985">
        <f t="shared" si="254"/>
        <v>0</v>
      </c>
      <c r="AB985">
        <v>981</v>
      </c>
      <c r="AC985">
        <f t="shared" si="255"/>
        <v>33</v>
      </c>
      <c r="AD985">
        <f t="shared" si="245"/>
        <v>0</v>
      </c>
    </row>
    <row r="986" spans="4:30" x14ac:dyDescent="0.25">
      <c r="D986" s="31">
        <f>Simulation_output!A984</f>
        <v>9825000</v>
      </c>
      <c r="E986">
        <f>Sheet2!R983</f>
        <v>0</v>
      </c>
      <c r="F986">
        <f>Sheet2!S983</f>
        <v>0</v>
      </c>
      <c r="G986">
        <f>Sheet2!T983</f>
        <v>0</v>
      </c>
      <c r="H986" s="31">
        <f>Simulation_output!E984</f>
        <v>1</v>
      </c>
      <c r="I986" s="31">
        <f>Simulation_output!F984</f>
        <v>0</v>
      </c>
      <c r="J986" s="31">
        <f>Simulation_output!G984</f>
        <v>0</v>
      </c>
      <c r="K986" s="31">
        <f>Simulation_output!H984</f>
        <v>0</v>
      </c>
      <c r="L986">
        <v>1</v>
      </c>
      <c r="M986">
        <f t="shared" si="259"/>
        <v>0</v>
      </c>
      <c r="N986">
        <f t="shared" si="258"/>
        <v>0</v>
      </c>
      <c r="O986">
        <f t="shared" si="257"/>
        <v>0</v>
      </c>
      <c r="P986">
        <f t="shared" si="260"/>
        <v>0</v>
      </c>
      <c r="Q986">
        <f t="shared" si="256"/>
        <v>0</v>
      </c>
      <c r="R986">
        <f t="shared" si="246"/>
        <v>0</v>
      </c>
      <c r="S986">
        <f t="shared" si="247"/>
        <v>0</v>
      </c>
      <c r="T986">
        <f t="shared" si="248"/>
        <v>0</v>
      </c>
      <c r="U986">
        <f t="shared" si="249"/>
        <v>0</v>
      </c>
      <c r="V986">
        <f t="shared" si="250"/>
        <v>0</v>
      </c>
      <c r="W986">
        <f t="shared" si="251"/>
        <v>0</v>
      </c>
      <c r="X986">
        <f t="shared" si="252"/>
        <v>0</v>
      </c>
      <c r="Y986">
        <f t="shared" si="253"/>
        <v>0</v>
      </c>
      <c r="Z986">
        <f t="shared" si="254"/>
        <v>0</v>
      </c>
      <c r="AB986">
        <v>982</v>
      </c>
      <c r="AC986">
        <f t="shared" si="255"/>
        <v>33</v>
      </c>
      <c r="AD986">
        <f t="shared" si="245"/>
        <v>0</v>
      </c>
    </row>
    <row r="987" spans="4:30" x14ac:dyDescent="0.25">
      <c r="D987" s="31">
        <f>Simulation_output!A985</f>
        <v>9835000</v>
      </c>
      <c r="E987">
        <f>Sheet2!R984</f>
        <v>0</v>
      </c>
      <c r="F987">
        <f>Sheet2!S984</f>
        <v>0</v>
      </c>
      <c r="G987">
        <f>Sheet2!T984</f>
        <v>0</v>
      </c>
      <c r="H987" s="31">
        <f>Simulation_output!E985</f>
        <v>1</v>
      </c>
      <c r="I987" s="31">
        <f>Simulation_output!F985</f>
        <v>0</v>
      </c>
      <c r="J987" s="31">
        <f>Simulation_output!G985</f>
        <v>0</v>
      </c>
      <c r="K987" s="31">
        <f>Simulation_output!H985</f>
        <v>0</v>
      </c>
      <c r="L987">
        <v>1</v>
      </c>
      <c r="M987">
        <f t="shared" si="259"/>
        <v>0</v>
      </c>
      <c r="N987">
        <f t="shared" si="258"/>
        <v>0</v>
      </c>
      <c r="O987">
        <f t="shared" si="257"/>
        <v>0</v>
      </c>
      <c r="P987">
        <f t="shared" si="260"/>
        <v>0</v>
      </c>
      <c r="Q987">
        <f t="shared" si="256"/>
        <v>0</v>
      </c>
      <c r="R987">
        <f t="shared" si="246"/>
        <v>0</v>
      </c>
      <c r="S987">
        <f t="shared" si="247"/>
        <v>0</v>
      </c>
      <c r="T987">
        <f t="shared" si="248"/>
        <v>0</v>
      </c>
      <c r="U987">
        <f t="shared" si="249"/>
        <v>0</v>
      </c>
      <c r="V987">
        <f t="shared" si="250"/>
        <v>0</v>
      </c>
      <c r="W987">
        <f t="shared" si="251"/>
        <v>0</v>
      </c>
      <c r="X987">
        <f t="shared" si="252"/>
        <v>0</v>
      </c>
      <c r="Y987">
        <f t="shared" si="253"/>
        <v>0</v>
      </c>
      <c r="Z987">
        <f t="shared" si="254"/>
        <v>0</v>
      </c>
      <c r="AB987">
        <v>983</v>
      </c>
      <c r="AC987">
        <f t="shared" si="255"/>
        <v>33</v>
      </c>
      <c r="AD987">
        <f t="shared" si="245"/>
        <v>0</v>
      </c>
    </row>
    <row r="988" spans="4:30" x14ac:dyDescent="0.25">
      <c r="D988" s="31">
        <f>Simulation_output!A986</f>
        <v>9845000</v>
      </c>
      <c r="E988">
        <f>Sheet2!R985</f>
        <v>0</v>
      </c>
      <c r="F988">
        <f>Sheet2!S985</f>
        <v>0</v>
      </c>
      <c r="G988">
        <f>Sheet2!T985</f>
        <v>0</v>
      </c>
      <c r="H988" s="31">
        <f>Simulation_output!E986</f>
        <v>1</v>
      </c>
      <c r="I988" s="31">
        <f>Simulation_output!F986</f>
        <v>0</v>
      </c>
      <c r="J988" s="31">
        <f>Simulation_output!G986</f>
        <v>0</v>
      </c>
      <c r="K988" s="31">
        <f>Simulation_output!H986</f>
        <v>0</v>
      </c>
      <c r="L988">
        <v>1</v>
      </c>
      <c r="M988">
        <f t="shared" si="259"/>
        <v>0</v>
      </c>
      <c r="N988">
        <f t="shared" si="258"/>
        <v>0</v>
      </c>
      <c r="O988">
        <f t="shared" si="257"/>
        <v>0</v>
      </c>
      <c r="P988">
        <f t="shared" si="260"/>
        <v>0</v>
      </c>
      <c r="Q988">
        <f t="shared" si="256"/>
        <v>0</v>
      </c>
      <c r="R988">
        <f t="shared" si="246"/>
        <v>0</v>
      </c>
      <c r="S988">
        <f t="shared" si="247"/>
        <v>0</v>
      </c>
      <c r="T988">
        <f t="shared" si="248"/>
        <v>0</v>
      </c>
      <c r="U988">
        <f t="shared" si="249"/>
        <v>0</v>
      </c>
      <c r="V988">
        <f t="shared" si="250"/>
        <v>0</v>
      </c>
      <c r="W988">
        <f t="shared" si="251"/>
        <v>0</v>
      </c>
      <c r="X988">
        <f t="shared" si="252"/>
        <v>0</v>
      </c>
      <c r="Y988">
        <f t="shared" si="253"/>
        <v>0</v>
      </c>
      <c r="Z988">
        <f t="shared" si="254"/>
        <v>0</v>
      </c>
      <c r="AB988">
        <v>984</v>
      </c>
      <c r="AC988">
        <f t="shared" si="255"/>
        <v>33</v>
      </c>
      <c r="AD988">
        <f t="shared" si="245"/>
        <v>0</v>
      </c>
    </row>
    <row r="989" spans="4:30" x14ac:dyDescent="0.25">
      <c r="D989" s="31">
        <f>Simulation_output!A987</f>
        <v>9855000</v>
      </c>
      <c r="E989">
        <f>Sheet2!R986</f>
        <v>0</v>
      </c>
      <c r="F989">
        <f>Sheet2!S986</f>
        <v>0</v>
      </c>
      <c r="G989">
        <f>Sheet2!T986</f>
        <v>0</v>
      </c>
      <c r="H989" s="31">
        <f>Simulation_output!E987</f>
        <v>1</v>
      </c>
      <c r="I989" s="31">
        <f>Simulation_output!F987</f>
        <v>0</v>
      </c>
      <c r="J989" s="31">
        <f>Simulation_output!G987</f>
        <v>0</v>
      </c>
      <c r="K989" s="31">
        <f>Simulation_output!H987</f>
        <v>0</v>
      </c>
      <c r="L989">
        <v>1</v>
      </c>
      <c r="M989">
        <f t="shared" si="259"/>
        <v>0</v>
      </c>
      <c r="N989">
        <f t="shared" si="258"/>
        <v>0</v>
      </c>
      <c r="O989">
        <f t="shared" si="257"/>
        <v>0</v>
      </c>
      <c r="P989">
        <f t="shared" si="260"/>
        <v>0</v>
      </c>
      <c r="Q989">
        <f t="shared" si="256"/>
        <v>0</v>
      </c>
      <c r="R989">
        <f t="shared" si="246"/>
        <v>0</v>
      </c>
      <c r="S989">
        <f t="shared" si="247"/>
        <v>0</v>
      </c>
      <c r="T989">
        <f t="shared" si="248"/>
        <v>0</v>
      </c>
      <c r="U989">
        <f t="shared" si="249"/>
        <v>0</v>
      </c>
      <c r="V989">
        <f t="shared" si="250"/>
        <v>0</v>
      </c>
      <c r="W989">
        <f t="shared" si="251"/>
        <v>0</v>
      </c>
      <c r="X989">
        <f t="shared" si="252"/>
        <v>0</v>
      </c>
      <c r="Y989">
        <f t="shared" si="253"/>
        <v>0</v>
      </c>
      <c r="Z989">
        <f t="shared" si="254"/>
        <v>0</v>
      </c>
      <c r="AB989">
        <v>985</v>
      </c>
      <c r="AC989">
        <f t="shared" si="255"/>
        <v>33</v>
      </c>
      <c r="AD989">
        <f t="shared" si="245"/>
        <v>0</v>
      </c>
    </row>
    <row r="990" spans="4:30" x14ac:dyDescent="0.25">
      <c r="D990" s="31">
        <f>Simulation_output!A988</f>
        <v>9865000</v>
      </c>
      <c r="E990">
        <f>Sheet2!R987</f>
        <v>0</v>
      </c>
      <c r="F990">
        <f>Sheet2!S987</f>
        <v>0</v>
      </c>
      <c r="G990">
        <f>Sheet2!T987</f>
        <v>0</v>
      </c>
      <c r="H990" s="31">
        <f>Simulation_output!E988</f>
        <v>1</v>
      </c>
      <c r="I990" s="31">
        <f>Simulation_output!F988</f>
        <v>0</v>
      </c>
      <c r="J990" s="31">
        <f>Simulation_output!G988</f>
        <v>0</v>
      </c>
      <c r="K990" s="31">
        <f>Simulation_output!H988</f>
        <v>0</v>
      </c>
      <c r="L990">
        <v>1</v>
      </c>
      <c r="M990">
        <f t="shared" si="259"/>
        <v>0</v>
      </c>
      <c r="N990">
        <f t="shared" si="258"/>
        <v>0</v>
      </c>
      <c r="O990">
        <f t="shared" si="257"/>
        <v>0</v>
      </c>
      <c r="P990">
        <f t="shared" si="260"/>
        <v>0</v>
      </c>
      <c r="Q990">
        <f t="shared" si="256"/>
        <v>0</v>
      </c>
      <c r="R990">
        <f t="shared" si="246"/>
        <v>0</v>
      </c>
      <c r="S990">
        <f t="shared" si="247"/>
        <v>0</v>
      </c>
      <c r="T990">
        <f t="shared" si="248"/>
        <v>0</v>
      </c>
      <c r="U990">
        <f t="shared" si="249"/>
        <v>0</v>
      </c>
      <c r="V990">
        <f t="shared" si="250"/>
        <v>0</v>
      </c>
      <c r="W990">
        <f t="shared" si="251"/>
        <v>0</v>
      </c>
      <c r="X990">
        <f t="shared" si="252"/>
        <v>0</v>
      </c>
      <c r="Y990">
        <f t="shared" si="253"/>
        <v>0</v>
      </c>
      <c r="Z990">
        <f t="shared" si="254"/>
        <v>0</v>
      </c>
      <c r="AB990">
        <v>986</v>
      </c>
      <c r="AC990">
        <f t="shared" si="255"/>
        <v>33</v>
      </c>
      <c r="AD990">
        <f t="shared" si="245"/>
        <v>0</v>
      </c>
    </row>
    <row r="991" spans="4:30" x14ac:dyDescent="0.25">
      <c r="D991" s="31">
        <f>Simulation_output!A989</f>
        <v>9875000</v>
      </c>
      <c r="E991">
        <f>Sheet2!R988</f>
        <v>0</v>
      </c>
      <c r="F991">
        <f>Sheet2!S988</f>
        <v>0</v>
      </c>
      <c r="G991">
        <f>Sheet2!T988</f>
        <v>0</v>
      </c>
      <c r="H991" s="31">
        <f>Simulation_output!E989</f>
        <v>1</v>
      </c>
      <c r="I991" s="31">
        <f>Simulation_output!F989</f>
        <v>0</v>
      </c>
      <c r="J991" s="31">
        <f>Simulation_output!G989</f>
        <v>0</v>
      </c>
      <c r="K991" s="31">
        <f>Simulation_output!H989</f>
        <v>0</v>
      </c>
      <c r="L991">
        <v>1</v>
      </c>
      <c r="M991">
        <f t="shared" si="259"/>
        <v>0</v>
      </c>
      <c r="N991">
        <f t="shared" si="258"/>
        <v>0</v>
      </c>
      <c r="O991">
        <f t="shared" si="257"/>
        <v>0</v>
      </c>
      <c r="P991">
        <f t="shared" si="260"/>
        <v>0</v>
      </c>
      <c r="Q991">
        <f t="shared" si="256"/>
        <v>0</v>
      </c>
      <c r="R991">
        <f t="shared" si="246"/>
        <v>0</v>
      </c>
      <c r="S991">
        <f t="shared" si="247"/>
        <v>0</v>
      </c>
      <c r="T991">
        <f t="shared" si="248"/>
        <v>0</v>
      </c>
      <c r="U991">
        <f t="shared" si="249"/>
        <v>0</v>
      </c>
      <c r="V991">
        <f t="shared" si="250"/>
        <v>0</v>
      </c>
      <c r="W991">
        <f t="shared" si="251"/>
        <v>0</v>
      </c>
      <c r="X991">
        <f t="shared" si="252"/>
        <v>0</v>
      </c>
      <c r="Y991">
        <f t="shared" si="253"/>
        <v>0</v>
      </c>
      <c r="Z991">
        <f t="shared" si="254"/>
        <v>0</v>
      </c>
      <c r="AB991">
        <v>987</v>
      </c>
      <c r="AC991">
        <f t="shared" si="255"/>
        <v>33</v>
      </c>
      <c r="AD991">
        <f t="shared" si="245"/>
        <v>0</v>
      </c>
    </row>
    <row r="992" spans="4:30" x14ac:dyDescent="0.25">
      <c r="D992" s="31">
        <f>Simulation_output!A990</f>
        <v>9885000</v>
      </c>
      <c r="E992">
        <f>Sheet2!R989</f>
        <v>0</v>
      </c>
      <c r="F992">
        <f>Sheet2!S989</f>
        <v>0</v>
      </c>
      <c r="G992">
        <f>Sheet2!T989</f>
        <v>0</v>
      </c>
      <c r="H992" s="31">
        <f>Simulation_output!E990</f>
        <v>1</v>
      </c>
      <c r="I992" s="31">
        <f>Simulation_output!F990</f>
        <v>0</v>
      </c>
      <c r="J992" s="31">
        <f>Simulation_output!G990</f>
        <v>0</v>
      </c>
      <c r="K992" s="31">
        <f>Simulation_output!H990</f>
        <v>0</v>
      </c>
      <c r="L992">
        <v>1</v>
      </c>
      <c r="M992">
        <f t="shared" si="259"/>
        <v>0</v>
      </c>
      <c r="N992">
        <f t="shared" si="258"/>
        <v>0</v>
      </c>
      <c r="O992">
        <f t="shared" si="257"/>
        <v>0</v>
      </c>
      <c r="P992">
        <f t="shared" si="260"/>
        <v>0</v>
      </c>
      <c r="Q992">
        <f t="shared" si="256"/>
        <v>0</v>
      </c>
      <c r="R992">
        <f t="shared" si="246"/>
        <v>0</v>
      </c>
      <c r="S992">
        <f t="shared" si="247"/>
        <v>0</v>
      </c>
      <c r="T992">
        <f t="shared" si="248"/>
        <v>0</v>
      </c>
      <c r="U992">
        <f t="shared" si="249"/>
        <v>0</v>
      </c>
      <c r="V992">
        <f t="shared" si="250"/>
        <v>0</v>
      </c>
      <c r="W992">
        <f t="shared" si="251"/>
        <v>0</v>
      </c>
      <c r="X992">
        <f t="shared" si="252"/>
        <v>0</v>
      </c>
      <c r="Y992">
        <f t="shared" si="253"/>
        <v>0</v>
      </c>
      <c r="Z992">
        <f t="shared" si="254"/>
        <v>0</v>
      </c>
      <c r="AB992">
        <v>988</v>
      </c>
      <c r="AC992">
        <f t="shared" si="255"/>
        <v>33</v>
      </c>
      <c r="AD992">
        <f t="shared" si="245"/>
        <v>0</v>
      </c>
    </row>
    <row r="993" spans="4:30" x14ac:dyDescent="0.25">
      <c r="D993" s="31">
        <f>Simulation_output!A991</f>
        <v>9895000</v>
      </c>
      <c r="E993">
        <f>Sheet2!R990</f>
        <v>0</v>
      </c>
      <c r="F993">
        <f>Sheet2!S990</f>
        <v>0</v>
      </c>
      <c r="G993">
        <f>Sheet2!T990</f>
        <v>0</v>
      </c>
      <c r="H993" s="31">
        <f>Simulation_output!E991</f>
        <v>1</v>
      </c>
      <c r="I993" s="31">
        <f>Simulation_output!F991</f>
        <v>0</v>
      </c>
      <c r="J993" s="31">
        <f>Simulation_output!G991</f>
        <v>0</v>
      </c>
      <c r="K993" s="31">
        <f>Simulation_output!H991</f>
        <v>0</v>
      </c>
      <c r="L993">
        <v>1</v>
      </c>
      <c r="M993">
        <f t="shared" si="259"/>
        <v>0</v>
      </c>
      <c r="N993">
        <f t="shared" si="258"/>
        <v>0</v>
      </c>
      <c r="O993">
        <f t="shared" si="257"/>
        <v>0</v>
      </c>
      <c r="P993">
        <f t="shared" si="260"/>
        <v>0</v>
      </c>
      <c r="Q993">
        <f t="shared" si="256"/>
        <v>0</v>
      </c>
      <c r="R993">
        <f t="shared" si="246"/>
        <v>0</v>
      </c>
      <c r="S993">
        <f t="shared" si="247"/>
        <v>0</v>
      </c>
      <c r="T993">
        <f t="shared" si="248"/>
        <v>0</v>
      </c>
      <c r="U993">
        <f t="shared" si="249"/>
        <v>0</v>
      </c>
      <c r="V993">
        <f t="shared" si="250"/>
        <v>0</v>
      </c>
      <c r="W993">
        <f t="shared" si="251"/>
        <v>0</v>
      </c>
      <c r="X993">
        <f t="shared" si="252"/>
        <v>0</v>
      </c>
      <c r="Y993">
        <f t="shared" si="253"/>
        <v>0</v>
      </c>
      <c r="Z993">
        <f t="shared" si="254"/>
        <v>0</v>
      </c>
      <c r="AB993">
        <v>989</v>
      </c>
      <c r="AC993">
        <f t="shared" si="255"/>
        <v>33</v>
      </c>
      <c r="AD993">
        <f t="shared" si="245"/>
        <v>0</v>
      </c>
    </row>
    <row r="994" spans="4:30" x14ac:dyDescent="0.25">
      <c r="D994" s="31">
        <f>Simulation_output!A992</f>
        <v>9905000</v>
      </c>
      <c r="E994">
        <f>Sheet2!R991</f>
        <v>0</v>
      </c>
      <c r="F994">
        <f>Sheet2!S991</f>
        <v>0</v>
      </c>
      <c r="G994">
        <f>Sheet2!T991</f>
        <v>0</v>
      </c>
      <c r="H994" s="31">
        <f>Simulation_output!E992</f>
        <v>1</v>
      </c>
      <c r="I994" s="31">
        <f>Simulation_output!F992</f>
        <v>0</v>
      </c>
      <c r="J994" s="31">
        <f>Simulation_output!G992</f>
        <v>0</v>
      </c>
      <c r="K994" s="31">
        <f>Simulation_output!H992</f>
        <v>0</v>
      </c>
      <c r="L994">
        <v>1</v>
      </c>
      <c r="M994">
        <f t="shared" si="259"/>
        <v>0</v>
      </c>
      <c r="N994">
        <f t="shared" si="258"/>
        <v>0</v>
      </c>
      <c r="O994">
        <f t="shared" si="257"/>
        <v>0</v>
      </c>
      <c r="P994">
        <f t="shared" si="260"/>
        <v>0</v>
      </c>
      <c r="Q994">
        <f t="shared" si="256"/>
        <v>0</v>
      </c>
      <c r="R994">
        <f t="shared" si="246"/>
        <v>0</v>
      </c>
      <c r="S994">
        <f t="shared" si="247"/>
        <v>0</v>
      </c>
      <c r="T994">
        <f t="shared" si="248"/>
        <v>0</v>
      </c>
      <c r="U994">
        <f t="shared" si="249"/>
        <v>0</v>
      </c>
      <c r="V994">
        <f t="shared" si="250"/>
        <v>0</v>
      </c>
      <c r="W994">
        <f t="shared" si="251"/>
        <v>0</v>
      </c>
      <c r="X994">
        <f t="shared" si="252"/>
        <v>0</v>
      </c>
      <c r="Y994">
        <f t="shared" si="253"/>
        <v>0</v>
      </c>
      <c r="Z994">
        <f t="shared" si="254"/>
        <v>0</v>
      </c>
      <c r="AB994">
        <v>990</v>
      </c>
      <c r="AC994">
        <f t="shared" si="255"/>
        <v>33</v>
      </c>
      <c r="AD994">
        <f t="shared" si="245"/>
        <v>0</v>
      </c>
    </row>
    <row r="995" spans="4:30" x14ac:dyDescent="0.25">
      <c r="D995" s="31">
        <f>Simulation_output!A993</f>
        <v>9915000</v>
      </c>
      <c r="E995">
        <f>Sheet2!R992</f>
        <v>0</v>
      </c>
      <c r="F995">
        <f>Sheet2!S992</f>
        <v>0</v>
      </c>
      <c r="G995">
        <f>Sheet2!T992</f>
        <v>0</v>
      </c>
      <c r="H995" s="31">
        <f>Simulation_output!E993</f>
        <v>1</v>
      </c>
      <c r="I995" s="31">
        <f>Simulation_output!F993</f>
        <v>0</v>
      </c>
      <c r="J995" s="31">
        <f>Simulation_output!G993</f>
        <v>0</v>
      </c>
      <c r="K995" s="31">
        <f>Simulation_output!H993</f>
        <v>0</v>
      </c>
      <c r="L995">
        <v>1</v>
      </c>
      <c r="M995">
        <f t="shared" si="259"/>
        <v>0</v>
      </c>
      <c r="N995">
        <f t="shared" si="258"/>
        <v>0</v>
      </c>
      <c r="O995">
        <f t="shared" si="257"/>
        <v>0</v>
      </c>
      <c r="P995">
        <f t="shared" si="260"/>
        <v>0</v>
      </c>
      <c r="Q995">
        <f t="shared" si="256"/>
        <v>0</v>
      </c>
      <c r="R995">
        <f t="shared" si="246"/>
        <v>0</v>
      </c>
      <c r="S995">
        <f t="shared" si="247"/>
        <v>0</v>
      </c>
      <c r="T995">
        <f t="shared" si="248"/>
        <v>0</v>
      </c>
      <c r="U995">
        <f t="shared" si="249"/>
        <v>0</v>
      </c>
      <c r="V995">
        <f t="shared" si="250"/>
        <v>0</v>
      </c>
      <c r="W995">
        <f t="shared" si="251"/>
        <v>0</v>
      </c>
      <c r="X995">
        <f t="shared" si="252"/>
        <v>0</v>
      </c>
      <c r="Y995">
        <f t="shared" si="253"/>
        <v>0</v>
      </c>
      <c r="Z995">
        <f t="shared" si="254"/>
        <v>0</v>
      </c>
      <c r="AB995">
        <v>991</v>
      </c>
      <c r="AC995">
        <f t="shared" si="255"/>
        <v>33</v>
      </c>
      <c r="AD995">
        <f t="shared" si="245"/>
        <v>0</v>
      </c>
    </row>
    <row r="996" spans="4:30" x14ac:dyDescent="0.25">
      <c r="D996" s="31">
        <f>Simulation_output!A994</f>
        <v>9925000</v>
      </c>
      <c r="E996">
        <f>Sheet2!R993</f>
        <v>0</v>
      </c>
      <c r="F996">
        <f>Sheet2!S993</f>
        <v>0</v>
      </c>
      <c r="G996">
        <f>Sheet2!T993</f>
        <v>0</v>
      </c>
      <c r="H996" s="31">
        <f>Simulation_output!E994</f>
        <v>1</v>
      </c>
      <c r="I996" s="31">
        <f>Simulation_output!F994</f>
        <v>0</v>
      </c>
      <c r="J996" s="31">
        <f>Simulation_output!G994</f>
        <v>0</v>
      </c>
      <c r="K996" s="31">
        <f>Simulation_output!H994</f>
        <v>0</v>
      </c>
      <c r="L996">
        <v>1</v>
      </c>
      <c r="M996">
        <f t="shared" si="259"/>
        <v>0</v>
      </c>
      <c r="N996">
        <f t="shared" si="258"/>
        <v>0</v>
      </c>
      <c r="O996">
        <f t="shared" si="257"/>
        <v>0</v>
      </c>
      <c r="P996">
        <f t="shared" si="260"/>
        <v>0</v>
      </c>
      <c r="Q996">
        <f t="shared" si="256"/>
        <v>0</v>
      </c>
      <c r="R996">
        <f t="shared" si="246"/>
        <v>0</v>
      </c>
      <c r="S996">
        <f t="shared" si="247"/>
        <v>0</v>
      </c>
      <c r="T996">
        <f t="shared" si="248"/>
        <v>0</v>
      </c>
      <c r="U996">
        <f t="shared" si="249"/>
        <v>0</v>
      </c>
      <c r="V996">
        <f t="shared" si="250"/>
        <v>0</v>
      </c>
      <c r="W996">
        <f t="shared" si="251"/>
        <v>0</v>
      </c>
      <c r="X996">
        <f t="shared" si="252"/>
        <v>0</v>
      </c>
      <c r="Y996">
        <f t="shared" si="253"/>
        <v>0</v>
      </c>
      <c r="Z996">
        <f t="shared" si="254"/>
        <v>0</v>
      </c>
      <c r="AB996">
        <v>992</v>
      </c>
      <c r="AC996">
        <f t="shared" si="255"/>
        <v>33</v>
      </c>
      <c r="AD996">
        <f t="shared" si="245"/>
        <v>0</v>
      </c>
    </row>
    <row r="997" spans="4:30" x14ac:dyDescent="0.25">
      <c r="D997" s="31">
        <f>Simulation_output!A995</f>
        <v>9935000</v>
      </c>
      <c r="E997">
        <f>Sheet2!R994</f>
        <v>0</v>
      </c>
      <c r="F997">
        <f>Sheet2!S994</f>
        <v>0</v>
      </c>
      <c r="G997">
        <f>Sheet2!T994</f>
        <v>0</v>
      </c>
      <c r="H997" s="31">
        <f>Simulation_output!E995</f>
        <v>1</v>
      </c>
      <c r="I997" s="31">
        <f>Simulation_output!F995</f>
        <v>0</v>
      </c>
      <c r="J997" s="31">
        <f>Simulation_output!G995</f>
        <v>0</v>
      </c>
      <c r="K997" s="31">
        <f>Simulation_output!H995</f>
        <v>0</v>
      </c>
      <c r="L997">
        <v>1</v>
      </c>
      <c r="M997">
        <f t="shared" si="259"/>
        <v>0</v>
      </c>
      <c r="N997">
        <f t="shared" si="258"/>
        <v>0</v>
      </c>
      <c r="O997">
        <f t="shared" si="257"/>
        <v>0</v>
      </c>
      <c r="P997">
        <f t="shared" si="260"/>
        <v>0</v>
      </c>
      <c r="Q997">
        <f t="shared" si="256"/>
        <v>0</v>
      </c>
      <c r="R997">
        <f t="shared" si="246"/>
        <v>0</v>
      </c>
      <c r="S997">
        <f t="shared" si="247"/>
        <v>0</v>
      </c>
      <c r="T997">
        <f t="shared" si="248"/>
        <v>0</v>
      </c>
      <c r="U997">
        <f t="shared" si="249"/>
        <v>0</v>
      </c>
      <c r="V997">
        <f t="shared" si="250"/>
        <v>0</v>
      </c>
      <c r="W997">
        <f t="shared" si="251"/>
        <v>0</v>
      </c>
      <c r="X997">
        <f t="shared" si="252"/>
        <v>0</v>
      </c>
      <c r="Y997">
        <f t="shared" si="253"/>
        <v>0</v>
      </c>
      <c r="Z997">
        <f t="shared" si="254"/>
        <v>0</v>
      </c>
      <c r="AB997">
        <v>993</v>
      </c>
      <c r="AC997">
        <f t="shared" si="255"/>
        <v>33</v>
      </c>
      <c r="AD997">
        <f t="shared" si="245"/>
        <v>0</v>
      </c>
    </row>
    <row r="998" spans="4:30" x14ac:dyDescent="0.25">
      <c r="D998" s="31">
        <f>Simulation_output!A996</f>
        <v>9945000</v>
      </c>
      <c r="E998">
        <f>Sheet2!R995</f>
        <v>0</v>
      </c>
      <c r="F998">
        <f>Sheet2!S995</f>
        <v>0</v>
      </c>
      <c r="G998">
        <f>Sheet2!T995</f>
        <v>0</v>
      </c>
      <c r="H998" s="31">
        <f>Simulation_output!E996</f>
        <v>1</v>
      </c>
      <c r="I998" s="31">
        <f>Simulation_output!F996</f>
        <v>0</v>
      </c>
      <c r="J998" s="31">
        <f>Simulation_output!G996</f>
        <v>0</v>
      </c>
      <c r="K998" s="31">
        <f>Simulation_output!H996</f>
        <v>0</v>
      </c>
      <c r="L998">
        <v>1</v>
      </c>
      <c r="M998">
        <f t="shared" si="259"/>
        <v>0</v>
      </c>
      <c r="N998">
        <f t="shared" si="258"/>
        <v>0</v>
      </c>
      <c r="O998">
        <f t="shared" si="257"/>
        <v>0</v>
      </c>
      <c r="P998">
        <f t="shared" si="260"/>
        <v>0</v>
      </c>
      <c r="Q998">
        <f t="shared" si="256"/>
        <v>0</v>
      </c>
      <c r="R998">
        <f t="shared" si="246"/>
        <v>0</v>
      </c>
      <c r="S998">
        <f t="shared" si="247"/>
        <v>0</v>
      </c>
      <c r="T998">
        <f t="shared" si="248"/>
        <v>0</v>
      </c>
      <c r="U998">
        <f t="shared" si="249"/>
        <v>0</v>
      </c>
      <c r="V998">
        <f t="shared" si="250"/>
        <v>0</v>
      </c>
      <c r="W998">
        <f t="shared" si="251"/>
        <v>0</v>
      </c>
      <c r="X998">
        <f t="shared" si="252"/>
        <v>0</v>
      </c>
      <c r="Y998">
        <f t="shared" si="253"/>
        <v>0</v>
      </c>
      <c r="Z998">
        <f t="shared" si="254"/>
        <v>0</v>
      </c>
      <c r="AB998">
        <v>994</v>
      </c>
      <c r="AC998">
        <f t="shared" si="255"/>
        <v>33</v>
      </c>
      <c r="AD998">
        <f t="shared" si="245"/>
        <v>0</v>
      </c>
    </row>
    <row r="999" spans="4:30" x14ac:dyDescent="0.25">
      <c r="D999" s="31">
        <f>Simulation_output!A997</f>
        <v>9955000</v>
      </c>
      <c r="E999">
        <f>Sheet2!R996</f>
        <v>0</v>
      </c>
      <c r="F999">
        <f>Sheet2!S996</f>
        <v>0</v>
      </c>
      <c r="G999">
        <f>Sheet2!T996</f>
        <v>0</v>
      </c>
      <c r="H999" s="31">
        <f>Simulation_output!E997</f>
        <v>1</v>
      </c>
      <c r="I999" s="31">
        <f>Simulation_output!F997</f>
        <v>0</v>
      </c>
      <c r="J999" s="31">
        <f>Simulation_output!G997</f>
        <v>0</v>
      </c>
      <c r="K999" s="31">
        <f>Simulation_output!H997</f>
        <v>0</v>
      </c>
      <c r="L999">
        <v>1</v>
      </c>
      <c r="M999">
        <f t="shared" si="259"/>
        <v>0</v>
      </c>
      <c r="N999">
        <f t="shared" si="258"/>
        <v>0</v>
      </c>
      <c r="O999">
        <f t="shared" si="257"/>
        <v>0</v>
      </c>
      <c r="P999">
        <f t="shared" si="260"/>
        <v>0</v>
      </c>
      <c r="Q999">
        <f t="shared" si="256"/>
        <v>0</v>
      </c>
      <c r="R999">
        <f t="shared" si="246"/>
        <v>0</v>
      </c>
      <c r="S999">
        <f t="shared" si="247"/>
        <v>0</v>
      </c>
      <c r="T999">
        <f t="shared" si="248"/>
        <v>0</v>
      </c>
      <c r="U999">
        <f t="shared" si="249"/>
        <v>0</v>
      </c>
      <c r="V999">
        <f t="shared" si="250"/>
        <v>0</v>
      </c>
      <c r="W999">
        <f t="shared" si="251"/>
        <v>0</v>
      </c>
      <c r="X999">
        <f t="shared" si="252"/>
        <v>0</v>
      </c>
      <c r="Y999">
        <f t="shared" si="253"/>
        <v>0</v>
      </c>
      <c r="Z999">
        <f t="shared" si="254"/>
        <v>0</v>
      </c>
      <c r="AB999">
        <v>995</v>
      </c>
      <c r="AC999">
        <f t="shared" si="255"/>
        <v>33</v>
      </c>
      <c r="AD999">
        <f t="shared" si="245"/>
        <v>0</v>
      </c>
    </row>
    <row r="1000" spans="4:30" x14ac:dyDescent="0.25">
      <c r="D1000" s="31">
        <f>Simulation_output!A998</f>
        <v>9965000</v>
      </c>
      <c r="E1000">
        <f>Sheet2!R997</f>
        <v>0</v>
      </c>
      <c r="F1000">
        <f>Sheet2!S997</f>
        <v>0</v>
      </c>
      <c r="G1000">
        <f>Sheet2!T997</f>
        <v>0</v>
      </c>
      <c r="H1000" s="31">
        <f>Simulation_output!E998</f>
        <v>1</v>
      </c>
      <c r="I1000" s="31">
        <f>Simulation_output!F998</f>
        <v>0</v>
      </c>
      <c r="J1000" s="31">
        <f>Simulation_output!G998</f>
        <v>0</v>
      </c>
      <c r="K1000" s="31">
        <f>Simulation_output!H998</f>
        <v>0</v>
      </c>
      <c r="L1000">
        <v>1</v>
      </c>
      <c r="M1000">
        <f t="shared" si="259"/>
        <v>0</v>
      </c>
      <c r="N1000">
        <f t="shared" si="258"/>
        <v>0</v>
      </c>
      <c r="O1000">
        <f t="shared" si="257"/>
        <v>0</v>
      </c>
      <c r="P1000">
        <f t="shared" si="260"/>
        <v>0</v>
      </c>
      <c r="Q1000">
        <f t="shared" si="256"/>
        <v>0</v>
      </c>
      <c r="R1000">
        <f t="shared" si="246"/>
        <v>0</v>
      </c>
      <c r="S1000">
        <f t="shared" si="247"/>
        <v>0</v>
      </c>
      <c r="T1000">
        <f t="shared" si="248"/>
        <v>0</v>
      </c>
      <c r="U1000">
        <f t="shared" si="249"/>
        <v>0</v>
      </c>
      <c r="V1000">
        <f t="shared" si="250"/>
        <v>0</v>
      </c>
      <c r="W1000">
        <f t="shared" si="251"/>
        <v>0</v>
      </c>
      <c r="X1000">
        <f t="shared" si="252"/>
        <v>0</v>
      </c>
      <c r="Y1000">
        <f t="shared" si="253"/>
        <v>0</v>
      </c>
      <c r="Z1000">
        <f t="shared" si="254"/>
        <v>0</v>
      </c>
      <c r="AB1000">
        <v>996</v>
      </c>
      <c r="AC1000">
        <f t="shared" si="255"/>
        <v>33</v>
      </c>
      <c r="AD1000">
        <f t="shared" si="245"/>
        <v>0</v>
      </c>
    </row>
    <row r="1001" spans="4:30" x14ac:dyDescent="0.25">
      <c r="D1001" s="31">
        <f>Simulation_output!A999</f>
        <v>9975000</v>
      </c>
      <c r="E1001">
        <f>Sheet2!R998</f>
        <v>0</v>
      </c>
      <c r="F1001">
        <f>Sheet2!S998</f>
        <v>0</v>
      </c>
      <c r="G1001">
        <f>Sheet2!T998</f>
        <v>0</v>
      </c>
      <c r="H1001" s="31">
        <f>Simulation_output!E999</f>
        <v>1</v>
      </c>
      <c r="I1001" s="31">
        <f>Simulation_output!F999</f>
        <v>0</v>
      </c>
      <c r="J1001" s="31">
        <f>Simulation_output!G999</f>
        <v>0</v>
      </c>
      <c r="K1001" s="31">
        <f>Simulation_output!H999</f>
        <v>0</v>
      </c>
      <c r="L1001">
        <v>1</v>
      </c>
      <c r="M1001">
        <f t="shared" si="259"/>
        <v>0</v>
      </c>
      <c r="N1001">
        <f t="shared" si="258"/>
        <v>0</v>
      </c>
      <c r="O1001">
        <f t="shared" si="257"/>
        <v>0</v>
      </c>
      <c r="P1001">
        <f t="shared" si="260"/>
        <v>0</v>
      </c>
      <c r="Q1001">
        <f t="shared" si="256"/>
        <v>0</v>
      </c>
      <c r="R1001">
        <f t="shared" si="246"/>
        <v>0</v>
      </c>
      <c r="S1001">
        <f t="shared" si="247"/>
        <v>0</v>
      </c>
      <c r="T1001">
        <f t="shared" si="248"/>
        <v>0</v>
      </c>
      <c r="U1001">
        <f t="shared" si="249"/>
        <v>0</v>
      </c>
      <c r="V1001">
        <f t="shared" si="250"/>
        <v>0</v>
      </c>
      <c r="W1001">
        <f t="shared" si="251"/>
        <v>0</v>
      </c>
      <c r="X1001">
        <f t="shared" si="252"/>
        <v>0</v>
      </c>
      <c r="Y1001">
        <f t="shared" si="253"/>
        <v>0</v>
      </c>
      <c r="Z1001">
        <f t="shared" si="254"/>
        <v>0</v>
      </c>
      <c r="AB1001">
        <v>997</v>
      </c>
      <c r="AC1001">
        <f t="shared" si="255"/>
        <v>33</v>
      </c>
      <c r="AD1001">
        <f t="shared" si="245"/>
        <v>0</v>
      </c>
    </row>
    <row r="1002" spans="4:30" x14ac:dyDescent="0.25">
      <c r="D1002" s="31">
        <f>Simulation_output!A1000</f>
        <v>9985000</v>
      </c>
      <c r="E1002">
        <f>Sheet2!R999</f>
        <v>0</v>
      </c>
      <c r="F1002">
        <f>Sheet2!S999</f>
        <v>0</v>
      </c>
      <c r="G1002">
        <f>Sheet2!T999</f>
        <v>0</v>
      </c>
      <c r="H1002" s="31">
        <f>Simulation_output!E1000</f>
        <v>1</v>
      </c>
      <c r="I1002" s="31">
        <f>Simulation_output!F1000</f>
        <v>0</v>
      </c>
      <c r="J1002" s="31">
        <f>Simulation_output!G1000</f>
        <v>0</v>
      </c>
      <c r="K1002" s="31">
        <f>Simulation_output!H1000</f>
        <v>0</v>
      </c>
      <c r="L1002">
        <v>1</v>
      </c>
      <c r="M1002">
        <f t="shared" si="259"/>
        <v>0</v>
      </c>
      <c r="N1002">
        <f t="shared" si="258"/>
        <v>0</v>
      </c>
      <c r="O1002">
        <f t="shared" si="257"/>
        <v>0</v>
      </c>
      <c r="P1002">
        <f t="shared" si="260"/>
        <v>0</v>
      </c>
      <c r="Q1002">
        <f t="shared" si="256"/>
        <v>0</v>
      </c>
      <c r="R1002">
        <f t="shared" si="246"/>
        <v>0</v>
      </c>
      <c r="S1002">
        <f t="shared" si="247"/>
        <v>0</v>
      </c>
      <c r="T1002">
        <f t="shared" si="248"/>
        <v>0</v>
      </c>
      <c r="U1002">
        <f t="shared" si="249"/>
        <v>0</v>
      </c>
      <c r="V1002">
        <f t="shared" si="250"/>
        <v>0</v>
      </c>
      <c r="W1002">
        <f t="shared" si="251"/>
        <v>0</v>
      </c>
      <c r="X1002">
        <f t="shared" si="252"/>
        <v>0</v>
      </c>
      <c r="Y1002">
        <f t="shared" si="253"/>
        <v>0</v>
      </c>
      <c r="Z1002">
        <f t="shared" si="254"/>
        <v>0</v>
      </c>
      <c r="AB1002">
        <v>998</v>
      </c>
      <c r="AC1002">
        <f t="shared" si="255"/>
        <v>33</v>
      </c>
      <c r="AD1002">
        <f t="shared" si="245"/>
        <v>0</v>
      </c>
    </row>
    <row r="1003" spans="4:30" x14ac:dyDescent="0.25">
      <c r="D1003" s="31">
        <f>Simulation_output!A1001</f>
        <v>9995000</v>
      </c>
      <c r="E1003">
        <f>Sheet2!R1000</f>
        <v>0</v>
      </c>
      <c r="F1003">
        <f>Sheet2!S1000</f>
        <v>0</v>
      </c>
      <c r="G1003">
        <f>Sheet2!T1000</f>
        <v>0</v>
      </c>
      <c r="H1003" s="31">
        <f>Simulation_output!E1001</f>
        <v>1</v>
      </c>
      <c r="I1003" s="31">
        <f>Simulation_output!F1001</f>
        <v>0</v>
      </c>
      <c r="J1003" s="31">
        <f>Simulation_output!G1001</f>
        <v>0</v>
      </c>
      <c r="K1003" s="31">
        <f>Simulation_output!H1001</f>
        <v>0</v>
      </c>
      <c r="L1003">
        <v>1</v>
      </c>
      <c r="M1003">
        <f t="shared" si="259"/>
        <v>0</v>
      </c>
      <c r="N1003">
        <f t="shared" si="258"/>
        <v>0</v>
      </c>
      <c r="O1003">
        <f t="shared" si="257"/>
        <v>0</v>
      </c>
      <c r="P1003">
        <f t="shared" si="260"/>
        <v>0</v>
      </c>
      <c r="Q1003">
        <f t="shared" si="256"/>
        <v>0</v>
      </c>
      <c r="R1003">
        <f t="shared" si="246"/>
        <v>0</v>
      </c>
      <c r="S1003">
        <f t="shared" si="247"/>
        <v>0</v>
      </c>
      <c r="T1003">
        <f t="shared" si="248"/>
        <v>0</v>
      </c>
      <c r="U1003">
        <f t="shared" si="249"/>
        <v>0</v>
      </c>
      <c r="V1003">
        <f t="shared" si="250"/>
        <v>0</v>
      </c>
      <c r="W1003">
        <f t="shared" si="251"/>
        <v>0</v>
      </c>
      <c r="X1003">
        <f t="shared" si="252"/>
        <v>0</v>
      </c>
      <c r="Y1003">
        <f t="shared" si="253"/>
        <v>0</v>
      </c>
      <c r="Z1003">
        <f t="shared" si="254"/>
        <v>0</v>
      </c>
      <c r="AB1003">
        <v>999</v>
      </c>
      <c r="AC1003">
        <f t="shared" si="255"/>
        <v>33</v>
      </c>
      <c r="AD1003">
        <f t="shared" si="245"/>
        <v>0</v>
      </c>
    </row>
  </sheetData>
  <conditionalFormatting sqref="D2:D128 E4:F9 A6:K6 A12 C7:K7 B16:D16 H8:K21 A17:D21 C5:K5 G1004:G1005 R14:V69 M5:V21 AA1:AY2 L5:Q1003 C8:G9 C10:D15 C1:V4 AA6:AA21 AE6:AY21 AA4:AY5 AB6:AD1003">
    <cfRule type="cellIs" dxfId="130" priority="396" operator="greaterThan">
      <formula>0</formula>
    </cfRule>
  </conditionalFormatting>
  <conditionalFormatting sqref="E2:K2">
    <cfRule type="cellIs" dxfId="129" priority="381" operator="greaterThan">
      <formula>0</formula>
    </cfRule>
  </conditionalFormatting>
  <conditionalFormatting sqref="D2:K3 D1006:K1052 H1004:K1005 D1004:F1005 D4:F9 D10:D1003">
    <cfRule type="cellIs" dxfId="128" priority="373" operator="greaterThan">
      <formula>0</formula>
    </cfRule>
  </conditionalFormatting>
  <conditionalFormatting sqref="M1:N3 M1004:N1048576">
    <cfRule type="cellIs" dxfId="127" priority="372" operator="greaterThan">
      <formula>0</formula>
    </cfRule>
  </conditionalFormatting>
  <conditionalFormatting sqref="L1:L3 L1004:L1048576">
    <cfRule type="cellIs" dxfId="126" priority="371" operator="greaterThan">
      <formula>0</formula>
    </cfRule>
  </conditionalFormatting>
  <conditionalFormatting sqref="AI5:AJ994 AH5:AH1003 AG9:AG1003 AN4:AN1003 AA4:AM4 AO4:DY4 AR5:AZ994 AK5:AQ1003 D2:V3 BB3:DY3 BD5:DY994 BA5:BC1003 AA2:DY2 D10:D994 D4:F9 AA6:AA994 AE6:AG8 AE9:AF994 AA5:AG5 AB6:AD1003">
    <cfRule type="cellIs" dxfId="125" priority="370" operator="greaterThan">
      <formula>0</formula>
    </cfRule>
  </conditionalFormatting>
  <conditionalFormatting sqref="AM4:AM1003">
    <cfRule type="cellIs" dxfId="124" priority="369" operator="greaterThan">
      <formula>0</formula>
    </cfRule>
  </conditionalFormatting>
  <conditionalFormatting sqref="V4:V1003">
    <cfRule type="cellIs" dxfId="123" priority="326" operator="greaterThan">
      <formula>0</formula>
    </cfRule>
  </conditionalFormatting>
  <conditionalFormatting sqref="V4:V1003">
    <cfRule type="cellIs" dxfId="122" priority="325" operator="greaterThan">
      <formula>0</formula>
    </cfRule>
  </conditionalFormatting>
  <conditionalFormatting sqref="V4:V1003">
    <cfRule type="cellIs" dxfId="121" priority="324" operator="greaterThan">
      <formula>0</formula>
    </cfRule>
  </conditionalFormatting>
  <conditionalFormatting sqref="H8:K1003 G5:K7 G4:U4 L5:U1003 G8:G9 G1004:G1005">
    <cfRule type="cellIs" dxfId="120" priority="323" operator="greaterThan">
      <formula>0</formula>
    </cfRule>
  </conditionalFormatting>
  <conditionalFormatting sqref="H8:K1003 G5:K7 G4:U4 L5:U1003 G8:G9 G1004:G1005">
    <cfRule type="cellIs" dxfId="119" priority="322" operator="greaterThan">
      <formula>0</formula>
    </cfRule>
  </conditionalFormatting>
  <conditionalFormatting sqref="H8:K1003 G5:K7 G4:U4 L5:U1003 G8:G9 G1004:G1005">
    <cfRule type="cellIs" dxfId="118" priority="321" operator="greaterThan">
      <formula>0</formula>
    </cfRule>
  </conditionalFormatting>
  <conditionalFormatting sqref="A1006:V10003 H1004:V1005 C22:D26 H22:K1003 A1004:F1005 A27:D1003 M22:V1003 AA1004:AY10003 AA22:AA1003 AE22:AY1003">
    <cfRule type="cellIs" dxfId="117" priority="320" operator="greaterThan">
      <formula>0</formula>
    </cfRule>
  </conditionalFormatting>
  <conditionalFormatting sqref="AX1:AZ2 AX4:AZ1048576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2 AG4:AG1048576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Q2 AN4:AQ1048576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2 AM4:AM1048576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:AT1048576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68:P1003">
    <cfRule type="cellIs" dxfId="116" priority="259" operator="greaterThan">
      <formula>0</formula>
    </cfRule>
  </conditionalFormatting>
  <conditionalFormatting sqref="Q68:Q1003">
    <cfRule type="cellIs" dxfId="115" priority="258" operator="greaterThan">
      <formula>0</formula>
    </cfRule>
  </conditionalFormatting>
  <conditionalFormatting sqref="O4:Q1003">
    <cfRule type="cellIs" dxfId="114" priority="257" operator="greaterThan">
      <formula>0</formula>
    </cfRule>
  </conditionalFormatting>
  <conditionalFormatting sqref="P4:P1003">
    <cfRule type="cellIs" dxfId="113" priority="256" operator="greaterThan">
      <formula>0</formula>
    </cfRule>
  </conditionalFormatting>
  <conditionalFormatting sqref="Q4:Q1003">
    <cfRule type="cellIs" dxfId="112" priority="255" operator="greaterThan">
      <formula>0</formula>
    </cfRule>
  </conditionalFormatting>
  <conditionalFormatting sqref="N4:N1003">
    <cfRule type="cellIs" dxfId="111" priority="235" operator="greaterThan">
      <formula>0</formula>
    </cfRule>
  </conditionalFormatting>
  <conditionalFormatting sqref="N9:N1003">
    <cfRule type="cellIs" dxfId="110" priority="202" operator="greaterThan">
      <formula>0</formula>
    </cfRule>
  </conditionalFormatting>
  <conditionalFormatting sqref="N7:N1003">
    <cfRule type="cellIs" dxfId="109" priority="201" operator="greaterThan">
      <formula>0</formula>
    </cfRule>
  </conditionalFormatting>
  <conditionalFormatting sqref="M70:M1003">
    <cfRule type="cellIs" dxfId="108" priority="200" operator="greaterThan">
      <formula>0</formula>
    </cfRule>
  </conditionalFormatting>
  <conditionalFormatting sqref="M70:M1003">
    <cfRule type="cellIs" dxfId="107" priority="199" operator="greaterThan">
      <formula>0</formula>
    </cfRule>
  </conditionalFormatting>
  <conditionalFormatting sqref="M70:M1003">
    <cfRule type="cellIs" dxfId="106" priority="198" operator="greaterThan">
      <formula>0</formula>
    </cfRule>
  </conditionalFormatting>
  <conditionalFormatting sqref="M70:M1003">
    <cfRule type="cellIs" dxfId="105" priority="197" operator="greaterThan">
      <formula>0</formula>
    </cfRule>
  </conditionalFormatting>
  <conditionalFormatting sqref="M4:M1003">
    <cfRule type="cellIs" dxfId="104" priority="196" operator="greaterThan">
      <formula>0</formula>
    </cfRule>
  </conditionalFormatting>
  <conditionalFormatting sqref="M4:M1003">
    <cfRule type="cellIs" dxfId="103" priority="195" operator="greaterThan">
      <formula>0</formula>
    </cfRule>
  </conditionalFormatting>
  <conditionalFormatting sqref="M4:M1003">
    <cfRule type="cellIs" dxfId="102" priority="194" operator="greaterThan">
      <formula>0</formula>
    </cfRule>
  </conditionalFormatting>
  <conditionalFormatting sqref="M4:M1003">
    <cfRule type="cellIs" dxfId="101" priority="193" operator="greaterThan">
      <formula>0</formula>
    </cfRule>
  </conditionalFormatting>
  <conditionalFormatting sqref="M4:M1003">
    <cfRule type="cellIs" dxfId="100" priority="192" operator="greaterThan">
      <formula>0</formula>
    </cfRule>
  </conditionalFormatting>
  <conditionalFormatting sqref="N7:N1003">
    <cfRule type="cellIs" dxfId="99" priority="191" operator="greaterThan">
      <formula>0</formula>
    </cfRule>
  </conditionalFormatting>
  <conditionalFormatting sqref="N7:N1003">
    <cfRule type="cellIs" dxfId="98" priority="190" operator="greaterThan">
      <formula>0</formula>
    </cfRule>
  </conditionalFormatting>
  <conditionalFormatting sqref="N13:N1003">
    <cfRule type="cellIs" dxfId="97" priority="189" operator="greaterThan">
      <formula>0</formula>
    </cfRule>
  </conditionalFormatting>
  <conditionalFormatting sqref="O12:O1003">
    <cfRule type="cellIs" dxfId="96" priority="188" operator="greaterThan">
      <formula>0</formula>
    </cfRule>
  </conditionalFormatting>
  <conditionalFormatting sqref="P10:P1003">
    <cfRule type="cellIs" dxfId="95" priority="187" operator="greaterThan">
      <formula>0</formula>
    </cfRule>
  </conditionalFormatting>
  <conditionalFormatting sqref="P10:P1003">
    <cfRule type="cellIs" dxfId="94" priority="186" operator="greaterThan">
      <formula>0</formula>
    </cfRule>
  </conditionalFormatting>
  <conditionalFormatting sqref="P14:P1003">
    <cfRule type="cellIs" dxfId="93" priority="185" operator="greaterThan">
      <formula>0</formula>
    </cfRule>
  </conditionalFormatting>
  <conditionalFormatting sqref="P14:P1003">
    <cfRule type="cellIs" dxfId="92" priority="184" operator="greaterThan">
      <formula>0</formula>
    </cfRule>
  </conditionalFormatting>
  <conditionalFormatting sqref="Q10:Q1003">
    <cfRule type="cellIs" dxfId="91" priority="183" operator="greaterThan">
      <formula>0</formula>
    </cfRule>
  </conditionalFormatting>
  <conditionalFormatting sqref="Q10:Q1003">
    <cfRule type="cellIs" dxfId="90" priority="182" operator="greaterThan">
      <formula>0</formula>
    </cfRule>
  </conditionalFormatting>
  <conditionalFormatting sqref="R70:R1003">
    <cfRule type="cellIs" dxfId="89" priority="181" operator="greaterThan">
      <formula>0</formula>
    </cfRule>
  </conditionalFormatting>
  <conditionalFormatting sqref="R70:R1003">
    <cfRule type="cellIs" dxfId="88" priority="180" operator="greaterThan">
      <formula>0</formula>
    </cfRule>
  </conditionalFormatting>
  <conditionalFormatting sqref="R70:R1003">
    <cfRule type="cellIs" dxfId="87" priority="179" operator="greaterThan">
      <formula>0</formula>
    </cfRule>
  </conditionalFormatting>
  <conditionalFormatting sqref="R70:R1003">
    <cfRule type="cellIs" dxfId="86" priority="178" operator="greaterThan">
      <formula>0</formula>
    </cfRule>
  </conditionalFormatting>
  <conditionalFormatting sqref="R70:R1003">
    <cfRule type="cellIs" dxfId="85" priority="177" operator="greaterThan">
      <formula>0</formula>
    </cfRule>
  </conditionalFormatting>
  <conditionalFormatting sqref="R70:R1003">
    <cfRule type="cellIs" dxfId="84" priority="176" operator="greaterThan">
      <formula>0</formula>
    </cfRule>
  </conditionalFormatting>
  <conditionalFormatting sqref="R13:R69">
    <cfRule type="cellIs" dxfId="83" priority="175" operator="greaterThan">
      <formula>0</formula>
    </cfRule>
  </conditionalFormatting>
  <conditionalFormatting sqref="R13:R69">
    <cfRule type="cellIs" dxfId="82" priority="174" operator="greaterThan">
      <formula>0</formula>
    </cfRule>
  </conditionalFormatting>
  <conditionalFormatting sqref="R13:R69">
    <cfRule type="cellIs" dxfId="81" priority="173" operator="greaterThan">
      <formula>0</formula>
    </cfRule>
  </conditionalFormatting>
  <conditionalFormatting sqref="R13:R69">
    <cfRule type="cellIs" dxfId="80" priority="172" operator="greaterThan">
      <formula>0</formula>
    </cfRule>
  </conditionalFormatting>
  <conditionalFormatting sqref="R13:R69">
    <cfRule type="cellIs" dxfId="79" priority="171" operator="greaterThan">
      <formula>0</formula>
    </cfRule>
  </conditionalFormatting>
  <conditionalFormatting sqref="R13:R69">
    <cfRule type="cellIs" dxfId="78" priority="170" operator="greaterThan">
      <formula>0</formula>
    </cfRule>
  </conditionalFormatting>
  <conditionalFormatting sqref="R13:R69">
    <cfRule type="cellIs" dxfId="77" priority="169" operator="greaterThan">
      <formula>0</formula>
    </cfRule>
  </conditionalFormatting>
  <conditionalFormatting sqref="S70:S1003">
    <cfRule type="cellIs" dxfId="76" priority="168" operator="greaterThan">
      <formula>0</formula>
    </cfRule>
  </conditionalFormatting>
  <conditionalFormatting sqref="S70:S1003">
    <cfRule type="cellIs" dxfId="75" priority="167" operator="greaterThan">
      <formula>0</formula>
    </cfRule>
  </conditionalFormatting>
  <conditionalFormatting sqref="S70:S1003">
    <cfRule type="cellIs" dxfId="74" priority="166" operator="greaterThan">
      <formula>0</formula>
    </cfRule>
  </conditionalFormatting>
  <conditionalFormatting sqref="S70:S1003">
    <cfRule type="cellIs" dxfId="73" priority="165" operator="greaterThan">
      <formula>0</formula>
    </cfRule>
  </conditionalFormatting>
  <conditionalFormatting sqref="S70:S1003">
    <cfRule type="cellIs" dxfId="72" priority="164" operator="greaterThan">
      <formula>0</formula>
    </cfRule>
  </conditionalFormatting>
  <conditionalFormatting sqref="S70:S1003">
    <cfRule type="cellIs" dxfId="71" priority="163" operator="greaterThan">
      <formula>0</formula>
    </cfRule>
  </conditionalFormatting>
  <conditionalFormatting sqref="S13:S69">
    <cfRule type="cellIs" dxfId="70" priority="162" operator="greaterThan">
      <formula>0</formula>
    </cfRule>
  </conditionalFormatting>
  <conditionalFormatting sqref="S13:S69">
    <cfRule type="cellIs" dxfId="69" priority="161" operator="greaterThan">
      <formula>0</formula>
    </cfRule>
  </conditionalFormatting>
  <conditionalFormatting sqref="S13:S69">
    <cfRule type="cellIs" dxfId="68" priority="160" operator="greaterThan">
      <formula>0</formula>
    </cfRule>
  </conditionalFormatting>
  <conditionalFormatting sqref="S13:S69">
    <cfRule type="cellIs" dxfId="67" priority="159" operator="greaterThan">
      <formula>0</formula>
    </cfRule>
  </conditionalFormatting>
  <conditionalFormatting sqref="S13:S69">
    <cfRule type="cellIs" dxfId="66" priority="158" operator="greaterThan">
      <formula>0</formula>
    </cfRule>
  </conditionalFormatting>
  <conditionalFormatting sqref="S13:S69">
    <cfRule type="cellIs" dxfId="65" priority="157" operator="greaterThan">
      <formula>0</formula>
    </cfRule>
  </conditionalFormatting>
  <conditionalFormatting sqref="S13:S69">
    <cfRule type="cellIs" dxfId="64" priority="156" operator="greaterThan">
      <formula>0</formula>
    </cfRule>
  </conditionalFormatting>
  <conditionalFormatting sqref="T70:T1003">
    <cfRule type="cellIs" dxfId="63" priority="155" operator="greaterThan">
      <formula>0</formula>
    </cfRule>
  </conditionalFormatting>
  <conditionalFormatting sqref="T70:T1003">
    <cfRule type="cellIs" dxfId="62" priority="154" operator="greaterThan">
      <formula>0</formula>
    </cfRule>
  </conditionalFormatting>
  <conditionalFormatting sqref="T70:T1003">
    <cfRule type="cellIs" dxfId="61" priority="153" operator="greaterThan">
      <formula>0</formula>
    </cfRule>
  </conditionalFormatting>
  <conditionalFormatting sqref="T70:T1003">
    <cfRule type="cellIs" dxfId="60" priority="152" operator="greaterThan">
      <formula>0</formula>
    </cfRule>
  </conditionalFormatting>
  <conditionalFormatting sqref="T70:T1003">
    <cfRule type="cellIs" dxfId="59" priority="151" operator="greaterThan">
      <formula>0</formula>
    </cfRule>
  </conditionalFormatting>
  <conditionalFormatting sqref="T70:T1003">
    <cfRule type="cellIs" dxfId="58" priority="150" operator="greaterThan">
      <formula>0</formula>
    </cfRule>
  </conditionalFormatting>
  <conditionalFormatting sqref="T13:T69">
    <cfRule type="cellIs" dxfId="57" priority="149" operator="greaterThan">
      <formula>0</formula>
    </cfRule>
  </conditionalFormatting>
  <conditionalFormatting sqref="T13:T69">
    <cfRule type="cellIs" dxfId="56" priority="148" operator="greaterThan">
      <formula>0</formula>
    </cfRule>
  </conditionalFormatting>
  <conditionalFormatting sqref="T13:T69">
    <cfRule type="cellIs" dxfId="55" priority="147" operator="greaterThan">
      <formula>0</formula>
    </cfRule>
  </conditionalFormatting>
  <conditionalFormatting sqref="T13:T69">
    <cfRule type="cellIs" dxfId="54" priority="146" operator="greaterThan">
      <formula>0</formula>
    </cfRule>
  </conditionalFormatting>
  <conditionalFormatting sqref="T13:T69">
    <cfRule type="cellIs" dxfId="53" priority="145" operator="greaterThan">
      <formula>0</formula>
    </cfRule>
  </conditionalFormatting>
  <conditionalFormatting sqref="T13:T69">
    <cfRule type="cellIs" dxfId="52" priority="144" operator="greaterThan">
      <formula>0</formula>
    </cfRule>
  </conditionalFormatting>
  <conditionalFormatting sqref="T13:T69">
    <cfRule type="cellIs" dxfId="51" priority="143" operator="greaterThan">
      <formula>0</formula>
    </cfRule>
  </conditionalFormatting>
  <conditionalFormatting sqref="U70:U1003">
    <cfRule type="cellIs" dxfId="50" priority="142" operator="greaterThan">
      <formula>0</formula>
    </cfRule>
  </conditionalFormatting>
  <conditionalFormatting sqref="U70:U1003">
    <cfRule type="cellIs" dxfId="49" priority="141" operator="greaterThan">
      <formula>0</formula>
    </cfRule>
  </conditionalFormatting>
  <conditionalFormatting sqref="U70:U1003">
    <cfRule type="cellIs" dxfId="48" priority="140" operator="greaterThan">
      <formula>0</formula>
    </cfRule>
  </conditionalFormatting>
  <conditionalFormatting sqref="U70:U1003">
    <cfRule type="cellIs" dxfId="47" priority="139" operator="greaterThan">
      <formula>0</formula>
    </cfRule>
  </conditionalFormatting>
  <conditionalFormatting sqref="U70:U1003">
    <cfRule type="cellIs" dxfId="46" priority="138" operator="greaterThan">
      <formula>0</formula>
    </cfRule>
  </conditionalFormatting>
  <conditionalFormatting sqref="U70:U1003">
    <cfRule type="cellIs" dxfId="45" priority="137" operator="greaterThan">
      <formula>0</formula>
    </cfRule>
  </conditionalFormatting>
  <conditionalFormatting sqref="U13:U69">
    <cfRule type="cellIs" dxfId="44" priority="136" operator="greaterThan">
      <formula>0</formula>
    </cfRule>
  </conditionalFormatting>
  <conditionalFormatting sqref="U13:U69">
    <cfRule type="cellIs" dxfId="43" priority="135" operator="greaterThan">
      <formula>0</formula>
    </cfRule>
  </conditionalFormatting>
  <conditionalFormatting sqref="U13:U69">
    <cfRule type="cellIs" dxfId="42" priority="134" operator="greaterThan">
      <formula>0</formula>
    </cfRule>
  </conditionalFormatting>
  <conditionalFormatting sqref="U13:U69">
    <cfRule type="cellIs" dxfId="41" priority="133" operator="greaterThan">
      <formula>0</formula>
    </cfRule>
  </conditionalFormatting>
  <conditionalFormatting sqref="U13:U69">
    <cfRule type="cellIs" dxfId="40" priority="132" operator="greaterThan">
      <formula>0</formula>
    </cfRule>
  </conditionalFormatting>
  <conditionalFormatting sqref="U13:U69">
    <cfRule type="cellIs" dxfId="39" priority="131" operator="greaterThan">
      <formula>0</formula>
    </cfRule>
  </conditionalFormatting>
  <conditionalFormatting sqref="U13:U69">
    <cfRule type="cellIs" dxfId="38" priority="130" operator="greaterThan">
      <formula>0</formula>
    </cfRule>
  </conditionalFormatting>
  <conditionalFormatting sqref="V70:V1003">
    <cfRule type="cellIs" dxfId="37" priority="129" operator="greaterThan">
      <formula>0</formula>
    </cfRule>
  </conditionalFormatting>
  <conditionalFormatting sqref="V70:V1003">
    <cfRule type="cellIs" dxfId="36" priority="128" operator="greaterThan">
      <formula>0</formula>
    </cfRule>
  </conditionalFormatting>
  <conditionalFormatting sqref="V70:V1003">
    <cfRule type="cellIs" dxfId="35" priority="127" operator="greaterThan">
      <formula>0</formula>
    </cfRule>
  </conditionalFormatting>
  <conditionalFormatting sqref="V70:V1003">
    <cfRule type="cellIs" dxfId="34" priority="126" operator="greaterThan">
      <formula>0</formula>
    </cfRule>
  </conditionalFormatting>
  <conditionalFormatting sqref="V70:V1003">
    <cfRule type="cellIs" dxfId="33" priority="125" operator="greaterThan">
      <formula>0</formula>
    </cfRule>
  </conditionalFormatting>
  <conditionalFormatting sqref="V70:V1003">
    <cfRule type="cellIs" dxfId="32" priority="124" operator="greaterThan">
      <formula>0</formula>
    </cfRule>
  </conditionalFormatting>
  <conditionalFormatting sqref="V70:V1003">
    <cfRule type="cellIs" dxfId="31" priority="123" operator="greaterThan">
      <formula>0</formula>
    </cfRule>
  </conditionalFormatting>
  <conditionalFormatting sqref="V70:V1003">
    <cfRule type="cellIs" dxfId="30" priority="122" operator="greaterThan">
      <formula>0</formula>
    </cfRule>
  </conditionalFormatting>
  <conditionalFormatting sqref="V70:V1003">
    <cfRule type="cellIs" dxfId="29" priority="121" operator="greaterThan">
      <formula>0</formula>
    </cfRule>
  </conditionalFormatting>
  <conditionalFormatting sqref="V13:V69">
    <cfRule type="cellIs" dxfId="28" priority="120" operator="greaterThan">
      <formula>0</formula>
    </cfRule>
  </conditionalFormatting>
  <conditionalFormatting sqref="V13:V69">
    <cfRule type="cellIs" dxfId="27" priority="119" operator="greaterThan">
      <formula>0</formula>
    </cfRule>
  </conditionalFormatting>
  <conditionalFormatting sqref="V13:V69">
    <cfRule type="cellIs" dxfId="26" priority="118" operator="greaterThan">
      <formula>0</formula>
    </cfRule>
  </conditionalFormatting>
  <conditionalFormatting sqref="V13:V69">
    <cfRule type="cellIs" dxfId="25" priority="117" operator="greaterThan">
      <formula>0</formula>
    </cfRule>
  </conditionalFormatting>
  <conditionalFormatting sqref="V13:V69">
    <cfRule type="cellIs" dxfId="24" priority="116" operator="greaterThan">
      <formula>0</formula>
    </cfRule>
  </conditionalFormatting>
  <conditionalFormatting sqref="V13:V69">
    <cfRule type="cellIs" dxfId="23" priority="115" operator="greaterThan">
      <formula>0</formula>
    </cfRule>
  </conditionalFormatting>
  <conditionalFormatting sqref="V13:V69">
    <cfRule type="cellIs" dxfId="22" priority="114" operator="greaterThan">
      <formula>0</formula>
    </cfRule>
  </conditionalFormatting>
  <conditionalFormatting sqref="V13:V69">
    <cfRule type="cellIs" dxfId="21" priority="113" operator="greaterThan">
      <formula>0</formula>
    </cfRule>
  </conditionalFormatting>
  <conditionalFormatting sqref="V13:V69">
    <cfRule type="cellIs" dxfId="20" priority="112" operator="greaterThan">
      <formula>0</formula>
    </cfRule>
  </conditionalFormatting>
  <conditionalFormatting sqref="V13:V69">
    <cfRule type="cellIs" dxfId="19" priority="111" operator="greaterThan">
      <formula>0</formula>
    </cfRule>
  </conditionalFormatting>
  <conditionalFormatting sqref="W1:Z1048576">
    <cfRule type="cellIs" dxfId="18" priority="18" operator="greaterThan">
      <formula>0</formula>
    </cfRule>
  </conditionalFormatting>
  <conditionalFormatting sqref="M14:M1003">
    <cfRule type="cellIs" dxfId="17" priority="17" operator="greaterThan">
      <formula>0</formula>
    </cfRule>
  </conditionalFormatting>
  <conditionalFormatting sqref="M14:M1003">
    <cfRule type="cellIs" dxfId="16" priority="16" operator="greaterThan">
      <formula>0</formula>
    </cfRule>
  </conditionalFormatting>
  <conditionalFormatting sqref="M14:M1003">
    <cfRule type="cellIs" dxfId="15" priority="15" operator="greaterThan">
      <formula>0</formula>
    </cfRule>
  </conditionalFormatting>
  <conditionalFormatting sqref="M14:M1003">
    <cfRule type="cellIs" dxfId="14" priority="14" operator="greaterThan">
      <formula>0</formula>
    </cfRule>
  </conditionalFormatting>
  <conditionalFormatting sqref="M14:M1003">
    <cfRule type="cellIs" dxfId="13" priority="13" operator="greaterThan">
      <formula>0</formula>
    </cfRule>
  </conditionalFormatting>
  <conditionalFormatting sqref="E10:G1003">
    <cfRule type="cellIs" dxfId="12" priority="6" operator="greaterThan">
      <formula>0</formula>
    </cfRule>
  </conditionalFormatting>
  <conditionalFormatting sqref="E10:G1003">
    <cfRule type="cellIs" dxfId="11" priority="5" operator="greaterThan">
      <formula>0</formula>
    </cfRule>
  </conditionalFormatting>
  <conditionalFormatting sqref="E10:G1003">
    <cfRule type="cellIs" dxfId="10" priority="4" operator="greaterThan">
      <formula>0</formula>
    </cfRule>
  </conditionalFormatting>
  <conditionalFormatting sqref="G10:G1003">
    <cfRule type="cellIs" dxfId="9" priority="3" operator="greaterThan">
      <formula>0</formula>
    </cfRule>
  </conditionalFormatting>
  <conditionalFormatting sqref="G10:G1003">
    <cfRule type="cellIs" dxfId="8" priority="2" operator="greaterThan">
      <formula>0</formula>
    </cfRule>
  </conditionalFormatting>
  <conditionalFormatting sqref="G10:G1003">
    <cfRule type="cellIs" dxfId="7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5"/>
  <sheetViews>
    <sheetView zoomScaleNormal="100" workbookViewId="0">
      <selection activeCell="G13" sqref="A1:G13"/>
    </sheetView>
  </sheetViews>
  <sheetFormatPr defaultRowHeight="15" x14ac:dyDescent="0.25"/>
  <cols>
    <col min="1" max="1" width="18.28515625" bestFit="1" customWidth="1"/>
    <col min="2" max="2" width="15.42578125" customWidth="1"/>
    <col min="3" max="3" width="5.5703125" bestFit="1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17.5703125" customWidth="1"/>
    <col min="9" max="9" width="13.140625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7.28515625" bestFit="1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3.28515625" bestFit="1" customWidth="1"/>
    <col min="24" max="24" width="12.140625" bestFit="1" customWidth="1"/>
    <col min="25" max="25" width="3.7109375" bestFit="1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10" x14ac:dyDescent="0.25">
      <c r="A1" t="s">
        <v>51</v>
      </c>
      <c r="B1" t="s">
        <v>37</v>
      </c>
      <c r="C1" t="s">
        <v>38</v>
      </c>
      <c r="D1" t="s">
        <v>39</v>
      </c>
      <c r="E1" t="s">
        <v>40</v>
      </c>
      <c r="F1" t="s">
        <v>49</v>
      </c>
      <c r="G1" t="s">
        <v>41</v>
      </c>
      <c r="H1" t="s">
        <v>42</v>
      </c>
      <c r="I1" t="s">
        <v>50</v>
      </c>
    </row>
    <row r="2" spans="1:10" x14ac:dyDescent="0.2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v>15000</v>
      </c>
      <c r="B3">
        <v>0</v>
      </c>
      <c r="C3">
        <v>0</v>
      </c>
      <c r="D3">
        <v>0</v>
      </c>
      <c r="E3">
        <v>1</v>
      </c>
      <c r="F3">
        <v>268435454</v>
      </c>
      <c r="G3">
        <v>1</v>
      </c>
      <c r="H3">
        <v>1</v>
      </c>
      <c r="I3">
        <v>1</v>
      </c>
      <c r="J3">
        <v>0</v>
      </c>
    </row>
    <row r="4" spans="1:10" x14ac:dyDescent="0.25">
      <c r="A4">
        <v>25000</v>
      </c>
      <c r="B4">
        <v>0</v>
      </c>
      <c r="C4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v>1</v>
      </c>
      <c r="J4">
        <v>0</v>
      </c>
    </row>
    <row r="5" spans="1:10" x14ac:dyDescent="0.25">
      <c r="A5">
        <v>35000</v>
      </c>
      <c r="B5">
        <v>0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1</v>
      </c>
      <c r="J5">
        <v>0</v>
      </c>
    </row>
    <row r="6" spans="1:10" x14ac:dyDescent="0.25">
      <c r="A6">
        <v>45000</v>
      </c>
      <c r="B6">
        <v>0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1</v>
      </c>
      <c r="J6">
        <v>0</v>
      </c>
    </row>
    <row r="7" spans="1:10" x14ac:dyDescent="0.25">
      <c r="A7">
        <v>55000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>
        <v>1</v>
      </c>
      <c r="J7">
        <v>0</v>
      </c>
    </row>
    <row r="8" spans="1:10" x14ac:dyDescent="0.25">
      <c r="A8">
        <v>65000</v>
      </c>
      <c r="B8">
        <v>0</v>
      </c>
      <c r="C8">
        <v>0</v>
      </c>
      <c r="D8">
        <v>0</v>
      </c>
      <c r="E8">
        <v>1</v>
      </c>
      <c r="F8">
        <v>0</v>
      </c>
      <c r="G8">
        <v>0</v>
      </c>
      <c r="H8">
        <v>0</v>
      </c>
      <c r="I8">
        <v>1</v>
      </c>
      <c r="J8">
        <v>0</v>
      </c>
    </row>
    <row r="9" spans="1:10" x14ac:dyDescent="0.25">
      <c r="A9">
        <v>75000</v>
      </c>
      <c r="B9">
        <v>0</v>
      </c>
      <c r="C9">
        <v>0</v>
      </c>
      <c r="D9">
        <v>0</v>
      </c>
      <c r="E9">
        <v>1</v>
      </c>
      <c r="F9">
        <v>0</v>
      </c>
      <c r="G9">
        <v>0</v>
      </c>
      <c r="H9">
        <v>0</v>
      </c>
      <c r="I9">
        <v>1</v>
      </c>
      <c r="J9">
        <v>0</v>
      </c>
    </row>
    <row r="10" spans="1:10" x14ac:dyDescent="0.25">
      <c r="A10">
        <v>85000</v>
      </c>
      <c r="B10">
        <v>0</v>
      </c>
      <c r="C10">
        <v>1</v>
      </c>
      <c r="D10">
        <v>0</v>
      </c>
      <c r="E10">
        <v>1</v>
      </c>
      <c r="F10">
        <v>0</v>
      </c>
      <c r="G10">
        <v>0</v>
      </c>
      <c r="H10">
        <v>0</v>
      </c>
      <c r="I10">
        <v>1</v>
      </c>
      <c r="J10">
        <v>0</v>
      </c>
    </row>
    <row r="11" spans="1:10" x14ac:dyDescent="0.25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1</v>
      </c>
      <c r="J11">
        <v>0</v>
      </c>
    </row>
    <row r="12" spans="1:10" x14ac:dyDescent="0.25">
      <c r="A12">
        <v>105000</v>
      </c>
      <c r="B12">
        <v>5</v>
      </c>
      <c r="C12">
        <v>1</v>
      </c>
      <c r="D12">
        <v>0</v>
      </c>
      <c r="E12">
        <v>1</v>
      </c>
      <c r="F12">
        <v>0</v>
      </c>
      <c r="G12">
        <v>0</v>
      </c>
      <c r="H12">
        <v>0</v>
      </c>
      <c r="I12">
        <v>1</v>
      </c>
      <c r="J12">
        <v>0</v>
      </c>
    </row>
    <row r="13" spans="1:10" x14ac:dyDescent="0.25">
      <c r="A13">
        <v>115000</v>
      </c>
      <c r="B13">
        <v>0</v>
      </c>
      <c r="C13">
        <v>0</v>
      </c>
      <c r="D13">
        <v>0</v>
      </c>
      <c r="E13">
        <v>1</v>
      </c>
      <c r="F13">
        <v>0</v>
      </c>
      <c r="G13">
        <v>0</v>
      </c>
      <c r="H13">
        <v>0</v>
      </c>
      <c r="I13">
        <v>1</v>
      </c>
      <c r="J13">
        <v>0</v>
      </c>
    </row>
    <row r="14" spans="1:10" x14ac:dyDescent="0.25">
      <c r="A14">
        <v>125000</v>
      </c>
      <c r="B14">
        <v>10</v>
      </c>
      <c r="C14">
        <v>1</v>
      </c>
      <c r="D14">
        <v>0</v>
      </c>
      <c r="E14">
        <v>1</v>
      </c>
      <c r="F14">
        <v>0</v>
      </c>
      <c r="G14">
        <v>0</v>
      </c>
      <c r="H14">
        <v>0</v>
      </c>
      <c r="I14">
        <v>1</v>
      </c>
      <c r="J14">
        <v>0</v>
      </c>
    </row>
    <row r="15" spans="1:10" x14ac:dyDescent="0.25">
      <c r="A15">
        <v>135000</v>
      </c>
      <c r="B15">
        <v>0</v>
      </c>
      <c r="C15">
        <v>0</v>
      </c>
      <c r="D15">
        <v>0</v>
      </c>
      <c r="E15">
        <v>1</v>
      </c>
      <c r="F15">
        <v>0</v>
      </c>
      <c r="G15">
        <v>0</v>
      </c>
      <c r="H15">
        <v>0</v>
      </c>
      <c r="I15">
        <v>1</v>
      </c>
      <c r="J15">
        <v>0</v>
      </c>
    </row>
    <row r="16" spans="1:10" x14ac:dyDescent="0.25">
      <c r="A16">
        <v>145000</v>
      </c>
      <c r="B16">
        <v>110</v>
      </c>
      <c r="C16">
        <v>1</v>
      </c>
      <c r="D16">
        <v>0</v>
      </c>
      <c r="E16">
        <v>1</v>
      </c>
      <c r="F16">
        <v>0</v>
      </c>
      <c r="G16">
        <v>0</v>
      </c>
      <c r="H16">
        <v>0</v>
      </c>
      <c r="I16">
        <v>1</v>
      </c>
      <c r="J16">
        <v>0</v>
      </c>
    </row>
    <row r="17" spans="1:10" x14ac:dyDescent="0.25">
      <c r="A17">
        <v>155000</v>
      </c>
      <c r="B17">
        <v>0</v>
      </c>
      <c r="C17">
        <v>0</v>
      </c>
      <c r="D17">
        <v>0</v>
      </c>
      <c r="E17">
        <v>1</v>
      </c>
      <c r="F17">
        <v>0</v>
      </c>
      <c r="G17">
        <v>0</v>
      </c>
      <c r="H17">
        <v>0</v>
      </c>
      <c r="I17">
        <v>1</v>
      </c>
      <c r="J17">
        <v>0</v>
      </c>
    </row>
    <row r="18" spans="1:10" x14ac:dyDescent="0.25">
      <c r="A18">
        <v>165000</v>
      </c>
      <c r="B18">
        <v>1010</v>
      </c>
      <c r="C18">
        <v>1</v>
      </c>
      <c r="D18">
        <v>0</v>
      </c>
      <c r="E18">
        <v>1</v>
      </c>
      <c r="F18">
        <v>0</v>
      </c>
      <c r="G18">
        <v>0</v>
      </c>
      <c r="H18">
        <v>0</v>
      </c>
      <c r="I18">
        <v>1</v>
      </c>
      <c r="J18">
        <v>0</v>
      </c>
    </row>
    <row r="19" spans="1:10" x14ac:dyDescent="0.25">
      <c r="A19">
        <v>175000</v>
      </c>
      <c r="B19">
        <v>0</v>
      </c>
      <c r="C19">
        <v>0</v>
      </c>
      <c r="D19">
        <v>0</v>
      </c>
      <c r="E19">
        <v>1</v>
      </c>
      <c r="F19">
        <v>0</v>
      </c>
      <c r="G19">
        <v>0</v>
      </c>
      <c r="H19">
        <v>0</v>
      </c>
      <c r="I19">
        <v>1</v>
      </c>
      <c r="J19">
        <v>0</v>
      </c>
    </row>
    <row r="20" spans="1:10" x14ac:dyDescent="0.25">
      <c r="A20">
        <v>185000</v>
      </c>
      <c r="B20">
        <v>10010</v>
      </c>
      <c r="C20">
        <v>1</v>
      </c>
      <c r="D20">
        <v>1</v>
      </c>
      <c r="E20">
        <v>1</v>
      </c>
      <c r="F20">
        <v>0</v>
      </c>
      <c r="G20">
        <v>0</v>
      </c>
      <c r="H20">
        <v>0</v>
      </c>
      <c r="I20">
        <v>1</v>
      </c>
      <c r="J20">
        <v>0</v>
      </c>
    </row>
    <row r="21" spans="1:10" x14ac:dyDescent="0.25">
      <c r="A21">
        <v>195000</v>
      </c>
      <c r="B21">
        <v>0</v>
      </c>
      <c r="C21">
        <v>0</v>
      </c>
      <c r="D21">
        <v>0</v>
      </c>
      <c r="E21">
        <v>1</v>
      </c>
      <c r="F21">
        <v>0</v>
      </c>
      <c r="G21">
        <v>0</v>
      </c>
      <c r="H21">
        <v>0</v>
      </c>
      <c r="I21">
        <v>1</v>
      </c>
      <c r="J21">
        <v>0</v>
      </c>
    </row>
    <row r="22" spans="1:10" x14ac:dyDescent="0.25">
      <c r="A22">
        <v>205000</v>
      </c>
      <c r="B22">
        <v>0</v>
      </c>
      <c r="C22">
        <v>1</v>
      </c>
      <c r="D22">
        <v>0</v>
      </c>
      <c r="E22">
        <v>1</v>
      </c>
      <c r="F22">
        <v>0</v>
      </c>
      <c r="G22">
        <v>0</v>
      </c>
      <c r="H22">
        <v>0</v>
      </c>
      <c r="I22">
        <v>1</v>
      </c>
      <c r="J22">
        <v>0</v>
      </c>
    </row>
    <row r="23" spans="1:10" x14ac:dyDescent="0.25">
      <c r="A23">
        <v>215000</v>
      </c>
      <c r="B23">
        <v>0</v>
      </c>
      <c r="C23">
        <v>0</v>
      </c>
      <c r="D23">
        <v>0</v>
      </c>
      <c r="E23">
        <v>1</v>
      </c>
      <c r="F23">
        <v>0</v>
      </c>
      <c r="G23">
        <v>0</v>
      </c>
      <c r="H23">
        <v>0</v>
      </c>
      <c r="I23">
        <v>1</v>
      </c>
      <c r="J23">
        <v>0</v>
      </c>
    </row>
    <row r="24" spans="1:10" x14ac:dyDescent="0.25">
      <c r="A24">
        <v>225000</v>
      </c>
      <c r="B24">
        <v>5</v>
      </c>
      <c r="C24">
        <v>1</v>
      </c>
      <c r="D24">
        <v>0</v>
      </c>
      <c r="E24">
        <v>1</v>
      </c>
      <c r="F24">
        <v>0</v>
      </c>
      <c r="G24">
        <v>0</v>
      </c>
      <c r="H24">
        <v>0</v>
      </c>
      <c r="I24">
        <v>1</v>
      </c>
      <c r="J24">
        <v>0</v>
      </c>
    </row>
    <row r="25" spans="1:10" x14ac:dyDescent="0.25">
      <c r="A25">
        <v>235000</v>
      </c>
      <c r="B25">
        <v>0</v>
      </c>
      <c r="C25">
        <v>0</v>
      </c>
      <c r="D25">
        <v>0</v>
      </c>
      <c r="E25">
        <v>1</v>
      </c>
      <c r="F25">
        <v>0</v>
      </c>
      <c r="G25">
        <v>0</v>
      </c>
      <c r="H25">
        <v>0</v>
      </c>
      <c r="I25">
        <v>1</v>
      </c>
      <c r="J25">
        <v>0</v>
      </c>
    </row>
    <row r="26" spans="1:10" x14ac:dyDescent="0.25">
      <c r="A26">
        <v>245000</v>
      </c>
      <c r="B26">
        <v>11</v>
      </c>
      <c r="C26">
        <v>1</v>
      </c>
      <c r="D26">
        <v>0</v>
      </c>
      <c r="E26">
        <v>1</v>
      </c>
      <c r="F26">
        <v>0</v>
      </c>
      <c r="G26">
        <v>0</v>
      </c>
      <c r="H26">
        <v>0</v>
      </c>
      <c r="I26">
        <v>1</v>
      </c>
      <c r="J26">
        <v>0</v>
      </c>
    </row>
    <row r="27" spans="1:10" x14ac:dyDescent="0.25">
      <c r="A27">
        <v>255000</v>
      </c>
      <c r="B27">
        <v>0</v>
      </c>
      <c r="C27">
        <v>0</v>
      </c>
      <c r="D27">
        <v>0</v>
      </c>
      <c r="E27">
        <v>1</v>
      </c>
      <c r="F27">
        <v>0</v>
      </c>
      <c r="G27">
        <v>0</v>
      </c>
      <c r="H27">
        <v>0</v>
      </c>
      <c r="I27">
        <v>1</v>
      </c>
      <c r="J27">
        <v>0</v>
      </c>
    </row>
    <row r="28" spans="1:10" x14ac:dyDescent="0.25">
      <c r="A28">
        <v>265000</v>
      </c>
      <c r="B28">
        <v>111</v>
      </c>
      <c r="C28">
        <v>1</v>
      </c>
      <c r="D28">
        <v>0</v>
      </c>
      <c r="E28">
        <v>1</v>
      </c>
      <c r="F28">
        <v>0</v>
      </c>
      <c r="G28">
        <v>0</v>
      </c>
      <c r="H28">
        <v>0</v>
      </c>
      <c r="I28">
        <v>1</v>
      </c>
      <c r="J28">
        <v>0</v>
      </c>
    </row>
    <row r="29" spans="1:10" x14ac:dyDescent="0.25">
      <c r="A29">
        <v>275000</v>
      </c>
      <c r="B29">
        <v>0</v>
      </c>
      <c r="C29">
        <v>0</v>
      </c>
      <c r="D29">
        <v>0</v>
      </c>
      <c r="E29">
        <v>1</v>
      </c>
      <c r="F29">
        <v>0</v>
      </c>
      <c r="G29">
        <v>0</v>
      </c>
      <c r="H29">
        <v>0</v>
      </c>
      <c r="I29">
        <v>1</v>
      </c>
      <c r="J29">
        <v>0</v>
      </c>
    </row>
    <row r="30" spans="1:10" x14ac:dyDescent="0.25">
      <c r="A30">
        <v>285000</v>
      </c>
      <c r="B30">
        <v>1011</v>
      </c>
      <c r="C30">
        <v>1</v>
      </c>
      <c r="D30">
        <v>0</v>
      </c>
      <c r="E30">
        <v>1</v>
      </c>
      <c r="F30">
        <v>0</v>
      </c>
      <c r="G30">
        <v>0</v>
      </c>
      <c r="H30">
        <v>0</v>
      </c>
      <c r="I30">
        <v>1</v>
      </c>
      <c r="J30">
        <v>0</v>
      </c>
    </row>
    <row r="31" spans="1:10" x14ac:dyDescent="0.25">
      <c r="A31">
        <v>295000</v>
      </c>
      <c r="B31">
        <v>0</v>
      </c>
      <c r="C31">
        <v>0</v>
      </c>
      <c r="D31">
        <v>0</v>
      </c>
      <c r="E31">
        <v>1</v>
      </c>
      <c r="F31">
        <v>0</v>
      </c>
      <c r="G31">
        <v>0</v>
      </c>
      <c r="H31">
        <v>0</v>
      </c>
      <c r="I31">
        <v>1</v>
      </c>
      <c r="J31">
        <v>0</v>
      </c>
    </row>
    <row r="32" spans="1:10" x14ac:dyDescent="0.25">
      <c r="A32">
        <v>305000</v>
      </c>
      <c r="B32">
        <v>10011</v>
      </c>
      <c r="C32">
        <v>1</v>
      </c>
      <c r="D32">
        <v>1</v>
      </c>
      <c r="E32">
        <v>1</v>
      </c>
      <c r="F32">
        <v>0</v>
      </c>
      <c r="G32">
        <v>0</v>
      </c>
      <c r="H32">
        <v>0</v>
      </c>
      <c r="I32">
        <v>1</v>
      </c>
      <c r="J32">
        <v>0</v>
      </c>
    </row>
    <row r="33" spans="1:10" x14ac:dyDescent="0.25">
      <c r="A33">
        <v>315000</v>
      </c>
      <c r="B33">
        <v>0</v>
      </c>
      <c r="C33">
        <v>0</v>
      </c>
      <c r="D33">
        <v>0</v>
      </c>
      <c r="E33">
        <v>1</v>
      </c>
      <c r="F33">
        <v>0</v>
      </c>
      <c r="G33">
        <v>0</v>
      </c>
      <c r="H33">
        <v>0</v>
      </c>
      <c r="I33">
        <v>1</v>
      </c>
      <c r="J33">
        <v>0</v>
      </c>
    </row>
    <row r="34" spans="1:10" x14ac:dyDescent="0.25">
      <c r="A34">
        <v>325000</v>
      </c>
      <c r="B34">
        <v>0</v>
      </c>
      <c r="C34">
        <v>1</v>
      </c>
      <c r="D34">
        <v>0</v>
      </c>
      <c r="E34">
        <v>1</v>
      </c>
      <c r="F34">
        <v>0</v>
      </c>
      <c r="G34">
        <v>0</v>
      </c>
      <c r="H34">
        <v>0</v>
      </c>
      <c r="I34">
        <v>1</v>
      </c>
      <c r="J34">
        <v>0</v>
      </c>
    </row>
    <row r="35" spans="1:10" x14ac:dyDescent="0.25">
      <c r="A35">
        <v>335000</v>
      </c>
      <c r="B35">
        <v>0</v>
      </c>
      <c r="C35">
        <v>0</v>
      </c>
      <c r="D35">
        <v>0</v>
      </c>
      <c r="E35">
        <v>1</v>
      </c>
      <c r="F35">
        <v>0</v>
      </c>
      <c r="G35">
        <v>0</v>
      </c>
      <c r="H35">
        <v>0</v>
      </c>
      <c r="I35">
        <v>1</v>
      </c>
      <c r="J35">
        <v>0</v>
      </c>
    </row>
    <row r="36" spans="1:10" x14ac:dyDescent="0.25">
      <c r="A36">
        <v>345000</v>
      </c>
      <c r="B36">
        <v>5</v>
      </c>
      <c r="C36">
        <v>1</v>
      </c>
      <c r="D36">
        <v>0</v>
      </c>
      <c r="E36">
        <v>1</v>
      </c>
      <c r="F36">
        <v>0</v>
      </c>
      <c r="G36">
        <v>0</v>
      </c>
      <c r="H36">
        <v>0</v>
      </c>
      <c r="I36">
        <v>1</v>
      </c>
      <c r="J36">
        <v>0</v>
      </c>
    </row>
    <row r="37" spans="1:10" x14ac:dyDescent="0.25">
      <c r="A37">
        <v>355000</v>
      </c>
      <c r="B37">
        <v>0</v>
      </c>
      <c r="C37">
        <v>0</v>
      </c>
      <c r="D37">
        <v>0</v>
      </c>
      <c r="E37">
        <v>1</v>
      </c>
      <c r="F37">
        <v>0</v>
      </c>
      <c r="G37">
        <v>0</v>
      </c>
      <c r="H37">
        <v>0</v>
      </c>
      <c r="I37">
        <v>1</v>
      </c>
      <c r="J37">
        <v>0</v>
      </c>
    </row>
    <row r="38" spans="1:10" x14ac:dyDescent="0.25">
      <c r="A38">
        <v>365000</v>
      </c>
      <c r="B38">
        <v>12</v>
      </c>
      <c r="C38">
        <v>1</v>
      </c>
      <c r="D38">
        <v>0</v>
      </c>
      <c r="E38">
        <v>1</v>
      </c>
      <c r="F38">
        <v>0</v>
      </c>
      <c r="G38">
        <v>0</v>
      </c>
      <c r="H38">
        <v>0</v>
      </c>
      <c r="I38">
        <v>1</v>
      </c>
      <c r="J38">
        <v>0</v>
      </c>
    </row>
    <row r="39" spans="1:10" x14ac:dyDescent="0.25">
      <c r="A39">
        <v>375000</v>
      </c>
      <c r="B39">
        <v>0</v>
      </c>
      <c r="C39">
        <v>0</v>
      </c>
      <c r="D39">
        <v>0</v>
      </c>
      <c r="E39">
        <v>1</v>
      </c>
      <c r="F39">
        <v>0</v>
      </c>
      <c r="G39">
        <v>0</v>
      </c>
      <c r="H39">
        <v>0</v>
      </c>
      <c r="I39">
        <v>1</v>
      </c>
      <c r="J39">
        <v>0</v>
      </c>
    </row>
    <row r="40" spans="1:10" x14ac:dyDescent="0.25">
      <c r="A40">
        <v>385000</v>
      </c>
      <c r="B40">
        <v>112</v>
      </c>
      <c r="C40">
        <v>1</v>
      </c>
      <c r="D40">
        <v>0</v>
      </c>
      <c r="E40">
        <v>1</v>
      </c>
      <c r="F40">
        <v>0</v>
      </c>
      <c r="G40">
        <v>0</v>
      </c>
      <c r="H40">
        <v>0</v>
      </c>
      <c r="I40">
        <v>1</v>
      </c>
      <c r="J40">
        <v>0</v>
      </c>
    </row>
    <row r="41" spans="1:10" x14ac:dyDescent="0.25">
      <c r="A41">
        <v>395000</v>
      </c>
      <c r="B41">
        <v>0</v>
      </c>
      <c r="C41">
        <v>0</v>
      </c>
      <c r="D41">
        <v>0</v>
      </c>
      <c r="E41">
        <v>1</v>
      </c>
      <c r="F41">
        <v>0</v>
      </c>
      <c r="G41">
        <v>0</v>
      </c>
      <c r="H41">
        <v>0</v>
      </c>
      <c r="I41">
        <v>1</v>
      </c>
      <c r="J41">
        <v>0</v>
      </c>
    </row>
    <row r="42" spans="1:10" x14ac:dyDescent="0.25">
      <c r="A42">
        <v>405000</v>
      </c>
      <c r="B42">
        <v>1012</v>
      </c>
      <c r="C42">
        <v>1</v>
      </c>
      <c r="D42">
        <v>0</v>
      </c>
      <c r="E42">
        <v>1</v>
      </c>
      <c r="F42">
        <v>0</v>
      </c>
      <c r="G42">
        <v>0</v>
      </c>
      <c r="H42">
        <v>0</v>
      </c>
      <c r="I42">
        <v>1</v>
      </c>
      <c r="J42">
        <v>0</v>
      </c>
    </row>
    <row r="43" spans="1:10" x14ac:dyDescent="0.25">
      <c r="A43">
        <v>415000</v>
      </c>
      <c r="B43">
        <v>0</v>
      </c>
      <c r="C43">
        <v>0</v>
      </c>
      <c r="D43">
        <v>0</v>
      </c>
      <c r="E43">
        <v>1</v>
      </c>
      <c r="F43">
        <v>0</v>
      </c>
      <c r="G43">
        <v>0</v>
      </c>
      <c r="H43">
        <v>0</v>
      </c>
      <c r="I43">
        <v>1</v>
      </c>
      <c r="J43">
        <v>0</v>
      </c>
    </row>
    <row r="44" spans="1:10" x14ac:dyDescent="0.25">
      <c r="A44">
        <v>425000</v>
      </c>
      <c r="B44">
        <v>10012</v>
      </c>
      <c r="C44">
        <v>1</v>
      </c>
      <c r="D44">
        <v>1</v>
      </c>
      <c r="E44">
        <v>1</v>
      </c>
      <c r="F44">
        <v>0</v>
      </c>
      <c r="G44">
        <v>0</v>
      </c>
      <c r="H44">
        <v>0</v>
      </c>
      <c r="I44">
        <v>1</v>
      </c>
      <c r="J44">
        <v>0</v>
      </c>
    </row>
    <row r="45" spans="1:10" x14ac:dyDescent="0.25">
      <c r="A45">
        <v>435000</v>
      </c>
      <c r="B45">
        <v>0</v>
      </c>
      <c r="C45">
        <v>0</v>
      </c>
      <c r="D45">
        <v>0</v>
      </c>
      <c r="E45">
        <v>1</v>
      </c>
      <c r="F45">
        <v>0</v>
      </c>
      <c r="G45">
        <v>0</v>
      </c>
      <c r="H45">
        <v>0</v>
      </c>
      <c r="I45">
        <v>1</v>
      </c>
      <c r="J45">
        <v>0</v>
      </c>
    </row>
    <row r="46" spans="1:10" x14ac:dyDescent="0.25">
      <c r="A46">
        <v>445000</v>
      </c>
      <c r="B46">
        <v>0</v>
      </c>
      <c r="C46">
        <v>1</v>
      </c>
      <c r="D46">
        <v>0</v>
      </c>
      <c r="E46">
        <v>1</v>
      </c>
      <c r="F46">
        <v>0</v>
      </c>
      <c r="G46">
        <v>0</v>
      </c>
      <c r="H46">
        <v>0</v>
      </c>
      <c r="I46">
        <v>1</v>
      </c>
      <c r="J46">
        <v>0</v>
      </c>
    </row>
    <row r="47" spans="1:10" x14ac:dyDescent="0.25">
      <c r="A47">
        <v>455000</v>
      </c>
      <c r="B47">
        <v>0</v>
      </c>
      <c r="C47">
        <v>0</v>
      </c>
      <c r="D47">
        <v>0</v>
      </c>
      <c r="E47">
        <v>1</v>
      </c>
      <c r="F47">
        <v>0</v>
      </c>
      <c r="G47">
        <v>0</v>
      </c>
      <c r="H47">
        <v>0</v>
      </c>
      <c r="I47">
        <v>1</v>
      </c>
      <c r="J47">
        <v>0</v>
      </c>
    </row>
    <row r="48" spans="1:10" x14ac:dyDescent="0.25">
      <c r="A48">
        <v>465000</v>
      </c>
      <c r="B48">
        <v>5</v>
      </c>
      <c r="C48">
        <v>1</v>
      </c>
      <c r="D48">
        <v>0</v>
      </c>
      <c r="E48">
        <v>1</v>
      </c>
      <c r="F48">
        <v>0</v>
      </c>
      <c r="G48">
        <v>0</v>
      </c>
      <c r="H48">
        <v>0</v>
      </c>
      <c r="I48">
        <v>1</v>
      </c>
      <c r="J48">
        <v>0</v>
      </c>
    </row>
    <row r="49" spans="1:10" x14ac:dyDescent="0.25">
      <c r="A49">
        <v>475000</v>
      </c>
      <c r="B49">
        <v>0</v>
      </c>
      <c r="C49">
        <v>0</v>
      </c>
      <c r="D49">
        <v>0</v>
      </c>
      <c r="E49">
        <v>1</v>
      </c>
      <c r="F49">
        <v>0</v>
      </c>
      <c r="G49">
        <v>0</v>
      </c>
      <c r="H49">
        <v>0</v>
      </c>
      <c r="I49">
        <v>1</v>
      </c>
      <c r="J49">
        <v>0</v>
      </c>
    </row>
    <row r="50" spans="1:10" x14ac:dyDescent="0.25">
      <c r="A50">
        <v>485000</v>
      </c>
      <c r="B50">
        <v>13</v>
      </c>
      <c r="C50">
        <v>1</v>
      </c>
      <c r="D50">
        <v>0</v>
      </c>
      <c r="E50">
        <v>1</v>
      </c>
      <c r="F50">
        <v>0</v>
      </c>
      <c r="G50">
        <v>0</v>
      </c>
      <c r="H50">
        <v>0</v>
      </c>
      <c r="I50">
        <v>1</v>
      </c>
      <c r="J50">
        <v>0</v>
      </c>
    </row>
    <row r="51" spans="1:10" x14ac:dyDescent="0.25">
      <c r="A51">
        <v>495000</v>
      </c>
      <c r="B51">
        <v>0</v>
      </c>
      <c r="C51">
        <v>0</v>
      </c>
      <c r="D51">
        <v>0</v>
      </c>
      <c r="E51">
        <v>1</v>
      </c>
      <c r="F51">
        <v>0</v>
      </c>
      <c r="G51">
        <v>0</v>
      </c>
      <c r="H51">
        <v>0</v>
      </c>
      <c r="I51">
        <v>1</v>
      </c>
      <c r="J51">
        <v>0</v>
      </c>
    </row>
    <row r="52" spans="1:10" x14ac:dyDescent="0.25">
      <c r="A52">
        <v>505000</v>
      </c>
      <c r="B52">
        <v>113</v>
      </c>
      <c r="C52">
        <v>1</v>
      </c>
      <c r="D52">
        <v>0</v>
      </c>
      <c r="E52">
        <v>1</v>
      </c>
      <c r="F52">
        <v>0</v>
      </c>
      <c r="G52">
        <v>0</v>
      </c>
      <c r="H52">
        <v>0</v>
      </c>
      <c r="I52">
        <v>1</v>
      </c>
      <c r="J52">
        <v>0</v>
      </c>
    </row>
    <row r="53" spans="1:10" x14ac:dyDescent="0.25">
      <c r="A53">
        <v>515000</v>
      </c>
      <c r="B53">
        <v>0</v>
      </c>
      <c r="C53">
        <v>0</v>
      </c>
      <c r="D53">
        <v>0</v>
      </c>
      <c r="E53">
        <v>1</v>
      </c>
      <c r="F53">
        <v>0</v>
      </c>
      <c r="G53">
        <v>0</v>
      </c>
      <c r="H53">
        <v>0</v>
      </c>
      <c r="I53">
        <v>1</v>
      </c>
      <c r="J53">
        <v>0</v>
      </c>
    </row>
    <row r="54" spans="1:10" x14ac:dyDescent="0.25">
      <c r="A54">
        <v>525000</v>
      </c>
      <c r="B54">
        <v>1013</v>
      </c>
      <c r="C54">
        <v>1</v>
      </c>
      <c r="D54">
        <v>0</v>
      </c>
      <c r="E54">
        <v>1</v>
      </c>
      <c r="F54">
        <v>0</v>
      </c>
      <c r="G54">
        <v>0</v>
      </c>
      <c r="H54">
        <v>0</v>
      </c>
      <c r="I54">
        <v>1</v>
      </c>
      <c r="J54">
        <v>0</v>
      </c>
    </row>
    <row r="55" spans="1:10" x14ac:dyDescent="0.25">
      <c r="A55">
        <v>535000</v>
      </c>
      <c r="B55">
        <v>0</v>
      </c>
      <c r="C55">
        <v>0</v>
      </c>
      <c r="D55">
        <v>0</v>
      </c>
      <c r="E55">
        <v>1</v>
      </c>
      <c r="F55">
        <v>0</v>
      </c>
      <c r="G55">
        <v>0</v>
      </c>
      <c r="H55">
        <v>0</v>
      </c>
      <c r="I55">
        <v>1</v>
      </c>
      <c r="J55">
        <v>0</v>
      </c>
    </row>
    <row r="56" spans="1:10" x14ac:dyDescent="0.25">
      <c r="A56">
        <v>545000</v>
      </c>
      <c r="B56">
        <v>10013</v>
      </c>
      <c r="C56">
        <v>1</v>
      </c>
      <c r="D56">
        <v>1</v>
      </c>
      <c r="E56">
        <v>1</v>
      </c>
      <c r="F56">
        <v>0</v>
      </c>
      <c r="G56">
        <v>0</v>
      </c>
      <c r="H56">
        <v>0</v>
      </c>
      <c r="I56">
        <v>1</v>
      </c>
      <c r="J56">
        <v>0</v>
      </c>
    </row>
    <row r="57" spans="1:10" x14ac:dyDescent="0.25">
      <c r="A57">
        <v>555000</v>
      </c>
      <c r="B57">
        <v>0</v>
      </c>
      <c r="C57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v>1</v>
      </c>
      <c r="J57">
        <v>0</v>
      </c>
    </row>
    <row r="58" spans="1:10" x14ac:dyDescent="0.25">
      <c r="A58">
        <v>565000</v>
      </c>
      <c r="B58">
        <v>0</v>
      </c>
      <c r="C58">
        <v>1</v>
      </c>
      <c r="D58">
        <v>0</v>
      </c>
      <c r="E58">
        <v>1</v>
      </c>
      <c r="F58">
        <v>0</v>
      </c>
      <c r="G58">
        <v>0</v>
      </c>
      <c r="H58">
        <v>0</v>
      </c>
      <c r="I58">
        <v>1</v>
      </c>
      <c r="J58">
        <v>0</v>
      </c>
    </row>
    <row r="59" spans="1:10" x14ac:dyDescent="0.25">
      <c r="A59">
        <v>575000</v>
      </c>
      <c r="B59">
        <v>0</v>
      </c>
      <c r="C59">
        <v>0</v>
      </c>
      <c r="D59">
        <v>0</v>
      </c>
      <c r="E59">
        <v>1</v>
      </c>
      <c r="F59">
        <v>0</v>
      </c>
      <c r="G59">
        <v>0</v>
      </c>
      <c r="H59">
        <v>0</v>
      </c>
      <c r="I59">
        <v>1</v>
      </c>
      <c r="J59">
        <v>0</v>
      </c>
    </row>
    <row r="60" spans="1:10" x14ac:dyDescent="0.25">
      <c r="A60">
        <v>585000</v>
      </c>
      <c r="B60">
        <v>5</v>
      </c>
      <c r="C60">
        <v>1</v>
      </c>
      <c r="D60">
        <v>0</v>
      </c>
      <c r="E60">
        <v>1</v>
      </c>
      <c r="F60">
        <v>0</v>
      </c>
      <c r="G60">
        <v>0</v>
      </c>
      <c r="H60">
        <v>0</v>
      </c>
      <c r="I60">
        <v>1</v>
      </c>
      <c r="J60">
        <v>0</v>
      </c>
    </row>
    <row r="61" spans="1:10" x14ac:dyDescent="0.25">
      <c r="A61">
        <v>595000</v>
      </c>
      <c r="B61">
        <v>0</v>
      </c>
      <c r="C61">
        <v>0</v>
      </c>
      <c r="D61">
        <v>0</v>
      </c>
      <c r="E61">
        <v>1</v>
      </c>
      <c r="F61">
        <v>0</v>
      </c>
      <c r="G61">
        <v>0</v>
      </c>
      <c r="H61">
        <v>0</v>
      </c>
      <c r="I61">
        <v>1</v>
      </c>
      <c r="J61">
        <v>0</v>
      </c>
    </row>
    <row r="62" spans="1:10" x14ac:dyDescent="0.25">
      <c r="A62">
        <v>605000</v>
      </c>
      <c r="B62">
        <v>14</v>
      </c>
      <c r="C62">
        <v>1</v>
      </c>
      <c r="D62">
        <v>0</v>
      </c>
      <c r="E62">
        <v>1</v>
      </c>
      <c r="F62">
        <v>0</v>
      </c>
      <c r="G62">
        <v>0</v>
      </c>
      <c r="H62">
        <v>0</v>
      </c>
      <c r="I62">
        <v>1</v>
      </c>
      <c r="J62">
        <v>0</v>
      </c>
    </row>
    <row r="63" spans="1:10" x14ac:dyDescent="0.25">
      <c r="A63">
        <v>615000</v>
      </c>
      <c r="B63">
        <v>0</v>
      </c>
      <c r="C63">
        <v>0</v>
      </c>
      <c r="D63">
        <v>0</v>
      </c>
      <c r="E63">
        <v>1</v>
      </c>
      <c r="F63">
        <v>0</v>
      </c>
      <c r="G63">
        <v>0</v>
      </c>
      <c r="H63">
        <v>0</v>
      </c>
      <c r="I63">
        <v>1</v>
      </c>
      <c r="J63">
        <v>0</v>
      </c>
    </row>
    <row r="64" spans="1:10" x14ac:dyDescent="0.25">
      <c r="A64">
        <v>625000</v>
      </c>
      <c r="B64">
        <v>114</v>
      </c>
      <c r="C64">
        <v>1</v>
      </c>
      <c r="D64">
        <v>0</v>
      </c>
      <c r="E64">
        <v>1</v>
      </c>
      <c r="F64">
        <v>0</v>
      </c>
      <c r="G64">
        <v>0</v>
      </c>
      <c r="H64">
        <v>0</v>
      </c>
      <c r="I64">
        <v>1</v>
      </c>
      <c r="J64">
        <v>0</v>
      </c>
    </row>
    <row r="65" spans="1:10" x14ac:dyDescent="0.25">
      <c r="A65">
        <v>635000</v>
      </c>
      <c r="B65">
        <v>0</v>
      </c>
      <c r="C65">
        <v>0</v>
      </c>
      <c r="D65">
        <v>0</v>
      </c>
      <c r="E65">
        <v>1</v>
      </c>
      <c r="F65">
        <v>0</v>
      </c>
      <c r="G65">
        <v>0</v>
      </c>
      <c r="H65">
        <v>0</v>
      </c>
      <c r="I65">
        <v>1</v>
      </c>
      <c r="J65">
        <v>0</v>
      </c>
    </row>
    <row r="66" spans="1:10" x14ac:dyDescent="0.25">
      <c r="A66">
        <v>645000</v>
      </c>
      <c r="B66">
        <v>1014</v>
      </c>
      <c r="C66">
        <v>1</v>
      </c>
      <c r="D66">
        <v>0</v>
      </c>
      <c r="E66">
        <v>1</v>
      </c>
      <c r="F66">
        <v>0</v>
      </c>
      <c r="G66">
        <v>0</v>
      </c>
      <c r="H66">
        <v>0</v>
      </c>
      <c r="I66">
        <v>1</v>
      </c>
      <c r="J66">
        <v>0</v>
      </c>
    </row>
    <row r="67" spans="1:10" x14ac:dyDescent="0.25">
      <c r="A67">
        <v>655000</v>
      </c>
      <c r="B67">
        <v>0</v>
      </c>
      <c r="C67">
        <v>0</v>
      </c>
      <c r="D67">
        <v>0</v>
      </c>
      <c r="E67">
        <v>1</v>
      </c>
      <c r="F67">
        <v>0</v>
      </c>
      <c r="G67">
        <v>0</v>
      </c>
      <c r="H67">
        <v>0</v>
      </c>
      <c r="I67">
        <v>1</v>
      </c>
      <c r="J67">
        <v>0</v>
      </c>
    </row>
    <row r="68" spans="1:10" x14ac:dyDescent="0.25">
      <c r="A68">
        <v>665000</v>
      </c>
      <c r="B68">
        <v>10014</v>
      </c>
      <c r="C68">
        <v>1</v>
      </c>
      <c r="D68">
        <v>1</v>
      </c>
      <c r="E68">
        <v>1</v>
      </c>
      <c r="F68">
        <v>0</v>
      </c>
      <c r="G68">
        <v>0</v>
      </c>
      <c r="H68">
        <v>0</v>
      </c>
      <c r="I68">
        <v>1</v>
      </c>
      <c r="J68">
        <v>0</v>
      </c>
    </row>
    <row r="69" spans="1:10" x14ac:dyDescent="0.25">
      <c r="A69">
        <v>675000</v>
      </c>
      <c r="B69">
        <v>0</v>
      </c>
      <c r="C69">
        <v>0</v>
      </c>
      <c r="D69">
        <v>0</v>
      </c>
      <c r="E69">
        <v>1</v>
      </c>
      <c r="F69">
        <v>0</v>
      </c>
      <c r="G69">
        <v>0</v>
      </c>
      <c r="H69">
        <v>0</v>
      </c>
      <c r="I69">
        <v>1</v>
      </c>
      <c r="J69">
        <v>0</v>
      </c>
    </row>
    <row r="70" spans="1:10" x14ac:dyDescent="0.25">
      <c r="A70">
        <v>685000</v>
      </c>
      <c r="B70">
        <v>0</v>
      </c>
      <c r="C70">
        <v>1</v>
      </c>
      <c r="D70">
        <v>0</v>
      </c>
      <c r="E70">
        <v>1</v>
      </c>
      <c r="F70">
        <v>0</v>
      </c>
      <c r="G70">
        <v>0</v>
      </c>
      <c r="H70">
        <v>0</v>
      </c>
      <c r="I70">
        <v>1</v>
      </c>
      <c r="J70">
        <v>0</v>
      </c>
    </row>
    <row r="71" spans="1:10" x14ac:dyDescent="0.25">
      <c r="A71">
        <v>695000</v>
      </c>
      <c r="B71">
        <v>0</v>
      </c>
      <c r="C71">
        <v>0</v>
      </c>
      <c r="D71">
        <v>0</v>
      </c>
      <c r="E71">
        <v>1</v>
      </c>
      <c r="F71">
        <v>0</v>
      </c>
      <c r="G71">
        <v>0</v>
      </c>
      <c r="H71">
        <v>0</v>
      </c>
      <c r="I71">
        <v>1</v>
      </c>
      <c r="J71">
        <v>0</v>
      </c>
    </row>
    <row r="72" spans="1:10" x14ac:dyDescent="0.25">
      <c r="A72">
        <v>705000</v>
      </c>
      <c r="B72">
        <v>5</v>
      </c>
      <c r="C72">
        <v>1</v>
      </c>
      <c r="D72">
        <v>0</v>
      </c>
      <c r="E72">
        <v>1</v>
      </c>
      <c r="F72">
        <v>0</v>
      </c>
      <c r="G72">
        <v>0</v>
      </c>
      <c r="H72">
        <v>0</v>
      </c>
      <c r="I72">
        <v>1</v>
      </c>
      <c r="J72">
        <v>0</v>
      </c>
    </row>
    <row r="73" spans="1:10" x14ac:dyDescent="0.25">
      <c r="A73">
        <v>715000</v>
      </c>
      <c r="B73">
        <v>0</v>
      </c>
      <c r="C73">
        <v>0</v>
      </c>
      <c r="D73">
        <v>0</v>
      </c>
      <c r="E73">
        <v>1</v>
      </c>
      <c r="F73">
        <v>0</v>
      </c>
      <c r="G73">
        <v>0</v>
      </c>
      <c r="H73">
        <v>0</v>
      </c>
      <c r="I73">
        <v>1</v>
      </c>
      <c r="J73">
        <v>0</v>
      </c>
    </row>
    <row r="74" spans="1:10" x14ac:dyDescent="0.25">
      <c r="A74">
        <v>725000</v>
      </c>
      <c r="B74">
        <v>15</v>
      </c>
      <c r="C74">
        <v>1</v>
      </c>
      <c r="D74">
        <v>0</v>
      </c>
      <c r="E74">
        <v>1</v>
      </c>
      <c r="F74">
        <v>0</v>
      </c>
      <c r="G74">
        <v>0</v>
      </c>
      <c r="H74">
        <v>0</v>
      </c>
      <c r="I74">
        <v>1</v>
      </c>
      <c r="J74">
        <v>0</v>
      </c>
    </row>
    <row r="75" spans="1:10" x14ac:dyDescent="0.25">
      <c r="A75">
        <v>735000</v>
      </c>
      <c r="B75">
        <v>0</v>
      </c>
      <c r="C75">
        <v>0</v>
      </c>
      <c r="D75">
        <v>0</v>
      </c>
      <c r="E75">
        <v>1</v>
      </c>
      <c r="F75">
        <v>0</v>
      </c>
      <c r="G75">
        <v>0</v>
      </c>
      <c r="H75">
        <v>0</v>
      </c>
      <c r="I75">
        <v>1</v>
      </c>
      <c r="J75">
        <v>0</v>
      </c>
    </row>
    <row r="76" spans="1:10" x14ac:dyDescent="0.25">
      <c r="A76">
        <v>745000</v>
      </c>
      <c r="B76">
        <v>115</v>
      </c>
      <c r="C76">
        <v>1</v>
      </c>
      <c r="D76">
        <v>0</v>
      </c>
      <c r="E76">
        <v>1</v>
      </c>
      <c r="F76">
        <v>0</v>
      </c>
      <c r="G76">
        <v>0</v>
      </c>
      <c r="H76">
        <v>0</v>
      </c>
      <c r="I76">
        <v>1</v>
      </c>
      <c r="J76">
        <v>0</v>
      </c>
    </row>
    <row r="77" spans="1:10" x14ac:dyDescent="0.25">
      <c r="A77">
        <v>755000</v>
      </c>
      <c r="B77">
        <v>0</v>
      </c>
      <c r="C77">
        <v>0</v>
      </c>
      <c r="D77">
        <v>0</v>
      </c>
      <c r="E77">
        <v>1</v>
      </c>
      <c r="F77">
        <v>0</v>
      </c>
      <c r="G77">
        <v>0</v>
      </c>
      <c r="H77">
        <v>0</v>
      </c>
      <c r="I77">
        <v>1</v>
      </c>
      <c r="J77">
        <v>0</v>
      </c>
    </row>
    <row r="78" spans="1:10" x14ac:dyDescent="0.25">
      <c r="A78">
        <v>765000</v>
      </c>
      <c r="B78">
        <v>1015</v>
      </c>
      <c r="C78">
        <v>1</v>
      </c>
      <c r="D78">
        <v>0</v>
      </c>
      <c r="E78">
        <v>1</v>
      </c>
      <c r="F78">
        <v>0</v>
      </c>
      <c r="G78">
        <v>0</v>
      </c>
      <c r="H78">
        <v>0</v>
      </c>
      <c r="I78">
        <v>1</v>
      </c>
      <c r="J78">
        <v>0</v>
      </c>
    </row>
    <row r="79" spans="1:10" x14ac:dyDescent="0.25">
      <c r="A79">
        <v>775000</v>
      </c>
      <c r="B79">
        <v>0</v>
      </c>
      <c r="C79">
        <v>0</v>
      </c>
      <c r="D79">
        <v>0</v>
      </c>
      <c r="E79">
        <v>1</v>
      </c>
      <c r="F79">
        <v>0</v>
      </c>
      <c r="G79">
        <v>0</v>
      </c>
      <c r="H79">
        <v>0</v>
      </c>
      <c r="I79">
        <v>1</v>
      </c>
      <c r="J79">
        <v>0</v>
      </c>
    </row>
    <row r="80" spans="1:10" x14ac:dyDescent="0.25">
      <c r="A80">
        <v>785000</v>
      </c>
      <c r="B80">
        <v>10015</v>
      </c>
      <c r="C80">
        <v>1</v>
      </c>
      <c r="D80">
        <v>1</v>
      </c>
      <c r="E80">
        <v>1</v>
      </c>
      <c r="F80">
        <v>0</v>
      </c>
      <c r="G80">
        <v>0</v>
      </c>
      <c r="H80">
        <v>0</v>
      </c>
      <c r="I80">
        <v>1</v>
      </c>
      <c r="J80">
        <v>0</v>
      </c>
    </row>
    <row r="81" spans="1:10" x14ac:dyDescent="0.25">
      <c r="A81">
        <v>795000</v>
      </c>
      <c r="B81">
        <v>0</v>
      </c>
      <c r="C81">
        <v>0</v>
      </c>
      <c r="D81">
        <v>0</v>
      </c>
      <c r="E81">
        <v>1</v>
      </c>
      <c r="F81">
        <v>0</v>
      </c>
      <c r="G81">
        <v>0</v>
      </c>
      <c r="H81">
        <v>0</v>
      </c>
      <c r="I81">
        <v>1</v>
      </c>
      <c r="J81">
        <v>0</v>
      </c>
    </row>
    <row r="82" spans="1:10" x14ac:dyDescent="0.25">
      <c r="A82">
        <v>805000</v>
      </c>
      <c r="B82">
        <v>0</v>
      </c>
      <c r="C82">
        <v>1</v>
      </c>
      <c r="D82">
        <v>0</v>
      </c>
      <c r="E82">
        <v>1</v>
      </c>
      <c r="F82">
        <v>0</v>
      </c>
      <c r="G82">
        <v>0</v>
      </c>
      <c r="H82">
        <v>0</v>
      </c>
      <c r="I82">
        <v>1</v>
      </c>
      <c r="J82">
        <v>0</v>
      </c>
    </row>
    <row r="83" spans="1:10" x14ac:dyDescent="0.25">
      <c r="A83">
        <v>815000</v>
      </c>
      <c r="B83">
        <v>0</v>
      </c>
      <c r="C83">
        <v>0</v>
      </c>
      <c r="D83">
        <v>0</v>
      </c>
      <c r="E83">
        <v>1</v>
      </c>
      <c r="F83">
        <v>0</v>
      </c>
      <c r="G83">
        <v>0</v>
      </c>
      <c r="H83">
        <v>0</v>
      </c>
      <c r="I83">
        <v>1</v>
      </c>
      <c r="J83">
        <v>0</v>
      </c>
    </row>
    <row r="84" spans="1:10" x14ac:dyDescent="0.25">
      <c r="A84">
        <v>825000</v>
      </c>
      <c r="B84">
        <v>5</v>
      </c>
      <c r="C84">
        <v>1</v>
      </c>
      <c r="D84">
        <v>0</v>
      </c>
      <c r="E84">
        <v>1</v>
      </c>
      <c r="F84">
        <v>0</v>
      </c>
      <c r="G84">
        <v>0</v>
      </c>
      <c r="H84">
        <v>0</v>
      </c>
      <c r="I84">
        <v>1</v>
      </c>
      <c r="J84">
        <v>0</v>
      </c>
    </row>
    <row r="85" spans="1:10" x14ac:dyDescent="0.25">
      <c r="A85">
        <v>835000</v>
      </c>
      <c r="B85">
        <v>0</v>
      </c>
      <c r="C85">
        <v>0</v>
      </c>
      <c r="D85">
        <v>0</v>
      </c>
      <c r="E85">
        <v>1</v>
      </c>
      <c r="F85">
        <v>0</v>
      </c>
      <c r="G85">
        <v>0</v>
      </c>
      <c r="H85">
        <v>0</v>
      </c>
      <c r="I85">
        <v>1</v>
      </c>
      <c r="J85">
        <v>0</v>
      </c>
    </row>
    <row r="86" spans="1:10" x14ac:dyDescent="0.25">
      <c r="A86">
        <v>845000</v>
      </c>
      <c r="B86">
        <v>16</v>
      </c>
      <c r="C86">
        <v>1</v>
      </c>
      <c r="D86">
        <v>0</v>
      </c>
      <c r="E86">
        <v>1</v>
      </c>
      <c r="F86">
        <v>0</v>
      </c>
      <c r="G86">
        <v>0</v>
      </c>
      <c r="H86">
        <v>0</v>
      </c>
      <c r="I86">
        <v>1</v>
      </c>
      <c r="J86">
        <v>0</v>
      </c>
    </row>
    <row r="87" spans="1:10" x14ac:dyDescent="0.25">
      <c r="A87">
        <v>855000</v>
      </c>
      <c r="B87">
        <v>0</v>
      </c>
      <c r="C87">
        <v>0</v>
      </c>
      <c r="D87">
        <v>0</v>
      </c>
      <c r="E87">
        <v>1</v>
      </c>
      <c r="F87">
        <v>0</v>
      </c>
      <c r="G87">
        <v>0</v>
      </c>
      <c r="H87">
        <v>0</v>
      </c>
      <c r="I87">
        <v>1</v>
      </c>
      <c r="J87">
        <v>0</v>
      </c>
    </row>
    <row r="88" spans="1:10" x14ac:dyDescent="0.25">
      <c r="A88">
        <v>865000</v>
      </c>
      <c r="B88">
        <v>116</v>
      </c>
      <c r="C88">
        <v>1</v>
      </c>
      <c r="D88">
        <v>0</v>
      </c>
      <c r="E88">
        <v>1</v>
      </c>
      <c r="F88">
        <v>0</v>
      </c>
      <c r="G88">
        <v>0</v>
      </c>
      <c r="H88">
        <v>0</v>
      </c>
      <c r="I88">
        <v>1</v>
      </c>
      <c r="J88">
        <v>0</v>
      </c>
    </row>
    <row r="89" spans="1:10" x14ac:dyDescent="0.25">
      <c r="A89">
        <v>875000</v>
      </c>
      <c r="B89">
        <v>0</v>
      </c>
      <c r="C89">
        <v>0</v>
      </c>
      <c r="D89">
        <v>0</v>
      </c>
      <c r="E89">
        <v>1</v>
      </c>
      <c r="F89">
        <v>0</v>
      </c>
      <c r="G89">
        <v>0</v>
      </c>
      <c r="H89">
        <v>0</v>
      </c>
      <c r="I89">
        <v>1</v>
      </c>
      <c r="J89">
        <v>0</v>
      </c>
    </row>
    <row r="90" spans="1:10" x14ac:dyDescent="0.25">
      <c r="A90">
        <v>885000</v>
      </c>
      <c r="B90">
        <v>1016</v>
      </c>
      <c r="C90">
        <v>1</v>
      </c>
      <c r="D90">
        <v>0</v>
      </c>
      <c r="E90">
        <v>1</v>
      </c>
      <c r="F90">
        <v>0</v>
      </c>
      <c r="G90">
        <v>0</v>
      </c>
      <c r="H90">
        <v>0</v>
      </c>
      <c r="I90">
        <v>1</v>
      </c>
      <c r="J90">
        <v>0</v>
      </c>
    </row>
    <row r="91" spans="1:10" x14ac:dyDescent="0.25">
      <c r="A91">
        <v>895000</v>
      </c>
      <c r="B91">
        <v>0</v>
      </c>
      <c r="C91">
        <v>0</v>
      </c>
      <c r="D91">
        <v>0</v>
      </c>
      <c r="E91">
        <v>1</v>
      </c>
      <c r="F91">
        <v>0</v>
      </c>
      <c r="G91">
        <v>0</v>
      </c>
      <c r="H91">
        <v>0</v>
      </c>
      <c r="I91">
        <v>1</v>
      </c>
      <c r="J91">
        <v>0</v>
      </c>
    </row>
    <row r="92" spans="1:10" x14ac:dyDescent="0.25">
      <c r="A92">
        <v>905000</v>
      </c>
      <c r="B92">
        <v>10016</v>
      </c>
      <c r="C92">
        <v>1</v>
      </c>
      <c r="D92">
        <v>1</v>
      </c>
      <c r="E92">
        <v>1</v>
      </c>
      <c r="F92">
        <v>0</v>
      </c>
      <c r="G92">
        <v>0</v>
      </c>
      <c r="H92">
        <v>0</v>
      </c>
      <c r="I92">
        <v>1</v>
      </c>
      <c r="J92">
        <v>0</v>
      </c>
    </row>
    <row r="93" spans="1:10" x14ac:dyDescent="0.25">
      <c r="A93">
        <v>915000</v>
      </c>
      <c r="B93">
        <v>0</v>
      </c>
      <c r="C93">
        <v>0</v>
      </c>
      <c r="D93">
        <v>0</v>
      </c>
      <c r="E93">
        <v>1</v>
      </c>
      <c r="F93">
        <v>0</v>
      </c>
      <c r="G93">
        <v>0</v>
      </c>
      <c r="H93">
        <v>0</v>
      </c>
      <c r="I93">
        <v>1</v>
      </c>
      <c r="J93">
        <v>0</v>
      </c>
    </row>
    <row r="94" spans="1:10" x14ac:dyDescent="0.25">
      <c r="A94">
        <v>925000</v>
      </c>
      <c r="B94">
        <v>0</v>
      </c>
      <c r="C94">
        <v>1</v>
      </c>
      <c r="D94">
        <v>0</v>
      </c>
      <c r="E94">
        <v>1</v>
      </c>
      <c r="F94">
        <v>0</v>
      </c>
      <c r="G94">
        <v>0</v>
      </c>
      <c r="H94">
        <v>0</v>
      </c>
      <c r="I94">
        <v>1</v>
      </c>
      <c r="J94">
        <v>0</v>
      </c>
    </row>
    <row r="95" spans="1:10" x14ac:dyDescent="0.25">
      <c r="A95">
        <v>935000</v>
      </c>
      <c r="B95">
        <v>0</v>
      </c>
      <c r="C95">
        <v>0</v>
      </c>
      <c r="D95">
        <v>0</v>
      </c>
      <c r="E95">
        <v>1</v>
      </c>
      <c r="F95">
        <v>0</v>
      </c>
      <c r="G95">
        <v>0</v>
      </c>
      <c r="H95">
        <v>0</v>
      </c>
      <c r="I95">
        <v>1</v>
      </c>
      <c r="J95">
        <v>0</v>
      </c>
    </row>
    <row r="96" spans="1:10" x14ac:dyDescent="0.25">
      <c r="A96">
        <v>945000</v>
      </c>
      <c r="B96">
        <v>5</v>
      </c>
      <c r="C96">
        <v>1</v>
      </c>
      <c r="D96">
        <v>0</v>
      </c>
      <c r="E96">
        <v>1</v>
      </c>
      <c r="F96">
        <v>0</v>
      </c>
      <c r="G96">
        <v>0</v>
      </c>
      <c r="H96">
        <v>0</v>
      </c>
      <c r="I96">
        <v>1</v>
      </c>
      <c r="J96">
        <v>0</v>
      </c>
    </row>
    <row r="97" spans="1:10" x14ac:dyDescent="0.25">
      <c r="A97">
        <v>955000</v>
      </c>
      <c r="B97">
        <v>0</v>
      </c>
      <c r="C97">
        <v>0</v>
      </c>
      <c r="D97">
        <v>0</v>
      </c>
      <c r="E97">
        <v>1</v>
      </c>
      <c r="F97">
        <v>0</v>
      </c>
      <c r="G97">
        <v>0</v>
      </c>
      <c r="H97">
        <v>0</v>
      </c>
      <c r="I97">
        <v>1</v>
      </c>
      <c r="J97">
        <v>0</v>
      </c>
    </row>
    <row r="98" spans="1:10" x14ac:dyDescent="0.25">
      <c r="A98">
        <v>965000</v>
      </c>
      <c r="B98">
        <v>17</v>
      </c>
      <c r="C98">
        <v>1</v>
      </c>
      <c r="D98">
        <v>0</v>
      </c>
      <c r="E98">
        <v>1</v>
      </c>
      <c r="F98">
        <v>0</v>
      </c>
      <c r="G98">
        <v>0</v>
      </c>
      <c r="H98">
        <v>0</v>
      </c>
      <c r="I98">
        <v>1</v>
      </c>
      <c r="J98">
        <v>0</v>
      </c>
    </row>
    <row r="99" spans="1:10" x14ac:dyDescent="0.25">
      <c r="A99">
        <v>975000</v>
      </c>
      <c r="B99">
        <v>0</v>
      </c>
      <c r="C99">
        <v>0</v>
      </c>
      <c r="D99">
        <v>0</v>
      </c>
      <c r="E99">
        <v>1</v>
      </c>
      <c r="F99">
        <v>0</v>
      </c>
      <c r="G99">
        <v>0</v>
      </c>
      <c r="H99">
        <v>0</v>
      </c>
      <c r="I99">
        <v>1</v>
      </c>
      <c r="J99">
        <v>0</v>
      </c>
    </row>
    <row r="100" spans="1:10" x14ac:dyDescent="0.25">
      <c r="A100">
        <v>985000</v>
      </c>
      <c r="B100">
        <v>117</v>
      </c>
      <c r="C100">
        <v>1</v>
      </c>
      <c r="D100">
        <v>0</v>
      </c>
      <c r="E100">
        <v>1</v>
      </c>
      <c r="F100">
        <v>0</v>
      </c>
      <c r="G100">
        <v>0</v>
      </c>
      <c r="H100">
        <v>0</v>
      </c>
      <c r="I100">
        <v>1</v>
      </c>
      <c r="J100">
        <v>0</v>
      </c>
    </row>
    <row r="101" spans="1:10" x14ac:dyDescent="0.25">
      <c r="A101">
        <v>995000</v>
      </c>
      <c r="B101">
        <v>0</v>
      </c>
      <c r="C101">
        <v>0</v>
      </c>
      <c r="D101">
        <v>0</v>
      </c>
      <c r="E101">
        <v>1</v>
      </c>
      <c r="F101">
        <v>0</v>
      </c>
      <c r="G101">
        <v>0</v>
      </c>
      <c r="H101">
        <v>0</v>
      </c>
      <c r="I101">
        <v>1</v>
      </c>
      <c r="J101">
        <v>0</v>
      </c>
    </row>
    <row r="102" spans="1:10" x14ac:dyDescent="0.25">
      <c r="A102">
        <v>1005000</v>
      </c>
      <c r="B102">
        <v>1017</v>
      </c>
      <c r="C102">
        <v>1</v>
      </c>
      <c r="D102">
        <v>0</v>
      </c>
      <c r="E102">
        <v>1</v>
      </c>
      <c r="F102">
        <v>0</v>
      </c>
      <c r="G102">
        <v>0</v>
      </c>
      <c r="H102">
        <v>0</v>
      </c>
      <c r="I102">
        <v>1</v>
      </c>
      <c r="J102">
        <v>0</v>
      </c>
    </row>
    <row r="103" spans="1:10" x14ac:dyDescent="0.25">
      <c r="A103">
        <v>1015000</v>
      </c>
      <c r="B103">
        <v>0</v>
      </c>
      <c r="C103">
        <v>0</v>
      </c>
      <c r="D103">
        <v>0</v>
      </c>
      <c r="E103">
        <v>1</v>
      </c>
      <c r="F103">
        <v>0</v>
      </c>
      <c r="G103">
        <v>0</v>
      </c>
      <c r="H103">
        <v>0</v>
      </c>
      <c r="I103">
        <v>1</v>
      </c>
      <c r="J103">
        <v>0</v>
      </c>
    </row>
    <row r="104" spans="1:10" x14ac:dyDescent="0.25">
      <c r="A104">
        <v>1025000</v>
      </c>
      <c r="B104">
        <v>10017</v>
      </c>
      <c r="C104">
        <v>1</v>
      </c>
      <c r="D104">
        <v>1</v>
      </c>
      <c r="E104">
        <v>1</v>
      </c>
      <c r="F104">
        <v>0</v>
      </c>
      <c r="G104">
        <v>0</v>
      </c>
      <c r="H104">
        <v>0</v>
      </c>
      <c r="I104">
        <v>1</v>
      </c>
      <c r="J104">
        <v>0</v>
      </c>
    </row>
    <row r="105" spans="1:10" x14ac:dyDescent="0.25">
      <c r="A105">
        <v>1035000</v>
      </c>
      <c r="B105">
        <v>0</v>
      </c>
      <c r="C105">
        <v>0</v>
      </c>
      <c r="D105">
        <v>0</v>
      </c>
      <c r="E105">
        <v>1</v>
      </c>
      <c r="F105">
        <v>0</v>
      </c>
      <c r="G105">
        <v>0</v>
      </c>
      <c r="H105">
        <v>0</v>
      </c>
      <c r="I105">
        <v>1</v>
      </c>
      <c r="J105">
        <v>0</v>
      </c>
    </row>
    <row r="106" spans="1:10" x14ac:dyDescent="0.25">
      <c r="A106">
        <v>1045000</v>
      </c>
      <c r="B106">
        <v>0</v>
      </c>
      <c r="C106">
        <v>1</v>
      </c>
      <c r="D106">
        <v>0</v>
      </c>
      <c r="E106">
        <v>1</v>
      </c>
      <c r="F106">
        <v>0</v>
      </c>
      <c r="G106">
        <v>0</v>
      </c>
      <c r="H106">
        <v>0</v>
      </c>
      <c r="I106">
        <v>1</v>
      </c>
      <c r="J106">
        <v>0</v>
      </c>
    </row>
    <row r="107" spans="1:10" x14ac:dyDescent="0.25">
      <c r="A107">
        <v>1055000</v>
      </c>
      <c r="B107">
        <v>0</v>
      </c>
      <c r="C107">
        <v>0</v>
      </c>
      <c r="D107">
        <v>0</v>
      </c>
      <c r="E107">
        <v>1</v>
      </c>
      <c r="F107">
        <v>0</v>
      </c>
      <c r="G107">
        <v>0</v>
      </c>
      <c r="H107">
        <v>0</v>
      </c>
      <c r="I107">
        <v>1</v>
      </c>
      <c r="J107">
        <v>0</v>
      </c>
    </row>
    <row r="108" spans="1:10" x14ac:dyDescent="0.25">
      <c r="A108">
        <v>1065000</v>
      </c>
      <c r="B108">
        <v>5</v>
      </c>
      <c r="C108">
        <v>1</v>
      </c>
      <c r="D108">
        <v>0</v>
      </c>
      <c r="E108">
        <v>1</v>
      </c>
      <c r="F108">
        <v>0</v>
      </c>
      <c r="G108">
        <v>0</v>
      </c>
      <c r="H108">
        <v>0</v>
      </c>
      <c r="I108">
        <v>1</v>
      </c>
      <c r="J108">
        <v>0</v>
      </c>
    </row>
    <row r="109" spans="1:10" x14ac:dyDescent="0.25">
      <c r="A109">
        <v>1075000</v>
      </c>
      <c r="B109">
        <v>0</v>
      </c>
      <c r="C109">
        <v>0</v>
      </c>
      <c r="D109">
        <v>0</v>
      </c>
      <c r="E109">
        <v>1</v>
      </c>
      <c r="F109">
        <v>0</v>
      </c>
      <c r="G109">
        <v>0</v>
      </c>
      <c r="H109">
        <v>0</v>
      </c>
      <c r="I109">
        <v>1</v>
      </c>
      <c r="J109">
        <v>0</v>
      </c>
    </row>
    <row r="110" spans="1:10" x14ac:dyDescent="0.25">
      <c r="A110">
        <v>1085000</v>
      </c>
      <c r="B110">
        <v>18</v>
      </c>
      <c r="C110">
        <v>1</v>
      </c>
      <c r="D110">
        <v>0</v>
      </c>
      <c r="E110">
        <v>1</v>
      </c>
      <c r="F110">
        <v>0</v>
      </c>
      <c r="G110">
        <v>0</v>
      </c>
      <c r="H110">
        <v>0</v>
      </c>
      <c r="I110">
        <v>1</v>
      </c>
      <c r="J110">
        <v>0</v>
      </c>
    </row>
    <row r="111" spans="1:10" x14ac:dyDescent="0.25">
      <c r="A111">
        <v>1095000</v>
      </c>
      <c r="B111">
        <v>0</v>
      </c>
      <c r="C111">
        <v>0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1</v>
      </c>
      <c r="J111">
        <v>0</v>
      </c>
    </row>
    <row r="112" spans="1:10" x14ac:dyDescent="0.25">
      <c r="A112">
        <v>1105000</v>
      </c>
      <c r="B112">
        <v>118</v>
      </c>
      <c r="C112">
        <v>1</v>
      </c>
      <c r="D112">
        <v>0</v>
      </c>
      <c r="E112">
        <v>1</v>
      </c>
      <c r="F112">
        <v>0</v>
      </c>
      <c r="G112">
        <v>0</v>
      </c>
      <c r="H112">
        <v>0</v>
      </c>
      <c r="I112">
        <v>1</v>
      </c>
      <c r="J112">
        <v>0</v>
      </c>
    </row>
    <row r="113" spans="1:10" x14ac:dyDescent="0.25">
      <c r="A113">
        <v>1115000</v>
      </c>
      <c r="B113">
        <v>0</v>
      </c>
      <c r="C113">
        <v>0</v>
      </c>
      <c r="D113">
        <v>0</v>
      </c>
      <c r="E113">
        <v>1</v>
      </c>
      <c r="F113">
        <v>0</v>
      </c>
      <c r="G113">
        <v>0</v>
      </c>
      <c r="H113">
        <v>0</v>
      </c>
      <c r="I113">
        <v>1</v>
      </c>
      <c r="J113">
        <v>0</v>
      </c>
    </row>
    <row r="114" spans="1:10" x14ac:dyDescent="0.25">
      <c r="A114">
        <v>1125000</v>
      </c>
      <c r="B114">
        <v>1018</v>
      </c>
      <c r="C114">
        <v>1</v>
      </c>
      <c r="D114">
        <v>0</v>
      </c>
      <c r="E114">
        <v>1</v>
      </c>
      <c r="F114">
        <v>0</v>
      </c>
      <c r="G114">
        <v>0</v>
      </c>
      <c r="H114">
        <v>0</v>
      </c>
      <c r="I114">
        <v>1</v>
      </c>
      <c r="J114">
        <v>0</v>
      </c>
    </row>
    <row r="115" spans="1:10" x14ac:dyDescent="0.25">
      <c r="A115">
        <v>1135000</v>
      </c>
      <c r="B115">
        <v>0</v>
      </c>
      <c r="C115">
        <v>0</v>
      </c>
      <c r="D115">
        <v>0</v>
      </c>
      <c r="E115">
        <v>1</v>
      </c>
      <c r="F115">
        <v>0</v>
      </c>
      <c r="G115">
        <v>0</v>
      </c>
      <c r="H115">
        <v>0</v>
      </c>
      <c r="I115">
        <v>1</v>
      </c>
      <c r="J115">
        <v>0</v>
      </c>
    </row>
    <row r="116" spans="1:10" x14ac:dyDescent="0.25">
      <c r="A116">
        <v>1145000</v>
      </c>
      <c r="B116">
        <v>10018</v>
      </c>
      <c r="C116">
        <v>1</v>
      </c>
      <c r="D116">
        <v>1</v>
      </c>
      <c r="E116">
        <v>1</v>
      </c>
      <c r="F116">
        <v>0</v>
      </c>
      <c r="G116">
        <v>0</v>
      </c>
      <c r="H116">
        <v>0</v>
      </c>
      <c r="I116">
        <v>1</v>
      </c>
      <c r="J116">
        <v>0</v>
      </c>
    </row>
    <row r="117" spans="1:10" x14ac:dyDescent="0.25">
      <c r="A117">
        <v>1155000</v>
      </c>
      <c r="B117">
        <v>0</v>
      </c>
      <c r="C117">
        <v>0</v>
      </c>
      <c r="D117">
        <v>0</v>
      </c>
      <c r="E117">
        <v>1</v>
      </c>
      <c r="F117">
        <v>0</v>
      </c>
      <c r="G117">
        <v>0</v>
      </c>
      <c r="H117">
        <v>0</v>
      </c>
      <c r="I117">
        <v>1</v>
      </c>
      <c r="J117">
        <v>0</v>
      </c>
    </row>
    <row r="118" spans="1:10" x14ac:dyDescent="0.25">
      <c r="A118">
        <v>1165000</v>
      </c>
      <c r="B118">
        <v>0</v>
      </c>
      <c r="C118">
        <v>1</v>
      </c>
      <c r="D118">
        <v>0</v>
      </c>
      <c r="E118">
        <v>1</v>
      </c>
      <c r="F118">
        <v>0</v>
      </c>
      <c r="G118">
        <v>0</v>
      </c>
      <c r="H118">
        <v>0</v>
      </c>
      <c r="I118">
        <v>1</v>
      </c>
      <c r="J118">
        <v>0</v>
      </c>
    </row>
    <row r="119" spans="1:10" x14ac:dyDescent="0.25">
      <c r="A119">
        <v>1175000</v>
      </c>
      <c r="B119">
        <v>0</v>
      </c>
      <c r="C119">
        <v>0</v>
      </c>
      <c r="D119">
        <v>0</v>
      </c>
      <c r="E119">
        <v>1</v>
      </c>
      <c r="F119">
        <v>0</v>
      </c>
      <c r="G119">
        <v>0</v>
      </c>
      <c r="H119">
        <v>0</v>
      </c>
      <c r="I119">
        <v>1</v>
      </c>
      <c r="J119">
        <v>0</v>
      </c>
    </row>
    <row r="120" spans="1:10" x14ac:dyDescent="0.25">
      <c r="A120">
        <v>1185000</v>
      </c>
      <c r="B120">
        <v>5</v>
      </c>
      <c r="C120">
        <v>1</v>
      </c>
      <c r="D120">
        <v>0</v>
      </c>
      <c r="E120">
        <v>1</v>
      </c>
      <c r="F120">
        <v>0</v>
      </c>
      <c r="G120">
        <v>0</v>
      </c>
      <c r="H120">
        <v>0</v>
      </c>
      <c r="I120">
        <v>1</v>
      </c>
      <c r="J120">
        <v>0</v>
      </c>
    </row>
    <row r="121" spans="1:10" x14ac:dyDescent="0.25">
      <c r="A121">
        <v>1195000</v>
      </c>
      <c r="B121">
        <v>0</v>
      </c>
      <c r="C121">
        <v>0</v>
      </c>
      <c r="D121">
        <v>0</v>
      </c>
      <c r="E121">
        <v>1</v>
      </c>
      <c r="F121">
        <v>0</v>
      </c>
      <c r="G121">
        <v>0</v>
      </c>
      <c r="H121">
        <v>0</v>
      </c>
      <c r="I121">
        <v>1</v>
      </c>
      <c r="J121">
        <v>0</v>
      </c>
    </row>
    <row r="122" spans="1:10" x14ac:dyDescent="0.25">
      <c r="A122">
        <v>1205000</v>
      </c>
      <c r="B122">
        <v>19</v>
      </c>
      <c r="C122">
        <v>1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1</v>
      </c>
      <c r="J122">
        <v>0</v>
      </c>
    </row>
    <row r="123" spans="1:10" x14ac:dyDescent="0.25">
      <c r="A123">
        <v>1215000</v>
      </c>
      <c r="B123">
        <v>0</v>
      </c>
      <c r="C123">
        <v>0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1</v>
      </c>
      <c r="J123">
        <v>0</v>
      </c>
    </row>
    <row r="124" spans="1:10" x14ac:dyDescent="0.25">
      <c r="A124">
        <v>1225000</v>
      </c>
      <c r="B124">
        <v>119</v>
      </c>
      <c r="C124">
        <v>1</v>
      </c>
      <c r="D124">
        <v>0</v>
      </c>
      <c r="E124">
        <v>1</v>
      </c>
      <c r="F124">
        <v>0</v>
      </c>
      <c r="G124">
        <v>0</v>
      </c>
      <c r="H124">
        <v>0</v>
      </c>
      <c r="I124">
        <v>1</v>
      </c>
      <c r="J124">
        <v>0</v>
      </c>
    </row>
    <row r="125" spans="1:10" x14ac:dyDescent="0.25">
      <c r="A125">
        <v>1235000</v>
      </c>
      <c r="B125">
        <v>0</v>
      </c>
      <c r="C125">
        <v>0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1</v>
      </c>
      <c r="J125">
        <v>0</v>
      </c>
    </row>
    <row r="126" spans="1:10" x14ac:dyDescent="0.25">
      <c r="A126">
        <v>1245000</v>
      </c>
      <c r="B126">
        <v>1019</v>
      </c>
      <c r="C126">
        <v>1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1</v>
      </c>
      <c r="J126">
        <v>0</v>
      </c>
    </row>
    <row r="127" spans="1:10" x14ac:dyDescent="0.25">
      <c r="A127">
        <v>1255000</v>
      </c>
      <c r="B127">
        <v>0</v>
      </c>
      <c r="C127">
        <v>0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1</v>
      </c>
      <c r="J127">
        <v>0</v>
      </c>
    </row>
    <row r="128" spans="1:10" x14ac:dyDescent="0.25">
      <c r="A128">
        <v>1265000</v>
      </c>
      <c r="B128">
        <v>10019</v>
      </c>
      <c r="C128">
        <v>1</v>
      </c>
      <c r="D128">
        <v>1</v>
      </c>
      <c r="E128">
        <v>1</v>
      </c>
      <c r="F128">
        <v>0</v>
      </c>
      <c r="G128">
        <v>0</v>
      </c>
      <c r="H128">
        <v>0</v>
      </c>
      <c r="I128">
        <v>1</v>
      </c>
      <c r="J128">
        <v>0</v>
      </c>
    </row>
    <row r="129" spans="1:10" x14ac:dyDescent="0.25">
      <c r="A129">
        <v>1275000</v>
      </c>
      <c r="B129">
        <v>0</v>
      </c>
      <c r="C129">
        <v>0</v>
      </c>
      <c r="D129">
        <v>0</v>
      </c>
      <c r="E129">
        <v>1</v>
      </c>
      <c r="F129">
        <v>0</v>
      </c>
      <c r="G129">
        <v>0</v>
      </c>
      <c r="H129">
        <v>0</v>
      </c>
      <c r="I129">
        <v>1</v>
      </c>
      <c r="J129">
        <v>0</v>
      </c>
    </row>
    <row r="130" spans="1:10" x14ac:dyDescent="0.25">
      <c r="A130">
        <v>1285000</v>
      </c>
      <c r="B130">
        <v>0</v>
      </c>
      <c r="C130">
        <v>1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1</v>
      </c>
      <c r="J130">
        <v>0</v>
      </c>
    </row>
    <row r="131" spans="1:10" x14ac:dyDescent="0.25">
      <c r="A131">
        <v>1295000</v>
      </c>
      <c r="B131">
        <v>0</v>
      </c>
      <c r="C131">
        <v>0</v>
      </c>
      <c r="D131">
        <v>0</v>
      </c>
      <c r="E131">
        <v>1</v>
      </c>
      <c r="F131">
        <v>0</v>
      </c>
      <c r="G131">
        <v>0</v>
      </c>
      <c r="H131">
        <v>0</v>
      </c>
      <c r="I131">
        <v>1</v>
      </c>
      <c r="J131">
        <v>0</v>
      </c>
    </row>
    <row r="132" spans="1:10" x14ac:dyDescent="0.25">
      <c r="A132">
        <v>1305000</v>
      </c>
      <c r="B132">
        <v>5</v>
      </c>
      <c r="C132">
        <v>1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1</v>
      </c>
      <c r="J132">
        <v>0</v>
      </c>
    </row>
    <row r="133" spans="1:10" x14ac:dyDescent="0.25">
      <c r="A133">
        <v>1315000</v>
      </c>
      <c r="B133">
        <v>0</v>
      </c>
      <c r="C133">
        <v>0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1</v>
      </c>
      <c r="J133">
        <v>0</v>
      </c>
    </row>
    <row r="134" spans="1:10" x14ac:dyDescent="0.25">
      <c r="A134">
        <v>1325000</v>
      </c>
      <c r="B134">
        <v>20</v>
      </c>
      <c r="C134">
        <v>1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1</v>
      </c>
      <c r="J134">
        <v>0</v>
      </c>
    </row>
    <row r="135" spans="1:10" x14ac:dyDescent="0.25">
      <c r="A135">
        <v>1335000</v>
      </c>
      <c r="B135">
        <v>0</v>
      </c>
      <c r="C135">
        <v>0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1</v>
      </c>
      <c r="J135">
        <v>0</v>
      </c>
    </row>
    <row r="136" spans="1:10" x14ac:dyDescent="0.25">
      <c r="A136">
        <v>1345000</v>
      </c>
      <c r="B136">
        <v>120</v>
      </c>
      <c r="C136">
        <v>1</v>
      </c>
      <c r="D136">
        <v>0</v>
      </c>
      <c r="E136">
        <v>1</v>
      </c>
      <c r="F136">
        <v>0</v>
      </c>
      <c r="G136">
        <v>0</v>
      </c>
      <c r="H136">
        <v>0</v>
      </c>
      <c r="I136">
        <v>1</v>
      </c>
      <c r="J136">
        <v>0</v>
      </c>
    </row>
    <row r="137" spans="1:10" x14ac:dyDescent="0.25">
      <c r="A137">
        <v>1355000</v>
      </c>
      <c r="B137">
        <v>0</v>
      </c>
      <c r="C137">
        <v>0</v>
      </c>
      <c r="D137">
        <v>0</v>
      </c>
      <c r="E137">
        <v>1</v>
      </c>
      <c r="F137">
        <v>0</v>
      </c>
      <c r="G137">
        <v>0</v>
      </c>
      <c r="H137">
        <v>0</v>
      </c>
      <c r="I137">
        <v>1</v>
      </c>
      <c r="J137">
        <v>0</v>
      </c>
    </row>
    <row r="138" spans="1:10" x14ac:dyDescent="0.25">
      <c r="A138">
        <v>1365000</v>
      </c>
      <c r="B138">
        <v>1020</v>
      </c>
      <c r="C138">
        <v>1</v>
      </c>
      <c r="D138">
        <v>0</v>
      </c>
      <c r="E138">
        <v>1</v>
      </c>
      <c r="F138">
        <v>0</v>
      </c>
      <c r="G138">
        <v>0</v>
      </c>
      <c r="H138">
        <v>0</v>
      </c>
      <c r="I138">
        <v>1</v>
      </c>
      <c r="J138">
        <v>0</v>
      </c>
    </row>
    <row r="139" spans="1:10" x14ac:dyDescent="0.25">
      <c r="A139">
        <v>1375000</v>
      </c>
      <c r="B139">
        <v>0</v>
      </c>
      <c r="C139">
        <v>0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1</v>
      </c>
      <c r="J139">
        <v>0</v>
      </c>
    </row>
    <row r="140" spans="1:10" x14ac:dyDescent="0.25">
      <c r="A140">
        <v>1385000</v>
      </c>
      <c r="B140">
        <v>10020</v>
      </c>
      <c r="C140">
        <v>1</v>
      </c>
      <c r="D140">
        <v>1</v>
      </c>
      <c r="E140">
        <v>1</v>
      </c>
      <c r="F140">
        <v>0</v>
      </c>
      <c r="G140">
        <v>0</v>
      </c>
      <c r="H140">
        <v>0</v>
      </c>
      <c r="I140">
        <v>1</v>
      </c>
      <c r="J140">
        <v>0</v>
      </c>
    </row>
    <row r="141" spans="1:10" x14ac:dyDescent="0.25">
      <c r="A141">
        <v>1395000</v>
      </c>
      <c r="B141">
        <v>0</v>
      </c>
      <c r="C141">
        <v>0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1</v>
      </c>
      <c r="J141">
        <v>0</v>
      </c>
    </row>
    <row r="142" spans="1:10" x14ac:dyDescent="0.25">
      <c r="A142">
        <v>1405000</v>
      </c>
      <c r="B142">
        <v>0</v>
      </c>
      <c r="C142">
        <v>1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1</v>
      </c>
      <c r="J142">
        <v>0</v>
      </c>
    </row>
    <row r="143" spans="1:10" x14ac:dyDescent="0.25">
      <c r="A143">
        <v>1415000</v>
      </c>
      <c r="B143">
        <v>0</v>
      </c>
      <c r="C143">
        <v>0</v>
      </c>
      <c r="D143">
        <v>0</v>
      </c>
      <c r="E143">
        <v>1</v>
      </c>
      <c r="F143">
        <v>0</v>
      </c>
      <c r="G143">
        <v>0</v>
      </c>
      <c r="H143">
        <v>0</v>
      </c>
      <c r="I143">
        <v>1</v>
      </c>
      <c r="J143">
        <v>0</v>
      </c>
    </row>
    <row r="144" spans="1:10" x14ac:dyDescent="0.25">
      <c r="A144">
        <v>1425000</v>
      </c>
      <c r="B144">
        <v>5</v>
      </c>
      <c r="C144">
        <v>1</v>
      </c>
      <c r="D144">
        <v>0</v>
      </c>
      <c r="E144">
        <v>1</v>
      </c>
      <c r="F144">
        <v>0</v>
      </c>
      <c r="G144">
        <v>0</v>
      </c>
      <c r="H144">
        <v>0</v>
      </c>
      <c r="I144">
        <v>1</v>
      </c>
      <c r="J144">
        <v>0</v>
      </c>
    </row>
    <row r="145" spans="1:10" x14ac:dyDescent="0.25">
      <c r="A145">
        <v>1435000</v>
      </c>
      <c r="B145">
        <v>0</v>
      </c>
      <c r="C145">
        <v>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1</v>
      </c>
      <c r="J145">
        <v>0</v>
      </c>
    </row>
    <row r="146" spans="1:10" x14ac:dyDescent="0.25">
      <c r="A146">
        <v>1445000</v>
      </c>
      <c r="B146">
        <v>21</v>
      </c>
      <c r="C146">
        <v>1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1</v>
      </c>
      <c r="J146">
        <v>0</v>
      </c>
    </row>
    <row r="147" spans="1:10" x14ac:dyDescent="0.25">
      <c r="A147">
        <v>1455000</v>
      </c>
      <c r="B147">
        <v>0</v>
      </c>
      <c r="C147">
        <v>0</v>
      </c>
      <c r="D147">
        <v>0</v>
      </c>
      <c r="E147">
        <v>1</v>
      </c>
      <c r="F147">
        <v>0</v>
      </c>
      <c r="G147">
        <v>0</v>
      </c>
      <c r="H147">
        <v>0</v>
      </c>
      <c r="I147">
        <v>1</v>
      </c>
      <c r="J147">
        <v>0</v>
      </c>
    </row>
    <row r="148" spans="1:10" x14ac:dyDescent="0.25">
      <c r="A148">
        <v>1465000</v>
      </c>
      <c r="B148">
        <v>121</v>
      </c>
      <c r="C148">
        <v>1</v>
      </c>
      <c r="D148">
        <v>0</v>
      </c>
      <c r="E148">
        <v>1</v>
      </c>
      <c r="F148">
        <v>0</v>
      </c>
      <c r="G148">
        <v>0</v>
      </c>
      <c r="H148">
        <v>0</v>
      </c>
      <c r="I148">
        <v>1</v>
      </c>
      <c r="J148">
        <v>0</v>
      </c>
    </row>
    <row r="149" spans="1:10" x14ac:dyDescent="0.25">
      <c r="A149">
        <v>1475000</v>
      </c>
      <c r="B149">
        <v>0</v>
      </c>
      <c r="C149">
        <v>0</v>
      </c>
      <c r="D149">
        <v>0</v>
      </c>
      <c r="E149">
        <v>1</v>
      </c>
      <c r="F149">
        <v>0</v>
      </c>
      <c r="G149">
        <v>0</v>
      </c>
      <c r="H149">
        <v>0</v>
      </c>
      <c r="I149">
        <v>1</v>
      </c>
      <c r="J149">
        <v>0</v>
      </c>
    </row>
    <row r="150" spans="1:10" x14ac:dyDescent="0.25">
      <c r="A150">
        <v>1485000</v>
      </c>
      <c r="B150">
        <v>1021</v>
      </c>
      <c r="C150">
        <v>1</v>
      </c>
      <c r="D150">
        <v>0</v>
      </c>
      <c r="E150">
        <v>1</v>
      </c>
      <c r="F150">
        <v>0</v>
      </c>
      <c r="G150">
        <v>0</v>
      </c>
      <c r="H150">
        <v>0</v>
      </c>
      <c r="I150">
        <v>1</v>
      </c>
      <c r="J150">
        <v>0</v>
      </c>
    </row>
    <row r="151" spans="1:10" x14ac:dyDescent="0.25">
      <c r="A151">
        <v>1495000</v>
      </c>
      <c r="B151">
        <v>0</v>
      </c>
      <c r="C151">
        <v>0</v>
      </c>
      <c r="D151">
        <v>0</v>
      </c>
      <c r="E151">
        <v>1</v>
      </c>
      <c r="F151">
        <v>0</v>
      </c>
      <c r="G151">
        <v>0</v>
      </c>
      <c r="H151">
        <v>0</v>
      </c>
      <c r="I151">
        <v>1</v>
      </c>
      <c r="J151">
        <v>0</v>
      </c>
    </row>
    <row r="152" spans="1:10" x14ac:dyDescent="0.25">
      <c r="A152">
        <v>1505000</v>
      </c>
      <c r="B152">
        <v>10021</v>
      </c>
      <c r="C152">
        <v>1</v>
      </c>
      <c r="D152">
        <v>1</v>
      </c>
      <c r="E152">
        <v>1</v>
      </c>
      <c r="F152">
        <v>0</v>
      </c>
      <c r="G152">
        <v>0</v>
      </c>
      <c r="H152">
        <v>0</v>
      </c>
      <c r="I152">
        <v>1</v>
      </c>
      <c r="J152">
        <v>0</v>
      </c>
    </row>
    <row r="153" spans="1:10" x14ac:dyDescent="0.25">
      <c r="A153">
        <v>1515000</v>
      </c>
      <c r="B153">
        <v>0</v>
      </c>
      <c r="C153">
        <v>0</v>
      </c>
      <c r="D153">
        <v>0</v>
      </c>
      <c r="E153">
        <v>1</v>
      </c>
      <c r="F153">
        <v>0</v>
      </c>
      <c r="G153">
        <v>0</v>
      </c>
      <c r="H153">
        <v>0</v>
      </c>
      <c r="I153">
        <v>1</v>
      </c>
      <c r="J153">
        <v>0</v>
      </c>
    </row>
    <row r="154" spans="1:10" x14ac:dyDescent="0.25">
      <c r="A154">
        <v>1525000</v>
      </c>
      <c r="B154">
        <v>0</v>
      </c>
      <c r="C154">
        <v>1</v>
      </c>
      <c r="D154">
        <v>0</v>
      </c>
      <c r="E154">
        <v>1</v>
      </c>
      <c r="F154">
        <v>0</v>
      </c>
      <c r="G154">
        <v>0</v>
      </c>
      <c r="H154">
        <v>0</v>
      </c>
      <c r="I154">
        <v>1</v>
      </c>
      <c r="J154">
        <v>0</v>
      </c>
    </row>
    <row r="155" spans="1:10" x14ac:dyDescent="0.25">
      <c r="A155">
        <v>1535000</v>
      </c>
      <c r="B155">
        <v>0</v>
      </c>
      <c r="C155">
        <v>0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1</v>
      </c>
      <c r="J155">
        <v>0</v>
      </c>
    </row>
    <row r="156" spans="1:10" x14ac:dyDescent="0.25">
      <c r="A156">
        <v>1545000</v>
      </c>
      <c r="B156">
        <v>5</v>
      </c>
      <c r="C156">
        <v>1</v>
      </c>
      <c r="D156">
        <v>0</v>
      </c>
      <c r="E156">
        <v>1</v>
      </c>
      <c r="F156">
        <v>0</v>
      </c>
      <c r="G156">
        <v>0</v>
      </c>
      <c r="H156">
        <v>0</v>
      </c>
      <c r="I156">
        <v>1</v>
      </c>
      <c r="J156">
        <v>0</v>
      </c>
    </row>
    <row r="157" spans="1:10" x14ac:dyDescent="0.25">
      <c r="A157">
        <v>1555000</v>
      </c>
      <c r="B157">
        <v>0</v>
      </c>
      <c r="C157">
        <v>0</v>
      </c>
      <c r="D157">
        <v>0</v>
      </c>
      <c r="E157">
        <v>1</v>
      </c>
      <c r="F157">
        <v>0</v>
      </c>
      <c r="G157">
        <v>0</v>
      </c>
      <c r="H157">
        <v>0</v>
      </c>
      <c r="I157">
        <v>1</v>
      </c>
      <c r="J157">
        <v>0</v>
      </c>
    </row>
    <row r="158" spans="1:10" x14ac:dyDescent="0.25">
      <c r="A158">
        <v>1565000</v>
      </c>
      <c r="B158">
        <v>22</v>
      </c>
      <c r="C158">
        <v>1</v>
      </c>
      <c r="D158">
        <v>0</v>
      </c>
      <c r="E158">
        <v>1</v>
      </c>
      <c r="F158">
        <v>0</v>
      </c>
      <c r="G158">
        <v>0</v>
      </c>
      <c r="H158">
        <v>0</v>
      </c>
      <c r="I158">
        <v>1</v>
      </c>
      <c r="J158">
        <v>0</v>
      </c>
    </row>
    <row r="159" spans="1:10" x14ac:dyDescent="0.25">
      <c r="A159">
        <v>1575000</v>
      </c>
      <c r="B159">
        <v>0</v>
      </c>
      <c r="C159">
        <v>0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1</v>
      </c>
      <c r="J159">
        <v>0</v>
      </c>
    </row>
    <row r="160" spans="1:10" x14ac:dyDescent="0.25">
      <c r="A160">
        <v>1585000</v>
      </c>
      <c r="B160">
        <v>122</v>
      </c>
      <c r="C160">
        <v>1</v>
      </c>
      <c r="D160">
        <v>0</v>
      </c>
      <c r="E160">
        <v>1</v>
      </c>
      <c r="F160">
        <v>0</v>
      </c>
      <c r="G160">
        <v>0</v>
      </c>
      <c r="H160">
        <v>0</v>
      </c>
      <c r="I160">
        <v>1</v>
      </c>
      <c r="J160">
        <v>0</v>
      </c>
    </row>
    <row r="161" spans="1:10" x14ac:dyDescent="0.25">
      <c r="A161">
        <v>1595000</v>
      </c>
      <c r="B161">
        <v>0</v>
      </c>
      <c r="C161">
        <v>0</v>
      </c>
      <c r="D161">
        <v>0</v>
      </c>
      <c r="E161">
        <v>1</v>
      </c>
      <c r="F161">
        <v>0</v>
      </c>
      <c r="G161">
        <v>0</v>
      </c>
      <c r="H161">
        <v>0</v>
      </c>
      <c r="I161">
        <v>1</v>
      </c>
      <c r="J161">
        <v>0</v>
      </c>
    </row>
    <row r="162" spans="1:10" x14ac:dyDescent="0.25">
      <c r="A162">
        <v>1605000</v>
      </c>
      <c r="B162">
        <v>1022</v>
      </c>
      <c r="C162">
        <v>1</v>
      </c>
      <c r="D162">
        <v>0</v>
      </c>
      <c r="E162">
        <v>1</v>
      </c>
      <c r="F162">
        <v>0</v>
      </c>
      <c r="G162">
        <v>0</v>
      </c>
      <c r="H162">
        <v>0</v>
      </c>
      <c r="I162">
        <v>1</v>
      </c>
      <c r="J162">
        <v>0</v>
      </c>
    </row>
    <row r="163" spans="1:10" x14ac:dyDescent="0.25">
      <c r="A163">
        <v>1615000</v>
      </c>
      <c r="B163">
        <v>0</v>
      </c>
      <c r="C163">
        <v>0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1</v>
      </c>
      <c r="J163">
        <v>0</v>
      </c>
    </row>
    <row r="164" spans="1:10" x14ac:dyDescent="0.25">
      <c r="A164">
        <v>1625000</v>
      </c>
      <c r="B164">
        <v>10022</v>
      </c>
      <c r="C164">
        <v>1</v>
      </c>
      <c r="D164">
        <v>1</v>
      </c>
      <c r="E164">
        <v>1</v>
      </c>
      <c r="F164">
        <v>0</v>
      </c>
      <c r="G164">
        <v>0</v>
      </c>
      <c r="H164">
        <v>0</v>
      </c>
      <c r="I164">
        <v>1</v>
      </c>
      <c r="J164">
        <v>0</v>
      </c>
    </row>
    <row r="165" spans="1:10" x14ac:dyDescent="0.25">
      <c r="A165">
        <v>1635000</v>
      </c>
      <c r="B165">
        <v>0</v>
      </c>
      <c r="C165">
        <v>0</v>
      </c>
      <c r="D165">
        <v>0</v>
      </c>
      <c r="E165">
        <v>1</v>
      </c>
      <c r="F165">
        <v>0</v>
      </c>
      <c r="G165">
        <v>0</v>
      </c>
      <c r="H165">
        <v>0</v>
      </c>
      <c r="I165">
        <v>1</v>
      </c>
      <c r="J165">
        <v>0</v>
      </c>
    </row>
    <row r="166" spans="1:10" x14ac:dyDescent="0.25">
      <c r="A166">
        <v>1645000</v>
      </c>
      <c r="B166">
        <v>0</v>
      </c>
      <c r="C166">
        <v>1</v>
      </c>
      <c r="D166">
        <v>0</v>
      </c>
      <c r="E166">
        <v>1</v>
      </c>
      <c r="F166">
        <v>0</v>
      </c>
      <c r="G166">
        <v>0</v>
      </c>
      <c r="H166">
        <v>0</v>
      </c>
      <c r="I166">
        <v>1</v>
      </c>
      <c r="J166">
        <v>0</v>
      </c>
    </row>
    <row r="167" spans="1:10" x14ac:dyDescent="0.25">
      <c r="A167">
        <v>1655000</v>
      </c>
      <c r="B167">
        <v>0</v>
      </c>
      <c r="C167">
        <v>0</v>
      </c>
      <c r="D167">
        <v>0</v>
      </c>
      <c r="E167">
        <v>1</v>
      </c>
      <c r="F167">
        <v>0</v>
      </c>
      <c r="G167">
        <v>0</v>
      </c>
      <c r="H167">
        <v>0</v>
      </c>
      <c r="I167">
        <v>1</v>
      </c>
      <c r="J167">
        <v>0</v>
      </c>
    </row>
    <row r="168" spans="1:10" x14ac:dyDescent="0.25">
      <c r="A168">
        <v>1665000</v>
      </c>
      <c r="B168">
        <v>5</v>
      </c>
      <c r="C168">
        <v>1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1</v>
      </c>
      <c r="J168">
        <v>0</v>
      </c>
    </row>
    <row r="169" spans="1:10" x14ac:dyDescent="0.25">
      <c r="A169">
        <v>1675000</v>
      </c>
      <c r="B169">
        <v>0</v>
      </c>
      <c r="C169">
        <v>0</v>
      </c>
      <c r="D169">
        <v>0</v>
      </c>
      <c r="E169">
        <v>1</v>
      </c>
      <c r="F169">
        <v>0</v>
      </c>
      <c r="G169">
        <v>0</v>
      </c>
      <c r="H169">
        <v>0</v>
      </c>
      <c r="I169">
        <v>1</v>
      </c>
      <c r="J169">
        <v>0</v>
      </c>
    </row>
    <row r="170" spans="1:10" x14ac:dyDescent="0.25">
      <c r="A170">
        <v>1685000</v>
      </c>
      <c r="B170">
        <v>23</v>
      </c>
      <c r="C170">
        <v>1</v>
      </c>
      <c r="D170">
        <v>0</v>
      </c>
      <c r="E170">
        <v>1</v>
      </c>
      <c r="F170">
        <v>0</v>
      </c>
      <c r="G170">
        <v>0</v>
      </c>
      <c r="H170">
        <v>0</v>
      </c>
      <c r="I170">
        <v>1</v>
      </c>
      <c r="J170">
        <v>0</v>
      </c>
    </row>
    <row r="171" spans="1:10" x14ac:dyDescent="0.25">
      <c r="A171">
        <v>1695000</v>
      </c>
      <c r="B171">
        <v>0</v>
      </c>
      <c r="C171">
        <v>0</v>
      </c>
      <c r="D171">
        <v>0</v>
      </c>
      <c r="E171">
        <v>1</v>
      </c>
      <c r="F171">
        <v>0</v>
      </c>
      <c r="G171">
        <v>0</v>
      </c>
      <c r="H171">
        <v>0</v>
      </c>
      <c r="I171">
        <v>1</v>
      </c>
      <c r="J171">
        <v>0</v>
      </c>
    </row>
    <row r="172" spans="1:10" x14ac:dyDescent="0.25">
      <c r="A172">
        <v>1705000</v>
      </c>
      <c r="B172">
        <v>123</v>
      </c>
      <c r="C172">
        <v>1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1</v>
      </c>
      <c r="J172">
        <v>0</v>
      </c>
    </row>
    <row r="173" spans="1:10" x14ac:dyDescent="0.25">
      <c r="A173">
        <v>1715000</v>
      </c>
      <c r="B173">
        <v>0</v>
      </c>
      <c r="C173">
        <v>0</v>
      </c>
      <c r="D173">
        <v>0</v>
      </c>
      <c r="E173">
        <v>1</v>
      </c>
      <c r="F173">
        <v>0</v>
      </c>
      <c r="G173">
        <v>0</v>
      </c>
      <c r="H173">
        <v>0</v>
      </c>
      <c r="I173">
        <v>1</v>
      </c>
      <c r="J173">
        <v>0</v>
      </c>
    </row>
    <row r="174" spans="1:10" x14ac:dyDescent="0.25">
      <c r="A174">
        <v>1725000</v>
      </c>
      <c r="B174">
        <v>1023</v>
      </c>
      <c r="C174">
        <v>1</v>
      </c>
      <c r="D174">
        <v>0</v>
      </c>
      <c r="E174">
        <v>1</v>
      </c>
      <c r="F174">
        <v>0</v>
      </c>
      <c r="G174">
        <v>0</v>
      </c>
      <c r="H174">
        <v>0</v>
      </c>
      <c r="I174">
        <v>1</v>
      </c>
      <c r="J174">
        <v>0</v>
      </c>
    </row>
    <row r="175" spans="1:10" x14ac:dyDescent="0.25">
      <c r="A175">
        <v>1735000</v>
      </c>
      <c r="B175">
        <v>0</v>
      </c>
      <c r="C175">
        <v>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1</v>
      </c>
      <c r="J175">
        <v>0</v>
      </c>
    </row>
    <row r="176" spans="1:10" x14ac:dyDescent="0.25">
      <c r="A176">
        <v>1745000</v>
      </c>
      <c r="B176">
        <v>10023</v>
      </c>
      <c r="C176">
        <v>1</v>
      </c>
      <c r="D176">
        <v>1</v>
      </c>
      <c r="E176">
        <v>1</v>
      </c>
      <c r="F176">
        <v>0</v>
      </c>
      <c r="G176">
        <v>0</v>
      </c>
      <c r="H176">
        <v>0</v>
      </c>
      <c r="I176">
        <v>1</v>
      </c>
      <c r="J176">
        <v>0</v>
      </c>
    </row>
    <row r="177" spans="1:10" x14ac:dyDescent="0.25">
      <c r="A177">
        <v>1755000</v>
      </c>
      <c r="B177">
        <v>0</v>
      </c>
      <c r="C177">
        <v>0</v>
      </c>
      <c r="D177">
        <v>0</v>
      </c>
      <c r="E177">
        <v>1</v>
      </c>
      <c r="F177">
        <v>0</v>
      </c>
      <c r="G177">
        <v>0</v>
      </c>
      <c r="H177">
        <v>0</v>
      </c>
      <c r="I177">
        <v>1</v>
      </c>
      <c r="J177">
        <v>0</v>
      </c>
    </row>
    <row r="178" spans="1:10" x14ac:dyDescent="0.25">
      <c r="A178">
        <v>1765000</v>
      </c>
      <c r="B178">
        <v>0</v>
      </c>
      <c r="C178">
        <v>1</v>
      </c>
      <c r="D178">
        <v>0</v>
      </c>
      <c r="E178">
        <v>1</v>
      </c>
      <c r="F178">
        <v>0</v>
      </c>
      <c r="G178">
        <v>0</v>
      </c>
      <c r="H178">
        <v>0</v>
      </c>
      <c r="I178">
        <v>1</v>
      </c>
      <c r="J178">
        <v>0</v>
      </c>
    </row>
    <row r="179" spans="1:10" x14ac:dyDescent="0.25">
      <c r="A179">
        <v>1775000</v>
      </c>
      <c r="B179">
        <v>0</v>
      </c>
      <c r="C179">
        <v>0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1</v>
      </c>
      <c r="J179">
        <v>0</v>
      </c>
    </row>
    <row r="180" spans="1:10" x14ac:dyDescent="0.25">
      <c r="A180">
        <v>1785000</v>
      </c>
      <c r="B180">
        <v>5</v>
      </c>
      <c r="C180">
        <v>1</v>
      </c>
      <c r="D180">
        <v>0</v>
      </c>
      <c r="E180">
        <v>1</v>
      </c>
      <c r="F180">
        <v>0</v>
      </c>
      <c r="G180">
        <v>0</v>
      </c>
      <c r="H180">
        <v>0</v>
      </c>
      <c r="I180">
        <v>1</v>
      </c>
      <c r="J180">
        <v>0</v>
      </c>
    </row>
    <row r="181" spans="1:10" x14ac:dyDescent="0.25">
      <c r="A181">
        <v>1795000</v>
      </c>
      <c r="B181">
        <v>0</v>
      </c>
      <c r="C181">
        <v>0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1</v>
      </c>
      <c r="J181">
        <v>0</v>
      </c>
    </row>
    <row r="182" spans="1:10" x14ac:dyDescent="0.25">
      <c r="A182">
        <v>1805000</v>
      </c>
      <c r="B182">
        <v>24</v>
      </c>
      <c r="C182">
        <v>1</v>
      </c>
      <c r="D182">
        <v>0</v>
      </c>
      <c r="E182">
        <v>1</v>
      </c>
      <c r="F182">
        <v>0</v>
      </c>
      <c r="G182">
        <v>0</v>
      </c>
      <c r="H182">
        <v>0</v>
      </c>
      <c r="I182">
        <v>1</v>
      </c>
      <c r="J182">
        <v>0</v>
      </c>
    </row>
    <row r="183" spans="1:10" x14ac:dyDescent="0.25">
      <c r="A183">
        <v>1815000</v>
      </c>
      <c r="B183">
        <v>0</v>
      </c>
      <c r="C183">
        <v>0</v>
      </c>
      <c r="D183">
        <v>0</v>
      </c>
      <c r="E183">
        <v>1</v>
      </c>
      <c r="F183">
        <v>0</v>
      </c>
      <c r="G183">
        <v>0</v>
      </c>
      <c r="H183">
        <v>0</v>
      </c>
      <c r="I183">
        <v>1</v>
      </c>
      <c r="J183">
        <v>0</v>
      </c>
    </row>
    <row r="184" spans="1:10" x14ac:dyDescent="0.25">
      <c r="A184">
        <v>1825000</v>
      </c>
      <c r="B184">
        <v>124</v>
      </c>
      <c r="C184">
        <v>1</v>
      </c>
      <c r="D184">
        <v>0</v>
      </c>
      <c r="E184">
        <v>1</v>
      </c>
      <c r="F184">
        <v>0</v>
      </c>
      <c r="G184">
        <v>0</v>
      </c>
      <c r="H184">
        <v>0</v>
      </c>
      <c r="I184">
        <v>1</v>
      </c>
      <c r="J184">
        <v>0</v>
      </c>
    </row>
    <row r="185" spans="1:10" x14ac:dyDescent="0.25">
      <c r="A185">
        <v>1835000</v>
      </c>
      <c r="B185">
        <v>0</v>
      </c>
      <c r="C185">
        <v>0</v>
      </c>
      <c r="D185">
        <v>0</v>
      </c>
      <c r="E185">
        <v>1</v>
      </c>
      <c r="F185">
        <v>0</v>
      </c>
      <c r="G185">
        <v>0</v>
      </c>
      <c r="H185">
        <v>0</v>
      </c>
      <c r="I185">
        <v>1</v>
      </c>
      <c r="J185">
        <v>0</v>
      </c>
    </row>
    <row r="186" spans="1:10" x14ac:dyDescent="0.25">
      <c r="A186">
        <v>1845000</v>
      </c>
      <c r="B186">
        <v>1024</v>
      </c>
      <c r="C186">
        <v>1</v>
      </c>
      <c r="D186">
        <v>0</v>
      </c>
      <c r="E186">
        <v>1</v>
      </c>
      <c r="F186">
        <v>0</v>
      </c>
      <c r="G186">
        <v>0</v>
      </c>
      <c r="H186">
        <v>0</v>
      </c>
      <c r="I186">
        <v>1</v>
      </c>
      <c r="J186">
        <v>0</v>
      </c>
    </row>
    <row r="187" spans="1:10" x14ac:dyDescent="0.25">
      <c r="A187">
        <v>1855000</v>
      </c>
      <c r="B187">
        <v>0</v>
      </c>
      <c r="C187">
        <v>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1</v>
      </c>
      <c r="J187">
        <v>0</v>
      </c>
    </row>
    <row r="188" spans="1:10" x14ac:dyDescent="0.25">
      <c r="A188">
        <v>1865000</v>
      </c>
      <c r="B188">
        <v>10024</v>
      </c>
      <c r="C188">
        <v>1</v>
      </c>
      <c r="D188">
        <v>1</v>
      </c>
      <c r="E188">
        <v>1</v>
      </c>
      <c r="F188">
        <v>0</v>
      </c>
      <c r="G188">
        <v>0</v>
      </c>
      <c r="H188">
        <v>0</v>
      </c>
      <c r="I188">
        <v>1</v>
      </c>
      <c r="J188">
        <v>0</v>
      </c>
    </row>
    <row r="189" spans="1:10" x14ac:dyDescent="0.25">
      <c r="A189">
        <v>1875000</v>
      </c>
      <c r="B189">
        <v>0</v>
      </c>
      <c r="C189">
        <v>0</v>
      </c>
      <c r="D189">
        <v>0</v>
      </c>
      <c r="E189">
        <v>1</v>
      </c>
      <c r="F189">
        <v>0</v>
      </c>
      <c r="G189">
        <v>0</v>
      </c>
      <c r="H189">
        <v>0</v>
      </c>
      <c r="I189">
        <v>1</v>
      </c>
      <c r="J189">
        <v>0</v>
      </c>
    </row>
    <row r="190" spans="1:10" x14ac:dyDescent="0.25">
      <c r="A190">
        <v>1885000</v>
      </c>
      <c r="B190">
        <v>0</v>
      </c>
      <c r="C190">
        <v>1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1</v>
      </c>
      <c r="J190">
        <v>0</v>
      </c>
    </row>
    <row r="191" spans="1:10" x14ac:dyDescent="0.25">
      <c r="A191">
        <v>1895000</v>
      </c>
      <c r="B191">
        <v>0</v>
      </c>
      <c r="C191">
        <v>0</v>
      </c>
      <c r="D191">
        <v>0</v>
      </c>
      <c r="E191">
        <v>1</v>
      </c>
      <c r="F191">
        <v>0</v>
      </c>
      <c r="G191">
        <v>0</v>
      </c>
      <c r="H191">
        <v>0</v>
      </c>
      <c r="I191">
        <v>1</v>
      </c>
      <c r="J191">
        <v>0</v>
      </c>
    </row>
    <row r="192" spans="1:10" x14ac:dyDescent="0.25">
      <c r="A192">
        <v>1905000</v>
      </c>
      <c r="B192">
        <v>5</v>
      </c>
      <c r="C192">
        <v>1</v>
      </c>
      <c r="D192">
        <v>0</v>
      </c>
      <c r="E192">
        <v>1</v>
      </c>
      <c r="F192">
        <v>0</v>
      </c>
      <c r="G192">
        <v>0</v>
      </c>
      <c r="H192">
        <v>0</v>
      </c>
      <c r="I192">
        <v>1</v>
      </c>
      <c r="J192">
        <v>0</v>
      </c>
    </row>
    <row r="193" spans="1:10" x14ac:dyDescent="0.25">
      <c r="A193">
        <v>1915000</v>
      </c>
      <c r="B193">
        <v>0</v>
      </c>
      <c r="C193">
        <v>0</v>
      </c>
      <c r="D193">
        <v>0</v>
      </c>
      <c r="E193">
        <v>1</v>
      </c>
      <c r="F193">
        <v>0</v>
      </c>
      <c r="G193">
        <v>0</v>
      </c>
      <c r="H193">
        <v>0</v>
      </c>
      <c r="I193">
        <v>1</v>
      </c>
      <c r="J193">
        <v>0</v>
      </c>
    </row>
    <row r="194" spans="1:10" x14ac:dyDescent="0.25">
      <c r="A194">
        <v>1925000</v>
      </c>
      <c r="B194">
        <v>25</v>
      </c>
      <c r="C194">
        <v>1</v>
      </c>
      <c r="D194">
        <v>0</v>
      </c>
      <c r="E194">
        <v>1</v>
      </c>
      <c r="F194">
        <v>0</v>
      </c>
      <c r="G194">
        <v>0</v>
      </c>
      <c r="H194">
        <v>0</v>
      </c>
      <c r="I194">
        <v>1</v>
      </c>
      <c r="J194">
        <v>0</v>
      </c>
    </row>
    <row r="195" spans="1:10" x14ac:dyDescent="0.25">
      <c r="A195">
        <v>1935000</v>
      </c>
      <c r="B195">
        <v>0</v>
      </c>
      <c r="C195">
        <v>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1</v>
      </c>
      <c r="J195">
        <v>0</v>
      </c>
    </row>
    <row r="196" spans="1:10" x14ac:dyDescent="0.25">
      <c r="A196">
        <v>1945000</v>
      </c>
      <c r="B196">
        <v>125</v>
      </c>
      <c r="C196">
        <v>1</v>
      </c>
      <c r="D196">
        <v>0</v>
      </c>
      <c r="E196">
        <v>1</v>
      </c>
      <c r="F196">
        <v>0</v>
      </c>
      <c r="G196">
        <v>0</v>
      </c>
      <c r="H196">
        <v>0</v>
      </c>
      <c r="I196">
        <v>1</v>
      </c>
      <c r="J196">
        <v>0</v>
      </c>
    </row>
    <row r="197" spans="1:10" x14ac:dyDescent="0.25">
      <c r="A197">
        <v>1955000</v>
      </c>
      <c r="B197">
        <v>0</v>
      </c>
      <c r="C197">
        <v>0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1</v>
      </c>
      <c r="J197">
        <v>0</v>
      </c>
    </row>
    <row r="198" spans="1:10" x14ac:dyDescent="0.25">
      <c r="A198">
        <v>1965000</v>
      </c>
      <c r="B198">
        <v>1025</v>
      </c>
      <c r="C198">
        <v>1</v>
      </c>
      <c r="D198">
        <v>0</v>
      </c>
      <c r="E198">
        <v>1</v>
      </c>
      <c r="F198">
        <v>0</v>
      </c>
      <c r="G198">
        <v>0</v>
      </c>
      <c r="H198">
        <v>0</v>
      </c>
      <c r="I198">
        <v>1</v>
      </c>
      <c r="J198">
        <v>0</v>
      </c>
    </row>
    <row r="199" spans="1:10" x14ac:dyDescent="0.25">
      <c r="A199">
        <v>1975000</v>
      </c>
      <c r="B199">
        <v>0</v>
      </c>
      <c r="C199">
        <v>0</v>
      </c>
      <c r="D199">
        <v>0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0</v>
      </c>
    </row>
    <row r="200" spans="1:10" x14ac:dyDescent="0.25">
      <c r="A200">
        <v>1985000</v>
      </c>
      <c r="B200">
        <v>10025</v>
      </c>
      <c r="C200">
        <v>1</v>
      </c>
      <c r="D200">
        <v>1</v>
      </c>
      <c r="E200">
        <v>1</v>
      </c>
      <c r="F200">
        <v>0</v>
      </c>
      <c r="G200">
        <v>0</v>
      </c>
      <c r="H200">
        <v>0</v>
      </c>
      <c r="I200">
        <v>1</v>
      </c>
      <c r="J200">
        <v>0</v>
      </c>
    </row>
    <row r="201" spans="1:10" x14ac:dyDescent="0.25">
      <c r="A201">
        <v>1995000</v>
      </c>
      <c r="B201">
        <v>0</v>
      </c>
      <c r="C201">
        <v>0</v>
      </c>
      <c r="D201">
        <v>0</v>
      </c>
      <c r="E201">
        <v>1</v>
      </c>
      <c r="F201">
        <v>0</v>
      </c>
      <c r="G201">
        <v>0</v>
      </c>
      <c r="H201">
        <v>0</v>
      </c>
      <c r="I201">
        <v>1</v>
      </c>
      <c r="J201">
        <v>0</v>
      </c>
    </row>
    <row r="202" spans="1:10" x14ac:dyDescent="0.25">
      <c r="A202">
        <v>2005000</v>
      </c>
      <c r="B202">
        <v>0</v>
      </c>
      <c r="C202">
        <v>1</v>
      </c>
      <c r="D202">
        <v>0</v>
      </c>
      <c r="E202">
        <v>1</v>
      </c>
      <c r="F202">
        <v>0</v>
      </c>
      <c r="G202">
        <v>0</v>
      </c>
      <c r="H202">
        <v>0</v>
      </c>
      <c r="I202">
        <v>1</v>
      </c>
      <c r="J202">
        <v>0</v>
      </c>
    </row>
    <row r="203" spans="1:10" x14ac:dyDescent="0.25">
      <c r="A203">
        <v>2015000</v>
      </c>
      <c r="B203">
        <v>0</v>
      </c>
      <c r="C203">
        <v>0</v>
      </c>
      <c r="D203">
        <v>0</v>
      </c>
      <c r="E203">
        <v>1</v>
      </c>
      <c r="F203">
        <v>0</v>
      </c>
      <c r="G203">
        <v>0</v>
      </c>
      <c r="H203">
        <v>0</v>
      </c>
      <c r="I203">
        <v>1</v>
      </c>
      <c r="J203">
        <v>0</v>
      </c>
    </row>
    <row r="204" spans="1:10" x14ac:dyDescent="0.25">
      <c r="A204">
        <v>2025000</v>
      </c>
      <c r="B204">
        <v>5</v>
      </c>
      <c r="C204">
        <v>1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1</v>
      </c>
      <c r="J204">
        <v>0</v>
      </c>
    </row>
    <row r="205" spans="1:10" x14ac:dyDescent="0.25">
      <c r="A205">
        <v>2035000</v>
      </c>
      <c r="B205">
        <v>0</v>
      </c>
      <c r="C205">
        <v>0</v>
      </c>
      <c r="D205">
        <v>0</v>
      </c>
      <c r="E205">
        <v>1</v>
      </c>
      <c r="F205">
        <v>0</v>
      </c>
      <c r="G205">
        <v>0</v>
      </c>
      <c r="H205">
        <v>0</v>
      </c>
      <c r="I205">
        <v>1</v>
      </c>
      <c r="J205">
        <v>0</v>
      </c>
    </row>
    <row r="206" spans="1:10" x14ac:dyDescent="0.25">
      <c r="A206">
        <v>2045000</v>
      </c>
      <c r="B206">
        <v>26</v>
      </c>
      <c r="C206">
        <v>1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1</v>
      </c>
      <c r="J206">
        <v>0</v>
      </c>
    </row>
    <row r="207" spans="1:10" x14ac:dyDescent="0.25">
      <c r="A207">
        <v>2055000</v>
      </c>
      <c r="B207">
        <v>0</v>
      </c>
      <c r="C207">
        <v>0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1</v>
      </c>
      <c r="J207">
        <v>0</v>
      </c>
    </row>
    <row r="208" spans="1:10" x14ac:dyDescent="0.25">
      <c r="A208">
        <v>2065000</v>
      </c>
      <c r="B208">
        <v>126</v>
      </c>
      <c r="C208">
        <v>1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1</v>
      </c>
      <c r="J208">
        <v>0</v>
      </c>
    </row>
    <row r="209" spans="1:10" x14ac:dyDescent="0.25">
      <c r="A209">
        <v>2075000</v>
      </c>
      <c r="B209">
        <v>0</v>
      </c>
      <c r="C209">
        <v>0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1</v>
      </c>
      <c r="J209">
        <v>0</v>
      </c>
    </row>
    <row r="210" spans="1:10" x14ac:dyDescent="0.25">
      <c r="A210">
        <v>2085000</v>
      </c>
      <c r="B210">
        <v>1026</v>
      </c>
      <c r="C210">
        <v>1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1</v>
      </c>
      <c r="J210">
        <v>0</v>
      </c>
    </row>
    <row r="211" spans="1:10" x14ac:dyDescent="0.25">
      <c r="A211">
        <v>2095000</v>
      </c>
      <c r="B211">
        <v>0</v>
      </c>
      <c r="C211">
        <v>0</v>
      </c>
      <c r="D211">
        <v>0</v>
      </c>
      <c r="E211">
        <v>1</v>
      </c>
      <c r="F211">
        <v>0</v>
      </c>
      <c r="G211">
        <v>0</v>
      </c>
      <c r="H211">
        <v>0</v>
      </c>
      <c r="I211">
        <v>1</v>
      </c>
      <c r="J211">
        <v>0</v>
      </c>
    </row>
    <row r="212" spans="1:10" x14ac:dyDescent="0.25">
      <c r="A212">
        <v>2105000</v>
      </c>
      <c r="B212">
        <v>10026</v>
      </c>
      <c r="C212">
        <v>1</v>
      </c>
      <c r="D212">
        <v>1</v>
      </c>
      <c r="E212">
        <v>1</v>
      </c>
      <c r="F212">
        <v>0</v>
      </c>
      <c r="G212">
        <v>0</v>
      </c>
      <c r="H212">
        <v>0</v>
      </c>
      <c r="I212">
        <v>1</v>
      </c>
      <c r="J212">
        <v>0</v>
      </c>
    </row>
    <row r="213" spans="1:10" x14ac:dyDescent="0.25">
      <c r="A213">
        <v>2115000</v>
      </c>
      <c r="B213">
        <v>0</v>
      </c>
      <c r="C213">
        <v>0</v>
      </c>
      <c r="D213">
        <v>0</v>
      </c>
      <c r="E213">
        <v>1</v>
      </c>
      <c r="F213">
        <v>0</v>
      </c>
      <c r="G213">
        <v>0</v>
      </c>
      <c r="H213">
        <v>0</v>
      </c>
      <c r="I213">
        <v>1</v>
      </c>
      <c r="J213">
        <v>0</v>
      </c>
    </row>
    <row r="214" spans="1:10" x14ac:dyDescent="0.25">
      <c r="A214">
        <v>2125000</v>
      </c>
      <c r="B214">
        <v>0</v>
      </c>
      <c r="C214">
        <v>1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1</v>
      </c>
      <c r="J214">
        <v>0</v>
      </c>
    </row>
    <row r="215" spans="1:10" x14ac:dyDescent="0.25">
      <c r="A215">
        <v>2135000</v>
      </c>
      <c r="B215">
        <v>0</v>
      </c>
      <c r="C215">
        <v>0</v>
      </c>
      <c r="D215">
        <v>0</v>
      </c>
      <c r="E215">
        <v>1</v>
      </c>
      <c r="F215">
        <v>0</v>
      </c>
      <c r="G215">
        <v>0</v>
      </c>
      <c r="H215">
        <v>0</v>
      </c>
      <c r="I215">
        <v>1</v>
      </c>
      <c r="J215">
        <v>0</v>
      </c>
    </row>
    <row r="216" spans="1:10" x14ac:dyDescent="0.25">
      <c r="A216">
        <v>2145000</v>
      </c>
      <c r="B216">
        <v>5</v>
      </c>
      <c r="C216">
        <v>1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1</v>
      </c>
      <c r="J216">
        <v>0</v>
      </c>
    </row>
    <row r="217" spans="1:10" x14ac:dyDescent="0.25">
      <c r="A217">
        <v>2155000</v>
      </c>
      <c r="B217">
        <v>0</v>
      </c>
      <c r="C217">
        <v>0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1</v>
      </c>
      <c r="J217">
        <v>0</v>
      </c>
    </row>
    <row r="218" spans="1:10" x14ac:dyDescent="0.25">
      <c r="A218">
        <v>2165000</v>
      </c>
      <c r="B218">
        <v>27</v>
      </c>
      <c r="C218">
        <v>1</v>
      </c>
      <c r="D218">
        <v>0</v>
      </c>
      <c r="E218">
        <v>1</v>
      </c>
      <c r="F218">
        <v>0</v>
      </c>
      <c r="G218">
        <v>0</v>
      </c>
      <c r="H218">
        <v>0</v>
      </c>
      <c r="I218">
        <v>1</v>
      </c>
      <c r="J218">
        <v>0</v>
      </c>
    </row>
    <row r="219" spans="1:10" x14ac:dyDescent="0.25">
      <c r="A219">
        <v>2175000</v>
      </c>
      <c r="B219">
        <v>0</v>
      </c>
      <c r="C219">
        <v>0</v>
      </c>
      <c r="D219">
        <v>0</v>
      </c>
      <c r="E219">
        <v>1</v>
      </c>
      <c r="F219">
        <v>0</v>
      </c>
      <c r="G219">
        <v>0</v>
      </c>
      <c r="H219">
        <v>0</v>
      </c>
      <c r="I219">
        <v>1</v>
      </c>
      <c r="J219">
        <v>0</v>
      </c>
    </row>
    <row r="220" spans="1:10" x14ac:dyDescent="0.25">
      <c r="A220">
        <v>2185000</v>
      </c>
      <c r="B220">
        <v>127</v>
      </c>
      <c r="C220">
        <v>1</v>
      </c>
      <c r="D220">
        <v>0</v>
      </c>
      <c r="E220">
        <v>1</v>
      </c>
      <c r="F220">
        <v>0</v>
      </c>
      <c r="G220">
        <v>0</v>
      </c>
      <c r="H220">
        <v>0</v>
      </c>
      <c r="I220">
        <v>1</v>
      </c>
      <c r="J220">
        <v>0</v>
      </c>
    </row>
    <row r="221" spans="1:10" x14ac:dyDescent="0.25">
      <c r="A221">
        <v>2195000</v>
      </c>
      <c r="B221">
        <v>0</v>
      </c>
      <c r="C221">
        <v>0</v>
      </c>
      <c r="D221">
        <v>0</v>
      </c>
      <c r="E221">
        <v>1</v>
      </c>
      <c r="F221">
        <v>0</v>
      </c>
      <c r="G221">
        <v>0</v>
      </c>
      <c r="H221">
        <v>0</v>
      </c>
      <c r="I221">
        <v>1</v>
      </c>
      <c r="J221">
        <v>0</v>
      </c>
    </row>
    <row r="222" spans="1:10" x14ac:dyDescent="0.25">
      <c r="A222">
        <v>2205000</v>
      </c>
      <c r="B222">
        <v>1027</v>
      </c>
      <c r="C222">
        <v>1</v>
      </c>
      <c r="D222">
        <v>0</v>
      </c>
      <c r="E222">
        <v>1</v>
      </c>
      <c r="F222">
        <v>0</v>
      </c>
      <c r="G222">
        <v>0</v>
      </c>
      <c r="H222">
        <v>0</v>
      </c>
      <c r="I222">
        <v>1</v>
      </c>
      <c r="J222">
        <v>0</v>
      </c>
    </row>
    <row r="223" spans="1:10" x14ac:dyDescent="0.25">
      <c r="A223">
        <v>2215000</v>
      </c>
      <c r="B223">
        <v>0</v>
      </c>
      <c r="C223">
        <v>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1</v>
      </c>
      <c r="J223">
        <v>0</v>
      </c>
    </row>
    <row r="224" spans="1:10" x14ac:dyDescent="0.25">
      <c r="A224">
        <v>2225000</v>
      </c>
      <c r="B224">
        <v>10027</v>
      </c>
      <c r="C224">
        <v>1</v>
      </c>
      <c r="D224">
        <v>1</v>
      </c>
      <c r="E224">
        <v>1</v>
      </c>
      <c r="F224">
        <v>0</v>
      </c>
      <c r="G224">
        <v>0</v>
      </c>
      <c r="H224">
        <v>0</v>
      </c>
      <c r="I224">
        <v>1</v>
      </c>
      <c r="J224">
        <v>0</v>
      </c>
    </row>
    <row r="225" spans="1:10" x14ac:dyDescent="0.25">
      <c r="A225">
        <v>2235000</v>
      </c>
      <c r="B225">
        <v>0</v>
      </c>
      <c r="C225">
        <v>0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1</v>
      </c>
      <c r="J225">
        <v>0</v>
      </c>
    </row>
    <row r="226" spans="1:10" x14ac:dyDescent="0.25">
      <c r="A226">
        <v>2245000</v>
      </c>
      <c r="B226">
        <v>0</v>
      </c>
      <c r="C226">
        <v>1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1</v>
      </c>
      <c r="J226">
        <v>0</v>
      </c>
    </row>
    <row r="227" spans="1:10" x14ac:dyDescent="0.25">
      <c r="A227">
        <v>2255000</v>
      </c>
      <c r="B227">
        <v>0</v>
      </c>
      <c r="C227">
        <v>0</v>
      </c>
      <c r="D227">
        <v>0</v>
      </c>
      <c r="E227">
        <v>1</v>
      </c>
      <c r="F227">
        <v>0</v>
      </c>
      <c r="G227">
        <v>0</v>
      </c>
      <c r="H227">
        <v>0</v>
      </c>
      <c r="I227">
        <v>1</v>
      </c>
      <c r="J227">
        <v>0</v>
      </c>
    </row>
    <row r="228" spans="1:10" x14ac:dyDescent="0.25">
      <c r="A228">
        <v>2265000</v>
      </c>
      <c r="B228">
        <v>5</v>
      </c>
      <c r="C228">
        <v>1</v>
      </c>
      <c r="D228">
        <v>0</v>
      </c>
      <c r="E228">
        <v>1</v>
      </c>
      <c r="F228">
        <v>0</v>
      </c>
      <c r="G228">
        <v>0</v>
      </c>
      <c r="H228">
        <v>0</v>
      </c>
      <c r="I228">
        <v>1</v>
      </c>
      <c r="J228">
        <v>0</v>
      </c>
    </row>
    <row r="229" spans="1:10" x14ac:dyDescent="0.25">
      <c r="A229">
        <v>2275000</v>
      </c>
      <c r="B229">
        <v>0</v>
      </c>
      <c r="C229">
        <v>0</v>
      </c>
      <c r="D229">
        <v>0</v>
      </c>
      <c r="E229">
        <v>1</v>
      </c>
      <c r="F229">
        <v>0</v>
      </c>
      <c r="G229">
        <v>0</v>
      </c>
      <c r="H229">
        <v>0</v>
      </c>
      <c r="I229">
        <v>1</v>
      </c>
      <c r="J229">
        <v>0</v>
      </c>
    </row>
    <row r="230" spans="1:10" x14ac:dyDescent="0.25">
      <c r="A230">
        <v>2285000</v>
      </c>
      <c r="B230">
        <v>28</v>
      </c>
      <c r="C230">
        <v>1</v>
      </c>
      <c r="D230">
        <v>0</v>
      </c>
      <c r="E230">
        <v>1</v>
      </c>
      <c r="F230">
        <v>0</v>
      </c>
      <c r="G230">
        <v>0</v>
      </c>
      <c r="H230">
        <v>0</v>
      </c>
      <c r="I230">
        <v>1</v>
      </c>
      <c r="J230">
        <v>0</v>
      </c>
    </row>
    <row r="231" spans="1:10" x14ac:dyDescent="0.25">
      <c r="A231">
        <v>2295000</v>
      </c>
      <c r="B231">
        <v>0</v>
      </c>
      <c r="C231">
        <v>0</v>
      </c>
      <c r="D231">
        <v>0</v>
      </c>
      <c r="E231">
        <v>1</v>
      </c>
      <c r="F231">
        <v>0</v>
      </c>
      <c r="G231">
        <v>0</v>
      </c>
      <c r="H231">
        <v>0</v>
      </c>
      <c r="I231">
        <v>1</v>
      </c>
      <c r="J231">
        <v>0</v>
      </c>
    </row>
    <row r="232" spans="1:10" x14ac:dyDescent="0.25">
      <c r="A232">
        <v>2305000</v>
      </c>
      <c r="B232">
        <v>128</v>
      </c>
      <c r="C232">
        <v>1</v>
      </c>
      <c r="D232">
        <v>0</v>
      </c>
      <c r="E232">
        <v>1</v>
      </c>
      <c r="F232">
        <v>0</v>
      </c>
      <c r="G232">
        <v>0</v>
      </c>
      <c r="H232">
        <v>0</v>
      </c>
      <c r="I232">
        <v>1</v>
      </c>
      <c r="J232">
        <v>0</v>
      </c>
    </row>
    <row r="233" spans="1:10" x14ac:dyDescent="0.25">
      <c r="A233">
        <v>2315000</v>
      </c>
      <c r="B233">
        <v>0</v>
      </c>
      <c r="C233">
        <v>0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1</v>
      </c>
      <c r="J233">
        <v>0</v>
      </c>
    </row>
    <row r="234" spans="1:10" x14ac:dyDescent="0.25">
      <c r="A234">
        <v>2325000</v>
      </c>
      <c r="B234">
        <v>1028</v>
      </c>
      <c r="C234">
        <v>1</v>
      </c>
      <c r="D234">
        <v>0</v>
      </c>
      <c r="E234">
        <v>1</v>
      </c>
      <c r="F234">
        <v>0</v>
      </c>
      <c r="G234">
        <v>0</v>
      </c>
      <c r="H234">
        <v>0</v>
      </c>
      <c r="I234">
        <v>1</v>
      </c>
      <c r="J234">
        <v>0</v>
      </c>
    </row>
    <row r="235" spans="1:10" x14ac:dyDescent="0.25">
      <c r="A235">
        <v>2335000</v>
      </c>
      <c r="B235">
        <v>0</v>
      </c>
      <c r="C235">
        <v>0</v>
      </c>
      <c r="D235">
        <v>0</v>
      </c>
      <c r="E235">
        <v>1</v>
      </c>
      <c r="F235">
        <v>0</v>
      </c>
      <c r="G235">
        <v>0</v>
      </c>
      <c r="H235">
        <v>0</v>
      </c>
      <c r="I235">
        <v>1</v>
      </c>
      <c r="J235">
        <v>0</v>
      </c>
    </row>
    <row r="236" spans="1:10" x14ac:dyDescent="0.25">
      <c r="A236">
        <v>2345000</v>
      </c>
      <c r="B236">
        <v>10028</v>
      </c>
      <c r="C236">
        <v>1</v>
      </c>
      <c r="D236">
        <v>1</v>
      </c>
      <c r="E236">
        <v>1</v>
      </c>
      <c r="F236">
        <v>0</v>
      </c>
      <c r="G236">
        <v>0</v>
      </c>
      <c r="H236">
        <v>0</v>
      </c>
      <c r="I236">
        <v>1</v>
      </c>
      <c r="J236">
        <v>0</v>
      </c>
    </row>
    <row r="237" spans="1:10" x14ac:dyDescent="0.25">
      <c r="A237">
        <v>2355000</v>
      </c>
      <c r="B237">
        <v>0</v>
      </c>
      <c r="C237">
        <v>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v>1</v>
      </c>
      <c r="J237">
        <v>0</v>
      </c>
    </row>
    <row r="238" spans="1:10" x14ac:dyDescent="0.25">
      <c r="A238">
        <v>2365000</v>
      </c>
      <c r="B238">
        <v>0</v>
      </c>
      <c r="C238">
        <v>1</v>
      </c>
      <c r="D238">
        <v>0</v>
      </c>
      <c r="E238">
        <v>1</v>
      </c>
      <c r="F238">
        <v>0</v>
      </c>
      <c r="G238">
        <v>0</v>
      </c>
      <c r="H238">
        <v>0</v>
      </c>
      <c r="I238">
        <v>1</v>
      </c>
      <c r="J238">
        <v>0</v>
      </c>
    </row>
    <row r="239" spans="1:10" x14ac:dyDescent="0.25">
      <c r="A239">
        <v>2375000</v>
      </c>
      <c r="B239">
        <v>0</v>
      </c>
      <c r="C239">
        <v>0</v>
      </c>
      <c r="D239">
        <v>0</v>
      </c>
      <c r="E239">
        <v>1</v>
      </c>
      <c r="F239">
        <v>0</v>
      </c>
      <c r="G239">
        <v>0</v>
      </c>
      <c r="H239">
        <v>0</v>
      </c>
      <c r="I239">
        <v>1</v>
      </c>
      <c r="J239">
        <v>0</v>
      </c>
    </row>
    <row r="240" spans="1:10" x14ac:dyDescent="0.25">
      <c r="A240">
        <v>2385000</v>
      </c>
      <c r="B240">
        <v>5</v>
      </c>
      <c r="C240">
        <v>1</v>
      </c>
      <c r="D240">
        <v>0</v>
      </c>
      <c r="E240">
        <v>1</v>
      </c>
      <c r="F240">
        <v>0</v>
      </c>
      <c r="G240">
        <v>0</v>
      </c>
      <c r="H240">
        <v>0</v>
      </c>
      <c r="I240">
        <v>1</v>
      </c>
      <c r="J240">
        <v>0</v>
      </c>
    </row>
    <row r="241" spans="1:10" x14ac:dyDescent="0.25">
      <c r="A241">
        <v>2395000</v>
      </c>
      <c r="B241">
        <v>0</v>
      </c>
      <c r="C241">
        <v>0</v>
      </c>
      <c r="D241">
        <v>0</v>
      </c>
      <c r="E241">
        <v>1</v>
      </c>
      <c r="F241">
        <v>0</v>
      </c>
      <c r="G241">
        <v>0</v>
      </c>
      <c r="H241">
        <v>0</v>
      </c>
      <c r="I241">
        <v>1</v>
      </c>
      <c r="J241">
        <v>0</v>
      </c>
    </row>
    <row r="242" spans="1:10" x14ac:dyDescent="0.25">
      <c r="A242">
        <v>2405000</v>
      </c>
      <c r="B242">
        <v>29</v>
      </c>
      <c r="C242">
        <v>1</v>
      </c>
      <c r="D242">
        <v>0</v>
      </c>
      <c r="E242">
        <v>1</v>
      </c>
      <c r="F242">
        <v>0</v>
      </c>
      <c r="G242">
        <v>0</v>
      </c>
      <c r="H242">
        <v>0</v>
      </c>
      <c r="I242">
        <v>1</v>
      </c>
      <c r="J242">
        <v>0</v>
      </c>
    </row>
    <row r="243" spans="1:10" x14ac:dyDescent="0.25">
      <c r="A243">
        <v>2415000</v>
      </c>
      <c r="B243">
        <v>0</v>
      </c>
      <c r="C243">
        <v>0</v>
      </c>
      <c r="D243">
        <v>0</v>
      </c>
      <c r="E243">
        <v>1</v>
      </c>
      <c r="F243">
        <v>0</v>
      </c>
      <c r="G243">
        <v>0</v>
      </c>
      <c r="H243">
        <v>0</v>
      </c>
      <c r="I243">
        <v>1</v>
      </c>
      <c r="J243">
        <v>0</v>
      </c>
    </row>
    <row r="244" spans="1:10" x14ac:dyDescent="0.25">
      <c r="A244">
        <v>2425000</v>
      </c>
      <c r="B244">
        <v>129</v>
      </c>
      <c r="C244">
        <v>1</v>
      </c>
      <c r="D244">
        <v>0</v>
      </c>
      <c r="E244">
        <v>1</v>
      </c>
      <c r="F244">
        <v>0</v>
      </c>
      <c r="G244">
        <v>0</v>
      </c>
      <c r="H244">
        <v>0</v>
      </c>
      <c r="I244">
        <v>1</v>
      </c>
      <c r="J244">
        <v>0</v>
      </c>
    </row>
    <row r="245" spans="1:10" x14ac:dyDescent="0.25">
      <c r="A245">
        <v>2435000</v>
      </c>
      <c r="B245">
        <v>0</v>
      </c>
      <c r="C245">
        <v>0</v>
      </c>
      <c r="D245">
        <v>0</v>
      </c>
      <c r="E245">
        <v>1</v>
      </c>
      <c r="F245">
        <v>0</v>
      </c>
      <c r="G245">
        <v>0</v>
      </c>
      <c r="H245">
        <v>0</v>
      </c>
      <c r="I245">
        <v>1</v>
      </c>
      <c r="J245">
        <v>0</v>
      </c>
    </row>
    <row r="246" spans="1:10" x14ac:dyDescent="0.25">
      <c r="A246">
        <v>2445000</v>
      </c>
      <c r="B246">
        <v>1029</v>
      </c>
      <c r="C246">
        <v>1</v>
      </c>
      <c r="D246">
        <v>0</v>
      </c>
      <c r="E246">
        <v>1</v>
      </c>
      <c r="F246">
        <v>0</v>
      </c>
      <c r="G246">
        <v>0</v>
      </c>
      <c r="H246">
        <v>0</v>
      </c>
      <c r="I246">
        <v>1</v>
      </c>
      <c r="J246">
        <v>0</v>
      </c>
    </row>
    <row r="247" spans="1:10" x14ac:dyDescent="0.25">
      <c r="A247">
        <v>2455000</v>
      </c>
      <c r="B247">
        <v>0</v>
      </c>
      <c r="C247">
        <v>0</v>
      </c>
      <c r="D247">
        <v>0</v>
      </c>
      <c r="E247">
        <v>1</v>
      </c>
      <c r="F247">
        <v>0</v>
      </c>
      <c r="G247">
        <v>0</v>
      </c>
      <c r="H247">
        <v>0</v>
      </c>
      <c r="I247">
        <v>1</v>
      </c>
      <c r="J247">
        <v>0</v>
      </c>
    </row>
    <row r="248" spans="1:10" x14ac:dyDescent="0.25">
      <c r="A248">
        <v>2465000</v>
      </c>
      <c r="B248">
        <v>10029</v>
      </c>
      <c r="C248">
        <v>1</v>
      </c>
      <c r="D248">
        <v>1</v>
      </c>
      <c r="E248">
        <v>1</v>
      </c>
      <c r="F248">
        <v>0</v>
      </c>
      <c r="G248">
        <v>0</v>
      </c>
      <c r="H248">
        <v>0</v>
      </c>
      <c r="I248">
        <v>1</v>
      </c>
      <c r="J248">
        <v>0</v>
      </c>
    </row>
    <row r="249" spans="1:10" x14ac:dyDescent="0.25">
      <c r="A249">
        <v>2475000</v>
      </c>
      <c r="B249">
        <v>0</v>
      </c>
      <c r="C249">
        <v>0</v>
      </c>
      <c r="D249">
        <v>0</v>
      </c>
      <c r="E249">
        <v>1</v>
      </c>
      <c r="F249">
        <v>0</v>
      </c>
      <c r="G249">
        <v>0</v>
      </c>
      <c r="H249">
        <v>0</v>
      </c>
      <c r="I249">
        <v>1</v>
      </c>
      <c r="J249">
        <v>0</v>
      </c>
    </row>
    <row r="250" spans="1:10" x14ac:dyDescent="0.25">
      <c r="A250">
        <v>2485000</v>
      </c>
      <c r="B250">
        <v>0</v>
      </c>
      <c r="C250">
        <v>1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1</v>
      </c>
      <c r="J250">
        <v>0</v>
      </c>
    </row>
    <row r="251" spans="1:10" x14ac:dyDescent="0.25">
      <c r="A251">
        <v>2495000</v>
      </c>
      <c r="B251">
        <v>0</v>
      </c>
      <c r="C251">
        <v>0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1</v>
      </c>
      <c r="J251">
        <v>0</v>
      </c>
    </row>
    <row r="252" spans="1:10" x14ac:dyDescent="0.25">
      <c r="A252">
        <v>2505000</v>
      </c>
      <c r="B252">
        <v>5</v>
      </c>
      <c r="C252">
        <v>1</v>
      </c>
      <c r="D252">
        <v>0</v>
      </c>
      <c r="E252">
        <v>1</v>
      </c>
      <c r="F252">
        <v>0</v>
      </c>
      <c r="G252">
        <v>0</v>
      </c>
      <c r="H252">
        <v>0</v>
      </c>
      <c r="I252">
        <v>1</v>
      </c>
      <c r="J252">
        <v>0</v>
      </c>
    </row>
    <row r="253" spans="1:10" x14ac:dyDescent="0.25">
      <c r="A253">
        <v>2515000</v>
      </c>
      <c r="B253">
        <v>0</v>
      </c>
      <c r="C253">
        <v>0</v>
      </c>
      <c r="D253">
        <v>0</v>
      </c>
      <c r="E253">
        <v>1</v>
      </c>
      <c r="F253">
        <v>0</v>
      </c>
      <c r="G253">
        <v>0</v>
      </c>
      <c r="H253">
        <v>0</v>
      </c>
      <c r="I253">
        <v>1</v>
      </c>
      <c r="J253">
        <v>0</v>
      </c>
    </row>
    <row r="254" spans="1:10" x14ac:dyDescent="0.25">
      <c r="A254">
        <v>2525000</v>
      </c>
      <c r="B254">
        <v>30</v>
      </c>
      <c r="C254">
        <v>1</v>
      </c>
      <c r="D254">
        <v>0</v>
      </c>
      <c r="E254">
        <v>1</v>
      </c>
      <c r="F254">
        <v>0</v>
      </c>
      <c r="G254">
        <v>0</v>
      </c>
      <c r="H254">
        <v>0</v>
      </c>
      <c r="I254">
        <v>1</v>
      </c>
      <c r="J254">
        <v>0</v>
      </c>
    </row>
    <row r="255" spans="1:10" x14ac:dyDescent="0.25">
      <c r="A255">
        <v>2535000</v>
      </c>
      <c r="B255">
        <v>0</v>
      </c>
      <c r="C255">
        <v>0</v>
      </c>
      <c r="D255">
        <v>0</v>
      </c>
      <c r="E255">
        <v>1</v>
      </c>
      <c r="F255">
        <v>0</v>
      </c>
      <c r="G255">
        <v>0</v>
      </c>
      <c r="H255">
        <v>0</v>
      </c>
      <c r="I255">
        <v>1</v>
      </c>
      <c r="J255">
        <v>0</v>
      </c>
    </row>
    <row r="256" spans="1:10" x14ac:dyDescent="0.25">
      <c r="A256">
        <v>2545000</v>
      </c>
      <c r="B256">
        <v>130</v>
      </c>
      <c r="C256">
        <v>1</v>
      </c>
      <c r="D256">
        <v>0</v>
      </c>
      <c r="E256">
        <v>1</v>
      </c>
      <c r="F256">
        <v>0</v>
      </c>
      <c r="G256">
        <v>0</v>
      </c>
      <c r="H256">
        <v>0</v>
      </c>
      <c r="I256">
        <v>1</v>
      </c>
      <c r="J256">
        <v>0</v>
      </c>
    </row>
    <row r="257" spans="1:10" x14ac:dyDescent="0.25">
      <c r="A257">
        <v>2555000</v>
      </c>
      <c r="B257">
        <v>0</v>
      </c>
      <c r="C257">
        <v>0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1</v>
      </c>
      <c r="J257">
        <v>0</v>
      </c>
    </row>
    <row r="258" spans="1:10" x14ac:dyDescent="0.25">
      <c r="A258">
        <v>2565000</v>
      </c>
      <c r="B258">
        <v>1030</v>
      </c>
      <c r="C258">
        <v>1</v>
      </c>
      <c r="D258">
        <v>0</v>
      </c>
      <c r="E258">
        <v>1</v>
      </c>
      <c r="F258">
        <v>0</v>
      </c>
      <c r="G258">
        <v>0</v>
      </c>
      <c r="H258">
        <v>0</v>
      </c>
      <c r="I258">
        <v>1</v>
      </c>
      <c r="J258">
        <v>0</v>
      </c>
    </row>
    <row r="259" spans="1:10" x14ac:dyDescent="0.25">
      <c r="A259">
        <v>2575000</v>
      </c>
      <c r="B259">
        <v>0</v>
      </c>
      <c r="C259">
        <v>0</v>
      </c>
      <c r="D259">
        <v>0</v>
      </c>
      <c r="E259">
        <v>1</v>
      </c>
      <c r="F259">
        <v>0</v>
      </c>
      <c r="G259">
        <v>0</v>
      </c>
      <c r="H259">
        <v>0</v>
      </c>
      <c r="I259">
        <v>1</v>
      </c>
      <c r="J259">
        <v>0</v>
      </c>
    </row>
    <row r="260" spans="1:10" x14ac:dyDescent="0.25">
      <c r="A260">
        <v>2585000</v>
      </c>
      <c r="B260">
        <v>10030</v>
      </c>
      <c r="C260">
        <v>1</v>
      </c>
      <c r="D260">
        <v>1</v>
      </c>
      <c r="E260">
        <v>1</v>
      </c>
      <c r="F260">
        <v>0</v>
      </c>
      <c r="G260">
        <v>0</v>
      </c>
      <c r="H260">
        <v>0</v>
      </c>
      <c r="I260">
        <v>1</v>
      </c>
      <c r="J260">
        <v>0</v>
      </c>
    </row>
    <row r="261" spans="1:10" x14ac:dyDescent="0.25">
      <c r="A261">
        <v>2595000</v>
      </c>
      <c r="B261">
        <v>0</v>
      </c>
      <c r="C261">
        <v>0</v>
      </c>
      <c r="D261">
        <v>0</v>
      </c>
      <c r="E261">
        <v>1</v>
      </c>
      <c r="F261">
        <v>0</v>
      </c>
      <c r="G261">
        <v>0</v>
      </c>
      <c r="H261">
        <v>0</v>
      </c>
      <c r="I261">
        <v>1</v>
      </c>
      <c r="J261">
        <v>0</v>
      </c>
    </row>
    <row r="262" spans="1:10" x14ac:dyDescent="0.25">
      <c r="A262">
        <v>2605000</v>
      </c>
      <c r="B262">
        <v>0</v>
      </c>
      <c r="C262">
        <v>1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1</v>
      </c>
      <c r="J262">
        <v>0</v>
      </c>
    </row>
    <row r="263" spans="1:10" x14ac:dyDescent="0.25">
      <c r="A263">
        <v>2615000</v>
      </c>
      <c r="B263">
        <v>0</v>
      </c>
      <c r="C263">
        <v>0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1</v>
      </c>
      <c r="J263">
        <v>0</v>
      </c>
    </row>
    <row r="264" spans="1:10" x14ac:dyDescent="0.25">
      <c r="A264">
        <v>2625000</v>
      </c>
      <c r="B264">
        <v>5</v>
      </c>
      <c r="C264">
        <v>1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1</v>
      </c>
      <c r="J264">
        <v>0</v>
      </c>
    </row>
    <row r="265" spans="1:10" x14ac:dyDescent="0.25">
      <c r="A265">
        <v>2635000</v>
      </c>
      <c r="B265">
        <v>0</v>
      </c>
      <c r="C265">
        <v>0</v>
      </c>
      <c r="D265">
        <v>0</v>
      </c>
      <c r="E265">
        <v>1</v>
      </c>
      <c r="F265">
        <v>0</v>
      </c>
      <c r="G265">
        <v>0</v>
      </c>
      <c r="H265">
        <v>0</v>
      </c>
      <c r="I265">
        <v>1</v>
      </c>
      <c r="J265">
        <v>0</v>
      </c>
    </row>
    <row r="266" spans="1:10" x14ac:dyDescent="0.25">
      <c r="A266">
        <v>2645000</v>
      </c>
      <c r="B266">
        <v>31</v>
      </c>
      <c r="C266">
        <v>1</v>
      </c>
      <c r="D266">
        <v>0</v>
      </c>
      <c r="E266">
        <v>1</v>
      </c>
      <c r="F266">
        <v>0</v>
      </c>
      <c r="G266">
        <v>0</v>
      </c>
      <c r="H266">
        <v>0</v>
      </c>
      <c r="I266">
        <v>1</v>
      </c>
      <c r="J266">
        <v>0</v>
      </c>
    </row>
    <row r="267" spans="1:10" x14ac:dyDescent="0.25">
      <c r="A267">
        <v>2655000</v>
      </c>
      <c r="B267">
        <v>0</v>
      </c>
      <c r="C267">
        <v>0</v>
      </c>
      <c r="D267">
        <v>0</v>
      </c>
      <c r="E267">
        <v>1</v>
      </c>
      <c r="F267">
        <v>0</v>
      </c>
      <c r="G267">
        <v>0</v>
      </c>
      <c r="H267">
        <v>0</v>
      </c>
      <c r="I267">
        <v>1</v>
      </c>
      <c r="J267">
        <v>0</v>
      </c>
    </row>
    <row r="268" spans="1:10" x14ac:dyDescent="0.25">
      <c r="A268">
        <v>2665000</v>
      </c>
      <c r="B268">
        <v>131</v>
      </c>
      <c r="C268">
        <v>1</v>
      </c>
      <c r="D268">
        <v>0</v>
      </c>
      <c r="E268">
        <v>1</v>
      </c>
      <c r="F268">
        <v>0</v>
      </c>
      <c r="G268">
        <v>0</v>
      </c>
      <c r="H268">
        <v>0</v>
      </c>
      <c r="I268">
        <v>1</v>
      </c>
      <c r="J268">
        <v>0</v>
      </c>
    </row>
    <row r="269" spans="1:10" x14ac:dyDescent="0.25">
      <c r="A269">
        <v>2675000</v>
      </c>
      <c r="B269">
        <v>0</v>
      </c>
      <c r="C269">
        <v>0</v>
      </c>
      <c r="D269">
        <v>0</v>
      </c>
      <c r="E269">
        <v>1</v>
      </c>
      <c r="F269">
        <v>0</v>
      </c>
      <c r="G269">
        <v>0</v>
      </c>
      <c r="H269">
        <v>0</v>
      </c>
      <c r="I269">
        <v>1</v>
      </c>
      <c r="J269">
        <v>0</v>
      </c>
    </row>
    <row r="270" spans="1:10" x14ac:dyDescent="0.25">
      <c r="A270">
        <v>2685000</v>
      </c>
      <c r="B270">
        <v>1031</v>
      </c>
      <c r="C270">
        <v>1</v>
      </c>
      <c r="D270">
        <v>0</v>
      </c>
      <c r="E270">
        <v>1</v>
      </c>
      <c r="F270">
        <v>0</v>
      </c>
      <c r="G270">
        <v>0</v>
      </c>
      <c r="H270">
        <v>0</v>
      </c>
      <c r="I270">
        <v>1</v>
      </c>
      <c r="J270">
        <v>0</v>
      </c>
    </row>
    <row r="271" spans="1:10" x14ac:dyDescent="0.25">
      <c r="A271">
        <v>2695000</v>
      </c>
      <c r="B271">
        <v>0</v>
      </c>
      <c r="C271">
        <v>0</v>
      </c>
      <c r="D271">
        <v>0</v>
      </c>
      <c r="E271">
        <v>1</v>
      </c>
      <c r="F271">
        <v>0</v>
      </c>
      <c r="G271">
        <v>0</v>
      </c>
      <c r="H271">
        <v>0</v>
      </c>
      <c r="I271">
        <v>1</v>
      </c>
      <c r="J271">
        <v>0</v>
      </c>
    </row>
    <row r="272" spans="1:10" x14ac:dyDescent="0.25">
      <c r="A272">
        <v>2705000</v>
      </c>
      <c r="B272">
        <v>10031</v>
      </c>
      <c r="C272">
        <v>1</v>
      </c>
      <c r="D272">
        <v>1</v>
      </c>
      <c r="E272">
        <v>1</v>
      </c>
      <c r="F272">
        <v>0</v>
      </c>
      <c r="G272">
        <v>0</v>
      </c>
      <c r="H272">
        <v>0</v>
      </c>
      <c r="I272">
        <v>1</v>
      </c>
      <c r="J272">
        <v>0</v>
      </c>
    </row>
    <row r="273" spans="1:10" x14ac:dyDescent="0.25">
      <c r="A273">
        <v>2715000</v>
      </c>
      <c r="B273">
        <v>0</v>
      </c>
      <c r="C273">
        <v>0</v>
      </c>
      <c r="D273">
        <v>0</v>
      </c>
      <c r="E273">
        <v>1</v>
      </c>
      <c r="F273">
        <v>0</v>
      </c>
      <c r="G273">
        <v>0</v>
      </c>
      <c r="H273">
        <v>0</v>
      </c>
      <c r="I273">
        <v>1</v>
      </c>
      <c r="J273">
        <v>0</v>
      </c>
    </row>
    <row r="274" spans="1:10" x14ac:dyDescent="0.25">
      <c r="A274">
        <v>2725000</v>
      </c>
      <c r="B274">
        <v>0</v>
      </c>
      <c r="C274">
        <v>1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1</v>
      </c>
      <c r="J274">
        <v>0</v>
      </c>
    </row>
    <row r="275" spans="1:10" x14ac:dyDescent="0.25">
      <c r="A275">
        <v>2735000</v>
      </c>
      <c r="B275">
        <v>0</v>
      </c>
      <c r="C275">
        <v>0</v>
      </c>
      <c r="D275">
        <v>0</v>
      </c>
      <c r="E275">
        <v>1</v>
      </c>
      <c r="F275">
        <v>0</v>
      </c>
      <c r="G275">
        <v>0</v>
      </c>
      <c r="H275">
        <v>0</v>
      </c>
      <c r="I275">
        <v>1</v>
      </c>
      <c r="J275">
        <v>0</v>
      </c>
    </row>
    <row r="276" spans="1:10" x14ac:dyDescent="0.25">
      <c r="A276">
        <v>2745000</v>
      </c>
      <c r="B276">
        <v>5</v>
      </c>
      <c r="C276">
        <v>1</v>
      </c>
      <c r="D276">
        <v>0</v>
      </c>
      <c r="E276">
        <v>1</v>
      </c>
      <c r="F276">
        <v>0</v>
      </c>
      <c r="G276">
        <v>0</v>
      </c>
      <c r="H276">
        <v>0</v>
      </c>
      <c r="I276">
        <v>1</v>
      </c>
      <c r="J276">
        <v>0</v>
      </c>
    </row>
    <row r="277" spans="1:10" x14ac:dyDescent="0.25">
      <c r="A277">
        <v>2755000</v>
      </c>
      <c r="B277">
        <v>0</v>
      </c>
      <c r="C277">
        <v>0</v>
      </c>
      <c r="D277">
        <v>0</v>
      </c>
      <c r="E277">
        <v>1</v>
      </c>
      <c r="F277">
        <v>0</v>
      </c>
      <c r="G277">
        <v>0</v>
      </c>
      <c r="H277">
        <v>0</v>
      </c>
      <c r="I277">
        <v>1</v>
      </c>
      <c r="J277">
        <v>0</v>
      </c>
    </row>
    <row r="278" spans="1:10" x14ac:dyDescent="0.25">
      <c r="A278">
        <v>2765000</v>
      </c>
      <c r="B278">
        <v>32</v>
      </c>
      <c r="C278">
        <v>1</v>
      </c>
      <c r="D278">
        <v>0</v>
      </c>
      <c r="E278">
        <v>1</v>
      </c>
      <c r="F278">
        <v>0</v>
      </c>
      <c r="G278">
        <v>0</v>
      </c>
      <c r="H278">
        <v>0</v>
      </c>
      <c r="I278">
        <v>1</v>
      </c>
      <c r="J278">
        <v>0</v>
      </c>
    </row>
    <row r="279" spans="1:10" x14ac:dyDescent="0.25">
      <c r="A279">
        <v>2775000</v>
      </c>
      <c r="B279">
        <v>0</v>
      </c>
      <c r="C279">
        <v>0</v>
      </c>
      <c r="D279">
        <v>0</v>
      </c>
      <c r="E279">
        <v>1</v>
      </c>
      <c r="F279">
        <v>0</v>
      </c>
      <c r="G279">
        <v>0</v>
      </c>
      <c r="H279">
        <v>0</v>
      </c>
      <c r="I279">
        <v>1</v>
      </c>
      <c r="J279">
        <v>0</v>
      </c>
    </row>
    <row r="280" spans="1:10" x14ac:dyDescent="0.25">
      <c r="A280">
        <v>2785000</v>
      </c>
      <c r="B280">
        <v>132</v>
      </c>
      <c r="C280">
        <v>1</v>
      </c>
      <c r="D280">
        <v>0</v>
      </c>
      <c r="E280">
        <v>1</v>
      </c>
      <c r="F280">
        <v>0</v>
      </c>
      <c r="G280">
        <v>0</v>
      </c>
      <c r="H280">
        <v>0</v>
      </c>
      <c r="I280">
        <v>1</v>
      </c>
      <c r="J280">
        <v>0</v>
      </c>
    </row>
    <row r="281" spans="1:10" x14ac:dyDescent="0.25">
      <c r="A281">
        <v>2795000</v>
      </c>
      <c r="B281">
        <v>0</v>
      </c>
      <c r="C281">
        <v>0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1</v>
      </c>
      <c r="J281">
        <v>0</v>
      </c>
    </row>
    <row r="282" spans="1:10" x14ac:dyDescent="0.25">
      <c r="A282">
        <v>2805000</v>
      </c>
      <c r="B282">
        <v>1032</v>
      </c>
      <c r="C282">
        <v>1</v>
      </c>
      <c r="D282">
        <v>0</v>
      </c>
      <c r="E282">
        <v>1</v>
      </c>
      <c r="F282">
        <v>0</v>
      </c>
      <c r="G282">
        <v>0</v>
      </c>
      <c r="H282">
        <v>0</v>
      </c>
      <c r="I282">
        <v>1</v>
      </c>
      <c r="J282">
        <v>0</v>
      </c>
    </row>
    <row r="283" spans="1:10" x14ac:dyDescent="0.25">
      <c r="A283">
        <v>2815000</v>
      </c>
      <c r="B283">
        <v>0</v>
      </c>
      <c r="C283">
        <v>0</v>
      </c>
      <c r="D283">
        <v>0</v>
      </c>
      <c r="E283">
        <v>1</v>
      </c>
      <c r="F283">
        <v>0</v>
      </c>
      <c r="G283">
        <v>0</v>
      </c>
      <c r="H283">
        <v>0</v>
      </c>
      <c r="I283">
        <v>1</v>
      </c>
      <c r="J283">
        <v>0</v>
      </c>
    </row>
    <row r="284" spans="1:10" x14ac:dyDescent="0.25">
      <c r="A284">
        <v>2825000</v>
      </c>
      <c r="B284">
        <v>10032</v>
      </c>
      <c r="C284">
        <v>1</v>
      </c>
      <c r="D284">
        <v>1</v>
      </c>
      <c r="E284">
        <v>1</v>
      </c>
      <c r="F284">
        <v>0</v>
      </c>
      <c r="G284">
        <v>0</v>
      </c>
      <c r="H284">
        <v>0</v>
      </c>
      <c r="I284">
        <v>1</v>
      </c>
      <c r="J284">
        <v>0</v>
      </c>
    </row>
    <row r="285" spans="1:10" x14ac:dyDescent="0.25">
      <c r="A285">
        <v>2835000</v>
      </c>
      <c r="B285">
        <v>0</v>
      </c>
      <c r="C285">
        <v>0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1</v>
      </c>
      <c r="J285">
        <v>0</v>
      </c>
    </row>
    <row r="286" spans="1:10" x14ac:dyDescent="0.25">
      <c r="A286">
        <v>2845000</v>
      </c>
      <c r="B286">
        <v>0</v>
      </c>
      <c r="C286">
        <v>1</v>
      </c>
      <c r="D286">
        <v>0</v>
      </c>
      <c r="E286">
        <v>1</v>
      </c>
      <c r="F286">
        <v>0</v>
      </c>
      <c r="G286">
        <v>0</v>
      </c>
      <c r="H286">
        <v>0</v>
      </c>
      <c r="I286">
        <v>1</v>
      </c>
      <c r="J286">
        <v>0</v>
      </c>
    </row>
    <row r="287" spans="1:10" x14ac:dyDescent="0.25">
      <c r="A287">
        <v>2855000</v>
      </c>
      <c r="B287">
        <v>0</v>
      </c>
      <c r="C287">
        <v>0</v>
      </c>
      <c r="D287">
        <v>0</v>
      </c>
      <c r="E287">
        <v>1</v>
      </c>
      <c r="F287">
        <v>0</v>
      </c>
      <c r="G287">
        <v>0</v>
      </c>
      <c r="H287">
        <v>0</v>
      </c>
      <c r="I287">
        <v>1</v>
      </c>
      <c r="J287">
        <v>0</v>
      </c>
    </row>
    <row r="288" spans="1:10" x14ac:dyDescent="0.25">
      <c r="A288">
        <v>2865000</v>
      </c>
      <c r="B288">
        <v>5</v>
      </c>
      <c r="C288">
        <v>1</v>
      </c>
      <c r="D288">
        <v>0</v>
      </c>
      <c r="E288">
        <v>1</v>
      </c>
      <c r="F288">
        <v>0</v>
      </c>
      <c r="G288">
        <v>0</v>
      </c>
      <c r="H288">
        <v>0</v>
      </c>
      <c r="I288">
        <v>1</v>
      </c>
      <c r="J288">
        <v>0</v>
      </c>
    </row>
    <row r="289" spans="1:10" x14ac:dyDescent="0.25">
      <c r="A289">
        <v>2875000</v>
      </c>
      <c r="B289">
        <v>0</v>
      </c>
      <c r="C289">
        <v>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v>1</v>
      </c>
      <c r="J289">
        <v>0</v>
      </c>
    </row>
    <row r="290" spans="1:10" x14ac:dyDescent="0.25">
      <c r="A290">
        <v>2885000</v>
      </c>
      <c r="B290">
        <v>33</v>
      </c>
      <c r="C290">
        <v>1</v>
      </c>
      <c r="D290">
        <v>0</v>
      </c>
      <c r="E290">
        <v>1</v>
      </c>
      <c r="F290">
        <v>0</v>
      </c>
      <c r="G290">
        <v>0</v>
      </c>
      <c r="H290">
        <v>0</v>
      </c>
      <c r="I290">
        <v>1</v>
      </c>
      <c r="J290">
        <v>0</v>
      </c>
    </row>
    <row r="291" spans="1:10" x14ac:dyDescent="0.25">
      <c r="A291">
        <v>2895000</v>
      </c>
      <c r="B291">
        <v>0</v>
      </c>
      <c r="C291">
        <v>0</v>
      </c>
      <c r="D291">
        <v>0</v>
      </c>
      <c r="E291">
        <v>1</v>
      </c>
      <c r="F291">
        <v>0</v>
      </c>
      <c r="G291">
        <v>0</v>
      </c>
      <c r="H291">
        <v>0</v>
      </c>
      <c r="I291">
        <v>1</v>
      </c>
      <c r="J291">
        <v>0</v>
      </c>
    </row>
    <row r="292" spans="1:10" x14ac:dyDescent="0.25">
      <c r="A292">
        <v>2905000</v>
      </c>
      <c r="B292">
        <v>133</v>
      </c>
      <c r="C292">
        <v>1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1</v>
      </c>
      <c r="J292">
        <v>0</v>
      </c>
    </row>
    <row r="293" spans="1:10" x14ac:dyDescent="0.25">
      <c r="A293">
        <v>2915000</v>
      </c>
      <c r="B293">
        <v>0</v>
      </c>
      <c r="C293">
        <v>0</v>
      </c>
      <c r="D293">
        <v>0</v>
      </c>
      <c r="E293">
        <v>1</v>
      </c>
      <c r="F293">
        <v>0</v>
      </c>
      <c r="G293">
        <v>0</v>
      </c>
      <c r="H293">
        <v>0</v>
      </c>
      <c r="I293">
        <v>1</v>
      </c>
      <c r="J293">
        <v>0</v>
      </c>
    </row>
    <row r="294" spans="1:10" x14ac:dyDescent="0.25">
      <c r="A294">
        <v>2925000</v>
      </c>
      <c r="B294">
        <v>1033</v>
      </c>
      <c r="C294">
        <v>1</v>
      </c>
      <c r="D294">
        <v>0</v>
      </c>
      <c r="E294">
        <v>1</v>
      </c>
      <c r="F294">
        <v>0</v>
      </c>
      <c r="G294">
        <v>0</v>
      </c>
      <c r="H294">
        <v>0</v>
      </c>
      <c r="I294">
        <v>1</v>
      </c>
      <c r="J294">
        <v>0</v>
      </c>
    </row>
    <row r="295" spans="1:10" x14ac:dyDescent="0.25">
      <c r="A295">
        <v>2935000</v>
      </c>
      <c r="B295">
        <v>0</v>
      </c>
      <c r="C295">
        <v>0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1</v>
      </c>
      <c r="J295">
        <v>0</v>
      </c>
    </row>
    <row r="296" spans="1:10" x14ac:dyDescent="0.25">
      <c r="A296">
        <v>2945000</v>
      </c>
      <c r="B296">
        <v>10033</v>
      </c>
      <c r="C296">
        <v>1</v>
      </c>
      <c r="D296">
        <v>1</v>
      </c>
      <c r="E296">
        <v>1</v>
      </c>
      <c r="F296">
        <v>0</v>
      </c>
      <c r="G296">
        <v>0</v>
      </c>
      <c r="H296">
        <v>0</v>
      </c>
      <c r="I296">
        <v>1</v>
      </c>
      <c r="J296">
        <v>0</v>
      </c>
    </row>
    <row r="297" spans="1:10" x14ac:dyDescent="0.25">
      <c r="A297">
        <v>2955000</v>
      </c>
      <c r="B297">
        <v>0</v>
      </c>
      <c r="C297">
        <v>0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1</v>
      </c>
      <c r="J297">
        <v>0</v>
      </c>
    </row>
    <row r="298" spans="1:10" x14ac:dyDescent="0.25">
      <c r="A298">
        <v>2965000</v>
      </c>
      <c r="B298">
        <v>0</v>
      </c>
      <c r="C298">
        <v>1</v>
      </c>
      <c r="D298">
        <v>0</v>
      </c>
      <c r="E298">
        <v>1</v>
      </c>
      <c r="F298">
        <v>0</v>
      </c>
      <c r="G298">
        <v>0</v>
      </c>
      <c r="H298">
        <v>0</v>
      </c>
      <c r="I298">
        <v>1</v>
      </c>
      <c r="J298">
        <v>0</v>
      </c>
    </row>
    <row r="299" spans="1:10" x14ac:dyDescent="0.25">
      <c r="A299">
        <v>2975000</v>
      </c>
      <c r="B299">
        <v>0</v>
      </c>
      <c r="C299">
        <v>0</v>
      </c>
      <c r="D299">
        <v>0</v>
      </c>
      <c r="E299">
        <v>1</v>
      </c>
      <c r="F299">
        <v>0</v>
      </c>
      <c r="G299">
        <v>0</v>
      </c>
      <c r="H299">
        <v>0</v>
      </c>
      <c r="I299">
        <v>1</v>
      </c>
      <c r="J299">
        <v>0</v>
      </c>
    </row>
    <row r="300" spans="1:10" x14ac:dyDescent="0.25">
      <c r="A300">
        <v>2985000</v>
      </c>
      <c r="B300">
        <v>5</v>
      </c>
      <c r="C300">
        <v>1</v>
      </c>
      <c r="D300">
        <v>0</v>
      </c>
      <c r="E300">
        <v>1</v>
      </c>
      <c r="F300">
        <v>0</v>
      </c>
      <c r="G300">
        <v>0</v>
      </c>
      <c r="H300">
        <v>0</v>
      </c>
      <c r="I300">
        <v>1</v>
      </c>
      <c r="J300">
        <v>0</v>
      </c>
    </row>
    <row r="301" spans="1:10" x14ac:dyDescent="0.25">
      <c r="A301">
        <v>2995000</v>
      </c>
      <c r="B301">
        <v>0</v>
      </c>
      <c r="C301">
        <v>0</v>
      </c>
      <c r="D301">
        <v>0</v>
      </c>
      <c r="E301">
        <v>1</v>
      </c>
      <c r="F301">
        <v>0</v>
      </c>
      <c r="G301">
        <v>0</v>
      </c>
      <c r="H301">
        <v>0</v>
      </c>
      <c r="I301">
        <v>1</v>
      </c>
      <c r="J301">
        <v>0</v>
      </c>
    </row>
    <row r="302" spans="1:10" x14ac:dyDescent="0.25">
      <c r="A302">
        <v>3005000</v>
      </c>
      <c r="B302">
        <v>34</v>
      </c>
      <c r="C302">
        <v>1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1</v>
      </c>
      <c r="J302">
        <v>0</v>
      </c>
    </row>
    <row r="303" spans="1:10" x14ac:dyDescent="0.25">
      <c r="A303">
        <v>3015000</v>
      </c>
      <c r="B303">
        <v>0</v>
      </c>
      <c r="C303">
        <v>0</v>
      </c>
      <c r="D303">
        <v>0</v>
      </c>
      <c r="E303">
        <v>1</v>
      </c>
      <c r="F303">
        <v>0</v>
      </c>
      <c r="G303">
        <v>0</v>
      </c>
      <c r="H303">
        <v>0</v>
      </c>
      <c r="I303">
        <v>1</v>
      </c>
      <c r="J303">
        <v>0</v>
      </c>
    </row>
    <row r="304" spans="1:10" x14ac:dyDescent="0.25">
      <c r="A304">
        <v>3025000</v>
      </c>
      <c r="B304">
        <v>134</v>
      </c>
      <c r="C304">
        <v>1</v>
      </c>
      <c r="D304">
        <v>0</v>
      </c>
      <c r="E304">
        <v>1</v>
      </c>
      <c r="F304">
        <v>0</v>
      </c>
      <c r="G304">
        <v>0</v>
      </c>
      <c r="H304">
        <v>0</v>
      </c>
      <c r="I304">
        <v>1</v>
      </c>
      <c r="J304">
        <v>0</v>
      </c>
    </row>
    <row r="305" spans="1:10" x14ac:dyDescent="0.25">
      <c r="A305">
        <v>3035000</v>
      </c>
      <c r="B305">
        <v>0</v>
      </c>
      <c r="C305">
        <v>0</v>
      </c>
      <c r="D305">
        <v>0</v>
      </c>
      <c r="E305">
        <v>1</v>
      </c>
      <c r="F305">
        <v>0</v>
      </c>
      <c r="G305">
        <v>0</v>
      </c>
      <c r="H305">
        <v>0</v>
      </c>
      <c r="I305">
        <v>1</v>
      </c>
      <c r="J305">
        <v>0</v>
      </c>
    </row>
    <row r="306" spans="1:10" x14ac:dyDescent="0.25">
      <c r="A306">
        <v>3045000</v>
      </c>
      <c r="B306">
        <v>1034</v>
      </c>
      <c r="C306">
        <v>1</v>
      </c>
      <c r="D306">
        <v>0</v>
      </c>
      <c r="E306">
        <v>1</v>
      </c>
      <c r="F306">
        <v>0</v>
      </c>
      <c r="G306">
        <v>0</v>
      </c>
      <c r="H306">
        <v>0</v>
      </c>
      <c r="I306">
        <v>1</v>
      </c>
      <c r="J306">
        <v>0</v>
      </c>
    </row>
    <row r="307" spans="1:10" x14ac:dyDescent="0.25">
      <c r="A307">
        <v>3055000</v>
      </c>
      <c r="B307">
        <v>0</v>
      </c>
      <c r="C307">
        <v>0</v>
      </c>
      <c r="D307">
        <v>0</v>
      </c>
      <c r="E307">
        <v>1</v>
      </c>
      <c r="F307">
        <v>0</v>
      </c>
      <c r="G307">
        <v>0</v>
      </c>
      <c r="H307">
        <v>0</v>
      </c>
      <c r="I307">
        <v>1</v>
      </c>
      <c r="J307">
        <v>0</v>
      </c>
    </row>
    <row r="308" spans="1:10" x14ac:dyDescent="0.25">
      <c r="A308">
        <v>3065000</v>
      </c>
      <c r="B308">
        <v>10034</v>
      </c>
      <c r="C308">
        <v>1</v>
      </c>
      <c r="D308">
        <v>1</v>
      </c>
      <c r="E308">
        <v>1</v>
      </c>
      <c r="F308">
        <v>0</v>
      </c>
      <c r="G308">
        <v>0</v>
      </c>
      <c r="H308">
        <v>0</v>
      </c>
      <c r="I308">
        <v>1</v>
      </c>
      <c r="J308">
        <v>0</v>
      </c>
    </row>
    <row r="309" spans="1:10" x14ac:dyDescent="0.25">
      <c r="A309">
        <v>3075000</v>
      </c>
      <c r="B309">
        <v>0</v>
      </c>
      <c r="C309">
        <v>0</v>
      </c>
      <c r="D309">
        <v>0</v>
      </c>
      <c r="E309">
        <v>1</v>
      </c>
      <c r="F309">
        <v>0</v>
      </c>
      <c r="G309">
        <v>0</v>
      </c>
      <c r="H309">
        <v>0</v>
      </c>
      <c r="I309">
        <v>1</v>
      </c>
      <c r="J309">
        <v>0</v>
      </c>
    </row>
    <row r="310" spans="1:10" x14ac:dyDescent="0.25">
      <c r="A310">
        <v>3085000</v>
      </c>
      <c r="B310">
        <v>1</v>
      </c>
      <c r="C310">
        <v>1</v>
      </c>
      <c r="D310">
        <v>0</v>
      </c>
      <c r="E310">
        <v>1</v>
      </c>
      <c r="F310">
        <v>0</v>
      </c>
      <c r="G310">
        <v>0</v>
      </c>
      <c r="H310">
        <v>0</v>
      </c>
      <c r="I310">
        <v>1</v>
      </c>
      <c r="J310">
        <v>0</v>
      </c>
    </row>
    <row r="311" spans="1:10" x14ac:dyDescent="0.25">
      <c r="A311">
        <v>3095000</v>
      </c>
      <c r="B311">
        <v>0</v>
      </c>
      <c r="C311">
        <v>0</v>
      </c>
      <c r="D311">
        <v>0</v>
      </c>
      <c r="E311">
        <v>1</v>
      </c>
      <c r="F311">
        <v>0</v>
      </c>
      <c r="G311">
        <v>0</v>
      </c>
      <c r="H311">
        <v>0</v>
      </c>
      <c r="I311">
        <v>1</v>
      </c>
      <c r="J311">
        <v>0</v>
      </c>
    </row>
    <row r="312" spans="1:10" x14ac:dyDescent="0.25">
      <c r="A312">
        <v>3105000</v>
      </c>
      <c r="B312">
        <v>5</v>
      </c>
      <c r="C312">
        <v>1</v>
      </c>
      <c r="D312">
        <v>0</v>
      </c>
      <c r="E312">
        <v>1</v>
      </c>
      <c r="F312">
        <v>0</v>
      </c>
      <c r="G312">
        <v>0</v>
      </c>
      <c r="H312">
        <v>0</v>
      </c>
      <c r="I312">
        <v>1</v>
      </c>
      <c r="J312">
        <v>0</v>
      </c>
    </row>
    <row r="313" spans="1:10" x14ac:dyDescent="0.25">
      <c r="A313">
        <v>3115000</v>
      </c>
      <c r="B313">
        <v>0</v>
      </c>
      <c r="C313">
        <v>0</v>
      </c>
      <c r="D313">
        <v>0</v>
      </c>
      <c r="E313">
        <v>1</v>
      </c>
      <c r="F313">
        <v>0</v>
      </c>
      <c r="G313">
        <v>0</v>
      </c>
      <c r="H313">
        <v>0</v>
      </c>
      <c r="I313">
        <v>1</v>
      </c>
      <c r="J313">
        <v>0</v>
      </c>
    </row>
    <row r="314" spans="1:10" x14ac:dyDescent="0.25">
      <c r="A314">
        <v>3125000</v>
      </c>
      <c r="B314">
        <v>35</v>
      </c>
      <c r="C314">
        <v>1</v>
      </c>
      <c r="D314">
        <v>0</v>
      </c>
      <c r="E314">
        <v>1</v>
      </c>
      <c r="F314">
        <v>0</v>
      </c>
      <c r="G314">
        <v>0</v>
      </c>
      <c r="H314">
        <v>0</v>
      </c>
      <c r="I314">
        <v>1</v>
      </c>
      <c r="J314">
        <v>0</v>
      </c>
    </row>
    <row r="315" spans="1:10" x14ac:dyDescent="0.25">
      <c r="A315">
        <v>3135000</v>
      </c>
      <c r="B315">
        <v>0</v>
      </c>
      <c r="C315">
        <v>0</v>
      </c>
      <c r="D315">
        <v>0</v>
      </c>
      <c r="E315">
        <v>1</v>
      </c>
      <c r="F315">
        <v>0</v>
      </c>
      <c r="G315">
        <v>0</v>
      </c>
      <c r="H315">
        <v>0</v>
      </c>
      <c r="I315">
        <v>1</v>
      </c>
      <c r="J315">
        <v>0</v>
      </c>
    </row>
    <row r="316" spans="1:10" x14ac:dyDescent="0.25">
      <c r="A316">
        <v>3145000</v>
      </c>
      <c r="B316">
        <v>135</v>
      </c>
      <c r="C316">
        <v>1</v>
      </c>
      <c r="D316">
        <v>0</v>
      </c>
      <c r="E316">
        <v>1</v>
      </c>
      <c r="F316">
        <v>0</v>
      </c>
      <c r="G316">
        <v>0</v>
      </c>
      <c r="H316">
        <v>0</v>
      </c>
      <c r="I316">
        <v>1</v>
      </c>
      <c r="J316">
        <v>0</v>
      </c>
    </row>
    <row r="317" spans="1:10" x14ac:dyDescent="0.25">
      <c r="A317">
        <v>3155000</v>
      </c>
      <c r="B317">
        <v>0</v>
      </c>
      <c r="C317">
        <v>0</v>
      </c>
      <c r="D317">
        <v>0</v>
      </c>
      <c r="E317">
        <v>1</v>
      </c>
      <c r="F317">
        <v>0</v>
      </c>
      <c r="G317">
        <v>0</v>
      </c>
      <c r="H317">
        <v>0</v>
      </c>
      <c r="I317">
        <v>1</v>
      </c>
      <c r="J317">
        <v>0</v>
      </c>
    </row>
    <row r="318" spans="1:10" x14ac:dyDescent="0.25">
      <c r="A318">
        <v>3165000</v>
      </c>
      <c r="B318">
        <v>1035</v>
      </c>
      <c r="C318">
        <v>1</v>
      </c>
      <c r="D318">
        <v>0</v>
      </c>
      <c r="E318">
        <v>1</v>
      </c>
      <c r="F318">
        <v>0</v>
      </c>
      <c r="G318">
        <v>0</v>
      </c>
      <c r="H318">
        <v>0</v>
      </c>
      <c r="I318">
        <v>1</v>
      </c>
      <c r="J318">
        <v>0</v>
      </c>
    </row>
    <row r="319" spans="1:10" x14ac:dyDescent="0.25">
      <c r="A319">
        <v>3175000</v>
      </c>
      <c r="B319">
        <v>0</v>
      </c>
      <c r="C319">
        <v>0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1</v>
      </c>
      <c r="J319">
        <v>0</v>
      </c>
    </row>
    <row r="320" spans="1:10" x14ac:dyDescent="0.25">
      <c r="A320">
        <v>3185000</v>
      </c>
      <c r="B320">
        <v>10035</v>
      </c>
      <c r="C320">
        <v>1</v>
      </c>
      <c r="D320">
        <v>1</v>
      </c>
      <c r="E320">
        <v>1</v>
      </c>
      <c r="F320">
        <v>0</v>
      </c>
      <c r="G320">
        <v>0</v>
      </c>
      <c r="H320">
        <v>0</v>
      </c>
      <c r="I320">
        <v>1</v>
      </c>
      <c r="J320">
        <v>0</v>
      </c>
    </row>
    <row r="321" spans="1:10" x14ac:dyDescent="0.25">
      <c r="A321">
        <v>3195000</v>
      </c>
      <c r="B321">
        <v>0</v>
      </c>
      <c r="C321">
        <v>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v>1</v>
      </c>
      <c r="J321">
        <v>0</v>
      </c>
    </row>
    <row r="322" spans="1:10" x14ac:dyDescent="0.25">
      <c r="A322">
        <v>3205000</v>
      </c>
      <c r="B322">
        <v>1</v>
      </c>
      <c r="C322">
        <v>1</v>
      </c>
      <c r="D322">
        <v>0</v>
      </c>
      <c r="E322">
        <v>1</v>
      </c>
      <c r="F322">
        <v>0</v>
      </c>
      <c r="G322">
        <v>0</v>
      </c>
      <c r="H322">
        <v>0</v>
      </c>
      <c r="I322">
        <v>1</v>
      </c>
      <c r="J322">
        <v>0</v>
      </c>
    </row>
    <row r="323" spans="1:10" x14ac:dyDescent="0.2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1</v>
      </c>
      <c r="J323">
        <v>0</v>
      </c>
    </row>
    <row r="324" spans="1:10" x14ac:dyDescent="0.25">
      <c r="A324">
        <v>3225000</v>
      </c>
      <c r="B324">
        <v>6</v>
      </c>
      <c r="C324">
        <v>1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1</v>
      </c>
      <c r="J324">
        <v>0</v>
      </c>
    </row>
    <row r="325" spans="1:10" x14ac:dyDescent="0.2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1</v>
      </c>
      <c r="J325">
        <v>0</v>
      </c>
    </row>
    <row r="326" spans="1:10" x14ac:dyDescent="0.25">
      <c r="A326">
        <v>3245000</v>
      </c>
      <c r="B326">
        <v>36</v>
      </c>
      <c r="C326">
        <v>1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1</v>
      </c>
      <c r="J326">
        <v>0</v>
      </c>
    </row>
    <row r="327" spans="1:10" x14ac:dyDescent="0.2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1</v>
      </c>
      <c r="J327">
        <v>0</v>
      </c>
    </row>
    <row r="328" spans="1:10" x14ac:dyDescent="0.25">
      <c r="A328">
        <v>3265000</v>
      </c>
      <c r="B328">
        <v>136</v>
      </c>
      <c r="C328">
        <v>1</v>
      </c>
      <c r="D328">
        <v>0</v>
      </c>
      <c r="E328">
        <v>0</v>
      </c>
      <c r="F328">
        <v>268435455</v>
      </c>
      <c r="G328">
        <v>1</v>
      </c>
      <c r="H328">
        <v>0</v>
      </c>
      <c r="I328">
        <v>1</v>
      </c>
      <c r="J328">
        <v>0</v>
      </c>
    </row>
    <row r="329" spans="1:10" x14ac:dyDescent="0.25">
      <c r="A329">
        <v>3275000</v>
      </c>
      <c r="B329">
        <v>0</v>
      </c>
      <c r="C329">
        <v>0</v>
      </c>
      <c r="D329">
        <v>0</v>
      </c>
      <c r="E329">
        <v>0</v>
      </c>
      <c r="F329">
        <v>1</v>
      </c>
      <c r="G329">
        <v>1</v>
      </c>
      <c r="H329">
        <v>0</v>
      </c>
      <c r="I329">
        <v>1</v>
      </c>
      <c r="J329">
        <v>0</v>
      </c>
    </row>
    <row r="330" spans="1:10" x14ac:dyDescent="0.25">
      <c r="A330">
        <v>3285000</v>
      </c>
      <c r="B330">
        <v>1036</v>
      </c>
      <c r="C330">
        <v>1</v>
      </c>
      <c r="D330">
        <v>0</v>
      </c>
      <c r="E330">
        <v>0</v>
      </c>
      <c r="F330">
        <v>11</v>
      </c>
      <c r="G330">
        <v>1</v>
      </c>
      <c r="H330">
        <v>0</v>
      </c>
      <c r="I330">
        <v>1</v>
      </c>
      <c r="J330">
        <v>0</v>
      </c>
    </row>
    <row r="331" spans="1:10" x14ac:dyDescent="0.25">
      <c r="A331">
        <v>3295000</v>
      </c>
      <c r="B331">
        <v>0</v>
      </c>
      <c r="C331">
        <v>0</v>
      </c>
      <c r="D331">
        <v>0</v>
      </c>
      <c r="E331">
        <v>0</v>
      </c>
      <c r="F331">
        <v>313</v>
      </c>
      <c r="G331">
        <v>1</v>
      </c>
      <c r="H331">
        <v>0</v>
      </c>
      <c r="I331">
        <v>1</v>
      </c>
      <c r="J331">
        <v>0</v>
      </c>
    </row>
    <row r="332" spans="1:10" x14ac:dyDescent="0.25">
      <c r="A332">
        <v>3305000</v>
      </c>
      <c r="B332">
        <v>10036</v>
      </c>
      <c r="C332">
        <v>1</v>
      </c>
      <c r="D332">
        <v>1</v>
      </c>
      <c r="E332">
        <v>0</v>
      </c>
      <c r="F332">
        <v>25</v>
      </c>
      <c r="G332">
        <v>1</v>
      </c>
      <c r="H332">
        <v>0</v>
      </c>
      <c r="I332">
        <v>1</v>
      </c>
      <c r="J332">
        <v>0</v>
      </c>
    </row>
    <row r="333" spans="1:10" x14ac:dyDescent="0.25">
      <c r="A333">
        <v>3315000</v>
      </c>
      <c r="B333">
        <v>0</v>
      </c>
      <c r="C333">
        <v>0</v>
      </c>
      <c r="D333">
        <v>0</v>
      </c>
      <c r="E333">
        <v>0</v>
      </c>
      <c r="F333">
        <v>5</v>
      </c>
      <c r="G333">
        <v>1</v>
      </c>
      <c r="H333">
        <v>0</v>
      </c>
      <c r="I333">
        <v>1</v>
      </c>
      <c r="J333">
        <v>0</v>
      </c>
    </row>
    <row r="334" spans="1:10" x14ac:dyDescent="0.25">
      <c r="A334">
        <v>3325000</v>
      </c>
      <c r="B334">
        <v>1</v>
      </c>
      <c r="C334">
        <v>1</v>
      </c>
      <c r="D334">
        <v>0</v>
      </c>
      <c r="E334">
        <v>0</v>
      </c>
      <c r="F334">
        <v>10</v>
      </c>
      <c r="G334">
        <v>1</v>
      </c>
      <c r="H334">
        <v>0</v>
      </c>
      <c r="I334">
        <v>1</v>
      </c>
      <c r="J334">
        <v>0</v>
      </c>
    </row>
    <row r="335" spans="1:10" x14ac:dyDescent="0.25">
      <c r="A335">
        <v>3335000</v>
      </c>
      <c r="B335">
        <v>0</v>
      </c>
      <c r="C335">
        <v>0</v>
      </c>
      <c r="D335">
        <v>0</v>
      </c>
      <c r="E335">
        <v>0</v>
      </c>
      <c r="F335">
        <v>110</v>
      </c>
      <c r="G335">
        <v>1</v>
      </c>
      <c r="H335">
        <v>0</v>
      </c>
      <c r="I335">
        <v>1</v>
      </c>
      <c r="J335">
        <v>0</v>
      </c>
    </row>
    <row r="336" spans="1:10" x14ac:dyDescent="0.25">
      <c r="A336">
        <v>3345000</v>
      </c>
      <c r="B336">
        <v>7</v>
      </c>
      <c r="C336">
        <v>1</v>
      </c>
      <c r="D336">
        <v>0</v>
      </c>
      <c r="E336">
        <v>0</v>
      </c>
      <c r="F336">
        <v>1010</v>
      </c>
      <c r="G336">
        <v>1</v>
      </c>
      <c r="H336">
        <v>0</v>
      </c>
      <c r="I336">
        <v>1</v>
      </c>
      <c r="J336">
        <v>0</v>
      </c>
    </row>
    <row r="337" spans="1:10" x14ac:dyDescent="0.25">
      <c r="A337">
        <v>3355000</v>
      </c>
      <c r="B337">
        <v>0</v>
      </c>
      <c r="C337">
        <v>0</v>
      </c>
      <c r="D337">
        <v>0</v>
      </c>
      <c r="E337">
        <v>0</v>
      </c>
      <c r="F337">
        <v>10010</v>
      </c>
      <c r="G337">
        <v>1</v>
      </c>
      <c r="H337">
        <v>0</v>
      </c>
      <c r="I337">
        <v>1</v>
      </c>
      <c r="J337">
        <v>0</v>
      </c>
    </row>
    <row r="338" spans="1:10" x14ac:dyDescent="0.25">
      <c r="A338">
        <v>3365000</v>
      </c>
      <c r="B338">
        <v>37</v>
      </c>
      <c r="C338">
        <v>1</v>
      </c>
      <c r="D338">
        <v>0</v>
      </c>
      <c r="E338">
        <v>0</v>
      </c>
      <c r="F338">
        <v>1120</v>
      </c>
      <c r="G338">
        <v>1</v>
      </c>
      <c r="H338">
        <v>0</v>
      </c>
      <c r="I338">
        <v>1</v>
      </c>
      <c r="J338">
        <v>0</v>
      </c>
    </row>
    <row r="339" spans="1:10" x14ac:dyDescent="0.25">
      <c r="A339">
        <v>3375000</v>
      </c>
      <c r="B339">
        <v>0</v>
      </c>
      <c r="C339">
        <v>0</v>
      </c>
      <c r="D339">
        <v>0</v>
      </c>
      <c r="E339">
        <v>0</v>
      </c>
      <c r="F339">
        <v>322</v>
      </c>
      <c r="G339">
        <v>1</v>
      </c>
      <c r="H339">
        <v>0</v>
      </c>
      <c r="I339">
        <v>1</v>
      </c>
      <c r="J339">
        <v>0</v>
      </c>
    </row>
    <row r="340" spans="1:10" x14ac:dyDescent="0.25">
      <c r="A340">
        <v>3385000</v>
      </c>
      <c r="B340">
        <v>137</v>
      </c>
      <c r="C340">
        <v>1</v>
      </c>
      <c r="D340">
        <v>0</v>
      </c>
      <c r="E340">
        <v>0</v>
      </c>
      <c r="F340">
        <v>0</v>
      </c>
      <c r="G340">
        <v>1</v>
      </c>
      <c r="H340">
        <v>0</v>
      </c>
      <c r="I340">
        <v>1</v>
      </c>
      <c r="J340">
        <v>0</v>
      </c>
    </row>
    <row r="341" spans="1:10" x14ac:dyDescent="0.25">
      <c r="A341">
        <v>3395000</v>
      </c>
      <c r="B341">
        <v>0</v>
      </c>
      <c r="C341">
        <v>0</v>
      </c>
      <c r="D341">
        <v>0</v>
      </c>
      <c r="E341">
        <v>0</v>
      </c>
      <c r="F341">
        <v>268435454</v>
      </c>
      <c r="G341">
        <v>1</v>
      </c>
      <c r="H341">
        <v>1</v>
      </c>
      <c r="I341">
        <v>1</v>
      </c>
      <c r="J341">
        <v>0</v>
      </c>
    </row>
    <row r="342" spans="1:10" x14ac:dyDescent="0.25">
      <c r="A342">
        <v>3405000</v>
      </c>
      <c r="B342">
        <v>1037</v>
      </c>
      <c r="C342">
        <v>1</v>
      </c>
      <c r="D342">
        <v>0</v>
      </c>
      <c r="E342">
        <v>0</v>
      </c>
      <c r="F342">
        <v>268435455</v>
      </c>
      <c r="G342">
        <v>1</v>
      </c>
      <c r="H342">
        <v>0</v>
      </c>
      <c r="I342">
        <v>1</v>
      </c>
      <c r="J342">
        <v>0</v>
      </c>
    </row>
    <row r="343" spans="1:10" x14ac:dyDescent="0.25">
      <c r="A343">
        <v>3415000</v>
      </c>
      <c r="B343">
        <v>0</v>
      </c>
      <c r="C343">
        <v>0</v>
      </c>
      <c r="D343">
        <v>0</v>
      </c>
      <c r="E343">
        <v>0</v>
      </c>
      <c r="F343">
        <v>2</v>
      </c>
      <c r="G343">
        <v>1</v>
      </c>
      <c r="H343">
        <v>0</v>
      </c>
      <c r="I343">
        <v>1</v>
      </c>
      <c r="J343">
        <v>0</v>
      </c>
    </row>
    <row r="344" spans="1:10" x14ac:dyDescent="0.25">
      <c r="A344">
        <v>3425000</v>
      </c>
      <c r="B344">
        <v>10037</v>
      </c>
      <c r="C344">
        <v>1</v>
      </c>
      <c r="D344">
        <v>1</v>
      </c>
      <c r="E344">
        <v>0</v>
      </c>
      <c r="F344">
        <v>23</v>
      </c>
      <c r="G344">
        <v>1</v>
      </c>
      <c r="H344">
        <v>0</v>
      </c>
      <c r="I344">
        <v>1</v>
      </c>
      <c r="J344">
        <v>0</v>
      </c>
    </row>
    <row r="345" spans="1:10" x14ac:dyDescent="0.25">
      <c r="A345">
        <v>3435000</v>
      </c>
      <c r="B345">
        <v>0</v>
      </c>
      <c r="C345">
        <v>0</v>
      </c>
      <c r="D345">
        <v>0</v>
      </c>
      <c r="E345">
        <v>0</v>
      </c>
      <c r="F345">
        <v>314</v>
      </c>
      <c r="G345">
        <v>1</v>
      </c>
      <c r="H345">
        <v>0</v>
      </c>
      <c r="I345">
        <v>1</v>
      </c>
      <c r="J345">
        <v>0</v>
      </c>
    </row>
    <row r="346" spans="1:10" x14ac:dyDescent="0.25">
      <c r="A346">
        <v>3445000</v>
      </c>
      <c r="B346">
        <v>0</v>
      </c>
      <c r="C346">
        <v>1</v>
      </c>
      <c r="D346">
        <v>0</v>
      </c>
      <c r="E346">
        <v>0</v>
      </c>
      <c r="F346">
        <v>25</v>
      </c>
      <c r="G346">
        <v>1</v>
      </c>
      <c r="H346">
        <v>0</v>
      </c>
      <c r="I346">
        <v>1</v>
      </c>
      <c r="J346">
        <v>0</v>
      </c>
    </row>
    <row r="347" spans="1:10" x14ac:dyDescent="0.25">
      <c r="A347">
        <v>3455000</v>
      </c>
      <c r="B347">
        <v>0</v>
      </c>
      <c r="C347">
        <v>0</v>
      </c>
      <c r="D347">
        <v>0</v>
      </c>
      <c r="E347">
        <v>0</v>
      </c>
      <c r="F347">
        <v>5</v>
      </c>
      <c r="G347">
        <v>1</v>
      </c>
      <c r="H347">
        <v>0</v>
      </c>
      <c r="I347">
        <v>1</v>
      </c>
      <c r="J347">
        <v>0</v>
      </c>
    </row>
    <row r="348" spans="1:10" x14ac:dyDescent="0.25">
      <c r="A348">
        <v>3465000</v>
      </c>
      <c r="B348">
        <v>8</v>
      </c>
      <c r="C348">
        <v>1</v>
      </c>
      <c r="D348">
        <v>0</v>
      </c>
      <c r="E348">
        <v>0</v>
      </c>
      <c r="F348">
        <v>11</v>
      </c>
      <c r="G348">
        <v>1</v>
      </c>
      <c r="H348">
        <v>0</v>
      </c>
      <c r="I348">
        <v>1</v>
      </c>
      <c r="J348">
        <v>0</v>
      </c>
    </row>
    <row r="349" spans="1:10" x14ac:dyDescent="0.25">
      <c r="A349">
        <v>3475000</v>
      </c>
      <c r="B349">
        <v>0</v>
      </c>
      <c r="C349">
        <v>0</v>
      </c>
      <c r="D349">
        <v>0</v>
      </c>
      <c r="E349">
        <v>0</v>
      </c>
      <c r="F349">
        <v>111</v>
      </c>
      <c r="G349">
        <v>1</v>
      </c>
      <c r="H349">
        <v>0</v>
      </c>
      <c r="I349">
        <v>1</v>
      </c>
      <c r="J349">
        <v>0</v>
      </c>
    </row>
    <row r="350" spans="1:10" x14ac:dyDescent="0.25">
      <c r="A350">
        <v>3485000</v>
      </c>
      <c r="B350">
        <v>38</v>
      </c>
      <c r="C350">
        <v>1</v>
      </c>
      <c r="D350">
        <v>0</v>
      </c>
      <c r="E350">
        <v>1</v>
      </c>
      <c r="F350">
        <v>1011</v>
      </c>
      <c r="G350">
        <v>1</v>
      </c>
      <c r="H350">
        <v>0</v>
      </c>
      <c r="I350">
        <v>1</v>
      </c>
      <c r="J350">
        <v>0</v>
      </c>
    </row>
    <row r="351" spans="1:10" x14ac:dyDescent="0.25">
      <c r="A351">
        <v>3495000</v>
      </c>
      <c r="B351">
        <v>0</v>
      </c>
      <c r="C351">
        <v>0</v>
      </c>
      <c r="D351">
        <v>0</v>
      </c>
      <c r="E351">
        <v>1</v>
      </c>
      <c r="F351">
        <v>10011</v>
      </c>
      <c r="G351">
        <v>1</v>
      </c>
      <c r="H351">
        <v>0</v>
      </c>
      <c r="I351">
        <v>1</v>
      </c>
      <c r="J351">
        <v>0</v>
      </c>
    </row>
    <row r="352" spans="1:10" x14ac:dyDescent="0.25">
      <c r="A352">
        <v>3505000</v>
      </c>
      <c r="B352">
        <v>138</v>
      </c>
      <c r="C352">
        <v>1</v>
      </c>
      <c r="D352">
        <v>0</v>
      </c>
      <c r="E352">
        <v>1</v>
      </c>
      <c r="F352">
        <v>1120</v>
      </c>
      <c r="G352">
        <v>1</v>
      </c>
      <c r="H352">
        <v>0</v>
      </c>
      <c r="I352">
        <v>1</v>
      </c>
      <c r="J352">
        <v>0</v>
      </c>
    </row>
    <row r="353" spans="1:10" x14ac:dyDescent="0.25">
      <c r="A353">
        <v>3515000</v>
      </c>
      <c r="B353">
        <v>0</v>
      </c>
      <c r="C353">
        <v>0</v>
      </c>
      <c r="D353">
        <v>0</v>
      </c>
      <c r="E353">
        <v>1</v>
      </c>
      <c r="F353">
        <v>323</v>
      </c>
      <c r="G353">
        <v>1</v>
      </c>
      <c r="H353">
        <v>0</v>
      </c>
      <c r="I353">
        <v>1</v>
      </c>
      <c r="J353">
        <v>0</v>
      </c>
    </row>
    <row r="354" spans="1:10" x14ac:dyDescent="0.25">
      <c r="A354">
        <v>3525000</v>
      </c>
      <c r="B354">
        <v>1038</v>
      </c>
      <c r="C354">
        <v>1</v>
      </c>
      <c r="D354">
        <v>0</v>
      </c>
      <c r="E354">
        <v>1</v>
      </c>
      <c r="F354">
        <v>0</v>
      </c>
      <c r="G354">
        <v>1</v>
      </c>
      <c r="H354">
        <v>0</v>
      </c>
      <c r="I354">
        <v>1</v>
      </c>
      <c r="J354">
        <v>0</v>
      </c>
    </row>
    <row r="355" spans="1:10" x14ac:dyDescent="0.25">
      <c r="A355">
        <v>3535000</v>
      </c>
      <c r="B355">
        <v>0</v>
      </c>
      <c r="C355">
        <v>0</v>
      </c>
      <c r="D355">
        <v>0</v>
      </c>
      <c r="E355">
        <v>1</v>
      </c>
      <c r="F355">
        <v>268435454</v>
      </c>
      <c r="G355">
        <v>1</v>
      </c>
      <c r="H355">
        <v>1</v>
      </c>
      <c r="I355">
        <v>1</v>
      </c>
      <c r="J355">
        <v>0</v>
      </c>
    </row>
    <row r="356" spans="1:10" x14ac:dyDescent="0.25">
      <c r="A356">
        <v>3545000</v>
      </c>
      <c r="B356">
        <v>10038</v>
      </c>
      <c r="C356">
        <v>1</v>
      </c>
      <c r="D356">
        <v>1</v>
      </c>
      <c r="E356">
        <v>1</v>
      </c>
      <c r="F356">
        <v>268435455</v>
      </c>
      <c r="G356">
        <v>1</v>
      </c>
      <c r="H356">
        <v>0</v>
      </c>
      <c r="I356">
        <v>1</v>
      </c>
      <c r="J356">
        <v>0</v>
      </c>
    </row>
    <row r="357" spans="1:10" x14ac:dyDescent="0.25">
      <c r="A357">
        <v>3555000</v>
      </c>
      <c r="B357">
        <v>0</v>
      </c>
      <c r="C357">
        <v>0</v>
      </c>
      <c r="D357">
        <v>0</v>
      </c>
      <c r="E357">
        <v>1</v>
      </c>
      <c r="F357">
        <v>3</v>
      </c>
      <c r="G357">
        <v>1</v>
      </c>
      <c r="H357">
        <v>0</v>
      </c>
      <c r="I357">
        <v>1</v>
      </c>
      <c r="J357">
        <v>0</v>
      </c>
    </row>
    <row r="358" spans="1:10" x14ac:dyDescent="0.25">
      <c r="A358">
        <v>3565000</v>
      </c>
      <c r="B358">
        <v>0</v>
      </c>
      <c r="C358">
        <v>1</v>
      </c>
      <c r="D358">
        <v>0</v>
      </c>
      <c r="E358">
        <v>1</v>
      </c>
      <c r="F358">
        <v>35</v>
      </c>
      <c r="G358">
        <v>1</v>
      </c>
      <c r="H358">
        <v>0</v>
      </c>
      <c r="I358">
        <v>1</v>
      </c>
      <c r="J358">
        <v>0</v>
      </c>
    </row>
    <row r="359" spans="1:10" x14ac:dyDescent="0.25">
      <c r="A359">
        <v>3575000</v>
      </c>
      <c r="B359">
        <v>0</v>
      </c>
      <c r="C359">
        <v>0</v>
      </c>
      <c r="D359">
        <v>0</v>
      </c>
      <c r="E359">
        <v>0</v>
      </c>
      <c r="F359">
        <v>315</v>
      </c>
      <c r="G359">
        <v>1</v>
      </c>
      <c r="H359">
        <v>0</v>
      </c>
      <c r="I359">
        <v>1</v>
      </c>
      <c r="J359">
        <v>0</v>
      </c>
    </row>
    <row r="360" spans="1:10" x14ac:dyDescent="0.25">
      <c r="A360">
        <v>3585000</v>
      </c>
      <c r="B360">
        <v>8</v>
      </c>
      <c r="C360">
        <v>1</v>
      </c>
      <c r="D360">
        <v>0</v>
      </c>
      <c r="E360">
        <v>1</v>
      </c>
      <c r="F360">
        <v>25</v>
      </c>
      <c r="G360">
        <v>1</v>
      </c>
      <c r="H360">
        <v>0</v>
      </c>
      <c r="I360">
        <v>1</v>
      </c>
      <c r="J360">
        <v>0</v>
      </c>
    </row>
    <row r="361" spans="1:10" x14ac:dyDescent="0.25">
      <c r="A361">
        <v>3595000</v>
      </c>
      <c r="B361">
        <v>0</v>
      </c>
      <c r="C361">
        <v>0</v>
      </c>
      <c r="D361">
        <v>0</v>
      </c>
      <c r="E361">
        <v>1</v>
      </c>
      <c r="F361">
        <v>5</v>
      </c>
      <c r="G361">
        <v>1</v>
      </c>
      <c r="H361">
        <v>0</v>
      </c>
      <c r="I361">
        <v>1</v>
      </c>
      <c r="J361">
        <v>0</v>
      </c>
    </row>
    <row r="362" spans="1:10" x14ac:dyDescent="0.25">
      <c r="A362">
        <v>3605000</v>
      </c>
      <c r="B362">
        <v>39</v>
      </c>
      <c r="C362">
        <v>1</v>
      </c>
      <c r="D362">
        <v>0</v>
      </c>
      <c r="E362">
        <v>1</v>
      </c>
      <c r="F362">
        <v>12</v>
      </c>
      <c r="G362">
        <v>1</v>
      </c>
      <c r="H362">
        <v>0</v>
      </c>
      <c r="I362">
        <v>1</v>
      </c>
      <c r="J362">
        <v>0</v>
      </c>
    </row>
    <row r="363" spans="1:10" x14ac:dyDescent="0.25">
      <c r="A363">
        <v>3615000</v>
      </c>
      <c r="B363">
        <v>0</v>
      </c>
      <c r="C363">
        <v>0</v>
      </c>
      <c r="D363">
        <v>0</v>
      </c>
      <c r="E363">
        <v>1</v>
      </c>
      <c r="F363">
        <v>112</v>
      </c>
      <c r="G363">
        <v>1</v>
      </c>
      <c r="H363">
        <v>0</v>
      </c>
      <c r="I363">
        <v>1</v>
      </c>
      <c r="J363">
        <v>0</v>
      </c>
    </row>
    <row r="364" spans="1:10" x14ac:dyDescent="0.25">
      <c r="A364">
        <v>3625000</v>
      </c>
      <c r="B364">
        <v>139</v>
      </c>
      <c r="C364">
        <v>1</v>
      </c>
      <c r="D364">
        <v>0</v>
      </c>
      <c r="E364">
        <v>1</v>
      </c>
      <c r="F364">
        <v>1012</v>
      </c>
      <c r="G364">
        <v>1</v>
      </c>
      <c r="H364">
        <v>0</v>
      </c>
      <c r="I364">
        <v>1</v>
      </c>
      <c r="J364">
        <v>0</v>
      </c>
    </row>
    <row r="365" spans="1:10" x14ac:dyDescent="0.25">
      <c r="A365">
        <v>3635000</v>
      </c>
      <c r="B365">
        <v>0</v>
      </c>
      <c r="C365">
        <v>0</v>
      </c>
      <c r="D365">
        <v>0</v>
      </c>
      <c r="E365">
        <v>1</v>
      </c>
      <c r="F365">
        <v>10012</v>
      </c>
      <c r="G365">
        <v>1</v>
      </c>
      <c r="H365">
        <v>0</v>
      </c>
      <c r="I365">
        <v>1</v>
      </c>
      <c r="J365">
        <v>0</v>
      </c>
    </row>
    <row r="366" spans="1:10" x14ac:dyDescent="0.25">
      <c r="A366">
        <v>3645000</v>
      </c>
      <c r="B366">
        <v>1039</v>
      </c>
      <c r="C366">
        <v>1</v>
      </c>
      <c r="D366">
        <v>0</v>
      </c>
      <c r="E366">
        <v>1</v>
      </c>
      <c r="F366">
        <v>1122</v>
      </c>
      <c r="G366">
        <v>1</v>
      </c>
      <c r="H366">
        <v>0</v>
      </c>
      <c r="I366">
        <v>1</v>
      </c>
      <c r="J366">
        <v>0</v>
      </c>
    </row>
    <row r="367" spans="1:10" x14ac:dyDescent="0.25">
      <c r="A367">
        <v>3655000</v>
      </c>
      <c r="B367">
        <v>0</v>
      </c>
      <c r="C367">
        <v>0</v>
      </c>
      <c r="D367">
        <v>0</v>
      </c>
      <c r="E367">
        <v>1</v>
      </c>
      <c r="F367">
        <v>324</v>
      </c>
      <c r="G367">
        <v>1</v>
      </c>
      <c r="H367">
        <v>0</v>
      </c>
      <c r="I367">
        <v>1</v>
      </c>
      <c r="J367">
        <v>0</v>
      </c>
    </row>
    <row r="368" spans="1:10" x14ac:dyDescent="0.25">
      <c r="A368">
        <v>3665000</v>
      </c>
      <c r="B368">
        <v>10039</v>
      </c>
      <c r="C368">
        <v>1</v>
      </c>
      <c r="D368">
        <v>1</v>
      </c>
      <c r="E368">
        <v>1</v>
      </c>
      <c r="F368">
        <v>0</v>
      </c>
      <c r="G368">
        <v>1</v>
      </c>
      <c r="H368">
        <v>0</v>
      </c>
      <c r="I368">
        <v>1</v>
      </c>
      <c r="J368">
        <v>0</v>
      </c>
    </row>
    <row r="369" spans="1:10" x14ac:dyDescent="0.25">
      <c r="A369">
        <v>3675000</v>
      </c>
      <c r="B369">
        <v>0</v>
      </c>
      <c r="C369">
        <v>0</v>
      </c>
      <c r="D369">
        <v>0</v>
      </c>
      <c r="E369">
        <v>1</v>
      </c>
      <c r="F369">
        <v>268435454</v>
      </c>
      <c r="G369">
        <v>1</v>
      </c>
      <c r="H369">
        <v>1</v>
      </c>
      <c r="I369">
        <v>1</v>
      </c>
      <c r="J369">
        <v>0</v>
      </c>
    </row>
    <row r="370" spans="1:10" x14ac:dyDescent="0.25">
      <c r="A370">
        <v>3685000</v>
      </c>
      <c r="B370">
        <v>0</v>
      </c>
      <c r="C370">
        <v>1</v>
      </c>
      <c r="D370">
        <v>0</v>
      </c>
      <c r="E370">
        <v>1</v>
      </c>
      <c r="F370">
        <v>268435455</v>
      </c>
      <c r="G370">
        <v>1</v>
      </c>
      <c r="H370">
        <v>0</v>
      </c>
      <c r="I370">
        <v>1</v>
      </c>
      <c r="J370">
        <v>0</v>
      </c>
    </row>
    <row r="371" spans="1:10" x14ac:dyDescent="0.25">
      <c r="A371">
        <v>3695000</v>
      </c>
      <c r="B371">
        <v>0</v>
      </c>
      <c r="C371">
        <v>0</v>
      </c>
      <c r="D371">
        <v>0</v>
      </c>
      <c r="E371">
        <v>1</v>
      </c>
      <c r="F371">
        <v>4</v>
      </c>
      <c r="G371">
        <v>1</v>
      </c>
      <c r="H371">
        <v>0</v>
      </c>
      <c r="I371">
        <v>1</v>
      </c>
      <c r="J371">
        <v>0</v>
      </c>
    </row>
    <row r="372" spans="1:10" x14ac:dyDescent="0.25">
      <c r="A372">
        <v>3705000</v>
      </c>
      <c r="B372">
        <v>8</v>
      </c>
      <c r="C372">
        <v>1</v>
      </c>
      <c r="D372">
        <v>0</v>
      </c>
      <c r="E372">
        <v>1</v>
      </c>
      <c r="F372">
        <v>47</v>
      </c>
      <c r="G372">
        <v>1</v>
      </c>
      <c r="H372">
        <v>0</v>
      </c>
      <c r="I372">
        <v>1</v>
      </c>
      <c r="J372">
        <v>0</v>
      </c>
    </row>
    <row r="373" spans="1:10" x14ac:dyDescent="0.25">
      <c r="A373">
        <v>3715000</v>
      </c>
      <c r="B373">
        <v>0</v>
      </c>
      <c r="C373">
        <v>0</v>
      </c>
      <c r="D373">
        <v>0</v>
      </c>
      <c r="E373">
        <v>1</v>
      </c>
      <c r="F373">
        <v>316</v>
      </c>
      <c r="G373">
        <v>1</v>
      </c>
      <c r="H373">
        <v>0</v>
      </c>
      <c r="I373">
        <v>1</v>
      </c>
      <c r="J373">
        <v>0</v>
      </c>
    </row>
    <row r="374" spans="1:10" x14ac:dyDescent="0.25">
      <c r="A374">
        <v>3725000</v>
      </c>
      <c r="B374">
        <v>40</v>
      </c>
      <c r="C374">
        <v>1</v>
      </c>
      <c r="D374">
        <v>0</v>
      </c>
      <c r="E374">
        <v>1</v>
      </c>
      <c r="F374">
        <v>25</v>
      </c>
      <c r="G374">
        <v>1</v>
      </c>
      <c r="H374">
        <v>0</v>
      </c>
      <c r="I374">
        <v>1</v>
      </c>
      <c r="J374">
        <v>0</v>
      </c>
    </row>
    <row r="375" spans="1:10" x14ac:dyDescent="0.25">
      <c r="A375">
        <v>3735000</v>
      </c>
      <c r="B375">
        <v>0</v>
      </c>
      <c r="C375">
        <v>0</v>
      </c>
      <c r="D375">
        <v>0</v>
      </c>
      <c r="E375">
        <v>1</v>
      </c>
      <c r="F375">
        <v>5</v>
      </c>
      <c r="G375">
        <v>1</v>
      </c>
      <c r="H375">
        <v>0</v>
      </c>
      <c r="I375">
        <v>1</v>
      </c>
      <c r="J375">
        <v>0</v>
      </c>
    </row>
    <row r="376" spans="1:10" x14ac:dyDescent="0.25">
      <c r="A376">
        <v>3745000</v>
      </c>
      <c r="B376">
        <v>140</v>
      </c>
      <c r="C376">
        <v>1</v>
      </c>
      <c r="D376">
        <v>0</v>
      </c>
      <c r="E376">
        <v>1</v>
      </c>
      <c r="F376">
        <v>13</v>
      </c>
      <c r="G376">
        <v>1</v>
      </c>
      <c r="H376">
        <v>0</v>
      </c>
      <c r="I376">
        <v>1</v>
      </c>
      <c r="J376">
        <v>0</v>
      </c>
    </row>
    <row r="377" spans="1:10" x14ac:dyDescent="0.25">
      <c r="A377">
        <v>3755000</v>
      </c>
      <c r="B377">
        <v>0</v>
      </c>
      <c r="C377">
        <v>0</v>
      </c>
      <c r="D377">
        <v>0</v>
      </c>
      <c r="E377">
        <v>1</v>
      </c>
      <c r="F377">
        <v>113</v>
      </c>
      <c r="G377">
        <v>1</v>
      </c>
      <c r="H377">
        <v>0</v>
      </c>
      <c r="I377">
        <v>1</v>
      </c>
      <c r="J377">
        <v>0</v>
      </c>
    </row>
    <row r="378" spans="1:10" x14ac:dyDescent="0.25">
      <c r="A378">
        <v>3765000</v>
      </c>
      <c r="B378">
        <v>1040</v>
      </c>
      <c r="C378">
        <v>1</v>
      </c>
      <c r="D378">
        <v>0</v>
      </c>
      <c r="E378">
        <v>1</v>
      </c>
      <c r="F378">
        <v>1013</v>
      </c>
      <c r="G378">
        <v>1</v>
      </c>
      <c r="H378">
        <v>0</v>
      </c>
      <c r="I378">
        <v>1</v>
      </c>
      <c r="J378">
        <v>0</v>
      </c>
    </row>
    <row r="379" spans="1:10" x14ac:dyDescent="0.25">
      <c r="A379">
        <v>3775000</v>
      </c>
      <c r="B379">
        <v>0</v>
      </c>
      <c r="C379">
        <v>0</v>
      </c>
      <c r="D379">
        <v>0</v>
      </c>
      <c r="E379">
        <v>1</v>
      </c>
      <c r="F379">
        <v>10013</v>
      </c>
      <c r="G379">
        <v>1</v>
      </c>
      <c r="H379">
        <v>0</v>
      </c>
      <c r="I379">
        <v>1</v>
      </c>
      <c r="J379">
        <v>0</v>
      </c>
    </row>
    <row r="380" spans="1:10" x14ac:dyDescent="0.25">
      <c r="A380">
        <v>3785000</v>
      </c>
      <c r="B380">
        <v>10040</v>
      </c>
      <c r="C380">
        <v>1</v>
      </c>
      <c r="D380">
        <v>1</v>
      </c>
      <c r="E380">
        <v>1</v>
      </c>
      <c r="F380">
        <v>1124</v>
      </c>
      <c r="G380">
        <v>1</v>
      </c>
      <c r="H380">
        <v>0</v>
      </c>
      <c r="I380">
        <v>1</v>
      </c>
      <c r="J380">
        <v>0</v>
      </c>
    </row>
    <row r="381" spans="1:10" x14ac:dyDescent="0.25">
      <c r="A381">
        <v>3795000</v>
      </c>
      <c r="B381">
        <v>0</v>
      </c>
      <c r="C381">
        <v>0</v>
      </c>
      <c r="D381">
        <v>0</v>
      </c>
      <c r="E381">
        <v>1</v>
      </c>
      <c r="F381">
        <v>325</v>
      </c>
      <c r="G381">
        <v>1</v>
      </c>
      <c r="H381">
        <v>0</v>
      </c>
      <c r="I381">
        <v>1</v>
      </c>
      <c r="J381">
        <v>0</v>
      </c>
    </row>
    <row r="382" spans="1:10" x14ac:dyDescent="0.25">
      <c r="A382">
        <v>3805000</v>
      </c>
      <c r="B382">
        <v>0</v>
      </c>
      <c r="C382">
        <v>1</v>
      </c>
      <c r="D382">
        <v>0</v>
      </c>
      <c r="E382">
        <v>1</v>
      </c>
      <c r="F382">
        <v>0</v>
      </c>
      <c r="G382">
        <v>1</v>
      </c>
      <c r="H382">
        <v>0</v>
      </c>
      <c r="I382">
        <v>1</v>
      </c>
      <c r="J382">
        <v>0</v>
      </c>
    </row>
    <row r="383" spans="1:10" x14ac:dyDescent="0.25">
      <c r="A383">
        <v>3815000</v>
      </c>
      <c r="B383">
        <v>0</v>
      </c>
      <c r="C383">
        <v>0</v>
      </c>
      <c r="D383">
        <v>0</v>
      </c>
      <c r="E383">
        <v>1</v>
      </c>
      <c r="F383">
        <v>268435454</v>
      </c>
      <c r="G383">
        <v>1</v>
      </c>
      <c r="H383">
        <v>1</v>
      </c>
      <c r="I383">
        <v>1</v>
      </c>
      <c r="J383">
        <v>0</v>
      </c>
    </row>
    <row r="384" spans="1:10" x14ac:dyDescent="0.25">
      <c r="A384">
        <v>3825000</v>
      </c>
      <c r="B384">
        <v>8</v>
      </c>
      <c r="C384">
        <v>1</v>
      </c>
      <c r="D384">
        <v>0</v>
      </c>
      <c r="E384">
        <v>1</v>
      </c>
      <c r="F384">
        <v>268435455</v>
      </c>
      <c r="G384">
        <v>1</v>
      </c>
      <c r="H384">
        <v>0</v>
      </c>
      <c r="I384">
        <v>1</v>
      </c>
      <c r="J384">
        <v>0</v>
      </c>
    </row>
    <row r="385" spans="1:10" x14ac:dyDescent="0.25">
      <c r="A385">
        <v>3835000</v>
      </c>
      <c r="B385">
        <v>0</v>
      </c>
      <c r="C385">
        <v>0</v>
      </c>
      <c r="D385">
        <v>0</v>
      </c>
      <c r="E385">
        <v>1</v>
      </c>
      <c r="F385">
        <v>5</v>
      </c>
      <c r="G385">
        <v>1</v>
      </c>
      <c r="H385">
        <v>0</v>
      </c>
      <c r="I385">
        <v>1</v>
      </c>
      <c r="J385">
        <v>0</v>
      </c>
    </row>
    <row r="386" spans="1:10" x14ac:dyDescent="0.25">
      <c r="A386">
        <v>3845000</v>
      </c>
      <c r="B386">
        <v>41</v>
      </c>
      <c r="C386">
        <v>1</v>
      </c>
      <c r="D386">
        <v>0</v>
      </c>
      <c r="E386">
        <v>1</v>
      </c>
      <c r="F386">
        <v>59</v>
      </c>
      <c r="G386">
        <v>1</v>
      </c>
      <c r="H386">
        <v>0</v>
      </c>
      <c r="I386">
        <v>1</v>
      </c>
      <c r="J386">
        <v>0</v>
      </c>
    </row>
    <row r="387" spans="1:10" x14ac:dyDescent="0.25">
      <c r="A387">
        <v>3855000</v>
      </c>
      <c r="B387">
        <v>0</v>
      </c>
      <c r="C387">
        <v>0</v>
      </c>
      <c r="D387">
        <v>0</v>
      </c>
      <c r="E387">
        <v>1</v>
      </c>
      <c r="F387">
        <v>317</v>
      </c>
      <c r="G387">
        <v>1</v>
      </c>
      <c r="H387">
        <v>0</v>
      </c>
      <c r="I387">
        <v>1</v>
      </c>
      <c r="J387">
        <v>0</v>
      </c>
    </row>
    <row r="388" spans="1:10" x14ac:dyDescent="0.25">
      <c r="A388">
        <v>3865000</v>
      </c>
      <c r="B388">
        <v>141</v>
      </c>
      <c r="C388">
        <v>1</v>
      </c>
      <c r="D388">
        <v>0</v>
      </c>
      <c r="E388">
        <v>1</v>
      </c>
      <c r="F388">
        <v>25</v>
      </c>
      <c r="G388">
        <v>1</v>
      </c>
      <c r="H388">
        <v>0</v>
      </c>
      <c r="I388">
        <v>1</v>
      </c>
      <c r="J388">
        <v>0</v>
      </c>
    </row>
    <row r="389" spans="1:10" x14ac:dyDescent="0.25">
      <c r="A389">
        <v>3875000</v>
      </c>
      <c r="B389">
        <v>0</v>
      </c>
      <c r="C389">
        <v>0</v>
      </c>
      <c r="D389">
        <v>0</v>
      </c>
      <c r="E389">
        <v>1</v>
      </c>
      <c r="F389">
        <v>5</v>
      </c>
      <c r="G389">
        <v>1</v>
      </c>
      <c r="H389">
        <v>0</v>
      </c>
      <c r="I389">
        <v>1</v>
      </c>
      <c r="J389">
        <v>0</v>
      </c>
    </row>
    <row r="390" spans="1:10" x14ac:dyDescent="0.25">
      <c r="A390">
        <v>3885000</v>
      </c>
      <c r="B390">
        <v>1041</v>
      </c>
      <c r="C390">
        <v>1</v>
      </c>
      <c r="D390">
        <v>0</v>
      </c>
      <c r="E390">
        <v>1</v>
      </c>
      <c r="F390">
        <v>14</v>
      </c>
      <c r="G390">
        <v>1</v>
      </c>
      <c r="H390">
        <v>0</v>
      </c>
      <c r="I390">
        <v>1</v>
      </c>
      <c r="J390">
        <v>0</v>
      </c>
    </row>
    <row r="391" spans="1:10" x14ac:dyDescent="0.25">
      <c r="A391">
        <v>3895000</v>
      </c>
      <c r="B391">
        <v>0</v>
      </c>
      <c r="C391">
        <v>0</v>
      </c>
      <c r="D391">
        <v>0</v>
      </c>
      <c r="E391">
        <v>1</v>
      </c>
      <c r="F391">
        <v>114</v>
      </c>
      <c r="G391">
        <v>1</v>
      </c>
      <c r="H391">
        <v>0</v>
      </c>
      <c r="I391">
        <v>1</v>
      </c>
      <c r="J391">
        <v>0</v>
      </c>
    </row>
    <row r="392" spans="1:10" x14ac:dyDescent="0.25">
      <c r="A392">
        <v>3905000</v>
      </c>
      <c r="B392">
        <v>10041</v>
      </c>
      <c r="C392">
        <v>1</v>
      </c>
      <c r="D392">
        <v>1</v>
      </c>
      <c r="E392">
        <v>1</v>
      </c>
      <c r="F392">
        <v>1014</v>
      </c>
      <c r="G392">
        <v>1</v>
      </c>
      <c r="H392">
        <v>0</v>
      </c>
      <c r="I392">
        <v>1</v>
      </c>
      <c r="J392">
        <v>0</v>
      </c>
    </row>
    <row r="393" spans="1:10" x14ac:dyDescent="0.25">
      <c r="A393">
        <v>3915000</v>
      </c>
      <c r="B393">
        <v>0</v>
      </c>
      <c r="C393">
        <v>0</v>
      </c>
      <c r="D393">
        <v>0</v>
      </c>
      <c r="E393">
        <v>1</v>
      </c>
      <c r="F393">
        <v>10014</v>
      </c>
      <c r="G393">
        <v>1</v>
      </c>
      <c r="H393">
        <v>0</v>
      </c>
      <c r="I393">
        <v>1</v>
      </c>
      <c r="J393">
        <v>0</v>
      </c>
    </row>
    <row r="394" spans="1:10" x14ac:dyDescent="0.25">
      <c r="A394">
        <v>3925000</v>
      </c>
      <c r="B394">
        <v>0</v>
      </c>
      <c r="C394">
        <v>1</v>
      </c>
      <c r="D394">
        <v>0</v>
      </c>
      <c r="E394">
        <v>1</v>
      </c>
      <c r="F394">
        <v>1126</v>
      </c>
      <c r="G394">
        <v>1</v>
      </c>
      <c r="H394">
        <v>0</v>
      </c>
      <c r="I394">
        <v>1</v>
      </c>
      <c r="J394">
        <v>0</v>
      </c>
    </row>
    <row r="395" spans="1:10" x14ac:dyDescent="0.25">
      <c r="A395">
        <v>3935000</v>
      </c>
      <c r="B395">
        <v>0</v>
      </c>
      <c r="C395">
        <v>0</v>
      </c>
      <c r="D395">
        <v>0</v>
      </c>
      <c r="E395">
        <v>1</v>
      </c>
      <c r="F395">
        <v>326</v>
      </c>
      <c r="G395">
        <v>1</v>
      </c>
      <c r="H395">
        <v>0</v>
      </c>
      <c r="I395">
        <v>1</v>
      </c>
      <c r="J395">
        <v>0</v>
      </c>
    </row>
    <row r="396" spans="1:10" x14ac:dyDescent="0.25">
      <c r="A396">
        <v>3945000</v>
      </c>
      <c r="B396">
        <v>8</v>
      </c>
      <c r="C396">
        <v>1</v>
      </c>
      <c r="D396">
        <v>0</v>
      </c>
      <c r="E396">
        <v>1</v>
      </c>
      <c r="F396">
        <v>0</v>
      </c>
      <c r="G396">
        <v>1</v>
      </c>
      <c r="H396">
        <v>0</v>
      </c>
      <c r="I396">
        <v>1</v>
      </c>
      <c r="J396">
        <v>0</v>
      </c>
    </row>
    <row r="397" spans="1:10" x14ac:dyDescent="0.25">
      <c r="A397">
        <v>3955000</v>
      </c>
      <c r="B397">
        <v>0</v>
      </c>
      <c r="C397">
        <v>0</v>
      </c>
      <c r="D397">
        <v>0</v>
      </c>
      <c r="E397">
        <v>1</v>
      </c>
      <c r="F397">
        <v>268435454</v>
      </c>
      <c r="G397">
        <v>1</v>
      </c>
      <c r="H397">
        <v>1</v>
      </c>
      <c r="I397">
        <v>1</v>
      </c>
      <c r="J397">
        <v>0</v>
      </c>
    </row>
    <row r="398" spans="1:10" x14ac:dyDescent="0.25">
      <c r="A398">
        <v>3965000</v>
      </c>
      <c r="B398">
        <v>42</v>
      </c>
      <c r="C398">
        <v>1</v>
      </c>
      <c r="D398">
        <v>0</v>
      </c>
      <c r="E398">
        <v>1</v>
      </c>
      <c r="F398">
        <v>268435455</v>
      </c>
      <c r="G398">
        <v>1</v>
      </c>
      <c r="H398">
        <v>0</v>
      </c>
      <c r="I398">
        <v>1</v>
      </c>
      <c r="J398">
        <v>0</v>
      </c>
    </row>
    <row r="399" spans="1:10" x14ac:dyDescent="0.25">
      <c r="A399">
        <v>3975000</v>
      </c>
      <c r="B399">
        <v>0</v>
      </c>
      <c r="C399">
        <v>0</v>
      </c>
      <c r="D399">
        <v>0</v>
      </c>
      <c r="E399">
        <v>1</v>
      </c>
      <c r="F399">
        <v>6</v>
      </c>
      <c r="G399">
        <v>1</v>
      </c>
      <c r="H399">
        <v>0</v>
      </c>
      <c r="I399">
        <v>1</v>
      </c>
      <c r="J399">
        <v>0</v>
      </c>
    </row>
    <row r="400" spans="1:10" x14ac:dyDescent="0.25">
      <c r="A400">
        <v>3985000</v>
      </c>
      <c r="B400">
        <v>142</v>
      </c>
      <c r="C400">
        <v>1</v>
      </c>
      <c r="D400">
        <v>0</v>
      </c>
      <c r="E400">
        <v>1</v>
      </c>
      <c r="F400">
        <v>71</v>
      </c>
      <c r="G400">
        <v>1</v>
      </c>
      <c r="H400">
        <v>0</v>
      </c>
      <c r="I400">
        <v>1</v>
      </c>
      <c r="J400">
        <v>0</v>
      </c>
    </row>
    <row r="401" spans="1:10" x14ac:dyDescent="0.25">
      <c r="A401">
        <v>3995000</v>
      </c>
      <c r="B401">
        <v>0</v>
      </c>
      <c r="C401">
        <v>0</v>
      </c>
      <c r="D401">
        <v>0</v>
      </c>
      <c r="E401">
        <v>1</v>
      </c>
      <c r="F401">
        <v>318</v>
      </c>
      <c r="G401">
        <v>1</v>
      </c>
      <c r="H401">
        <v>0</v>
      </c>
      <c r="I401">
        <v>1</v>
      </c>
      <c r="J401">
        <v>0</v>
      </c>
    </row>
    <row r="402" spans="1:10" x14ac:dyDescent="0.25">
      <c r="A402">
        <v>4005000</v>
      </c>
      <c r="B402">
        <v>1042</v>
      </c>
      <c r="C402">
        <v>1</v>
      </c>
      <c r="D402">
        <v>0</v>
      </c>
      <c r="E402">
        <v>1</v>
      </c>
      <c r="F402">
        <v>25</v>
      </c>
      <c r="G402">
        <v>1</v>
      </c>
      <c r="H402">
        <v>0</v>
      </c>
      <c r="I402">
        <v>1</v>
      </c>
      <c r="J402">
        <v>0</v>
      </c>
    </row>
    <row r="403" spans="1:10" x14ac:dyDescent="0.25">
      <c r="A403">
        <v>4015000</v>
      </c>
      <c r="B403">
        <v>0</v>
      </c>
      <c r="C403">
        <v>0</v>
      </c>
      <c r="D403">
        <v>0</v>
      </c>
      <c r="E403">
        <v>1</v>
      </c>
      <c r="F403">
        <v>5</v>
      </c>
      <c r="G403">
        <v>1</v>
      </c>
      <c r="H403">
        <v>0</v>
      </c>
      <c r="I403">
        <v>1</v>
      </c>
      <c r="J403">
        <v>0</v>
      </c>
    </row>
    <row r="404" spans="1:10" x14ac:dyDescent="0.25">
      <c r="A404">
        <v>4025000</v>
      </c>
      <c r="B404">
        <v>10042</v>
      </c>
      <c r="C404">
        <v>1</v>
      </c>
      <c r="D404">
        <v>1</v>
      </c>
      <c r="E404">
        <v>1</v>
      </c>
      <c r="F404">
        <v>15</v>
      </c>
      <c r="G404">
        <v>1</v>
      </c>
      <c r="H404">
        <v>0</v>
      </c>
      <c r="I404">
        <v>1</v>
      </c>
      <c r="J404">
        <v>0</v>
      </c>
    </row>
    <row r="405" spans="1:10" x14ac:dyDescent="0.25">
      <c r="A405">
        <v>4035000</v>
      </c>
      <c r="B405">
        <v>0</v>
      </c>
      <c r="C405">
        <v>0</v>
      </c>
      <c r="D405">
        <v>0</v>
      </c>
      <c r="E405">
        <v>1</v>
      </c>
      <c r="F405">
        <v>115</v>
      </c>
      <c r="G405">
        <v>1</v>
      </c>
      <c r="H405">
        <v>0</v>
      </c>
      <c r="I405">
        <v>1</v>
      </c>
      <c r="J405">
        <v>0</v>
      </c>
    </row>
    <row r="406" spans="1:10" x14ac:dyDescent="0.25">
      <c r="A406">
        <v>4045000</v>
      </c>
      <c r="B406">
        <v>0</v>
      </c>
      <c r="C406">
        <v>1</v>
      </c>
      <c r="D406">
        <v>0</v>
      </c>
      <c r="E406">
        <v>1</v>
      </c>
      <c r="F406">
        <v>1015</v>
      </c>
      <c r="G406">
        <v>1</v>
      </c>
      <c r="H406">
        <v>0</v>
      </c>
      <c r="I406">
        <v>1</v>
      </c>
      <c r="J406">
        <v>0</v>
      </c>
    </row>
    <row r="407" spans="1:10" x14ac:dyDescent="0.25">
      <c r="A407">
        <v>4055000</v>
      </c>
      <c r="B407">
        <v>0</v>
      </c>
      <c r="C407">
        <v>0</v>
      </c>
      <c r="D407">
        <v>0</v>
      </c>
      <c r="E407">
        <v>1</v>
      </c>
      <c r="F407">
        <v>10015</v>
      </c>
      <c r="G407">
        <v>1</v>
      </c>
      <c r="H407">
        <v>0</v>
      </c>
      <c r="I407">
        <v>1</v>
      </c>
      <c r="J407">
        <v>0</v>
      </c>
    </row>
    <row r="408" spans="1:10" x14ac:dyDescent="0.25">
      <c r="A408">
        <v>4065000</v>
      </c>
      <c r="B408">
        <v>8</v>
      </c>
      <c r="C408">
        <v>1</v>
      </c>
      <c r="D408">
        <v>0</v>
      </c>
      <c r="E408">
        <v>1</v>
      </c>
      <c r="F408">
        <v>1128</v>
      </c>
      <c r="G408">
        <v>1</v>
      </c>
      <c r="H408">
        <v>0</v>
      </c>
      <c r="I408">
        <v>1</v>
      </c>
      <c r="J408">
        <v>0</v>
      </c>
    </row>
    <row r="409" spans="1:10" x14ac:dyDescent="0.25">
      <c r="A409">
        <v>4075000</v>
      </c>
      <c r="B409">
        <v>0</v>
      </c>
      <c r="C409">
        <v>0</v>
      </c>
      <c r="D409">
        <v>0</v>
      </c>
      <c r="E409">
        <v>1</v>
      </c>
      <c r="F409">
        <v>327</v>
      </c>
      <c r="G409">
        <v>1</v>
      </c>
      <c r="H409">
        <v>0</v>
      </c>
      <c r="I409">
        <v>1</v>
      </c>
      <c r="J409">
        <v>0</v>
      </c>
    </row>
    <row r="410" spans="1:10" x14ac:dyDescent="0.25">
      <c r="A410">
        <v>4085000</v>
      </c>
      <c r="B410">
        <v>43</v>
      </c>
      <c r="C410">
        <v>1</v>
      </c>
      <c r="D410">
        <v>0</v>
      </c>
      <c r="E410">
        <v>1</v>
      </c>
      <c r="F410">
        <v>0</v>
      </c>
      <c r="G410">
        <v>1</v>
      </c>
      <c r="H410">
        <v>0</v>
      </c>
      <c r="I410">
        <v>1</v>
      </c>
      <c r="J410">
        <v>0</v>
      </c>
    </row>
    <row r="411" spans="1:10" x14ac:dyDescent="0.25">
      <c r="A411">
        <v>4095000</v>
      </c>
      <c r="B411">
        <v>0</v>
      </c>
      <c r="C411">
        <v>0</v>
      </c>
      <c r="D411">
        <v>0</v>
      </c>
      <c r="E411">
        <v>1</v>
      </c>
      <c r="F411">
        <v>268435454</v>
      </c>
      <c r="G411">
        <v>1</v>
      </c>
      <c r="H411">
        <v>1</v>
      </c>
      <c r="I411">
        <v>1</v>
      </c>
      <c r="J411">
        <v>0</v>
      </c>
    </row>
    <row r="412" spans="1:10" x14ac:dyDescent="0.25">
      <c r="A412">
        <v>4105000</v>
      </c>
      <c r="B412">
        <v>143</v>
      </c>
      <c r="C412">
        <v>1</v>
      </c>
      <c r="D412">
        <v>0</v>
      </c>
      <c r="E412">
        <v>1</v>
      </c>
      <c r="F412">
        <v>268435455</v>
      </c>
      <c r="G412">
        <v>1</v>
      </c>
      <c r="H412">
        <v>0</v>
      </c>
      <c r="I412">
        <v>1</v>
      </c>
      <c r="J412">
        <v>0</v>
      </c>
    </row>
    <row r="413" spans="1:10" x14ac:dyDescent="0.25">
      <c r="A413">
        <v>4115000</v>
      </c>
      <c r="B413">
        <v>0</v>
      </c>
      <c r="C413">
        <v>0</v>
      </c>
      <c r="D413">
        <v>0</v>
      </c>
      <c r="E413">
        <v>1</v>
      </c>
      <c r="F413">
        <v>7</v>
      </c>
      <c r="G413">
        <v>1</v>
      </c>
      <c r="H413">
        <v>0</v>
      </c>
      <c r="I413">
        <v>1</v>
      </c>
      <c r="J413">
        <v>0</v>
      </c>
    </row>
    <row r="414" spans="1:10" x14ac:dyDescent="0.25">
      <c r="A414">
        <v>4125000</v>
      </c>
      <c r="B414">
        <v>1043</v>
      </c>
      <c r="C414">
        <v>1</v>
      </c>
      <c r="D414">
        <v>0</v>
      </c>
      <c r="E414">
        <v>1</v>
      </c>
      <c r="F414">
        <v>83</v>
      </c>
      <c r="G414">
        <v>1</v>
      </c>
      <c r="H414">
        <v>0</v>
      </c>
      <c r="I414">
        <v>1</v>
      </c>
      <c r="J414">
        <v>0</v>
      </c>
    </row>
    <row r="415" spans="1:10" x14ac:dyDescent="0.25">
      <c r="A415">
        <v>4135000</v>
      </c>
      <c r="B415">
        <v>0</v>
      </c>
      <c r="C415">
        <v>0</v>
      </c>
      <c r="D415">
        <v>0</v>
      </c>
      <c r="E415">
        <v>1</v>
      </c>
      <c r="F415">
        <v>319</v>
      </c>
      <c r="G415">
        <v>1</v>
      </c>
      <c r="H415">
        <v>0</v>
      </c>
      <c r="I415">
        <v>1</v>
      </c>
      <c r="J415">
        <v>0</v>
      </c>
    </row>
    <row r="416" spans="1:10" x14ac:dyDescent="0.25">
      <c r="A416">
        <v>4145000</v>
      </c>
      <c r="B416">
        <v>10043</v>
      </c>
      <c r="C416">
        <v>1</v>
      </c>
      <c r="D416">
        <v>1</v>
      </c>
      <c r="E416">
        <v>1</v>
      </c>
      <c r="F416">
        <v>25</v>
      </c>
      <c r="G416">
        <v>1</v>
      </c>
      <c r="H416">
        <v>0</v>
      </c>
      <c r="I416">
        <v>1</v>
      </c>
      <c r="J416">
        <v>0</v>
      </c>
    </row>
    <row r="417" spans="1:10" x14ac:dyDescent="0.25">
      <c r="A417">
        <v>4155000</v>
      </c>
      <c r="B417">
        <v>0</v>
      </c>
      <c r="C417">
        <v>0</v>
      </c>
      <c r="D417">
        <v>0</v>
      </c>
      <c r="E417">
        <v>1</v>
      </c>
      <c r="F417">
        <v>5</v>
      </c>
      <c r="G417">
        <v>1</v>
      </c>
      <c r="H417">
        <v>0</v>
      </c>
      <c r="I417">
        <v>1</v>
      </c>
      <c r="J417">
        <v>0</v>
      </c>
    </row>
    <row r="418" spans="1:10" x14ac:dyDescent="0.25">
      <c r="A418">
        <v>4165000</v>
      </c>
      <c r="B418">
        <v>0</v>
      </c>
      <c r="C418">
        <v>1</v>
      </c>
      <c r="D418">
        <v>0</v>
      </c>
      <c r="E418">
        <v>1</v>
      </c>
      <c r="F418">
        <v>16</v>
      </c>
      <c r="G418">
        <v>1</v>
      </c>
      <c r="H418">
        <v>0</v>
      </c>
      <c r="I418">
        <v>1</v>
      </c>
      <c r="J418">
        <v>0</v>
      </c>
    </row>
    <row r="419" spans="1:10" x14ac:dyDescent="0.25">
      <c r="A419">
        <v>4175000</v>
      </c>
      <c r="B419">
        <v>0</v>
      </c>
      <c r="C419">
        <v>0</v>
      </c>
      <c r="D419">
        <v>0</v>
      </c>
      <c r="E419">
        <v>1</v>
      </c>
      <c r="F419">
        <v>116</v>
      </c>
      <c r="G419">
        <v>1</v>
      </c>
      <c r="H419">
        <v>0</v>
      </c>
      <c r="I419">
        <v>1</v>
      </c>
      <c r="J419">
        <v>0</v>
      </c>
    </row>
    <row r="420" spans="1:10" x14ac:dyDescent="0.25">
      <c r="A420">
        <v>4185000</v>
      </c>
      <c r="B420">
        <v>8</v>
      </c>
      <c r="C420">
        <v>1</v>
      </c>
      <c r="D420">
        <v>0</v>
      </c>
      <c r="E420">
        <v>1</v>
      </c>
      <c r="F420">
        <v>1016</v>
      </c>
      <c r="G420">
        <v>1</v>
      </c>
      <c r="H420">
        <v>0</v>
      </c>
      <c r="I420">
        <v>1</v>
      </c>
      <c r="J420">
        <v>0</v>
      </c>
    </row>
    <row r="421" spans="1:10" x14ac:dyDescent="0.25">
      <c r="A421">
        <v>4195000</v>
      </c>
      <c r="B421">
        <v>0</v>
      </c>
      <c r="C421">
        <v>0</v>
      </c>
      <c r="D421">
        <v>0</v>
      </c>
      <c r="E421">
        <v>1</v>
      </c>
      <c r="F421">
        <v>10016</v>
      </c>
      <c r="G421">
        <v>1</v>
      </c>
      <c r="H421">
        <v>0</v>
      </c>
      <c r="I421">
        <v>1</v>
      </c>
      <c r="J421">
        <v>0</v>
      </c>
    </row>
    <row r="422" spans="1:10" x14ac:dyDescent="0.25">
      <c r="A422">
        <v>4205000</v>
      </c>
      <c r="B422">
        <v>44</v>
      </c>
      <c r="C422">
        <v>1</v>
      </c>
      <c r="D422">
        <v>0</v>
      </c>
      <c r="E422">
        <v>1</v>
      </c>
      <c r="F422">
        <v>1130</v>
      </c>
      <c r="G422">
        <v>1</v>
      </c>
      <c r="H422">
        <v>0</v>
      </c>
      <c r="I422">
        <v>1</v>
      </c>
      <c r="J422">
        <v>0</v>
      </c>
    </row>
    <row r="423" spans="1:10" x14ac:dyDescent="0.25">
      <c r="A423">
        <v>4215000</v>
      </c>
      <c r="B423">
        <v>0</v>
      </c>
      <c r="C423">
        <v>0</v>
      </c>
      <c r="D423">
        <v>0</v>
      </c>
      <c r="E423">
        <v>1</v>
      </c>
      <c r="F423">
        <v>328</v>
      </c>
      <c r="G423">
        <v>1</v>
      </c>
      <c r="H423">
        <v>0</v>
      </c>
      <c r="I423">
        <v>1</v>
      </c>
      <c r="J423">
        <v>0</v>
      </c>
    </row>
    <row r="424" spans="1:10" x14ac:dyDescent="0.25">
      <c r="A424">
        <v>4225000</v>
      </c>
      <c r="B424">
        <v>144</v>
      </c>
      <c r="C424">
        <v>1</v>
      </c>
      <c r="D424">
        <v>0</v>
      </c>
      <c r="E424">
        <v>1</v>
      </c>
      <c r="F424">
        <v>0</v>
      </c>
      <c r="G424">
        <v>1</v>
      </c>
      <c r="H424">
        <v>0</v>
      </c>
      <c r="I424">
        <v>1</v>
      </c>
      <c r="J424">
        <v>0</v>
      </c>
    </row>
    <row r="425" spans="1:10" x14ac:dyDescent="0.25">
      <c r="A425">
        <v>4235000</v>
      </c>
      <c r="B425">
        <v>0</v>
      </c>
      <c r="C425">
        <v>0</v>
      </c>
      <c r="D425">
        <v>0</v>
      </c>
      <c r="E425">
        <v>1</v>
      </c>
      <c r="F425">
        <v>268435454</v>
      </c>
      <c r="G425">
        <v>1</v>
      </c>
      <c r="H425">
        <v>1</v>
      </c>
      <c r="I425">
        <v>1</v>
      </c>
      <c r="J425">
        <v>0</v>
      </c>
    </row>
    <row r="426" spans="1:10" x14ac:dyDescent="0.25">
      <c r="A426">
        <v>4245000</v>
      </c>
      <c r="B426">
        <v>1044</v>
      </c>
      <c r="C426">
        <v>1</v>
      </c>
      <c r="D426">
        <v>0</v>
      </c>
      <c r="E426">
        <v>1</v>
      </c>
      <c r="F426">
        <v>268435455</v>
      </c>
      <c r="G426">
        <v>1</v>
      </c>
      <c r="H426">
        <v>0</v>
      </c>
      <c r="I426">
        <v>1</v>
      </c>
      <c r="J426">
        <v>0</v>
      </c>
    </row>
    <row r="427" spans="1:10" x14ac:dyDescent="0.25">
      <c r="A427">
        <v>4255000</v>
      </c>
      <c r="B427">
        <v>0</v>
      </c>
      <c r="C427">
        <v>0</v>
      </c>
      <c r="D427">
        <v>0</v>
      </c>
      <c r="E427">
        <v>1</v>
      </c>
      <c r="F427">
        <v>8</v>
      </c>
      <c r="G427">
        <v>1</v>
      </c>
      <c r="H427">
        <v>0</v>
      </c>
      <c r="I427">
        <v>1</v>
      </c>
      <c r="J427">
        <v>0</v>
      </c>
    </row>
    <row r="428" spans="1:10" x14ac:dyDescent="0.25">
      <c r="A428">
        <v>4265000</v>
      </c>
      <c r="B428">
        <v>10044</v>
      </c>
      <c r="C428">
        <v>1</v>
      </c>
      <c r="D428">
        <v>1</v>
      </c>
      <c r="E428">
        <v>1</v>
      </c>
      <c r="F428">
        <v>95</v>
      </c>
      <c r="G428">
        <v>1</v>
      </c>
      <c r="H428">
        <v>0</v>
      </c>
      <c r="I428">
        <v>1</v>
      </c>
      <c r="J428">
        <v>0</v>
      </c>
    </row>
    <row r="429" spans="1:10" x14ac:dyDescent="0.25">
      <c r="A429">
        <v>4275000</v>
      </c>
      <c r="B429">
        <v>0</v>
      </c>
      <c r="C429">
        <v>0</v>
      </c>
      <c r="D429">
        <v>0</v>
      </c>
      <c r="E429">
        <v>1</v>
      </c>
      <c r="F429">
        <v>320</v>
      </c>
      <c r="G429">
        <v>1</v>
      </c>
      <c r="H429">
        <v>0</v>
      </c>
      <c r="I429">
        <v>1</v>
      </c>
      <c r="J429">
        <v>0</v>
      </c>
    </row>
    <row r="430" spans="1:10" x14ac:dyDescent="0.25">
      <c r="A430">
        <v>4285000</v>
      </c>
      <c r="B430">
        <v>0</v>
      </c>
      <c r="C430">
        <v>1</v>
      </c>
      <c r="D430">
        <v>0</v>
      </c>
      <c r="E430">
        <v>1</v>
      </c>
      <c r="F430">
        <v>25</v>
      </c>
      <c r="G430">
        <v>1</v>
      </c>
      <c r="H430">
        <v>0</v>
      </c>
      <c r="I430">
        <v>1</v>
      </c>
      <c r="J430">
        <v>0</v>
      </c>
    </row>
    <row r="431" spans="1:10" x14ac:dyDescent="0.25">
      <c r="A431">
        <v>4295000</v>
      </c>
      <c r="B431">
        <v>0</v>
      </c>
      <c r="C431">
        <v>0</v>
      </c>
      <c r="D431">
        <v>0</v>
      </c>
      <c r="E431">
        <v>1</v>
      </c>
      <c r="F431">
        <v>5</v>
      </c>
      <c r="G431">
        <v>1</v>
      </c>
      <c r="H431">
        <v>0</v>
      </c>
      <c r="I431">
        <v>1</v>
      </c>
      <c r="J431">
        <v>0</v>
      </c>
    </row>
    <row r="432" spans="1:10" x14ac:dyDescent="0.25">
      <c r="A432">
        <v>4305000</v>
      </c>
      <c r="B432">
        <v>8</v>
      </c>
      <c r="C432">
        <v>1</v>
      </c>
      <c r="D432">
        <v>0</v>
      </c>
      <c r="E432">
        <v>1</v>
      </c>
      <c r="F432">
        <v>17</v>
      </c>
      <c r="G432">
        <v>1</v>
      </c>
      <c r="H432">
        <v>0</v>
      </c>
      <c r="I432">
        <v>1</v>
      </c>
      <c r="J432">
        <v>0</v>
      </c>
    </row>
    <row r="433" spans="1:10" x14ac:dyDescent="0.25">
      <c r="A433">
        <v>4315000</v>
      </c>
      <c r="B433">
        <v>0</v>
      </c>
      <c r="C433">
        <v>0</v>
      </c>
      <c r="D433">
        <v>0</v>
      </c>
      <c r="E433">
        <v>1</v>
      </c>
      <c r="F433">
        <v>117</v>
      </c>
      <c r="G433">
        <v>1</v>
      </c>
      <c r="H433">
        <v>0</v>
      </c>
      <c r="I433">
        <v>1</v>
      </c>
      <c r="J433">
        <v>0</v>
      </c>
    </row>
    <row r="434" spans="1:10" x14ac:dyDescent="0.25">
      <c r="A434">
        <v>4325000</v>
      </c>
      <c r="B434">
        <v>45</v>
      </c>
      <c r="C434">
        <v>1</v>
      </c>
      <c r="D434">
        <v>0</v>
      </c>
      <c r="E434">
        <v>1</v>
      </c>
      <c r="F434">
        <v>1017</v>
      </c>
      <c r="G434">
        <v>1</v>
      </c>
      <c r="H434">
        <v>0</v>
      </c>
      <c r="I434">
        <v>1</v>
      </c>
      <c r="J434">
        <v>0</v>
      </c>
    </row>
    <row r="435" spans="1:10" x14ac:dyDescent="0.25">
      <c r="A435">
        <v>4335000</v>
      </c>
      <c r="B435">
        <v>0</v>
      </c>
      <c r="C435">
        <v>0</v>
      </c>
      <c r="D435">
        <v>0</v>
      </c>
      <c r="E435">
        <v>1</v>
      </c>
      <c r="F435">
        <v>10017</v>
      </c>
      <c r="G435">
        <v>1</v>
      </c>
      <c r="H435">
        <v>0</v>
      </c>
      <c r="I435">
        <v>1</v>
      </c>
      <c r="J435">
        <v>0</v>
      </c>
    </row>
    <row r="436" spans="1:10" x14ac:dyDescent="0.25">
      <c r="A436">
        <v>4345000</v>
      </c>
      <c r="B436">
        <v>145</v>
      </c>
      <c r="C436">
        <v>1</v>
      </c>
      <c r="D436">
        <v>0</v>
      </c>
      <c r="E436">
        <v>1</v>
      </c>
      <c r="F436">
        <v>1132</v>
      </c>
      <c r="G436">
        <v>1</v>
      </c>
      <c r="H436">
        <v>0</v>
      </c>
      <c r="I436">
        <v>1</v>
      </c>
      <c r="J436">
        <v>0</v>
      </c>
    </row>
    <row r="437" spans="1:10" x14ac:dyDescent="0.25">
      <c r="A437">
        <v>4355000</v>
      </c>
      <c r="B437">
        <v>0</v>
      </c>
      <c r="C437">
        <v>0</v>
      </c>
      <c r="D437">
        <v>0</v>
      </c>
      <c r="E437">
        <v>1</v>
      </c>
      <c r="F437">
        <v>329</v>
      </c>
      <c r="G437">
        <v>1</v>
      </c>
      <c r="H437">
        <v>0</v>
      </c>
      <c r="I437">
        <v>1</v>
      </c>
      <c r="J437">
        <v>0</v>
      </c>
    </row>
    <row r="438" spans="1:10" x14ac:dyDescent="0.25">
      <c r="A438">
        <v>4365000</v>
      </c>
      <c r="B438">
        <v>1045</v>
      </c>
      <c r="C438">
        <v>1</v>
      </c>
      <c r="D438">
        <v>0</v>
      </c>
      <c r="E438">
        <v>1</v>
      </c>
      <c r="F438">
        <v>0</v>
      </c>
      <c r="G438">
        <v>1</v>
      </c>
      <c r="H438">
        <v>0</v>
      </c>
      <c r="I438">
        <v>1</v>
      </c>
      <c r="J438">
        <v>0</v>
      </c>
    </row>
    <row r="439" spans="1:10" x14ac:dyDescent="0.25">
      <c r="A439">
        <v>4375000</v>
      </c>
      <c r="B439">
        <v>0</v>
      </c>
      <c r="C439">
        <v>0</v>
      </c>
      <c r="D439">
        <v>0</v>
      </c>
      <c r="E439">
        <v>1</v>
      </c>
      <c r="F439">
        <v>268435454</v>
      </c>
      <c r="G439">
        <v>1</v>
      </c>
      <c r="H439">
        <v>1</v>
      </c>
      <c r="I439">
        <v>1</v>
      </c>
      <c r="J439">
        <v>0</v>
      </c>
    </row>
    <row r="440" spans="1:10" x14ac:dyDescent="0.25">
      <c r="A440">
        <v>4385000</v>
      </c>
      <c r="B440">
        <v>10045</v>
      </c>
      <c r="C440">
        <v>1</v>
      </c>
      <c r="D440">
        <v>1</v>
      </c>
      <c r="E440">
        <v>1</v>
      </c>
      <c r="F440">
        <v>268435455</v>
      </c>
      <c r="G440">
        <v>1</v>
      </c>
      <c r="H440">
        <v>0</v>
      </c>
      <c r="I440">
        <v>1</v>
      </c>
      <c r="J440">
        <v>0</v>
      </c>
    </row>
    <row r="441" spans="1:10" x14ac:dyDescent="0.25">
      <c r="A441">
        <v>4395000</v>
      </c>
      <c r="B441">
        <v>0</v>
      </c>
      <c r="C441">
        <v>0</v>
      </c>
      <c r="D441">
        <v>0</v>
      </c>
      <c r="E441">
        <v>1</v>
      </c>
      <c r="F441">
        <v>9</v>
      </c>
      <c r="G441">
        <v>1</v>
      </c>
      <c r="H441">
        <v>0</v>
      </c>
      <c r="I441">
        <v>1</v>
      </c>
      <c r="J441">
        <v>0</v>
      </c>
    </row>
    <row r="442" spans="1:10" x14ac:dyDescent="0.25">
      <c r="A442">
        <v>4405000</v>
      </c>
      <c r="B442">
        <v>1</v>
      </c>
      <c r="C442">
        <v>1</v>
      </c>
      <c r="D442">
        <v>0</v>
      </c>
      <c r="E442">
        <v>1</v>
      </c>
      <c r="F442">
        <v>107</v>
      </c>
      <c r="G442">
        <v>1</v>
      </c>
      <c r="H442">
        <v>0</v>
      </c>
      <c r="I442">
        <v>1</v>
      </c>
      <c r="J442">
        <v>0</v>
      </c>
    </row>
    <row r="443" spans="1:10" x14ac:dyDescent="0.25">
      <c r="A443">
        <v>4415000</v>
      </c>
      <c r="B443">
        <v>0</v>
      </c>
      <c r="C443">
        <v>0</v>
      </c>
      <c r="D443">
        <v>0</v>
      </c>
      <c r="E443">
        <v>1</v>
      </c>
      <c r="F443">
        <v>321</v>
      </c>
      <c r="G443">
        <v>1</v>
      </c>
      <c r="H443">
        <v>0</v>
      </c>
      <c r="I443">
        <v>1</v>
      </c>
      <c r="J443">
        <v>0</v>
      </c>
    </row>
    <row r="444" spans="1:10" x14ac:dyDescent="0.25">
      <c r="A444">
        <v>4425000</v>
      </c>
      <c r="B444">
        <v>8</v>
      </c>
      <c r="C444">
        <v>1</v>
      </c>
      <c r="D444">
        <v>0</v>
      </c>
      <c r="E444">
        <v>1</v>
      </c>
      <c r="F444">
        <v>25</v>
      </c>
      <c r="G444">
        <v>1</v>
      </c>
      <c r="H444">
        <v>0</v>
      </c>
      <c r="I444">
        <v>1</v>
      </c>
      <c r="J444">
        <v>0</v>
      </c>
    </row>
    <row r="445" spans="1:10" x14ac:dyDescent="0.25">
      <c r="A445">
        <v>4435000</v>
      </c>
      <c r="B445">
        <v>0</v>
      </c>
      <c r="C445">
        <v>0</v>
      </c>
      <c r="D445">
        <v>0</v>
      </c>
      <c r="E445">
        <v>1</v>
      </c>
      <c r="F445">
        <v>5</v>
      </c>
      <c r="G445">
        <v>1</v>
      </c>
      <c r="H445">
        <v>0</v>
      </c>
      <c r="I445">
        <v>1</v>
      </c>
      <c r="J445">
        <v>0</v>
      </c>
    </row>
    <row r="446" spans="1:10" x14ac:dyDescent="0.25">
      <c r="A446">
        <v>4445000</v>
      </c>
      <c r="B446">
        <v>46</v>
      </c>
      <c r="C446">
        <v>1</v>
      </c>
      <c r="D446">
        <v>0</v>
      </c>
      <c r="E446">
        <v>1</v>
      </c>
      <c r="F446">
        <v>18</v>
      </c>
      <c r="G446">
        <v>1</v>
      </c>
      <c r="H446">
        <v>0</v>
      </c>
      <c r="I446">
        <v>1</v>
      </c>
      <c r="J446">
        <v>0</v>
      </c>
    </row>
    <row r="447" spans="1:10" x14ac:dyDescent="0.25">
      <c r="A447">
        <v>4455000</v>
      </c>
      <c r="B447">
        <v>0</v>
      </c>
      <c r="C447">
        <v>0</v>
      </c>
      <c r="D447">
        <v>0</v>
      </c>
      <c r="E447">
        <v>1</v>
      </c>
      <c r="F447">
        <v>118</v>
      </c>
      <c r="G447">
        <v>1</v>
      </c>
      <c r="H447">
        <v>0</v>
      </c>
      <c r="I447">
        <v>1</v>
      </c>
      <c r="J447">
        <v>0</v>
      </c>
    </row>
    <row r="448" spans="1:10" x14ac:dyDescent="0.25">
      <c r="A448">
        <v>4465000</v>
      </c>
      <c r="B448">
        <v>146</v>
      </c>
      <c r="C448">
        <v>1</v>
      </c>
      <c r="D448">
        <v>0</v>
      </c>
      <c r="E448">
        <v>1</v>
      </c>
      <c r="F448">
        <v>1018</v>
      </c>
      <c r="G448">
        <v>1</v>
      </c>
      <c r="H448">
        <v>0</v>
      </c>
      <c r="I448">
        <v>1</v>
      </c>
      <c r="J448">
        <v>0</v>
      </c>
    </row>
    <row r="449" spans="1:10" x14ac:dyDescent="0.25">
      <c r="A449">
        <v>4475000</v>
      </c>
      <c r="B449">
        <v>0</v>
      </c>
      <c r="C449">
        <v>0</v>
      </c>
      <c r="D449">
        <v>0</v>
      </c>
      <c r="E449">
        <v>1</v>
      </c>
      <c r="F449">
        <v>10018</v>
      </c>
      <c r="G449">
        <v>1</v>
      </c>
      <c r="H449">
        <v>0</v>
      </c>
      <c r="I449">
        <v>1</v>
      </c>
      <c r="J449">
        <v>0</v>
      </c>
    </row>
    <row r="450" spans="1:10" x14ac:dyDescent="0.25">
      <c r="A450">
        <v>4485000</v>
      </c>
      <c r="B450">
        <v>1046</v>
      </c>
      <c r="C450">
        <v>1</v>
      </c>
      <c r="D450">
        <v>0</v>
      </c>
      <c r="E450">
        <v>1</v>
      </c>
      <c r="F450">
        <v>1134</v>
      </c>
      <c r="G450">
        <v>1</v>
      </c>
      <c r="H450">
        <v>0</v>
      </c>
      <c r="I450">
        <v>1</v>
      </c>
      <c r="J450">
        <v>0</v>
      </c>
    </row>
    <row r="451" spans="1:10" x14ac:dyDescent="0.25">
      <c r="A451">
        <v>4495000</v>
      </c>
      <c r="B451">
        <v>0</v>
      </c>
      <c r="C451">
        <v>0</v>
      </c>
      <c r="D451">
        <v>0</v>
      </c>
      <c r="E451">
        <v>1</v>
      </c>
      <c r="F451">
        <v>330</v>
      </c>
      <c r="G451">
        <v>1</v>
      </c>
      <c r="H451">
        <v>0</v>
      </c>
      <c r="I451">
        <v>1</v>
      </c>
      <c r="J451">
        <v>0</v>
      </c>
    </row>
    <row r="452" spans="1:10" x14ac:dyDescent="0.25">
      <c r="A452">
        <v>4505000</v>
      </c>
      <c r="B452">
        <v>10046</v>
      </c>
      <c r="C452">
        <v>1</v>
      </c>
      <c r="D452">
        <v>1</v>
      </c>
      <c r="E452">
        <v>1</v>
      </c>
      <c r="F452">
        <v>0</v>
      </c>
      <c r="G452">
        <v>1</v>
      </c>
      <c r="H452">
        <v>0</v>
      </c>
      <c r="I452">
        <v>1</v>
      </c>
      <c r="J452">
        <v>0</v>
      </c>
    </row>
    <row r="453" spans="1:10" x14ac:dyDescent="0.25">
      <c r="A453">
        <v>4515000</v>
      </c>
      <c r="B453">
        <v>0</v>
      </c>
      <c r="C453">
        <v>0</v>
      </c>
      <c r="D453">
        <v>0</v>
      </c>
      <c r="E453">
        <v>1</v>
      </c>
      <c r="F453">
        <v>268435454</v>
      </c>
      <c r="G453">
        <v>1</v>
      </c>
      <c r="H453">
        <v>1</v>
      </c>
      <c r="I453">
        <v>1</v>
      </c>
      <c r="J453">
        <v>0</v>
      </c>
    </row>
    <row r="454" spans="1:10" x14ac:dyDescent="0.25">
      <c r="A454">
        <v>4525000</v>
      </c>
      <c r="B454">
        <v>0</v>
      </c>
      <c r="C454">
        <v>0</v>
      </c>
      <c r="D454">
        <v>0</v>
      </c>
      <c r="E454">
        <v>1</v>
      </c>
      <c r="F454">
        <v>268435455</v>
      </c>
      <c r="G454">
        <v>1</v>
      </c>
      <c r="H454">
        <v>0</v>
      </c>
      <c r="I454">
        <v>1</v>
      </c>
      <c r="J454">
        <v>0</v>
      </c>
    </row>
    <row r="455" spans="1:10" x14ac:dyDescent="0.25">
      <c r="A455">
        <v>4535000</v>
      </c>
      <c r="B455">
        <v>0</v>
      </c>
      <c r="C455">
        <v>0</v>
      </c>
      <c r="D455">
        <v>0</v>
      </c>
      <c r="E455">
        <v>1</v>
      </c>
      <c r="F455">
        <v>10</v>
      </c>
      <c r="G455">
        <v>1</v>
      </c>
      <c r="H455">
        <v>0</v>
      </c>
      <c r="I455">
        <v>1</v>
      </c>
      <c r="J455">
        <v>0</v>
      </c>
    </row>
    <row r="456" spans="1:10" x14ac:dyDescent="0.25">
      <c r="A456">
        <v>4545000</v>
      </c>
      <c r="B456">
        <v>0</v>
      </c>
      <c r="C456">
        <v>0</v>
      </c>
      <c r="D456">
        <v>0</v>
      </c>
      <c r="E456">
        <v>1</v>
      </c>
      <c r="F456">
        <v>119</v>
      </c>
      <c r="G456">
        <v>1</v>
      </c>
      <c r="H456">
        <v>0</v>
      </c>
      <c r="I456">
        <v>1</v>
      </c>
      <c r="J456">
        <v>0</v>
      </c>
    </row>
    <row r="457" spans="1:10" x14ac:dyDescent="0.25">
      <c r="A457">
        <v>4555000</v>
      </c>
      <c r="B457">
        <v>0</v>
      </c>
      <c r="C457">
        <v>0</v>
      </c>
      <c r="D457">
        <v>0</v>
      </c>
      <c r="E457">
        <v>1</v>
      </c>
      <c r="F457">
        <v>322</v>
      </c>
      <c r="G457">
        <v>1</v>
      </c>
      <c r="H457">
        <v>0</v>
      </c>
      <c r="I457">
        <v>1</v>
      </c>
      <c r="J457">
        <v>0</v>
      </c>
    </row>
    <row r="458" spans="1:10" x14ac:dyDescent="0.25">
      <c r="A458">
        <v>4565000</v>
      </c>
      <c r="B458">
        <v>0</v>
      </c>
      <c r="C458">
        <v>0</v>
      </c>
      <c r="D458">
        <v>0</v>
      </c>
      <c r="E458">
        <v>1</v>
      </c>
      <c r="F458">
        <v>25</v>
      </c>
      <c r="G458">
        <v>1</v>
      </c>
      <c r="H458">
        <v>0</v>
      </c>
      <c r="I458">
        <v>1</v>
      </c>
      <c r="J458">
        <v>0</v>
      </c>
    </row>
    <row r="459" spans="1:10" x14ac:dyDescent="0.25">
      <c r="A459">
        <v>4575000</v>
      </c>
      <c r="B459">
        <v>0</v>
      </c>
      <c r="C459">
        <v>0</v>
      </c>
      <c r="D459">
        <v>0</v>
      </c>
      <c r="E459">
        <v>1</v>
      </c>
      <c r="F459">
        <v>5</v>
      </c>
      <c r="G459">
        <v>1</v>
      </c>
      <c r="H459">
        <v>0</v>
      </c>
      <c r="I459">
        <v>1</v>
      </c>
      <c r="J459">
        <v>0</v>
      </c>
    </row>
    <row r="460" spans="1:10" x14ac:dyDescent="0.25">
      <c r="A460">
        <v>4585000</v>
      </c>
      <c r="B460">
        <v>0</v>
      </c>
      <c r="C460">
        <v>0</v>
      </c>
      <c r="D460">
        <v>0</v>
      </c>
      <c r="E460">
        <v>1</v>
      </c>
      <c r="F460">
        <v>19</v>
      </c>
      <c r="G460">
        <v>1</v>
      </c>
      <c r="H460">
        <v>0</v>
      </c>
      <c r="I460">
        <v>1</v>
      </c>
      <c r="J460">
        <v>0</v>
      </c>
    </row>
    <row r="461" spans="1:10" x14ac:dyDescent="0.25">
      <c r="A461">
        <v>4595000</v>
      </c>
      <c r="B461">
        <v>0</v>
      </c>
      <c r="C461">
        <v>0</v>
      </c>
      <c r="D461">
        <v>0</v>
      </c>
      <c r="E461">
        <v>1</v>
      </c>
      <c r="F461">
        <v>119</v>
      </c>
      <c r="G461">
        <v>1</v>
      </c>
      <c r="H461">
        <v>0</v>
      </c>
      <c r="I461">
        <v>1</v>
      </c>
      <c r="J461">
        <v>0</v>
      </c>
    </row>
    <row r="462" spans="1:10" x14ac:dyDescent="0.25">
      <c r="A462">
        <v>4605000</v>
      </c>
      <c r="B462">
        <v>0</v>
      </c>
      <c r="C462">
        <v>0</v>
      </c>
      <c r="D462">
        <v>0</v>
      </c>
      <c r="E462">
        <v>1</v>
      </c>
      <c r="F462">
        <v>1019</v>
      </c>
      <c r="G462">
        <v>1</v>
      </c>
      <c r="H462">
        <v>0</v>
      </c>
      <c r="I462">
        <v>1</v>
      </c>
      <c r="J462">
        <v>0</v>
      </c>
    </row>
    <row r="463" spans="1:10" x14ac:dyDescent="0.25">
      <c r="A463">
        <v>4615000</v>
      </c>
      <c r="B463">
        <v>0</v>
      </c>
      <c r="C463">
        <v>0</v>
      </c>
      <c r="D463">
        <v>0</v>
      </c>
      <c r="E463">
        <v>1</v>
      </c>
      <c r="F463">
        <v>10019</v>
      </c>
      <c r="G463">
        <v>1</v>
      </c>
      <c r="H463">
        <v>0</v>
      </c>
      <c r="I463">
        <v>1</v>
      </c>
      <c r="J463">
        <v>0</v>
      </c>
    </row>
    <row r="464" spans="1:10" x14ac:dyDescent="0.25">
      <c r="A464">
        <v>4625000</v>
      </c>
      <c r="B464">
        <v>0</v>
      </c>
      <c r="C464">
        <v>0</v>
      </c>
      <c r="D464">
        <v>0</v>
      </c>
      <c r="E464">
        <v>1</v>
      </c>
      <c r="F464">
        <v>1136</v>
      </c>
      <c r="G464">
        <v>1</v>
      </c>
      <c r="H464">
        <v>0</v>
      </c>
      <c r="I464">
        <v>1</v>
      </c>
      <c r="J464">
        <v>0</v>
      </c>
    </row>
    <row r="465" spans="1:10" x14ac:dyDescent="0.25">
      <c r="A465">
        <v>4635000</v>
      </c>
      <c r="B465">
        <v>0</v>
      </c>
      <c r="C465">
        <v>0</v>
      </c>
      <c r="D465">
        <v>0</v>
      </c>
      <c r="E465">
        <v>1</v>
      </c>
      <c r="F465">
        <v>331</v>
      </c>
      <c r="G465">
        <v>1</v>
      </c>
      <c r="H465">
        <v>0</v>
      </c>
      <c r="I465">
        <v>1</v>
      </c>
      <c r="J465">
        <v>0</v>
      </c>
    </row>
    <row r="466" spans="1:10" x14ac:dyDescent="0.25">
      <c r="A466">
        <v>4645000</v>
      </c>
      <c r="B466">
        <v>0</v>
      </c>
      <c r="C466">
        <v>0</v>
      </c>
      <c r="D466">
        <v>0</v>
      </c>
      <c r="E466">
        <v>1</v>
      </c>
      <c r="F466">
        <v>0</v>
      </c>
      <c r="G466">
        <v>1</v>
      </c>
      <c r="H466">
        <v>0</v>
      </c>
      <c r="I466">
        <v>1</v>
      </c>
      <c r="J466">
        <v>0</v>
      </c>
    </row>
    <row r="467" spans="1:10" x14ac:dyDescent="0.25">
      <c r="A467">
        <v>4655000</v>
      </c>
      <c r="B467">
        <v>0</v>
      </c>
      <c r="C467">
        <v>0</v>
      </c>
      <c r="D467">
        <v>0</v>
      </c>
      <c r="E467">
        <v>1</v>
      </c>
      <c r="F467">
        <v>268435454</v>
      </c>
      <c r="G467">
        <v>1</v>
      </c>
      <c r="H467">
        <v>1</v>
      </c>
      <c r="I467">
        <v>1</v>
      </c>
      <c r="J467">
        <v>0</v>
      </c>
    </row>
    <row r="468" spans="1:10" x14ac:dyDescent="0.25">
      <c r="A468">
        <v>4665000</v>
      </c>
      <c r="B468">
        <v>0</v>
      </c>
      <c r="C468">
        <v>0</v>
      </c>
      <c r="D468">
        <v>0</v>
      </c>
      <c r="E468">
        <v>1</v>
      </c>
      <c r="F468">
        <v>268435455</v>
      </c>
      <c r="G468">
        <v>1</v>
      </c>
      <c r="H468">
        <v>0</v>
      </c>
      <c r="I468">
        <v>1</v>
      </c>
      <c r="J468">
        <v>0</v>
      </c>
    </row>
    <row r="469" spans="1:10" x14ac:dyDescent="0.25">
      <c r="A469">
        <v>4675000</v>
      </c>
      <c r="B469">
        <v>0</v>
      </c>
      <c r="C469">
        <v>0</v>
      </c>
      <c r="D469">
        <v>0</v>
      </c>
      <c r="E469">
        <v>1</v>
      </c>
      <c r="F469">
        <v>11</v>
      </c>
      <c r="G469">
        <v>1</v>
      </c>
      <c r="H469">
        <v>0</v>
      </c>
      <c r="I469">
        <v>1</v>
      </c>
      <c r="J469">
        <v>0</v>
      </c>
    </row>
    <row r="470" spans="1:10" x14ac:dyDescent="0.25">
      <c r="A470">
        <v>4685000</v>
      </c>
      <c r="B470">
        <v>0</v>
      </c>
      <c r="C470">
        <v>0</v>
      </c>
      <c r="D470">
        <v>0</v>
      </c>
      <c r="E470">
        <v>1</v>
      </c>
      <c r="F470">
        <v>131</v>
      </c>
      <c r="G470">
        <v>1</v>
      </c>
      <c r="H470">
        <v>0</v>
      </c>
      <c r="I470">
        <v>1</v>
      </c>
      <c r="J470">
        <v>0</v>
      </c>
    </row>
    <row r="471" spans="1:10" x14ac:dyDescent="0.25">
      <c r="A471">
        <v>4695000</v>
      </c>
      <c r="B471">
        <v>0</v>
      </c>
      <c r="C471">
        <v>0</v>
      </c>
      <c r="D471">
        <v>0</v>
      </c>
      <c r="E471">
        <v>1</v>
      </c>
      <c r="F471">
        <v>323</v>
      </c>
      <c r="G471">
        <v>1</v>
      </c>
      <c r="H471">
        <v>0</v>
      </c>
      <c r="I471">
        <v>1</v>
      </c>
      <c r="J471">
        <v>0</v>
      </c>
    </row>
    <row r="472" spans="1:10" x14ac:dyDescent="0.25">
      <c r="A472">
        <v>4705000</v>
      </c>
      <c r="B472">
        <v>0</v>
      </c>
      <c r="C472">
        <v>0</v>
      </c>
      <c r="D472">
        <v>0</v>
      </c>
      <c r="E472">
        <v>1</v>
      </c>
      <c r="F472">
        <v>25</v>
      </c>
      <c r="G472">
        <v>1</v>
      </c>
      <c r="H472">
        <v>0</v>
      </c>
      <c r="I472">
        <v>1</v>
      </c>
      <c r="J472">
        <v>0</v>
      </c>
    </row>
    <row r="473" spans="1:10" x14ac:dyDescent="0.25">
      <c r="A473">
        <v>4715000</v>
      </c>
      <c r="B473">
        <v>0</v>
      </c>
      <c r="C473">
        <v>0</v>
      </c>
      <c r="D473">
        <v>0</v>
      </c>
      <c r="E473">
        <v>1</v>
      </c>
      <c r="F473">
        <v>5</v>
      </c>
      <c r="G473">
        <v>1</v>
      </c>
      <c r="H473">
        <v>0</v>
      </c>
      <c r="I473">
        <v>1</v>
      </c>
      <c r="J473">
        <v>0</v>
      </c>
    </row>
    <row r="474" spans="1:10" x14ac:dyDescent="0.25">
      <c r="A474">
        <v>4725000</v>
      </c>
      <c r="B474">
        <v>0</v>
      </c>
      <c r="C474">
        <v>0</v>
      </c>
      <c r="D474">
        <v>0</v>
      </c>
      <c r="E474">
        <v>1</v>
      </c>
      <c r="F474">
        <v>20</v>
      </c>
      <c r="G474">
        <v>1</v>
      </c>
      <c r="H474">
        <v>0</v>
      </c>
      <c r="I474">
        <v>1</v>
      </c>
      <c r="J474">
        <v>0</v>
      </c>
    </row>
    <row r="475" spans="1:10" x14ac:dyDescent="0.25">
      <c r="A475">
        <v>4735000</v>
      </c>
      <c r="B475">
        <v>0</v>
      </c>
      <c r="C475">
        <v>0</v>
      </c>
      <c r="D475">
        <v>0</v>
      </c>
      <c r="E475">
        <v>1</v>
      </c>
      <c r="F475">
        <v>120</v>
      </c>
      <c r="G475">
        <v>1</v>
      </c>
      <c r="H475">
        <v>0</v>
      </c>
      <c r="I475">
        <v>1</v>
      </c>
      <c r="J475">
        <v>0</v>
      </c>
    </row>
    <row r="476" spans="1:10" x14ac:dyDescent="0.25">
      <c r="A476">
        <v>4745000</v>
      </c>
      <c r="B476">
        <v>0</v>
      </c>
      <c r="C476">
        <v>0</v>
      </c>
      <c r="D476">
        <v>0</v>
      </c>
      <c r="E476">
        <v>1</v>
      </c>
      <c r="F476">
        <v>1020</v>
      </c>
      <c r="G476">
        <v>1</v>
      </c>
      <c r="H476">
        <v>0</v>
      </c>
      <c r="I476">
        <v>1</v>
      </c>
      <c r="J476">
        <v>0</v>
      </c>
    </row>
    <row r="477" spans="1:10" x14ac:dyDescent="0.25">
      <c r="A477">
        <v>4755000</v>
      </c>
      <c r="B477">
        <v>0</v>
      </c>
      <c r="C477">
        <v>0</v>
      </c>
      <c r="D477">
        <v>0</v>
      </c>
      <c r="E477">
        <v>1</v>
      </c>
      <c r="F477">
        <v>10020</v>
      </c>
      <c r="G477">
        <v>1</v>
      </c>
      <c r="H477">
        <v>0</v>
      </c>
      <c r="I477">
        <v>1</v>
      </c>
      <c r="J477">
        <v>0</v>
      </c>
    </row>
    <row r="478" spans="1:10" x14ac:dyDescent="0.25">
      <c r="A478">
        <v>4765000</v>
      </c>
      <c r="B478">
        <v>0</v>
      </c>
      <c r="C478">
        <v>0</v>
      </c>
      <c r="D478">
        <v>0</v>
      </c>
      <c r="E478">
        <v>1</v>
      </c>
      <c r="F478">
        <v>1138</v>
      </c>
      <c r="G478">
        <v>1</v>
      </c>
      <c r="H478">
        <v>0</v>
      </c>
      <c r="I478">
        <v>1</v>
      </c>
      <c r="J478">
        <v>0</v>
      </c>
    </row>
    <row r="479" spans="1:10" x14ac:dyDescent="0.25">
      <c r="A479">
        <v>4775000</v>
      </c>
      <c r="B479">
        <v>0</v>
      </c>
      <c r="C479">
        <v>0</v>
      </c>
      <c r="D479">
        <v>0</v>
      </c>
      <c r="E479">
        <v>1</v>
      </c>
      <c r="F479">
        <v>332</v>
      </c>
      <c r="G479">
        <v>1</v>
      </c>
      <c r="H479">
        <v>0</v>
      </c>
      <c r="I479">
        <v>1</v>
      </c>
      <c r="J479">
        <v>0</v>
      </c>
    </row>
    <row r="480" spans="1:10" x14ac:dyDescent="0.25">
      <c r="A480">
        <v>4785000</v>
      </c>
      <c r="B480">
        <v>0</v>
      </c>
      <c r="C480">
        <v>0</v>
      </c>
      <c r="D480">
        <v>0</v>
      </c>
      <c r="E480">
        <v>1</v>
      </c>
      <c r="F480">
        <v>0</v>
      </c>
      <c r="G480">
        <v>1</v>
      </c>
      <c r="H480">
        <v>0</v>
      </c>
      <c r="I480">
        <v>1</v>
      </c>
      <c r="J480">
        <v>0</v>
      </c>
    </row>
    <row r="481" spans="1:10" x14ac:dyDescent="0.25">
      <c r="A481">
        <v>4795000</v>
      </c>
      <c r="B481">
        <v>0</v>
      </c>
      <c r="C481">
        <v>0</v>
      </c>
      <c r="D481">
        <v>0</v>
      </c>
      <c r="E481">
        <v>1</v>
      </c>
      <c r="F481">
        <v>268435454</v>
      </c>
      <c r="G481">
        <v>1</v>
      </c>
      <c r="H481">
        <v>1</v>
      </c>
      <c r="I481">
        <v>1</v>
      </c>
      <c r="J481">
        <v>0</v>
      </c>
    </row>
    <row r="482" spans="1:10" x14ac:dyDescent="0.25">
      <c r="A482">
        <v>4805000</v>
      </c>
      <c r="B482">
        <v>0</v>
      </c>
      <c r="C482">
        <v>0</v>
      </c>
      <c r="D482">
        <v>0</v>
      </c>
      <c r="E482">
        <v>1</v>
      </c>
      <c r="F482">
        <v>268435455</v>
      </c>
      <c r="G482">
        <v>1</v>
      </c>
      <c r="H482">
        <v>0</v>
      </c>
      <c r="I482">
        <v>1</v>
      </c>
      <c r="J482">
        <v>0</v>
      </c>
    </row>
    <row r="483" spans="1:10" x14ac:dyDescent="0.25">
      <c r="A483">
        <v>4815000</v>
      </c>
      <c r="B483">
        <v>0</v>
      </c>
      <c r="C483">
        <v>0</v>
      </c>
      <c r="D483">
        <v>0</v>
      </c>
      <c r="E483">
        <v>1</v>
      </c>
      <c r="F483">
        <v>12</v>
      </c>
      <c r="G483">
        <v>1</v>
      </c>
      <c r="H483">
        <v>0</v>
      </c>
      <c r="I483">
        <v>1</v>
      </c>
      <c r="J483">
        <v>0</v>
      </c>
    </row>
    <row r="484" spans="1:10" x14ac:dyDescent="0.25">
      <c r="A484">
        <v>4825000</v>
      </c>
      <c r="B484">
        <v>0</v>
      </c>
      <c r="C484">
        <v>0</v>
      </c>
      <c r="D484">
        <v>0</v>
      </c>
      <c r="E484">
        <v>1</v>
      </c>
      <c r="F484">
        <v>143</v>
      </c>
      <c r="G484">
        <v>1</v>
      </c>
      <c r="H484">
        <v>0</v>
      </c>
      <c r="I484">
        <v>1</v>
      </c>
      <c r="J484">
        <v>0</v>
      </c>
    </row>
    <row r="485" spans="1:10" x14ac:dyDescent="0.25">
      <c r="A485">
        <v>4835000</v>
      </c>
      <c r="B485">
        <v>0</v>
      </c>
      <c r="C485">
        <v>0</v>
      </c>
      <c r="D485">
        <v>0</v>
      </c>
      <c r="E485">
        <v>1</v>
      </c>
      <c r="F485">
        <v>324</v>
      </c>
      <c r="G485">
        <v>1</v>
      </c>
      <c r="H485">
        <v>0</v>
      </c>
      <c r="I485">
        <v>1</v>
      </c>
      <c r="J485">
        <v>0</v>
      </c>
    </row>
    <row r="486" spans="1:10" x14ac:dyDescent="0.25">
      <c r="A486">
        <v>4845000</v>
      </c>
      <c r="B486">
        <v>0</v>
      </c>
      <c r="C486">
        <v>0</v>
      </c>
      <c r="D486">
        <v>0</v>
      </c>
      <c r="E486">
        <v>1</v>
      </c>
      <c r="F486">
        <v>25</v>
      </c>
      <c r="G486">
        <v>1</v>
      </c>
      <c r="H486">
        <v>0</v>
      </c>
      <c r="I486">
        <v>1</v>
      </c>
      <c r="J486">
        <v>0</v>
      </c>
    </row>
    <row r="487" spans="1:10" x14ac:dyDescent="0.25">
      <c r="A487">
        <v>4855000</v>
      </c>
      <c r="B487">
        <v>0</v>
      </c>
      <c r="C487">
        <v>0</v>
      </c>
      <c r="D487">
        <v>0</v>
      </c>
      <c r="E487">
        <v>1</v>
      </c>
      <c r="F487">
        <v>5</v>
      </c>
      <c r="G487">
        <v>1</v>
      </c>
      <c r="H487">
        <v>0</v>
      </c>
      <c r="I487">
        <v>1</v>
      </c>
      <c r="J487">
        <v>0</v>
      </c>
    </row>
    <row r="488" spans="1:10" x14ac:dyDescent="0.25">
      <c r="A488">
        <v>4865000</v>
      </c>
      <c r="B488">
        <v>0</v>
      </c>
      <c r="C488">
        <v>0</v>
      </c>
      <c r="D488">
        <v>0</v>
      </c>
      <c r="E488">
        <v>1</v>
      </c>
      <c r="F488">
        <v>21</v>
      </c>
      <c r="G488">
        <v>1</v>
      </c>
      <c r="H488">
        <v>0</v>
      </c>
      <c r="I488">
        <v>1</v>
      </c>
      <c r="J488">
        <v>0</v>
      </c>
    </row>
    <row r="489" spans="1:10" x14ac:dyDescent="0.25">
      <c r="A489">
        <v>4875000</v>
      </c>
      <c r="B489">
        <v>0</v>
      </c>
      <c r="C489">
        <v>0</v>
      </c>
      <c r="D489">
        <v>0</v>
      </c>
      <c r="E489">
        <v>1</v>
      </c>
      <c r="F489">
        <v>121</v>
      </c>
      <c r="G489">
        <v>1</v>
      </c>
      <c r="H489">
        <v>0</v>
      </c>
      <c r="I489">
        <v>1</v>
      </c>
      <c r="J489">
        <v>0</v>
      </c>
    </row>
    <row r="490" spans="1:10" x14ac:dyDescent="0.25">
      <c r="A490">
        <v>4885000</v>
      </c>
      <c r="B490">
        <v>0</v>
      </c>
      <c r="C490">
        <v>0</v>
      </c>
      <c r="D490">
        <v>0</v>
      </c>
      <c r="E490">
        <v>1</v>
      </c>
      <c r="F490">
        <v>1021</v>
      </c>
      <c r="G490">
        <v>1</v>
      </c>
      <c r="H490">
        <v>0</v>
      </c>
      <c r="I490">
        <v>1</v>
      </c>
      <c r="J490">
        <v>0</v>
      </c>
    </row>
    <row r="491" spans="1:10" x14ac:dyDescent="0.25">
      <c r="A491">
        <v>4895000</v>
      </c>
      <c r="B491">
        <v>0</v>
      </c>
      <c r="C491">
        <v>0</v>
      </c>
      <c r="D491">
        <v>0</v>
      </c>
      <c r="E491">
        <v>1</v>
      </c>
      <c r="F491">
        <v>10021</v>
      </c>
      <c r="G491">
        <v>1</v>
      </c>
      <c r="H491">
        <v>0</v>
      </c>
      <c r="I491">
        <v>1</v>
      </c>
      <c r="J491">
        <v>0</v>
      </c>
    </row>
    <row r="492" spans="1:10" x14ac:dyDescent="0.25">
      <c r="A492">
        <v>4905000</v>
      </c>
      <c r="B492">
        <v>0</v>
      </c>
      <c r="C492">
        <v>0</v>
      </c>
      <c r="D492">
        <v>0</v>
      </c>
      <c r="E492">
        <v>1</v>
      </c>
      <c r="F492">
        <v>1140</v>
      </c>
      <c r="G492">
        <v>1</v>
      </c>
      <c r="H492">
        <v>0</v>
      </c>
      <c r="I492">
        <v>1</v>
      </c>
      <c r="J492">
        <v>0</v>
      </c>
    </row>
    <row r="493" spans="1:10" x14ac:dyDescent="0.25">
      <c r="A493">
        <v>4915000</v>
      </c>
      <c r="B493">
        <v>0</v>
      </c>
      <c r="C493">
        <v>0</v>
      </c>
      <c r="D493">
        <v>0</v>
      </c>
      <c r="E493">
        <v>1</v>
      </c>
      <c r="F493">
        <v>333</v>
      </c>
      <c r="G493">
        <v>1</v>
      </c>
      <c r="H493">
        <v>0</v>
      </c>
      <c r="I493">
        <v>1</v>
      </c>
      <c r="J493">
        <v>0</v>
      </c>
    </row>
    <row r="494" spans="1:10" x14ac:dyDescent="0.25">
      <c r="A494">
        <v>4925000</v>
      </c>
      <c r="B494">
        <v>0</v>
      </c>
      <c r="C494">
        <v>0</v>
      </c>
      <c r="D494">
        <v>0</v>
      </c>
      <c r="E494">
        <v>1</v>
      </c>
      <c r="F494">
        <v>0</v>
      </c>
      <c r="G494">
        <v>1</v>
      </c>
      <c r="H494">
        <v>0</v>
      </c>
      <c r="I494">
        <v>1</v>
      </c>
      <c r="J494">
        <v>0</v>
      </c>
    </row>
    <row r="495" spans="1:10" x14ac:dyDescent="0.25">
      <c r="A495">
        <v>4935000</v>
      </c>
      <c r="B495">
        <v>0</v>
      </c>
      <c r="C495">
        <v>0</v>
      </c>
      <c r="D495">
        <v>0</v>
      </c>
      <c r="E495">
        <v>1</v>
      </c>
      <c r="F495">
        <v>268435454</v>
      </c>
      <c r="G495">
        <v>1</v>
      </c>
      <c r="H495">
        <v>1</v>
      </c>
      <c r="I495">
        <v>1</v>
      </c>
      <c r="J495">
        <v>0</v>
      </c>
    </row>
    <row r="496" spans="1:10" x14ac:dyDescent="0.25">
      <c r="A496">
        <v>4945000</v>
      </c>
      <c r="B496">
        <v>0</v>
      </c>
      <c r="C496">
        <v>0</v>
      </c>
      <c r="D496">
        <v>0</v>
      </c>
      <c r="E496">
        <v>1</v>
      </c>
      <c r="F496">
        <v>268435455</v>
      </c>
      <c r="G496">
        <v>1</v>
      </c>
      <c r="H496">
        <v>0</v>
      </c>
      <c r="I496">
        <v>1</v>
      </c>
      <c r="J496">
        <v>0</v>
      </c>
    </row>
    <row r="497" spans="1:10" x14ac:dyDescent="0.25">
      <c r="A497">
        <v>4955000</v>
      </c>
      <c r="B497">
        <v>0</v>
      </c>
      <c r="C497">
        <v>0</v>
      </c>
      <c r="D497">
        <v>0</v>
      </c>
      <c r="E497">
        <v>1</v>
      </c>
      <c r="F497">
        <v>13</v>
      </c>
      <c r="G497">
        <v>1</v>
      </c>
      <c r="H497">
        <v>0</v>
      </c>
      <c r="I497">
        <v>1</v>
      </c>
      <c r="J497">
        <v>0</v>
      </c>
    </row>
    <row r="498" spans="1:10" x14ac:dyDescent="0.25">
      <c r="A498">
        <v>4965000</v>
      </c>
      <c r="B498">
        <v>0</v>
      </c>
      <c r="C498">
        <v>0</v>
      </c>
      <c r="D498">
        <v>0</v>
      </c>
      <c r="E498">
        <v>1</v>
      </c>
      <c r="F498">
        <v>155</v>
      </c>
      <c r="G498">
        <v>1</v>
      </c>
      <c r="H498">
        <v>0</v>
      </c>
      <c r="I498">
        <v>1</v>
      </c>
      <c r="J498">
        <v>0</v>
      </c>
    </row>
    <row r="499" spans="1:10" x14ac:dyDescent="0.25">
      <c r="A499">
        <v>4975000</v>
      </c>
      <c r="B499">
        <v>0</v>
      </c>
      <c r="C499">
        <v>0</v>
      </c>
      <c r="D499">
        <v>0</v>
      </c>
      <c r="E499">
        <v>1</v>
      </c>
      <c r="F499">
        <v>325</v>
      </c>
      <c r="G499">
        <v>1</v>
      </c>
      <c r="H499">
        <v>0</v>
      </c>
      <c r="I499">
        <v>1</v>
      </c>
      <c r="J499">
        <v>0</v>
      </c>
    </row>
    <row r="500" spans="1:10" x14ac:dyDescent="0.25">
      <c r="A500">
        <v>4985000</v>
      </c>
      <c r="B500">
        <v>0</v>
      </c>
      <c r="C500">
        <v>0</v>
      </c>
      <c r="D500">
        <v>0</v>
      </c>
      <c r="E500">
        <v>1</v>
      </c>
      <c r="F500">
        <v>25</v>
      </c>
      <c r="G500">
        <v>1</v>
      </c>
      <c r="H500">
        <v>0</v>
      </c>
      <c r="I500">
        <v>1</v>
      </c>
      <c r="J500">
        <v>0</v>
      </c>
    </row>
    <row r="501" spans="1:10" x14ac:dyDescent="0.25">
      <c r="A501">
        <v>4995000</v>
      </c>
      <c r="B501">
        <v>0</v>
      </c>
      <c r="C501">
        <v>0</v>
      </c>
      <c r="D501">
        <v>0</v>
      </c>
      <c r="E501">
        <v>1</v>
      </c>
      <c r="F501">
        <v>5</v>
      </c>
      <c r="G501">
        <v>1</v>
      </c>
      <c r="H501">
        <v>0</v>
      </c>
      <c r="I501">
        <v>1</v>
      </c>
      <c r="J501">
        <v>0</v>
      </c>
    </row>
    <row r="502" spans="1:10" x14ac:dyDescent="0.25">
      <c r="A502">
        <v>5005000</v>
      </c>
      <c r="B502">
        <v>0</v>
      </c>
      <c r="C502">
        <v>0</v>
      </c>
      <c r="D502">
        <v>0</v>
      </c>
      <c r="E502">
        <v>1</v>
      </c>
      <c r="F502">
        <v>22</v>
      </c>
      <c r="G502">
        <v>1</v>
      </c>
      <c r="H502">
        <v>0</v>
      </c>
      <c r="I502">
        <v>1</v>
      </c>
      <c r="J502">
        <v>0</v>
      </c>
    </row>
    <row r="503" spans="1:10" x14ac:dyDescent="0.25">
      <c r="A503">
        <v>5015000</v>
      </c>
      <c r="B503">
        <v>0</v>
      </c>
      <c r="C503">
        <v>0</v>
      </c>
      <c r="D503">
        <v>0</v>
      </c>
      <c r="E503">
        <v>1</v>
      </c>
      <c r="F503">
        <v>122</v>
      </c>
      <c r="G503">
        <v>1</v>
      </c>
      <c r="H503">
        <v>0</v>
      </c>
      <c r="I503">
        <v>1</v>
      </c>
      <c r="J503">
        <v>0</v>
      </c>
    </row>
    <row r="504" spans="1:10" x14ac:dyDescent="0.25">
      <c r="A504">
        <v>5025000</v>
      </c>
      <c r="B504">
        <v>0</v>
      </c>
      <c r="C504">
        <v>0</v>
      </c>
      <c r="D504">
        <v>0</v>
      </c>
      <c r="E504">
        <v>1</v>
      </c>
      <c r="F504">
        <v>1022</v>
      </c>
      <c r="G504">
        <v>1</v>
      </c>
      <c r="H504">
        <v>0</v>
      </c>
      <c r="I504">
        <v>1</v>
      </c>
      <c r="J504">
        <v>0</v>
      </c>
    </row>
    <row r="505" spans="1:10" x14ac:dyDescent="0.25">
      <c r="A505">
        <v>5035000</v>
      </c>
      <c r="B505">
        <v>0</v>
      </c>
      <c r="C505">
        <v>0</v>
      </c>
      <c r="D505">
        <v>0</v>
      </c>
      <c r="E505">
        <v>1</v>
      </c>
      <c r="F505">
        <v>10022</v>
      </c>
      <c r="G505">
        <v>1</v>
      </c>
      <c r="H505">
        <v>0</v>
      </c>
      <c r="I505">
        <v>1</v>
      </c>
      <c r="J505">
        <v>0</v>
      </c>
    </row>
    <row r="506" spans="1:10" x14ac:dyDescent="0.25">
      <c r="A506">
        <v>5045000</v>
      </c>
      <c r="B506">
        <v>0</v>
      </c>
      <c r="C506">
        <v>0</v>
      </c>
      <c r="D506">
        <v>0</v>
      </c>
      <c r="E506">
        <v>1</v>
      </c>
      <c r="F506">
        <v>1142</v>
      </c>
      <c r="G506">
        <v>1</v>
      </c>
      <c r="H506">
        <v>0</v>
      </c>
      <c r="I506">
        <v>1</v>
      </c>
      <c r="J506">
        <v>0</v>
      </c>
    </row>
    <row r="507" spans="1:10" x14ac:dyDescent="0.25">
      <c r="A507">
        <v>5055000</v>
      </c>
      <c r="B507">
        <v>0</v>
      </c>
      <c r="C507">
        <v>0</v>
      </c>
      <c r="D507">
        <v>0</v>
      </c>
      <c r="E507">
        <v>1</v>
      </c>
      <c r="F507">
        <v>334</v>
      </c>
      <c r="G507">
        <v>1</v>
      </c>
      <c r="H507">
        <v>0</v>
      </c>
      <c r="I507">
        <v>1</v>
      </c>
      <c r="J507">
        <v>0</v>
      </c>
    </row>
    <row r="508" spans="1:10" x14ac:dyDescent="0.25">
      <c r="A508">
        <v>5065000</v>
      </c>
      <c r="B508">
        <v>0</v>
      </c>
      <c r="C508">
        <v>0</v>
      </c>
      <c r="D508">
        <v>0</v>
      </c>
      <c r="E508">
        <v>1</v>
      </c>
      <c r="F508">
        <v>0</v>
      </c>
      <c r="G508">
        <v>1</v>
      </c>
      <c r="H508">
        <v>0</v>
      </c>
      <c r="I508">
        <v>1</v>
      </c>
      <c r="J508">
        <v>0</v>
      </c>
    </row>
    <row r="509" spans="1:10" x14ac:dyDescent="0.25">
      <c r="A509">
        <v>5075000</v>
      </c>
      <c r="B509">
        <v>0</v>
      </c>
      <c r="C509">
        <v>0</v>
      </c>
      <c r="D509">
        <v>0</v>
      </c>
      <c r="E509">
        <v>1</v>
      </c>
      <c r="F509">
        <v>268435454</v>
      </c>
      <c r="G509">
        <v>1</v>
      </c>
      <c r="H509">
        <v>1</v>
      </c>
      <c r="I509">
        <v>1</v>
      </c>
      <c r="J509">
        <v>0</v>
      </c>
    </row>
    <row r="510" spans="1:10" x14ac:dyDescent="0.25">
      <c r="A510">
        <v>5085000</v>
      </c>
      <c r="B510">
        <v>0</v>
      </c>
      <c r="C510">
        <v>0</v>
      </c>
      <c r="D510">
        <v>0</v>
      </c>
      <c r="E510">
        <v>1</v>
      </c>
      <c r="F510">
        <v>268435455</v>
      </c>
      <c r="G510">
        <v>1</v>
      </c>
      <c r="H510">
        <v>0</v>
      </c>
      <c r="I510">
        <v>1</v>
      </c>
      <c r="J510">
        <v>0</v>
      </c>
    </row>
    <row r="511" spans="1:10" x14ac:dyDescent="0.25">
      <c r="A511">
        <v>5095000</v>
      </c>
      <c r="B511">
        <v>0</v>
      </c>
      <c r="C511">
        <v>0</v>
      </c>
      <c r="D511">
        <v>0</v>
      </c>
      <c r="E511">
        <v>1</v>
      </c>
      <c r="F511">
        <v>14</v>
      </c>
      <c r="G511">
        <v>1</v>
      </c>
      <c r="H511">
        <v>0</v>
      </c>
      <c r="I511">
        <v>1</v>
      </c>
      <c r="J511">
        <v>0</v>
      </c>
    </row>
    <row r="512" spans="1:10" x14ac:dyDescent="0.25">
      <c r="A512">
        <v>5105000</v>
      </c>
      <c r="B512">
        <v>0</v>
      </c>
      <c r="C512">
        <v>0</v>
      </c>
      <c r="D512">
        <v>0</v>
      </c>
      <c r="E512">
        <v>1</v>
      </c>
      <c r="F512">
        <v>167</v>
      </c>
      <c r="G512">
        <v>1</v>
      </c>
      <c r="H512">
        <v>0</v>
      </c>
      <c r="I512">
        <v>1</v>
      </c>
      <c r="J512">
        <v>0</v>
      </c>
    </row>
    <row r="513" spans="1:10" x14ac:dyDescent="0.25">
      <c r="A513">
        <v>5115000</v>
      </c>
      <c r="B513">
        <v>0</v>
      </c>
      <c r="C513">
        <v>0</v>
      </c>
      <c r="D513">
        <v>0</v>
      </c>
      <c r="E513">
        <v>1</v>
      </c>
      <c r="F513">
        <v>326</v>
      </c>
      <c r="G513">
        <v>1</v>
      </c>
      <c r="H513">
        <v>0</v>
      </c>
      <c r="I513">
        <v>1</v>
      </c>
      <c r="J513">
        <v>0</v>
      </c>
    </row>
    <row r="514" spans="1:10" x14ac:dyDescent="0.25">
      <c r="A514">
        <v>5125000</v>
      </c>
      <c r="B514">
        <v>0</v>
      </c>
      <c r="C514">
        <v>0</v>
      </c>
      <c r="D514">
        <v>0</v>
      </c>
      <c r="E514">
        <v>1</v>
      </c>
      <c r="F514">
        <v>25</v>
      </c>
      <c r="G514">
        <v>1</v>
      </c>
      <c r="H514">
        <v>0</v>
      </c>
      <c r="I514">
        <v>1</v>
      </c>
      <c r="J514">
        <v>0</v>
      </c>
    </row>
    <row r="515" spans="1:10" x14ac:dyDescent="0.25">
      <c r="A515">
        <v>5135000</v>
      </c>
      <c r="B515">
        <v>0</v>
      </c>
      <c r="C515">
        <v>0</v>
      </c>
      <c r="D515">
        <v>0</v>
      </c>
      <c r="E515">
        <v>1</v>
      </c>
      <c r="F515">
        <v>5</v>
      </c>
      <c r="G515">
        <v>1</v>
      </c>
      <c r="H515">
        <v>0</v>
      </c>
      <c r="I515">
        <v>1</v>
      </c>
      <c r="J515">
        <v>0</v>
      </c>
    </row>
    <row r="516" spans="1:10" x14ac:dyDescent="0.25">
      <c r="A516">
        <v>5145000</v>
      </c>
      <c r="B516">
        <v>0</v>
      </c>
      <c r="C516">
        <v>0</v>
      </c>
      <c r="D516">
        <v>0</v>
      </c>
      <c r="E516">
        <v>1</v>
      </c>
      <c r="F516">
        <v>23</v>
      </c>
      <c r="G516">
        <v>1</v>
      </c>
      <c r="H516">
        <v>0</v>
      </c>
      <c r="I516">
        <v>1</v>
      </c>
      <c r="J516">
        <v>0</v>
      </c>
    </row>
    <row r="517" spans="1:10" x14ac:dyDescent="0.25">
      <c r="A517">
        <v>5155000</v>
      </c>
      <c r="B517">
        <v>0</v>
      </c>
      <c r="C517">
        <v>0</v>
      </c>
      <c r="D517">
        <v>0</v>
      </c>
      <c r="E517">
        <v>1</v>
      </c>
      <c r="F517">
        <v>123</v>
      </c>
      <c r="G517">
        <v>1</v>
      </c>
      <c r="H517">
        <v>0</v>
      </c>
      <c r="I517">
        <v>1</v>
      </c>
      <c r="J517">
        <v>0</v>
      </c>
    </row>
    <row r="518" spans="1:10" x14ac:dyDescent="0.25">
      <c r="A518">
        <v>5165000</v>
      </c>
      <c r="B518">
        <v>0</v>
      </c>
      <c r="C518">
        <v>0</v>
      </c>
      <c r="D518">
        <v>0</v>
      </c>
      <c r="E518">
        <v>1</v>
      </c>
      <c r="F518">
        <v>1023</v>
      </c>
      <c r="G518">
        <v>1</v>
      </c>
      <c r="H518">
        <v>0</v>
      </c>
      <c r="I518">
        <v>1</v>
      </c>
      <c r="J518">
        <v>0</v>
      </c>
    </row>
    <row r="519" spans="1:10" x14ac:dyDescent="0.25">
      <c r="A519">
        <v>5175000</v>
      </c>
      <c r="B519">
        <v>0</v>
      </c>
      <c r="C519">
        <v>0</v>
      </c>
      <c r="D519">
        <v>0</v>
      </c>
      <c r="E519">
        <v>1</v>
      </c>
      <c r="F519">
        <v>10023</v>
      </c>
      <c r="G519">
        <v>1</v>
      </c>
      <c r="H519">
        <v>0</v>
      </c>
      <c r="I519">
        <v>1</v>
      </c>
      <c r="J519">
        <v>0</v>
      </c>
    </row>
    <row r="520" spans="1:10" x14ac:dyDescent="0.25">
      <c r="A520">
        <v>5185000</v>
      </c>
      <c r="B520">
        <v>0</v>
      </c>
      <c r="C520">
        <v>0</v>
      </c>
      <c r="D520">
        <v>0</v>
      </c>
      <c r="E520">
        <v>1</v>
      </c>
      <c r="F520">
        <v>1144</v>
      </c>
      <c r="G520">
        <v>1</v>
      </c>
      <c r="H520">
        <v>0</v>
      </c>
      <c r="I520">
        <v>1</v>
      </c>
      <c r="J520">
        <v>0</v>
      </c>
    </row>
    <row r="521" spans="1:10" x14ac:dyDescent="0.25">
      <c r="A521">
        <v>5195000</v>
      </c>
      <c r="B521">
        <v>0</v>
      </c>
      <c r="C521">
        <v>0</v>
      </c>
      <c r="D521">
        <v>0</v>
      </c>
      <c r="E521">
        <v>1</v>
      </c>
      <c r="F521">
        <v>335</v>
      </c>
      <c r="G521">
        <v>1</v>
      </c>
      <c r="H521">
        <v>0</v>
      </c>
      <c r="I521">
        <v>1</v>
      </c>
      <c r="J521">
        <v>0</v>
      </c>
    </row>
    <row r="522" spans="1:10" x14ac:dyDescent="0.25">
      <c r="A522">
        <v>5205000</v>
      </c>
      <c r="B522">
        <v>0</v>
      </c>
      <c r="C522">
        <v>0</v>
      </c>
      <c r="D522">
        <v>0</v>
      </c>
      <c r="E522">
        <v>1</v>
      </c>
      <c r="F522">
        <v>0</v>
      </c>
      <c r="G522">
        <v>1</v>
      </c>
      <c r="H522">
        <v>0</v>
      </c>
      <c r="I522">
        <v>1</v>
      </c>
      <c r="J522">
        <v>0</v>
      </c>
    </row>
    <row r="523" spans="1:10" x14ac:dyDescent="0.25">
      <c r="A523">
        <v>5215000</v>
      </c>
      <c r="B523">
        <v>0</v>
      </c>
      <c r="C523">
        <v>0</v>
      </c>
      <c r="D523">
        <v>0</v>
      </c>
      <c r="E523">
        <v>1</v>
      </c>
      <c r="F523">
        <v>268435454</v>
      </c>
      <c r="G523">
        <v>1</v>
      </c>
      <c r="H523">
        <v>1</v>
      </c>
      <c r="I523">
        <v>1</v>
      </c>
      <c r="J523">
        <v>0</v>
      </c>
    </row>
    <row r="524" spans="1:10" x14ac:dyDescent="0.25">
      <c r="A524">
        <v>5225000</v>
      </c>
      <c r="B524">
        <v>0</v>
      </c>
      <c r="C524">
        <v>0</v>
      </c>
      <c r="D524">
        <v>0</v>
      </c>
      <c r="E524">
        <v>1</v>
      </c>
      <c r="F524">
        <v>268435455</v>
      </c>
      <c r="G524">
        <v>1</v>
      </c>
      <c r="H524">
        <v>0</v>
      </c>
      <c r="I524">
        <v>1</v>
      </c>
      <c r="J524">
        <v>0</v>
      </c>
    </row>
    <row r="525" spans="1:10" x14ac:dyDescent="0.25">
      <c r="A525">
        <v>5235000</v>
      </c>
      <c r="B525">
        <v>0</v>
      </c>
      <c r="C525">
        <v>0</v>
      </c>
      <c r="D525">
        <v>0</v>
      </c>
      <c r="E525">
        <v>1</v>
      </c>
      <c r="F525">
        <v>15</v>
      </c>
      <c r="G525">
        <v>1</v>
      </c>
      <c r="H525">
        <v>0</v>
      </c>
      <c r="I525">
        <v>1</v>
      </c>
      <c r="J525">
        <v>0</v>
      </c>
    </row>
    <row r="526" spans="1:10" x14ac:dyDescent="0.25">
      <c r="A526">
        <v>5245000</v>
      </c>
      <c r="B526">
        <v>0</v>
      </c>
      <c r="C526">
        <v>0</v>
      </c>
      <c r="D526">
        <v>0</v>
      </c>
      <c r="E526">
        <v>1</v>
      </c>
      <c r="F526">
        <v>179</v>
      </c>
      <c r="G526">
        <v>1</v>
      </c>
      <c r="H526">
        <v>0</v>
      </c>
      <c r="I526">
        <v>1</v>
      </c>
      <c r="J526">
        <v>0</v>
      </c>
    </row>
    <row r="527" spans="1:10" x14ac:dyDescent="0.25">
      <c r="A527">
        <v>5255000</v>
      </c>
      <c r="B527">
        <v>0</v>
      </c>
      <c r="C527">
        <v>0</v>
      </c>
      <c r="D527">
        <v>0</v>
      </c>
      <c r="E527">
        <v>1</v>
      </c>
      <c r="F527">
        <v>327</v>
      </c>
      <c r="G527">
        <v>1</v>
      </c>
      <c r="H527">
        <v>0</v>
      </c>
      <c r="I527">
        <v>1</v>
      </c>
      <c r="J527">
        <v>0</v>
      </c>
    </row>
    <row r="528" spans="1:10" x14ac:dyDescent="0.25">
      <c r="A528">
        <v>5265000</v>
      </c>
      <c r="B528">
        <v>0</v>
      </c>
      <c r="C528">
        <v>0</v>
      </c>
      <c r="D528">
        <v>0</v>
      </c>
      <c r="E528">
        <v>1</v>
      </c>
      <c r="F528">
        <v>25</v>
      </c>
      <c r="G528">
        <v>1</v>
      </c>
      <c r="H528">
        <v>0</v>
      </c>
      <c r="I528">
        <v>1</v>
      </c>
      <c r="J528">
        <v>0</v>
      </c>
    </row>
    <row r="529" spans="1:10" x14ac:dyDescent="0.25">
      <c r="A529">
        <v>5275000</v>
      </c>
      <c r="B529">
        <v>0</v>
      </c>
      <c r="C529">
        <v>0</v>
      </c>
      <c r="D529">
        <v>0</v>
      </c>
      <c r="E529">
        <v>1</v>
      </c>
      <c r="F529">
        <v>5</v>
      </c>
      <c r="G529">
        <v>1</v>
      </c>
      <c r="H529">
        <v>0</v>
      </c>
      <c r="I529">
        <v>1</v>
      </c>
      <c r="J529">
        <v>0</v>
      </c>
    </row>
    <row r="530" spans="1:10" x14ac:dyDescent="0.25">
      <c r="A530">
        <v>5285000</v>
      </c>
      <c r="B530">
        <v>0</v>
      </c>
      <c r="C530">
        <v>0</v>
      </c>
      <c r="D530">
        <v>0</v>
      </c>
      <c r="E530">
        <v>1</v>
      </c>
      <c r="F530">
        <v>24</v>
      </c>
      <c r="G530">
        <v>1</v>
      </c>
      <c r="H530">
        <v>0</v>
      </c>
      <c r="I530">
        <v>1</v>
      </c>
      <c r="J530">
        <v>0</v>
      </c>
    </row>
    <row r="531" spans="1:10" x14ac:dyDescent="0.25">
      <c r="A531">
        <v>5295000</v>
      </c>
      <c r="B531">
        <v>0</v>
      </c>
      <c r="C531">
        <v>0</v>
      </c>
      <c r="D531">
        <v>0</v>
      </c>
      <c r="E531">
        <v>1</v>
      </c>
      <c r="F531">
        <v>124</v>
      </c>
      <c r="G531">
        <v>1</v>
      </c>
      <c r="H531">
        <v>0</v>
      </c>
      <c r="I531">
        <v>1</v>
      </c>
      <c r="J531">
        <v>0</v>
      </c>
    </row>
    <row r="532" spans="1:10" x14ac:dyDescent="0.25">
      <c r="A532">
        <v>5305000</v>
      </c>
      <c r="B532">
        <v>0</v>
      </c>
      <c r="C532">
        <v>0</v>
      </c>
      <c r="D532">
        <v>0</v>
      </c>
      <c r="E532">
        <v>1</v>
      </c>
      <c r="F532">
        <v>1024</v>
      </c>
      <c r="G532">
        <v>1</v>
      </c>
      <c r="H532">
        <v>0</v>
      </c>
      <c r="I532">
        <v>1</v>
      </c>
      <c r="J532">
        <v>0</v>
      </c>
    </row>
    <row r="533" spans="1:10" x14ac:dyDescent="0.25">
      <c r="A533">
        <v>5315000</v>
      </c>
      <c r="B533">
        <v>0</v>
      </c>
      <c r="C533">
        <v>0</v>
      </c>
      <c r="D533">
        <v>0</v>
      </c>
      <c r="E533">
        <v>1</v>
      </c>
      <c r="F533">
        <v>10024</v>
      </c>
      <c r="G533">
        <v>1</v>
      </c>
      <c r="H533">
        <v>0</v>
      </c>
      <c r="I533">
        <v>1</v>
      </c>
      <c r="J533">
        <v>0</v>
      </c>
    </row>
    <row r="534" spans="1:10" x14ac:dyDescent="0.25">
      <c r="A534">
        <v>5325000</v>
      </c>
      <c r="B534">
        <v>0</v>
      </c>
      <c r="C534">
        <v>0</v>
      </c>
      <c r="D534">
        <v>0</v>
      </c>
      <c r="E534">
        <v>1</v>
      </c>
      <c r="F534">
        <v>1146</v>
      </c>
      <c r="G534">
        <v>1</v>
      </c>
      <c r="H534">
        <v>0</v>
      </c>
      <c r="I534">
        <v>1</v>
      </c>
      <c r="J534">
        <v>0</v>
      </c>
    </row>
    <row r="535" spans="1:10" x14ac:dyDescent="0.25">
      <c r="A535">
        <v>5335000</v>
      </c>
      <c r="B535">
        <v>0</v>
      </c>
      <c r="C535">
        <v>0</v>
      </c>
      <c r="D535">
        <v>0</v>
      </c>
      <c r="E535">
        <v>1</v>
      </c>
      <c r="F535">
        <v>336</v>
      </c>
      <c r="G535">
        <v>1</v>
      </c>
      <c r="H535">
        <v>0</v>
      </c>
      <c r="I535">
        <v>1</v>
      </c>
      <c r="J535">
        <v>0</v>
      </c>
    </row>
    <row r="536" spans="1:10" x14ac:dyDescent="0.25">
      <c r="A536">
        <v>5345000</v>
      </c>
      <c r="B536">
        <v>0</v>
      </c>
      <c r="C536">
        <v>0</v>
      </c>
      <c r="D536">
        <v>0</v>
      </c>
      <c r="E536">
        <v>1</v>
      </c>
      <c r="F536">
        <v>0</v>
      </c>
      <c r="G536">
        <v>1</v>
      </c>
      <c r="H536">
        <v>0</v>
      </c>
      <c r="I536">
        <v>1</v>
      </c>
      <c r="J536">
        <v>0</v>
      </c>
    </row>
    <row r="537" spans="1:10" x14ac:dyDescent="0.25">
      <c r="A537">
        <v>5355000</v>
      </c>
      <c r="B537">
        <v>0</v>
      </c>
      <c r="C537">
        <v>0</v>
      </c>
      <c r="D537">
        <v>0</v>
      </c>
      <c r="E537">
        <v>1</v>
      </c>
      <c r="F537">
        <v>268435454</v>
      </c>
      <c r="G537">
        <v>1</v>
      </c>
      <c r="H537">
        <v>1</v>
      </c>
      <c r="I537">
        <v>1</v>
      </c>
      <c r="J537">
        <v>0</v>
      </c>
    </row>
    <row r="538" spans="1:10" x14ac:dyDescent="0.25">
      <c r="A538">
        <v>5365000</v>
      </c>
      <c r="B538">
        <v>0</v>
      </c>
      <c r="C538">
        <v>0</v>
      </c>
      <c r="D538">
        <v>0</v>
      </c>
      <c r="E538">
        <v>1</v>
      </c>
      <c r="F538">
        <v>268435455</v>
      </c>
      <c r="G538">
        <v>1</v>
      </c>
      <c r="H538">
        <v>0</v>
      </c>
      <c r="I538">
        <v>1</v>
      </c>
      <c r="J538">
        <v>0</v>
      </c>
    </row>
    <row r="539" spans="1:10" x14ac:dyDescent="0.25">
      <c r="A539">
        <v>5375000</v>
      </c>
      <c r="B539">
        <v>0</v>
      </c>
      <c r="C539">
        <v>0</v>
      </c>
      <c r="D539">
        <v>0</v>
      </c>
      <c r="E539">
        <v>1</v>
      </c>
      <c r="F539">
        <v>16</v>
      </c>
      <c r="G539">
        <v>1</v>
      </c>
      <c r="H539">
        <v>0</v>
      </c>
      <c r="I539">
        <v>1</v>
      </c>
      <c r="J539">
        <v>0</v>
      </c>
    </row>
    <row r="540" spans="1:10" x14ac:dyDescent="0.25">
      <c r="A540">
        <v>5385000</v>
      </c>
      <c r="B540">
        <v>0</v>
      </c>
      <c r="C540">
        <v>0</v>
      </c>
      <c r="D540">
        <v>0</v>
      </c>
      <c r="E540">
        <v>1</v>
      </c>
      <c r="F540">
        <v>191</v>
      </c>
      <c r="G540">
        <v>1</v>
      </c>
      <c r="H540">
        <v>0</v>
      </c>
      <c r="I540">
        <v>1</v>
      </c>
      <c r="J540">
        <v>0</v>
      </c>
    </row>
    <row r="541" spans="1:10" x14ac:dyDescent="0.25">
      <c r="A541">
        <v>5395000</v>
      </c>
      <c r="B541">
        <v>0</v>
      </c>
      <c r="C541">
        <v>0</v>
      </c>
      <c r="D541">
        <v>0</v>
      </c>
      <c r="E541">
        <v>1</v>
      </c>
      <c r="F541">
        <v>328</v>
      </c>
      <c r="G541">
        <v>1</v>
      </c>
      <c r="H541">
        <v>0</v>
      </c>
      <c r="I541">
        <v>1</v>
      </c>
      <c r="J541">
        <v>0</v>
      </c>
    </row>
    <row r="542" spans="1:10" x14ac:dyDescent="0.25">
      <c r="A542">
        <v>5405000</v>
      </c>
      <c r="B542">
        <v>0</v>
      </c>
      <c r="C542">
        <v>0</v>
      </c>
      <c r="D542">
        <v>0</v>
      </c>
      <c r="E542">
        <v>1</v>
      </c>
      <c r="F542">
        <v>25</v>
      </c>
      <c r="G542">
        <v>1</v>
      </c>
      <c r="H542">
        <v>0</v>
      </c>
      <c r="I542">
        <v>1</v>
      </c>
      <c r="J542">
        <v>0</v>
      </c>
    </row>
    <row r="543" spans="1:10" x14ac:dyDescent="0.25">
      <c r="A543">
        <v>5415000</v>
      </c>
      <c r="B543">
        <v>0</v>
      </c>
      <c r="C543">
        <v>0</v>
      </c>
      <c r="D543">
        <v>0</v>
      </c>
      <c r="E543">
        <v>1</v>
      </c>
      <c r="F543">
        <v>5</v>
      </c>
      <c r="G543">
        <v>1</v>
      </c>
      <c r="H543">
        <v>0</v>
      </c>
      <c r="I543">
        <v>1</v>
      </c>
      <c r="J543">
        <v>0</v>
      </c>
    </row>
    <row r="544" spans="1:10" x14ac:dyDescent="0.25">
      <c r="A544">
        <v>5425000</v>
      </c>
      <c r="B544">
        <v>0</v>
      </c>
      <c r="C544">
        <v>0</v>
      </c>
      <c r="D544">
        <v>0</v>
      </c>
      <c r="E544">
        <v>1</v>
      </c>
      <c r="F544">
        <v>25</v>
      </c>
      <c r="G544">
        <v>1</v>
      </c>
      <c r="H544">
        <v>0</v>
      </c>
      <c r="I544">
        <v>1</v>
      </c>
      <c r="J544">
        <v>0</v>
      </c>
    </row>
    <row r="545" spans="1:10" x14ac:dyDescent="0.25">
      <c r="A545">
        <v>5435000</v>
      </c>
      <c r="B545">
        <v>0</v>
      </c>
      <c r="C545">
        <v>0</v>
      </c>
      <c r="D545">
        <v>0</v>
      </c>
      <c r="E545">
        <v>1</v>
      </c>
      <c r="F545">
        <v>125</v>
      </c>
      <c r="G545">
        <v>1</v>
      </c>
      <c r="H545">
        <v>0</v>
      </c>
      <c r="I545">
        <v>1</v>
      </c>
      <c r="J545">
        <v>0</v>
      </c>
    </row>
    <row r="546" spans="1:10" x14ac:dyDescent="0.25">
      <c r="A546">
        <v>5445000</v>
      </c>
      <c r="B546">
        <v>0</v>
      </c>
      <c r="C546">
        <v>0</v>
      </c>
      <c r="D546">
        <v>0</v>
      </c>
      <c r="E546">
        <v>1</v>
      </c>
      <c r="F546">
        <v>1025</v>
      </c>
      <c r="G546">
        <v>1</v>
      </c>
      <c r="H546">
        <v>0</v>
      </c>
      <c r="I546">
        <v>1</v>
      </c>
      <c r="J546">
        <v>0</v>
      </c>
    </row>
    <row r="547" spans="1:10" x14ac:dyDescent="0.25">
      <c r="A547">
        <v>5455000</v>
      </c>
      <c r="B547">
        <v>0</v>
      </c>
      <c r="C547">
        <v>0</v>
      </c>
      <c r="D547">
        <v>0</v>
      </c>
      <c r="E547">
        <v>1</v>
      </c>
      <c r="F547">
        <v>10025</v>
      </c>
      <c r="G547">
        <v>1</v>
      </c>
      <c r="H547">
        <v>0</v>
      </c>
      <c r="I547">
        <v>1</v>
      </c>
      <c r="J547">
        <v>0</v>
      </c>
    </row>
    <row r="548" spans="1:10" x14ac:dyDescent="0.25">
      <c r="A548">
        <v>5465000</v>
      </c>
      <c r="B548">
        <v>0</v>
      </c>
      <c r="C548">
        <v>0</v>
      </c>
      <c r="D548">
        <v>0</v>
      </c>
      <c r="E548">
        <v>1</v>
      </c>
      <c r="F548">
        <v>1148</v>
      </c>
      <c r="G548">
        <v>1</v>
      </c>
      <c r="H548">
        <v>0</v>
      </c>
      <c r="I548">
        <v>1</v>
      </c>
      <c r="J548">
        <v>0</v>
      </c>
    </row>
    <row r="549" spans="1:10" x14ac:dyDescent="0.25">
      <c r="A549">
        <v>5475000</v>
      </c>
      <c r="B549">
        <v>0</v>
      </c>
      <c r="C549">
        <v>0</v>
      </c>
      <c r="D549">
        <v>0</v>
      </c>
      <c r="E549">
        <v>1</v>
      </c>
      <c r="F549">
        <v>337</v>
      </c>
      <c r="G549">
        <v>1</v>
      </c>
      <c r="H549">
        <v>0</v>
      </c>
      <c r="I549">
        <v>1</v>
      </c>
      <c r="J549">
        <v>0</v>
      </c>
    </row>
    <row r="550" spans="1:10" x14ac:dyDescent="0.25">
      <c r="A550">
        <v>5485000</v>
      </c>
      <c r="B550">
        <v>0</v>
      </c>
      <c r="C550">
        <v>0</v>
      </c>
      <c r="D550">
        <v>0</v>
      </c>
      <c r="E550">
        <v>1</v>
      </c>
      <c r="F550">
        <v>0</v>
      </c>
      <c r="G550">
        <v>1</v>
      </c>
      <c r="H550">
        <v>0</v>
      </c>
      <c r="I550">
        <v>1</v>
      </c>
      <c r="J550">
        <v>0</v>
      </c>
    </row>
    <row r="551" spans="1:10" x14ac:dyDescent="0.25">
      <c r="A551">
        <v>5495000</v>
      </c>
      <c r="B551">
        <v>0</v>
      </c>
      <c r="C551">
        <v>0</v>
      </c>
      <c r="D551">
        <v>0</v>
      </c>
      <c r="E551">
        <v>1</v>
      </c>
      <c r="F551">
        <v>268435454</v>
      </c>
      <c r="G551">
        <v>1</v>
      </c>
      <c r="H551">
        <v>1</v>
      </c>
      <c r="I551">
        <v>1</v>
      </c>
      <c r="J551">
        <v>0</v>
      </c>
    </row>
    <row r="552" spans="1:10" x14ac:dyDescent="0.25">
      <c r="A552">
        <v>5505000</v>
      </c>
      <c r="B552">
        <v>0</v>
      </c>
      <c r="C552">
        <v>0</v>
      </c>
      <c r="D552">
        <v>0</v>
      </c>
      <c r="E552">
        <v>1</v>
      </c>
      <c r="F552">
        <v>268435455</v>
      </c>
      <c r="G552">
        <v>1</v>
      </c>
      <c r="H552">
        <v>0</v>
      </c>
      <c r="I552">
        <v>1</v>
      </c>
      <c r="J552">
        <v>0</v>
      </c>
    </row>
    <row r="553" spans="1:10" x14ac:dyDescent="0.25">
      <c r="A553">
        <v>5515000</v>
      </c>
      <c r="B553">
        <v>0</v>
      </c>
      <c r="C553">
        <v>0</v>
      </c>
      <c r="D553">
        <v>0</v>
      </c>
      <c r="E553">
        <v>1</v>
      </c>
      <c r="F553">
        <v>17</v>
      </c>
      <c r="G553">
        <v>1</v>
      </c>
      <c r="H553">
        <v>0</v>
      </c>
      <c r="I553">
        <v>1</v>
      </c>
      <c r="J553">
        <v>0</v>
      </c>
    </row>
    <row r="554" spans="1:10" x14ac:dyDescent="0.25">
      <c r="A554">
        <v>5525000</v>
      </c>
      <c r="B554">
        <v>0</v>
      </c>
      <c r="C554">
        <v>0</v>
      </c>
      <c r="D554">
        <v>0</v>
      </c>
      <c r="E554">
        <v>1</v>
      </c>
      <c r="F554">
        <v>203</v>
      </c>
      <c r="G554">
        <v>1</v>
      </c>
      <c r="H554">
        <v>0</v>
      </c>
      <c r="I554">
        <v>1</v>
      </c>
      <c r="J554">
        <v>0</v>
      </c>
    </row>
    <row r="555" spans="1:10" x14ac:dyDescent="0.25">
      <c r="A555">
        <v>5535000</v>
      </c>
      <c r="B555">
        <v>0</v>
      </c>
      <c r="C555">
        <v>0</v>
      </c>
      <c r="D555">
        <v>0</v>
      </c>
      <c r="E555">
        <v>1</v>
      </c>
      <c r="F555">
        <v>329</v>
      </c>
      <c r="G555">
        <v>1</v>
      </c>
      <c r="H555">
        <v>0</v>
      </c>
      <c r="I555">
        <v>1</v>
      </c>
      <c r="J555">
        <v>0</v>
      </c>
    </row>
    <row r="556" spans="1:10" x14ac:dyDescent="0.25">
      <c r="A556">
        <v>5545000</v>
      </c>
      <c r="B556">
        <v>0</v>
      </c>
      <c r="C556">
        <v>0</v>
      </c>
      <c r="D556">
        <v>0</v>
      </c>
      <c r="E556">
        <v>1</v>
      </c>
      <c r="F556">
        <v>25</v>
      </c>
      <c r="G556">
        <v>1</v>
      </c>
      <c r="H556">
        <v>0</v>
      </c>
      <c r="I556">
        <v>1</v>
      </c>
      <c r="J556">
        <v>0</v>
      </c>
    </row>
    <row r="557" spans="1:10" x14ac:dyDescent="0.25">
      <c r="A557">
        <v>5555000</v>
      </c>
      <c r="B557">
        <v>0</v>
      </c>
      <c r="C557">
        <v>0</v>
      </c>
      <c r="D557">
        <v>0</v>
      </c>
      <c r="E557">
        <v>1</v>
      </c>
      <c r="F557">
        <v>5</v>
      </c>
      <c r="G557">
        <v>1</v>
      </c>
      <c r="H557">
        <v>0</v>
      </c>
      <c r="I557">
        <v>1</v>
      </c>
      <c r="J557">
        <v>0</v>
      </c>
    </row>
    <row r="558" spans="1:10" x14ac:dyDescent="0.25">
      <c r="A558">
        <v>5565000</v>
      </c>
      <c r="B558">
        <v>0</v>
      </c>
      <c r="C558">
        <v>0</v>
      </c>
      <c r="D558">
        <v>0</v>
      </c>
      <c r="E558">
        <v>1</v>
      </c>
      <c r="F558">
        <v>26</v>
      </c>
      <c r="G558">
        <v>1</v>
      </c>
      <c r="H558">
        <v>0</v>
      </c>
      <c r="I558">
        <v>1</v>
      </c>
      <c r="J558">
        <v>0</v>
      </c>
    </row>
    <row r="559" spans="1:10" x14ac:dyDescent="0.25">
      <c r="A559">
        <v>5575000</v>
      </c>
      <c r="B559">
        <v>0</v>
      </c>
      <c r="C559">
        <v>0</v>
      </c>
      <c r="D559">
        <v>0</v>
      </c>
      <c r="E559">
        <v>1</v>
      </c>
      <c r="F559">
        <v>126</v>
      </c>
      <c r="G559">
        <v>1</v>
      </c>
      <c r="H559">
        <v>0</v>
      </c>
      <c r="I559">
        <v>1</v>
      </c>
      <c r="J559">
        <v>0</v>
      </c>
    </row>
    <row r="560" spans="1:10" x14ac:dyDescent="0.25">
      <c r="A560">
        <v>5585000</v>
      </c>
      <c r="B560">
        <v>0</v>
      </c>
      <c r="C560">
        <v>0</v>
      </c>
      <c r="D560">
        <v>0</v>
      </c>
      <c r="E560">
        <v>1</v>
      </c>
      <c r="F560">
        <v>1026</v>
      </c>
      <c r="G560">
        <v>1</v>
      </c>
      <c r="H560">
        <v>0</v>
      </c>
      <c r="I560">
        <v>1</v>
      </c>
      <c r="J560">
        <v>0</v>
      </c>
    </row>
    <row r="561" spans="1:10" x14ac:dyDescent="0.25">
      <c r="A561">
        <v>5595000</v>
      </c>
      <c r="B561">
        <v>0</v>
      </c>
      <c r="C561">
        <v>0</v>
      </c>
      <c r="D561">
        <v>0</v>
      </c>
      <c r="E561">
        <v>1</v>
      </c>
      <c r="F561">
        <v>10026</v>
      </c>
      <c r="G561">
        <v>1</v>
      </c>
      <c r="H561">
        <v>0</v>
      </c>
      <c r="I561">
        <v>1</v>
      </c>
      <c r="J561">
        <v>0</v>
      </c>
    </row>
    <row r="562" spans="1:10" x14ac:dyDescent="0.25">
      <c r="A562">
        <v>5605000</v>
      </c>
      <c r="B562">
        <v>0</v>
      </c>
      <c r="C562">
        <v>0</v>
      </c>
      <c r="D562">
        <v>0</v>
      </c>
      <c r="E562">
        <v>1</v>
      </c>
      <c r="F562">
        <v>1150</v>
      </c>
      <c r="G562">
        <v>1</v>
      </c>
      <c r="H562">
        <v>0</v>
      </c>
      <c r="I562">
        <v>1</v>
      </c>
      <c r="J562">
        <v>0</v>
      </c>
    </row>
    <row r="563" spans="1:10" x14ac:dyDescent="0.25">
      <c r="A563">
        <v>5615000</v>
      </c>
      <c r="B563">
        <v>0</v>
      </c>
      <c r="C563">
        <v>0</v>
      </c>
      <c r="D563">
        <v>0</v>
      </c>
      <c r="E563">
        <v>1</v>
      </c>
      <c r="F563">
        <v>338</v>
      </c>
      <c r="G563">
        <v>1</v>
      </c>
      <c r="H563">
        <v>0</v>
      </c>
      <c r="I563">
        <v>1</v>
      </c>
      <c r="J563">
        <v>0</v>
      </c>
    </row>
    <row r="564" spans="1:10" x14ac:dyDescent="0.25">
      <c r="A564">
        <v>5625000</v>
      </c>
      <c r="B564">
        <v>0</v>
      </c>
      <c r="C564">
        <v>0</v>
      </c>
      <c r="D564">
        <v>0</v>
      </c>
      <c r="E564">
        <v>1</v>
      </c>
      <c r="F564">
        <v>0</v>
      </c>
      <c r="G564">
        <v>1</v>
      </c>
      <c r="H564">
        <v>0</v>
      </c>
      <c r="I564">
        <v>1</v>
      </c>
      <c r="J564">
        <v>0</v>
      </c>
    </row>
    <row r="565" spans="1:10" x14ac:dyDescent="0.25">
      <c r="A565">
        <v>5635000</v>
      </c>
      <c r="B565">
        <v>0</v>
      </c>
      <c r="C565">
        <v>0</v>
      </c>
      <c r="D565">
        <v>0</v>
      </c>
      <c r="E565">
        <v>1</v>
      </c>
      <c r="F565">
        <v>268435454</v>
      </c>
      <c r="G565">
        <v>1</v>
      </c>
      <c r="H565">
        <v>1</v>
      </c>
      <c r="I565">
        <v>1</v>
      </c>
      <c r="J565">
        <v>0</v>
      </c>
    </row>
    <row r="566" spans="1:10" x14ac:dyDescent="0.25">
      <c r="A566">
        <v>5645000</v>
      </c>
      <c r="B566">
        <v>0</v>
      </c>
      <c r="C566">
        <v>0</v>
      </c>
      <c r="D566">
        <v>0</v>
      </c>
      <c r="E566">
        <v>1</v>
      </c>
      <c r="F566">
        <v>268435455</v>
      </c>
      <c r="G566">
        <v>1</v>
      </c>
      <c r="H566">
        <v>0</v>
      </c>
      <c r="I566">
        <v>1</v>
      </c>
      <c r="J566">
        <v>0</v>
      </c>
    </row>
    <row r="567" spans="1:10" x14ac:dyDescent="0.25">
      <c r="A567">
        <v>5655000</v>
      </c>
      <c r="B567">
        <v>0</v>
      </c>
      <c r="C567">
        <v>0</v>
      </c>
      <c r="D567">
        <v>0</v>
      </c>
      <c r="E567">
        <v>1</v>
      </c>
      <c r="F567">
        <v>18</v>
      </c>
      <c r="G567">
        <v>1</v>
      </c>
      <c r="H567">
        <v>0</v>
      </c>
      <c r="I567">
        <v>1</v>
      </c>
      <c r="J567">
        <v>0</v>
      </c>
    </row>
    <row r="568" spans="1:10" x14ac:dyDescent="0.25">
      <c r="A568">
        <v>5665000</v>
      </c>
      <c r="B568">
        <v>0</v>
      </c>
      <c r="C568">
        <v>0</v>
      </c>
      <c r="D568">
        <v>0</v>
      </c>
      <c r="E568">
        <v>1</v>
      </c>
      <c r="F568">
        <v>215</v>
      </c>
      <c r="G568">
        <v>1</v>
      </c>
      <c r="H568">
        <v>0</v>
      </c>
      <c r="I568">
        <v>1</v>
      </c>
      <c r="J568">
        <v>0</v>
      </c>
    </row>
    <row r="569" spans="1:10" x14ac:dyDescent="0.25">
      <c r="A569">
        <v>5675000</v>
      </c>
      <c r="B569">
        <v>0</v>
      </c>
      <c r="C569">
        <v>0</v>
      </c>
      <c r="D569">
        <v>0</v>
      </c>
      <c r="E569">
        <v>1</v>
      </c>
      <c r="F569">
        <v>330</v>
      </c>
      <c r="G569">
        <v>1</v>
      </c>
      <c r="H569">
        <v>0</v>
      </c>
      <c r="I569">
        <v>1</v>
      </c>
      <c r="J569">
        <v>0</v>
      </c>
    </row>
    <row r="570" spans="1:10" x14ac:dyDescent="0.25">
      <c r="A570">
        <v>5685000</v>
      </c>
      <c r="B570">
        <v>0</v>
      </c>
      <c r="C570">
        <v>0</v>
      </c>
      <c r="D570">
        <v>0</v>
      </c>
      <c r="E570">
        <v>1</v>
      </c>
      <c r="F570">
        <v>25</v>
      </c>
      <c r="G570">
        <v>1</v>
      </c>
      <c r="H570">
        <v>0</v>
      </c>
      <c r="I570">
        <v>1</v>
      </c>
      <c r="J570">
        <v>0</v>
      </c>
    </row>
    <row r="571" spans="1:10" x14ac:dyDescent="0.25">
      <c r="A571">
        <v>5695000</v>
      </c>
      <c r="B571">
        <v>0</v>
      </c>
      <c r="C571">
        <v>0</v>
      </c>
      <c r="D571">
        <v>0</v>
      </c>
      <c r="E571">
        <v>1</v>
      </c>
      <c r="F571">
        <v>5</v>
      </c>
      <c r="G571">
        <v>1</v>
      </c>
      <c r="H571">
        <v>0</v>
      </c>
      <c r="I571">
        <v>1</v>
      </c>
      <c r="J571">
        <v>0</v>
      </c>
    </row>
    <row r="572" spans="1:10" x14ac:dyDescent="0.25">
      <c r="A572">
        <v>5705000</v>
      </c>
      <c r="B572">
        <v>0</v>
      </c>
      <c r="C572">
        <v>0</v>
      </c>
      <c r="D572">
        <v>0</v>
      </c>
      <c r="E572">
        <v>1</v>
      </c>
      <c r="F572">
        <v>27</v>
      </c>
      <c r="G572">
        <v>1</v>
      </c>
      <c r="H572">
        <v>0</v>
      </c>
      <c r="I572">
        <v>1</v>
      </c>
      <c r="J572">
        <v>0</v>
      </c>
    </row>
    <row r="573" spans="1:10" x14ac:dyDescent="0.25">
      <c r="A573">
        <v>5715000</v>
      </c>
      <c r="B573">
        <v>0</v>
      </c>
      <c r="C573">
        <v>0</v>
      </c>
      <c r="D573">
        <v>0</v>
      </c>
      <c r="E573">
        <v>1</v>
      </c>
      <c r="F573">
        <v>127</v>
      </c>
      <c r="G573">
        <v>1</v>
      </c>
      <c r="H573">
        <v>0</v>
      </c>
      <c r="I573">
        <v>1</v>
      </c>
      <c r="J573">
        <v>0</v>
      </c>
    </row>
    <row r="574" spans="1:10" x14ac:dyDescent="0.25">
      <c r="A574">
        <v>5725000</v>
      </c>
      <c r="B574">
        <v>0</v>
      </c>
      <c r="C574">
        <v>0</v>
      </c>
      <c r="D574">
        <v>0</v>
      </c>
      <c r="E574">
        <v>1</v>
      </c>
      <c r="F574">
        <v>1027</v>
      </c>
      <c r="G574">
        <v>1</v>
      </c>
      <c r="H574">
        <v>0</v>
      </c>
      <c r="I574">
        <v>1</v>
      </c>
      <c r="J574">
        <v>0</v>
      </c>
    </row>
    <row r="575" spans="1:10" x14ac:dyDescent="0.25">
      <c r="A575">
        <v>5735000</v>
      </c>
      <c r="B575">
        <v>0</v>
      </c>
      <c r="C575">
        <v>0</v>
      </c>
      <c r="D575">
        <v>0</v>
      </c>
      <c r="E575">
        <v>1</v>
      </c>
      <c r="F575">
        <v>10027</v>
      </c>
      <c r="G575">
        <v>1</v>
      </c>
      <c r="H575">
        <v>0</v>
      </c>
      <c r="I575">
        <v>1</v>
      </c>
      <c r="J575">
        <v>0</v>
      </c>
    </row>
    <row r="576" spans="1:10" x14ac:dyDescent="0.25">
      <c r="A576">
        <v>5745000</v>
      </c>
      <c r="B576">
        <v>0</v>
      </c>
      <c r="C576">
        <v>0</v>
      </c>
      <c r="D576">
        <v>0</v>
      </c>
      <c r="E576">
        <v>1</v>
      </c>
      <c r="F576">
        <v>1152</v>
      </c>
      <c r="G576">
        <v>1</v>
      </c>
      <c r="H576">
        <v>0</v>
      </c>
      <c r="I576">
        <v>1</v>
      </c>
      <c r="J576">
        <v>0</v>
      </c>
    </row>
    <row r="577" spans="1:10" x14ac:dyDescent="0.25">
      <c r="A577">
        <v>5755000</v>
      </c>
      <c r="B577">
        <v>0</v>
      </c>
      <c r="C577">
        <v>0</v>
      </c>
      <c r="D577">
        <v>0</v>
      </c>
      <c r="E577">
        <v>1</v>
      </c>
      <c r="F577">
        <v>339</v>
      </c>
      <c r="G577">
        <v>1</v>
      </c>
      <c r="H577">
        <v>0</v>
      </c>
      <c r="I577">
        <v>1</v>
      </c>
      <c r="J577">
        <v>0</v>
      </c>
    </row>
    <row r="578" spans="1:10" x14ac:dyDescent="0.25">
      <c r="A578">
        <v>5765000</v>
      </c>
      <c r="B578">
        <v>0</v>
      </c>
      <c r="C578">
        <v>0</v>
      </c>
      <c r="D578">
        <v>0</v>
      </c>
      <c r="E578">
        <v>1</v>
      </c>
      <c r="F578">
        <v>0</v>
      </c>
      <c r="G578">
        <v>1</v>
      </c>
      <c r="H578">
        <v>0</v>
      </c>
      <c r="I578">
        <v>1</v>
      </c>
      <c r="J578">
        <v>0</v>
      </c>
    </row>
    <row r="579" spans="1:10" x14ac:dyDescent="0.25">
      <c r="A579">
        <v>5775000</v>
      </c>
      <c r="B579">
        <v>0</v>
      </c>
      <c r="C579">
        <v>0</v>
      </c>
      <c r="D579">
        <v>0</v>
      </c>
      <c r="E579">
        <v>1</v>
      </c>
      <c r="F579">
        <v>268435454</v>
      </c>
      <c r="G579">
        <v>1</v>
      </c>
      <c r="H579">
        <v>1</v>
      </c>
      <c r="I579">
        <v>1</v>
      </c>
      <c r="J579">
        <v>0</v>
      </c>
    </row>
    <row r="580" spans="1:10" x14ac:dyDescent="0.25">
      <c r="A580">
        <v>5785000</v>
      </c>
      <c r="B580">
        <v>0</v>
      </c>
      <c r="C580">
        <v>0</v>
      </c>
      <c r="D580">
        <v>0</v>
      </c>
      <c r="E580">
        <v>1</v>
      </c>
      <c r="F580">
        <v>268435455</v>
      </c>
      <c r="G580">
        <v>1</v>
      </c>
      <c r="H580">
        <v>0</v>
      </c>
      <c r="I580">
        <v>1</v>
      </c>
      <c r="J580">
        <v>0</v>
      </c>
    </row>
    <row r="581" spans="1:10" x14ac:dyDescent="0.25">
      <c r="A581">
        <v>5795000</v>
      </c>
      <c r="B581">
        <v>0</v>
      </c>
      <c r="C581">
        <v>0</v>
      </c>
      <c r="D581">
        <v>0</v>
      </c>
      <c r="E581">
        <v>1</v>
      </c>
      <c r="F581">
        <v>19</v>
      </c>
      <c r="G581">
        <v>1</v>
      </c>
      <c r="H581">
        <v>0</v>
      </c>
      <c r="I581">
        <v>1</v>
      </c>
      <c r="J581">
        <v>0</v>
      </c>
    </row>
    <row r="582" spans="1:10" x14ac:dyDescent="0.25">
      <c r="A582">
        <v>5805000</v>
      </c>
      <c r="B582">
        <v>0</v>
      </c>
      <c r="C582">
        <v>0</v>
      </c>
      <c r="D582">
        <v>0</v>
      </c>
      <c r="E582">
        <v>1</v>
      </c>
      <c r="F582">
        <v>227</v>
      </c>
      <c r="G582">
        <v>1</v>
      </c>
      <c r="H582">
        <v>0</v>
      </c>
      <c r="I582">
        <v>1</v>
      </c>
      <c r="J582">
        <v>0</v>
      </c>
    </row>
    <row r="583" spans="1:10" x14ac:dyDescent="0.25">
      <c r="A583">
        <v>5815000</v>
      </c>
      <c r="B583">
        <v>0</v>
      </c>
      <c r="C583">
        <v>0</v>
      </c>
      <c r="D583">
        <v>0</v>
      </c>
      <c r="E583">
        <v>1</v>
      </c>
      <c r="F583">
        <v>331</v>
      </c>
      <c r="G583">
        <v>1</v>
      </c>
      <c r="H583">
        <v>0</v>
      </c>
      <c r="I583">
        <v>1</v>
      </c>
      <c r="J583">
        <v>0</v>
      </c>
    </row>
    <row r="584" spans="1:10" x14ac:dyDescent="0.25">
      <c r="A584">
        <v>5825000</v>
      </c>
      <c r="B584">
        <v>0</v>
      </c>
      <c r="C584">
        <v>0</v>
      </c>
      <c r="D584">
        <v>0</v>
      </c>
      <c r="E584">
        <v>1</v>
      </c>
      <c r="F584">
        <v>25</v>
      </c>
      <c r="G584">
        <v>1</v>
      </c>
      <c r="H584">
        <v>0</v>
      </c>
      <c r="I584">
        <v>1</v>
      </c>
      <c r="J584">
        <v>0</v>
      </c>
    </row>
    <row r="585" spans="1:10" x14ac:dyDescent="0.25">
      <c r="A585">
        <v>5835000</v>
      </c>
      <c r="B585">
        <v>0</v>
      </c>
      <c r="C585">
        <v>0</v>
      </c>
      <c r="D585">
        <v>0</v>
      </c>
      <c r="E585">
        <v>1</v>
      </c>
      <c r="F585">
        <v>5</v>
      </c>
      <c r="G585">
        <v>1</v>
      </c>
      <c r="H585">
        <v>0</v>
      </c>
      <c r="I585">
        <v>1</v>
      </c>
      <c r="J585">
        <v>0</v>
      </c>
    </row>
    <row r="586" spans="1:10" x14ac:dyDescent="0.25">
      <c r="A586">
        <v>5845000</v>
      </c>
      <c r="B586">
        <v>0</v>
      </c>
      <c r="C586">
        <v>0</v>
      </c>
      <c r="D586">
        <v>0</v>
      </c>
      <c r="E586">
        <v>1</v>
      </c>
      <c r="F586">
        <v>28</v>
      </c>
      <c r="G586">
        <v>1</v>
      </c>
      <c r="H586">
        <v>0</v>
      </c>
      <c r="I586">
        <v>1</v>
      </c>
      <c r="J586">
        <v>0</v>
      </c>
    </row>
    <row r="587" spans="1:10" x14ac:dyDescent="0.25">
      <c r="A587">
        <v>5855000</v>
      </c>
      <c r="B587">
        <v>0</v>
      </c>
      <c r="C587">
        <v>0</v>
      </c>
      <c r="D587">
        <v>0</v>
      </c>
      <c r="E587">
        <v>1</v>
      </c>
      <c r="F587">
        <v>128</v>
      </c>
      <c r="G587">
        <v>1</v>
      </c>
      <c r="H587">
        <v>0</v>
      </c>
      <c r="I587">
        <v>1</v>
      </c>
      <c r="J587">
        <v>0</v>
      </c>
    </row>
    <row r="588" spans="1:10" x14ac:dyDescent="0.25">
      <c r="A588">
        <v>5865000</v>
      </c>
      <c r="B588">
        <v>0</v>
      </c>
      <c r="C588">
        <v>0</v>
      </c>
      <c r="D588">
        <v>0</v>
      </c>
      <c r="E588">
        <v>1</v>
      </c>
      <c r="F588">
        <v>1028</v>
      </c>
      <c r="G588">
        <v>1</v>
      </c>
      <c r="H588">
        <v>0</v>
      </c>
      <c r="I588">
        <v>1</v>
      </c>
      <c r="J588">
        <v>0</v>
      </c>
    </row>
    <row r="589" spans="1:10" x14ac:dyDescent="0.25">
      <c r="A589">
        <v>5875000</v>
      </c>
      <c r="B589">
        <v>0</v>
      </c>
      <c r="C589">
        <v>0</v>
      </c>
      <c r="D589">
        <v>0</v>
      </c>
      <c r="E589">
        <v>1</v>
      </c>
      <c r="F589">
        <v>10028</v>
      </c>
      <c r="G589">
        <v>1</v>
      </c>
      <c r="H589">
        <v>0</v>
      </c>
      <c r="I589">
        <v>1</v>
      </c>
      <c r="J589">
        <v>0</v>
      </c>
    </row>
    <row r="590" spans="1:10" x14ac:dyDescent="0.25">
      <c r="A590">
        <v>5885000</v>
      </c>
      <c r="B590">
        <v>0</v>
      </c>
      <c r="C590">
        <v>0</v>
      </c>
      <c r="D590">
        <v>0</v>
      </c>
      <c r="E590">
        <v>1</v>
      </c>
      <c r="F590">
        <v>1154</v>
      </c>
      <c r="G590">
        <v>1</v>
      </c>
      <c r="H590">
        <v>0</v>
      </c>
      <c r="I590">
        <v>1</v>
      </c>
      <c r="J590">
        <v>0</v>
      </c>
    </row>
    <row r="591" spans="1:10" x14ac:dyDescent="0.25">
      <c r="A591">
        <v>5895000</v>
      </c>
      <c r="B591">
        <v>0</v>
      </c>
      <c r="C591">
        <v>0</v>
      </c>
      <c r="D591">
        <v>0</v>
      </c>
      <c r="E591">
        <v>1</v>
      </c>
      <c r="F591">
        <v>340</v>
      </c>
      <c r="G591">
        <v>1</v>
      </c>
      <c r="H591">
        <v>0</v>
      </c>
      <c r="I591">
        <v>1</v>
      </c>
      <c r="J591">
        <v>0</v>
      </c>
    </row>
    <row r="592" spans="1:10" x14ac:dyDescent="0.25">
      <c r="A592">
        <v>5905000</v>
      </c>
      <c r="B592">
        <v>0</v>
      </c>
      <c r="C592">
        <v>0</v>
      </c>
      <c r="D592">
        <v>0</v>
      </c>
      <c r="E592">
        <v>1</v>
      </c>
      <c r="F592">
        <v>0</v>
      </c>
      <c r="G592">
        <v>1</v>
      </c>
      <c r="H592">
        <v>0</v>
      </c>
      <c r="I592">
        <v>1</v>
      </c>
      <c r="J592">
        <v>0</v>
      </c>
    </row>
    <row r="593" spans="1:10" x14ac:dyDescent="0.25">
      <c r="A593">
        <v>5915000</v>
      </c>
      <c r="B593">
        <v>0</v>
      </c>
      <c r="C593">
        <v>0</v>
      </c>
      <c r="D593">
        <v>0</v>
      </c>
      <c r="E593">
        <v>1</v>
      </c>
      <c r="F593">
        <v>268435454</v>
      </c>
      <c r="G593">
        <v>1</v>
      </c>
      <c r="H593">
        <v>1</v>
      </c>
      <c r="I593">
        <v>1</v>
      </c>
      <c r="J593">
        <v>0</v>
      </c>
    </row>
    <row r="594" spans="1:10" x14ac:dyDescent="0.25">
      <c r="A594">
        <v>5925000</v>
      </c>
      <c r="B594">
        <v>0</v>
      </c>
      <c r="C594">
        <v>0</v>
      </c>
      <c r="D594">
        <v>0</v>
      </c>
      <c r="E594">
        <v>1</v>
      </c>
      <c r="F594">
        <v>268435455</v>
      </c>
      <c r="G594">
        <v>1</v>
      </c>
      <c r="H594">
        <v>0</v>
      </c>
      <c r="I594">
        <v>1</v>
      </c>
      <c r="J594">
        <v>0</v>
      </c>
    </row>
    <row r="595" spans="1:10" x14ac:dyDescent="0.25">
      <c r="A595">
        <v>5935000</v>
      </c>
      <c r="B595">
        <v>0</v>
      </c>
      <c r="C595">
        <v>0</v>
      </c>
      <c r="D595">
        <v>0</v>
      </c>
      <c r="E595">
        <v>1</v>
      </c>
      <c r="F595">
        <v>20</v>
      </c>
      <c r="G595">
        <v>1</v>
      </c>
      <c r="H595">
        <v>0</v>
      </c>
      <c r="I595">
        <v>1</v>
      </c>
      <c r="J595">
        <v>0</v>
      </c>
    </row>
    <row r="596" spans="1:10" x14ac:dyDescent="0.25">
      <c r="A596">
        <v>5945000</v>
      </c>
      <c r="B596">
        <v>0</v>
      </c>
      <c r="C596">
        <v>0</v>
      </c>
      <c r="D596">
        <v>0</v>
      </c>
      <c r="E596">
        <v>1</v>
      </c>
      <c r="F596">
        <v>239</v>
      </c>
      <c r="G596">
        <v>1</v>
      </c>
      <c r="H596">
        <v>0</v>
      </c>
      <c r="I596">
        <v>1</v>
      </c>
      <c r="J596">
        <v>0</v>
      </c>
    </row>
    <row r="597" spans="1:10" x14ac:dyDescent="0.25">
      <c r="A597">
        <v>5955000</v>
      </c>
      <c r="B597">
        <v>0</v>
      </c>
      <c r="C597">
        <v>0</v>
      </c>
      <c r="D597">
        <v>0</v>
      </c>
      <c r="E597">
        <v>1</v>
      </c>
      <c r="F597">
        <v>332</v>
      </c>
      <c r="G597">
        <v>1</v>
      </c>
      <c r="H597">
        <v>0</v>
      </c>
      <c r="I597">
        <v>1</v>
      </c>
      <c r="J597">
        <v>0</v>
      </c>
    </row>
    <row r="598" spans="1:10" x14ac:dyDescent="0.25">
      <c r="A598">
        <v>5965000</v>
      </c>
      <c r="B598">
        <v>0</v>
      </c>
      <c r="C598">
        <v>0</v>
      </c>
      <c r="D598">
        <v>0</v>
      </c>
      <c r="E598">
        <v>1</v>
      </c>
      <c r="F598">
        <v>25</v>
      </c>
      <c r="G598">
        <v>1</v>
      </c>
      <c r="H598">
        <v>0</v>
      </c>
      <c r="I598">
        <v>1</v>
      </c>
      <c r="J598">
        <v>0</v>
      </c>
    </row>
    <row r="599" spans="1:10" x14ac:dyDescent="0.25">
      <c r="A599">
        <v>5975000</v>
      </c>
      <c r="B599">
        <v>0</v>
      </c>
      <c r="C599">
        <v>0</v>
      </c>
      <c r="D599">
        <v>0</v>
      </c>
      <c r="E599">
        <v>1</v>
      </c>
      <c r="F599">
        <v>5</v>
      </c>
      <c r="G599">
        <v>1</v>
      </c>
      <c r="H599">
        <v>0</v>
      </c>
      <c r="I599">
        <v>1</v>
      </c>
      <c r="J599">
        <v>0</v>
      </c>
    </row>
    <row r="600" spans="1:10" x14ac:dyDescent="0.25">
      <c r="A600">
        <v>5985000</v>
      </c>
      <c r="B600">
        <v>0</v>
      </c>
      <c r="C600">
        <v>0</v>
      </c>
      <c r="D600">
        <v>0</v>
      </c>
      <c r="E600">
        <v>1</v>
      </c>
      <c r="F600">
        <v>29</v>
      </c>
      <c r="G600">
        <v>1</v>
      </c>
      <c r="H600">
        <v>0</v>
      </c>
      <c r="I600">
        <v>1</v>
      </c>
      <c r="J600">
        <v>0</v>
      </c>
    </row>
    <row r="601" spans="1:10" x14ac:dyDescent="0.25">
      <c r="A601">
        <v>5995000</v>
      </c>
      <c r="B601">
        <v>0</v>
      </c>
      <c r="C601">
        <v>0</v>
      </c>
      <c r="D601">
        <v>0</v>
      </c>
      <c r="E601">
        <v>1</v>
      </c>
      <c r="F601">
        <v>129</v>
      </c>
      <c r="G601">
        <v>1</v>
      </c>
      <c r="H601">
        <v>0</v>
      </c>
      <c r="I601">
        <v>1</v>
      </c>
      <c r="J601">
        <v>0</v>
      </c>
    </row>
    <row r="602" spans="1:10" x14ac:dyDescent="0.25">
      <c r="A602">
        <v>6005000</v>
      </c>
      <c r="B602">
        <v>0</v>
      </c>
      <c r="C602">
        <v>0</v>
      </c>
      <c r="D602">
        <v>0</v>
      </c>
      <c r="E602">
        <v>1</v>
      </c>
      <c r="F602">
        <v>1029</v>
      </c>
      <c r="G602">
        <v>1</v>
      </c>
      <c r="H602">
        <v>0</v>
      </c>
      <c r="I602">
        <v>1</v>
      </c>
      <c r="J602">
        <v>0</v>
      </c>
    </row>
    <row r="603" spans="1:10" x14ac:dyDescent="0.25">
      <c r="A603">
        <v>6015000</v>
      </c>
      <c r="B603">
        <v>0</v>
      </c>
      <c r="C603">
        <v>0</v>
      </c>
      <c r="D603">
        <v>0</v>
      </c>
      <c r="E603">
        <v>1</v>
      </c>
      <c r="F603">
        <v>10029</v>
      </c>
      <c r="G603">
        <v>1</v>
      </c>
      <c r="H603">
        <v>0</v>
      </c>
      <c r="I603">
        <v>1</v>
      </c>
      <c r="J603">
        <v>0</v>
      </c>
    </row>
    <row r="604" spans="1:10" x14ac:dyDescent="0.25">
      <c r="A604">
        <v>6025000</v>
      </c>
      <c r="B604">
        <v>0</v>
      </c>
      <c r="C604">
        <v>0</v>
      </c>
      <c r="D604">
        <v>0</v>
      </c>
      <c r="E604">
        <v>1</v>
      </c>
      <c r="F604">
        <v>1156</v>
      </c>
      <c r="G604">
        <v>1</v>
      </c>
      <c r="H604">
        <v>0</v>
      </c>
      <c r="I604">
        <v>1</v>
      </c>
      <c r="J604">
        <v>0</v>
      </c>
    </row>
    <row r="605" spans="1:10" x14ac:dyDescent="0.25">
      <c r="A605">
        <v>6035000</v>
      </c>
      <c r="B605">
        <v>0</v>
      </c>
      <c r="C605">
        <v>0</v>
      </c>
      <c r="D605">
        <v>0</v>
      </c>
      <c r="E605">
        <v>1</v>
      </c>
      <c r="F605">
        <v>341</v>
      </c>
      <c r="G605">
        <v>1</v>
      </c>
      <c r="H605">
        <v>0</v>
      </c>
      <c r="I605">
        <v>1</v>
      </c>
      <c r="J605">
        <v>0</v>
      </c>
    </row>
    <row r="606" spans="1:10" x14ac:dyDescent="0.25">
      <c r="A606">
        <v>6045000</v>
      </c>
      <c r="B606">
        <v>0</v>
      </c>
      <c r="C606">
        <v>0</v>
      </c>
      <c r="D606">
        <v>0</v>
      </c>
      <c r="E606">
        <v>1</v>
      </c>
      <c r="F606">
        <v>0</v>
      </c>
      <c r="G606">
        <v>1</v>
      </c>
      <c r="H606">
        <v>0</v>
      </c>
      <c r="I606">
        <v>1</v>
      </c>
      <c r="J606">
        <v>0</v>
      </c>
    </row>
    <row r="607" spans="1:10" x14ac:dyDescent="0.25">
      <c r="A607">
        <v>6055000</v>
      </c>
      <c r="B607">
        <v>0</v>
      </c>
      <c r="C607">
        <v>0</v>
      </c>
      <c r="D607">
        <v>0</v>
      </c>
      <c r="E607">
        <v>1</v>
      </c>
      <c r="F607">
        <v>268435454</v>
      </c>
      <c r="G607">
        <v>1</v>
      </c>
      <c r="H607">
        <v>1</v>
      </c>
      <c r="I607">
        <v>1</v>
      </c>
      <c r="J607">
        <v>0</v>
      </c>
    </row>
    <row r="608" spans="1:10" x14ac:dyDescent="0.25">
      <c r="A608">
        <v>6065000</v>
      </c>
      <c r="B608">
        <v>0</v>
      </c>
      <c r="C608">
        <v>0</v>
      </c>
      <c r="D608">
        <v>0</v>
      </c>
      <c r="E608">
        <v>1</v>
      </c>
      <c r="F608">
        <v>268435455</v>
      </c>
      <c r="G608">
        <v>1</v>
      </c>
      <c r="H608">
        <v>0</v>
      </c>
      <c r="I608">
        <v>1</v>
      </c>
      <c r="J608">
        <v>0</v>
      </c>
    </row>
    <row r="609" spans="1:10" x14ac:dyDescent="0.25">
      <c r="A609">
        <v>6075000</v>
      </c>
      <c r="B609">
        <v>0</v>
      </c>
      <c r="C609">
        <v>0</v>
      </c>
      <c r="D609">
        <v>0</v>
      </c>
      <c r="E609">
        <v>1</v>
      </c>
      <c r="F609">
        <v>21</v>
      </c>
      <c r="G609">
        <v>1</v>
      </c>
      <c r="H609">
        <v>0</v>
      </c>
      <c r="I609">
        <v>1</v>
      </c>
      <c r="J609">
        <v>0</v>
      </c>
    </row>
    <row r="610" spans="1:10" x14ac:dyDescent="0.25">
      <c r="A610">
        <v>6085000</v>
      </c>
      <c r="B610">
        <v>0</v>
      </c>
      <c r="C610">
        <v>0</v>
      </c>
      <c r="D610">
        <v>0</v>
      </c>
      <c r="E610">
        <v>1</v>
      </c>
      <c r="F610">
        <v>251</v>
      </c>
      <c r="G610">
        <v>1</v>
      </c>
      <c r="H610">
        <v>0</v>
      </c>
      <c r="I610">
        <v>1</v>
      </c>
      <c r="J610">
        <v>0</v>
      </c>
    </row>
    <row r="611" spans="1:10" x14ac:dyDescent="0.25">
      <c r="A611">
        <v>6095000</v>
      </c>
      <c r="B611">
        <v>0</v>
      </c>
      <c r="C611">
        <v>0</v>
      </c>
      <c r="D611">
        <v>0</v>
      </c>
      <c r="E611">
        <v>1</v>
      </c>
      <c r="F611">
        <v>333</v>
      </c>
      <c r="G611">
        <v>1</v>
      </c>
      <c r="H611">
        <v>0</v>
      </c>
      <c r="I611">
        <v>1</v>
      </c>
      <c r="J611">
        <v>0</v>
      </c>
    </row>
    <row r="612" spans="1:10" x14ac:dyDescent="0.25">
      <c r="A612">
        <v>6105000</v>
      </c>
      <c r="B612">
        <v>0</v>
      </c>
      <c r="C612">
        <v>0</v>
      </c>
      <c r="D612">
        <v>0</v>
      </c>
      <c r="E612">
        <v>1</v>
      </c>
      <c r="F612">
        <v>25</v>
      </c>
      <c r="G612">
        <v>1</v>
      </c>
      <c r="H612">
        <v>0</v>
      </c>
      <c r="I612">
        <v>1</v>
      </c>
      <c r="J612">
        <v>0</v>
      </c>
    </row>
    <row r="613" spans="1:10" x14ac:dyDescent="0.25">
      <c r="A613">
        <v>6115000</v>
      </c>
      <c r="B613">
        <v>0</v>
      </c>
      <c r="C613">
        <v>0</v>
      </c>
      <c r="D613">
        <v>0</v>
      </c>
      <c r="E613">
        <v>1</v>
      </c>
      <c r="F613">
        <v>5</v>
      </c>
      <c r="G613">
        <v>1</v>
      </c>
      <c r="H613">
        <v>0</v>
      </c>
      <c r="I613">
        <v>1</v>
      </c>
      <c r="J613">
        <v>0</v>
      </c>
    </row>
    <row r="614" spans="1:10" x14ac:dyDescent="0.25">
      <c r="A614">
        <v>6125000</v>
      </c>
      <c r="B614">
        <v>0</v>
      </c>
      <c r="C614">
        <v>0</v>
      </c>
      <c r="D614">
        <v>0</v>
      </c>
      <c r="E614">
        <v>1</v>
      </c>
      <c r="F614">
        <v>30</v>
      </c>
      <c r="G614">
        <v>1</v>
      </c>
      <c r="H614">
        <v>0</v>
      </c>
      <c r="I614">
        <v>1</v>
      </c>
      <c r="J614">
        <v>0</v>
      </c>
    </row>
    <row r="615" spans="1:10" x14ac:dyDescent="0.25">
      <c r="A615">
        <v>6135000</v>
      </c>
      <c r="B615">
        <v>0</v>
      </c>
      <c r="C615">
        <v>0</v>
      </c>
      <c r="D615">
        <v>0</v>
      </c>
      <c r="E615">
        <v>1</v>
      </c>
      <c r="F615">
        <v>130</v>
      </c>
      <c r="G615">
        <v>1</v>
      </c>
      <c r="H615">
        <v>0</v>
      </c>
      <c r="I615">
        <v>1</v>
      </c>
      <c r="J615">
        <v>0</v>
      </c>
    </row>
    <row r="616" spans="1:10" x14ac:dyDescent="0.25">
      <c r="A616">
        <v>6145000</v>
      </c>
      <c r="B616">
        <v>0</v>
      </c>
      <c r="C616">
        <v>0</v>
      </c>
      <c r="D616">
        <v>0</v>
      </c>
      <c r="E616">
        <v>1</v>
      </c>
      <c r="F616">
        <v>1030</v>
      </c>
      <c r="G616">
        <v>1</v>
      </c>
      <c r="H616">
        <v>0</v>
      </c>
      <c r="I616">
        <v>1</v>
      </c>
      <c r="J616">
        <v>0</v>
      </c>
    </row>
    <row r="617" spans="1:10" x14ac:dyDescent="0.25">
      <c r="A617">
        <v>6155000</v>
      </c>
      <c r="B617">
        <v>0</v>
      </c>
      <c r="C617">
        <v>0</v>
      </c>
      <c r="D617">
        <v>0</v>
      </c>
      <c r="E617">
        <v>1</v>
      </c>
      <c r="F617">
        <v>10030</v>
      </c>
      <c r="G617">
        <v>1</v>
      </c>
      <c r="H617">
        <v>0</v>
      </c>
      <c r="I617">
        <v>1</v>
      </c>
      <c r="J617">
        <v>0</v>
      </c>
    </row>
    <row r="618" spans="1:10" x14ac:dyDescent="0.25">
      <c r="A618">
        <v>6165000</v>
      </c>
      <c r="B618">
        <v>0</v>
      </c>
      <c r="C618">
        <v>0</v>
      </c>
      <c r="D618">
        <v>0</v>
      </c>
      <c r="E618">
        <v>1</v>
      </c>
      <c r="F618">
        <v>1158</v>
      </c>
      <c r="G618">
        <v>1</v>
      </c>
      <c r="H618">
        <v>0</v>
      </c>
      <c r="I618">
        <v>1</v>
      </c>
      <c r="J618">
        <v>0</v>
      </c>
    </row>
    <row r="619" spans="1:10" x14ac:dyDescent="0.25">
      <c r="A619">
        <v>6175000</v>
      </c>
      <c r="B619">
        <v>0</v>
      </c>
      <c r="C619">
        <v>0</v>
      </c>
      <c r="D619">
        <v>0</v>
      </c>
      <c r="E619">
        <v>1</v>
      </c>
      <c r="F619">
        <v>342</v>
      </c>
      <c r="G619">
        <v>1</v>
      </c>
      <c r="H619">
        <v>0</v>
      </c>
      <c r="I619">
        <v>1</v>
      </c>
      <c r="J619">
        <v>0</v>
      </c>
    </row>
    <row r="620" spans="1:10" x14ac:dyDescent="0.25">
      <c r="A620">
        <v>6185000</v>
      </c>
      <c r="B620">
        <v>0</v>
      </c>
      <c r="C620">
        <v>0</v>
      </c>
      <c r="D620">
        <v>0</v>
      </c>
      <c r="E620">
        <v>1</v>
      </c>
      <c r="F620">
        <v>0</v>
      </c>
      <c r="G620">
        <v>1</v>
      </c>
      <c r="H620">
        <v>0</v>
      </c>
      <c r="I620">
        <v>1</v>
      </c>
      <c r="J620">
        <v>0</v>
      </c>
    </row>
    <row r="621" spans="1:10" x14ac:dyDescent="0.25">
      <c r="A621">
        <v>6195000</v>
      </c>
      <c r="B621">
        <v>0</v>
      </c>
      <c r="C621">
        <v>0</v>
      </c>
      <c r="D621">
        <v>0</v>
      </c>
      <c r="E621">
        <v>1</v>
      </c>
      <c r="F621">
        <v>268435454</v>
      </c>
      <c r="G621">
        <v>1</v>
      </c>
      <c r="H621">
        <v>1</v>
      </c>
      <c r="I621">
        <v>1</v>
      </c>
      <c r="J621">
        <v>0</v>
      </c>
    </row>
    <row r="622" spans="1:10" x14ac:dyDescent="0.25">
      <c r="A622">
        <v>6205000</v>
      </c>
      <c r="B622">
        <v>0</v>
      </c>
      <c r="C622">
        <v>0</v>
      </c>
      <c r="D622">
        <v>0</v>
      </c>
      <c r="E622">
        <v>1</v>
      </c>
      <c r="F622">
        <v>268435455</v>
      </c>
      <c r="G622">
        <v>1</v>
      </c>
      <c r="H622">
        <v>0</v>
      </c>
      <c r="I622">
        <v>1</v>
      </c>
      <c r="J622">
        <v>0</v>
      </c>
    </row>
    <row r="623" spans="1:10" x14ac:dyDescent="0.25">
      <c r="A623">
        <v>6215000</v>
      </c>
      <c r="B623">
        <v>0</v>
      </c>
      <c r="C623">
        <v>0</v>
      </c>
      <c r="D623">
        <v>0</v>
      </c>
      <c r="E623">
        <v>1</v>
      </c>
      <c r="F623">
        <v>22</v>
      </c>
      <c r="G623">
        <v>1</v>
      </c>
      <c r="H623">
        <v>0</v>
      </c>
      <c r="I623">
        <v>1</v>
      </c>
      <c r="J623">
        <v>0</v>
      </c>
    </row>
    <row r="624" spans="1:10" x14ac:dyDescent="0.25">
      <c r="A624">
        <v>6225000</v>
      </c>
      <c r="B624">
        <v>0</v>
      </c>
      <c r="C624">
        <v>0</v>
      </c>
      <c r="D624">
        <v>0</v>
      </c>
      <c r="E624">
        <v>1</v>
      </c>
      <c r="F624">
        <v>263</v>
      </c>
      <c r="G624">
        <v>1</v>
      </c>
      <c r="H624">
        <v>0</v>
      </c>
      <c r="I624">
        <v>1</v>
      </c>
      <c r="J624">
        <v>0</v>
      </c>
    </row>
    <row r="625" spans="1:10" x14ac:dyDescent="0.25">
      <c r="A625">
        <v>6235000</v>
      </c>
      <c r="B625">
        <v>0</v>
      </c>
      <c r="C625">
        <v>0</v>
      </c>
      <c r="D625">
        <v>0</v>
      </c>
      <c r="E625">
        <v>1</v>
      </c>
      <c r="F625">
        <v>334</v>
      </c>
      <c r="G625">
        <v>1</v>
      </c>
      <c r="H625">
        <v>0</v>
      </c>
      <c r="I625">
        <v>1</v>
      </c>
      <c r="J625">
        <v>0</v>
      </c>
    </row>
    <row r="626" spans="1:10" x14ac:dyDescent="0.25">
      <c r="A626">
        <v>6245000</v>
      </c>
      <c r="B626">
        <v>0</v>
      </c>
      <c r="C626">
        <v>0</v>
      </c>
      <c r="D626">
        <v>0</v>
      </c>
      <c r="E626">
        <v>1</v>
      </c>
      <c r="F626">
        <v>25</v>
      </c>
      <c r="G626">
        <v>1</v>
      </c>
      <c r="H626">
        <v>0</v>
      </c>
      <c r="I626">
        <v>1</v>
      </c>
      <c r="J626">
        <v>0</v>
      </c>
    </row>
    <row r="627" spans="1:10" x14ac:dyDescent="0.25">
      <c r="A627">
        <v>6255000</v>
      </c>
      <c r="B627">
        <v>0</v>
      </c>
      <c r="C627">
        <v>0</v>
      </c>
      <c r="D627">
        <v>0</v>
      </c>
      <c r="E627">
        <v>1</v>
      </c>
      <c r="F627">
        <v>5</v>
      </c>
      <c r="G627">
        <v>1</v>
      </c>
      <c r="H627">
        <v>0</v>
      </c>
      <c r="I627">
        <v>1</v>
      </c>
      <c r="J627">
        <v>0</v>
      </c>
    </row>
    <row r="628" spans="1:10" x14ac:dyDescent="0.25">
      <c r="A628">
        <v>6265000</v>
      </c>
      <c r="B628">
        <v>0</v>
      </c>
      <c r="C628">
        <v>0</v>
      </c>
      <c r="D628">
        <v>0</v>
      </c>
      <c r="E628">
        <v>1</v>
      </c>
      <c r="F628">
        <v>31</v>
      </c>
      <c r="G628">
        <v>1</v>
      </c>
      <c r="H628">
        <v>0</v>
      </c>
      <c r="I628">
        <v>1</v>
      </c>
      <c r="J628">
        <v>0</v>
      </c>
    </row>
    <row r="629" spans="1:10" x14ac:dyDescent="0.25">
      <c r="A629">
        <v>6275000</v>
      </c>
      <c r="B629">
        <v>0</v>
      </c>
      <c r="C629">
        <v>0</v>
      </c>
      <c r="D629">
        <v>0</v>
      </c>
      <c r="E629">
        <v>1</v>
      </c>
      <c r="F629">
        <v>131</v>
      </c>
      <c r="G629">
        <v>1</v>
      </c>
      <c r="H629">
        <v>0</v>
      </c>
      <c r="I629">
        <v>1</v>
      </c>
      <c r="J629">
        <v>0</v>
      </c>
    </row>
    <row r="630" spans="1:10" x14ac:dyDescent="0.25">
      <c r="A630">
        <v>6285000</v>
      </c>
      <c r="B630">
        <v>0</v>
      </c>
      <c r="C630">
        <v>0</v>
      </c>
      <c r="D630">
        <v>0</v>
      </c>
      <c r="E630">
        <v>1</v>
      </c>
      <c r="F630">
        <v>1031</v>
      </c>
      <c r="G630">
        <v>1</v>
      </c>
      <c r="H630">
        <v>0</v>
      </c>
      <c r="I630">
        <v>1</v>
      </c>
      <c r="J630">
        <v>0</v>
      </c>
    </row>
    <row r="631" spans="1:10" x14ac:dyDescent="0.25">
      <c r="A631">
        <v>6295000</v>
      </c>
      <c r="B631">
        <v>0</v>
      </c>
      <c r="C631">
        <v>0</v>
      </c>
      <c r="D631">
        <v>0</v>
      </c>
      <c r="E631">
        <v>1</v>
      </c>
      <c r="F631">
        <v>10031</v>
      </c>
      <c r="G631">
        <v>1</v>
      </c>
      <c r="H631">
        <v>0</v>
      </c>
      <c r="I631">
        <v>1</v>
      </c>
      <c r="J631">
        <v>0</v>
      </c>
    </row>
    <row r="632" spans="1:10" x14ac:dyDescent="0.25">
      <c r="A632">
        <v>6305000</v>
      </c>
      <c r="B632">
        <v>0</v>
      </c>
      <c r="C632">
        <v>0</v>
      </c>
      <c r="D632">
        <v>0</v>
      </c>
      <c r="E632">
        <v>1</v>
      </c>
      <c r="F632">
        <v>1160</v>
      </c>
      <c r="G632">
        <v>1</v>
      </c>
      <c r="H632">
        <v>0</v>
      </c>
      <c r="I632">
        <v>1</v>
      </c>
      <c r="J632">
        <v>0</v>
      </c>
    </row>
    <row r="633" spans="1:10" x14ac:dyDescent="0.25">
      <c r="A633">
        <v>6315000</v>
      </c>
      <c r="B633">
        <v>0</v>
      </c>
      <c r="C633">
        <v>0</v>
      </c>
      <c r="D633">
        <v>0</v>
      </c>
      <c r="E633">
        <v>1</v>
      </c>
      <c r="F633">
        <v>343</v>
      </c>
      <c r="G633">
        <v>1</v>
      </c>
      <c r="H633">
        <v>0</v>
      </c>
      <c r="I633">
        <v>1</v>
      </c>
      <c r="J633">
        <v>0</v>
      </c>
    </row>
    <row r="634" spans="1:10" x14ac:dyDescent="0.25">
      <c r="A634">
        <v>6325000</v>
      </c>
      <c r="B634">
        <v>0</v>
      </c>
      <c r="C634">
        <v>0</v>
      </c>
      <c r="D634">
        <v>0</v>
      </c>
      <c r="E634">
        <v>1</v>
      </c>
      <c r="F634">
        <v>0</v>
      </c>
      <c r="G634">
        <v>1</v>
      </c>
      <c r="H634">
        <v>0</v>
      </c>
      <c r="I634">
        <v>1</v>
      </c>
      <c r="J634">
        <v>0</v>
      </c>
    </row>
    <row r="635" spans="1:10" x14ac:dyDescent="0.25">
      <c r="A635">
        <v>6335000</v>
      </c>
      <c r="B635">
        <v>0</v>
      </c>
      <c r="C635">
        <v>0</v>
      </c>
      <c r="D635">
        <v>0</v>
      </c>
      <c r="E635">
        <v>1</v>
      </c>
      <c r="F635">
        <v>268435454</v>
      </c>
      <c r="G635">
        <v>1</v>
      </c>
      <c r="H635">
        <v>1</v>
      </c>
      <c r="I635">
        <v>1</v>
      </c>
      <c r="J635">
        <v>0</v>
      </c>
    </row>
    <row r="636" spans="1:10" x14ac:dyDescent="0.25">
      <c r="A636">
        <v>6345000</v>
      </c>
      <c r="B636">
        <v>0</v>
      </c>
      <c r="C636">
        <v>0</v>
      </c>
      <c r="D636">
        <v>0</v>
      </c>
      <c r="E636">
        <v>1</v>
      </c>
      <c r="F636">
        <v>268435455</v>
      </c>
      <c r="G636">
        <v>1</v>
      </c>
      <c r="H636">
        <v>0</v>
      </c>
      <c r="I636">
        <v>1</v>
      </c>
      <c r="J636">
        <v>0</v>
      </c>
    </row>
    <row r="637" spans="1:10" x14ac:dyDescent="0.25">
      <c r="A637">
        <v>6355000</v>
      </c>
      <c r="B637">
        <v>0</v>
      </c>
      <c r="C637">
        <v>0</v>
      </c>
      <c r="D637">
        <v>0</v>
      </c>
      <c r="E637">
        <v>1</v>
      </c>
      <c r="F637">
        <v>23</v>
      </c>
      <c r="G637">
        <v>1</v>
      </c>
      <c r="H637">
        <v>0</v>
      </c>
      <c r="I637">
        <v>1</v>
      </c>
      <c r="J637">
        <v>0</v>
      </c>
    </row>
    <row r="638" spans="1:10" x14ac:dyDescent="0.25">
      <c r="A638">
        <v>6365000</v>
      </c>
      <c r="B638">
        <v>0</v>
      </c>
      <c r="C638">
        <v>0</v>
      </c>
      <c r="D638">
        <v>0</v>
      </c>
      <c r="E638">
        <v>1</v>
      </c>
      <c r="F638">
        <v>275</v>
      </c>
      <c r="G638">
        <v>1</v>
      </c>
      <c r="H638">
        <v>0</v>
      </c>
      <c r="I638">
        <v>1</v>
      </c>
      <c r="J638">
        <v>0</v>
      </c>
    </row>
    <row r="639" spans="1:10" x14ac:dyDescent="0.25">
      <c r="A639">
        <v>6375000</v>
      </c>
      <c r="B639">
        <v>0</v>
      </c>
      <c r="C639">
        <v>0</v>
      </c>
      <c r="D639">
        <v>0</v>
      </c>
      <c r="E639">
        <v>1</v>
      </c>
      <c r="F639">
        <v>335</v>
      </c>
      <c r="G639">
        <v>1</v>
      </c>
      <c r="H639">
        <v>0</v>
      </c>
      <c r="I639">
        <v>1</v>
      </c>
      <c r="J639">
        <v>0</v>
      </c>
    </row>
    <row r="640" spans="1:10" x14ac:dyDescent="0.25">
      <c r="A640">
        <v>6385000</v>
      </c>
      <c r="B640">
        <v>0</v>
      </c>
      <c r="C640">
        <v>0</v>
      </c>
      <c r="D640">
        <v>0</v>
      </c>
      <c r="E640">
        <v>1</v>
      </c>
      <c r="F640">
        <v>25</v>
      </c>
      <c r="G640">
        <v>1</v>
      </c>
      <c r="H640">
        <v>0</v>
      </c>
      <c r="I640">
        <v>1</v>
      </c>
      <c r="J640">
        <v>0</v>
      </c>
    </row>
    <row r="641" spans="1:10" x14ac:dyDescent="0.25">
      <c r="A641">
        <v>6395000</v>
      </c>
      <c r="B641">
        <v>0</v>
      </c>
      <c r="C641">
        <v>0</v>
      </c>
      <c r="D641">
        <v>0</v>
      </c>
      <c r="E641">
        <v>1</v>
      </c>
      <c r="F641">
        <v>5</v>
      </c>
      <c r="G641">
        <v>1</v>
      </c>
      <c r="H641">
        <v>0</v>
      </c>
      <c r="I641">
        <v>1</v>
      </c>
      <c r="J641">
        <v>0</v>
      </c>
    </row>
    <row r="642" spans="1:10" x14ac:dyDescent="0.25">
      <c r="A642">
        <v>6405000</v>
      </c>
      <c r="B642">
        <v>0</v>
      </c>
      <c r="C642">
        <v>0</v>
      </c>
      <c r="D642">
        <v>0</v>
      </c>
      <c r="E642">
        <v>1</v>
      </c>
      <c r="F642">
        <v>32</v>
      </c>
      <c r="G642">
        <v>1</v>
      </c>
      <c r="H642">
        <v>0</v>
      </c>
      <c r="I642">
        <v>1</v>
      </c>
      <c r="J642">
        <v>0</v>
      </c>
    </row>
    <row r="643" spans="1:10" x14ac:dyDescent="0.25">
      <c r="A643">
        <v>6415000</v>
      </c>
      <c r="B643">
        <v>0</v>
      </c>
      <c r="C643">
        <v>0</v>
      </c>
      <c r="D643">
        <v>0</v>
      </c>
      <c r="E643">
        <v>1</v>
      </c>
      <c r="F643">
        <v>132</v>
      </c>
      <c r="G643">
        <v>1</v>
      </c>
      <c r="H643">
        <v>0</v>
      </c>
      <c r="I643">
        <v>1</v>
      </c>
      <c r="J643">
        <v>0</v>
      </c>
    </row>
    <row r="644" spans="1:10" x14ac:dyDescent="0.25">
      <c r="A644">
        <v>6425000</v>
      </c>
      <c r="B644">
        <v>0</v>
      </c>
      <c r="C644">
        <v>0</v>
      </c>
      <c r="D644">
        <v>0</v>
      </c>
      <c r="E644">
        <v>1</v>
      </c>
      <c r="F644">
        <v>1032</v>
      </c>
      <c r="G644">
        <v>1</v>
      </c>
      <c r="H644">
        <v>0</v>
      </c>
      <c r="I644">
        <v>1</v>
      </c>
      <c r="J644">
        <v>0</v>
      </c>
    </row>
    <row r="645" spans="1:10" x14ac:dyDescent="0.25">
      <c r="A645">
        <v>6435000</v>
      </c>
      <c r="B645">
        <v>0</v>
      </c>
      <c r="C645">
        <v>0</v>
      </c>
      <c r="D645">
        <v>0</v>
      </c>
      <c r="E645">
        <v>1</v>
      </c>
      <c r="F645">
        <v>10032</v>
      </c>
      <c r="G645">
        <v>1</v>
      </c>
      <c r="H645">
        <v>0</v>
      </c>
      <c r="I645">
        <v>1</v>
      </c>
      <c r="J645">
        <v>0</v>
      </c>
    </row>
    <row r="646" spans="1:10" x14ac:dyDescent="0.25">
      <c r="A646">
        <v>6445000</v>
      </c>
      <c r="B646">
        <v>0</v>
      </c>
      <c r="C646">
        <v>0</v>
      </c>
      <c r="D646">
        <v>0</v>
      </c>
      <c r="E646">
        <v>1</v>
      </c>
      <c r="F646">
        <v>1162</v>
      </c>
      <c r="G646">
        <v>1</v>
      </c>
      <c r="H646">
        <v>0</v>
      </c>
      <c r="I646">
        <v>1</v>
      </c>
      <c r="J646">
        <v>0</v>
      </c>
    </row>
    <row r="647" spans="1:10" x14ac:dyDescent="0.25">
      <c r="A647">
        <v>6455000</v>
      </c>
      <c r="B647">
        <v>0</v>
      </c>
      <c r="C647">
        <v>0</v>
      </c>
      <c r="D647">
        <v>0</v>
      </c>
      <c r="E647">
        <v>1</v>
      </c>
      <c r="F647">
        <v>344</v>
      </c>
      <c r="G647">
        <v>1</v>
      </c>
      <c r="H647">
        <v>0</v>
      </c>
      <c r="I647">
        <v>1</v>
      </c>
      <c r="J647">
        <v>0</v>
      </c>
    </row>
    <row r="648" spans="1:10" x14ac:dyDescent="0.25">
      <c r="A648">
        <v>6465000</v>
      </c>
      <c r="B648">
        <v>0</v>
      </c>
      <c r="C648">
        <v>0</v>
      </c>
      <c r="D648">
        <v>0</v>
      </c>
      <c r="E648">
        <v>1</v>
      </c>
      <c r="F648">
        <v>0</v>
      </c>
      <c r="G648">
        <v>1</v>
      </c>
      <c r="H648">
        <v>0</v>
      </c>
      <c r="I648">
        <v>1</v>
      </c>
      <c r="J648">
        <v>0</v>
      </c>
    </row>
    <row r="649" spans="1:10" x14ac:dyDescent="0.25">
      <c r="A649">
        <v>6475000</v>
      </c>
      <c r="B649">
        <v>0</v>
      </c>
      <c r="C649">
        <v>0</v>
      </c>
      <c r="D649">
        <v>0</v>
      </c>
      <c r="E649">
        <v>1</v>
      </c>
      <c r="F649">
        <v>268435454</v>
      </c>
      <c r="G649">
        <v>1</v>
      </c>
      <c r="H649">
        <v>1</v>
      </c>
      <c r="I649">
        <v>1</v>
      </c>
      <c r="J649">
        <v>0</v>
      </c>
    </row>
    <row r="650" spans="1:10" x14ac:dyDescent="0.25">
      <c r="A650">
        <v>6485000</v>
      </c>
      <c r="B650">
        <v>0</v>
      </c>
      <c r="C650">
        <v>0</v>
      </c>
      <c r="D650">
        <v>0</v>
      </c>
      <c r="E650">
        <v>1</v>
      </c>
      <c r="F650">
        <v>268435455</v>
      </c>
      <c r="G650">
        <v>1</v>
      </c>
      <c r="H650">
        <v>0</v>
      </c>
      <c r="I650">
        <v>1</v>
      </c>
      <c r="J650">
        <v>0</v>
      </c>
    </row>
    <row r="651" spans="1:10" x14ac:dyDescent="0.25">
      <c r="A651">
        <v>6495000</v>
      </c>
      <c r="B651">
        <v>0</v>
      </c>
      <c r="C651">
        <v>0</v>
      </c>
      <c r="D651">
        <v>0</v>
      </c>
      <c r="E651">
        <v>1</v>
      </c>
      <c r="F651">
        <v>24</v>
      </c>
      <c r="G651">
        <v>1</v>
      </c>
      <c r="H651">
        <v>0</v>
      </c>
      <c r="I651">
        <v>1</v>
      </c>
      <c r="J651">
        <v>0</v>
      </c>
    </row>
    <row r="652" spans="1:10" x14ac:dyDescent="0.25">
      <c r="A652">
        <v>6505000</v>
      </c>
      <c r="B652">
        <v>0</v>
      </c>
      <c r="C652">
        <v>0</v>
      </c>
      <c r="D652">
        <v>0</v>
      </c>
      <c r="E652">
        <v>1</v>
      </c>
      <c r="F652">
        <v>287</v>
      </c>
      <c r="G652">
        <v>1</v>
      </c>
      <c r="H652">
        <v>0</v>
      </c>
      <c r="I652">
        <v>1</v>
      </c>
      <c r="J652">
        <v>0</v>
      </c>
    </row>
    <row r="653" spans="1:10" x14ac:dyDescent="0.25">
      <c r="A653">
        <v>6515000</v>
      </c>
      <c r="B653">
        <v>0</v>
      </c>
      <c r="C653">
        <v>0</v>
      </c>
      <c r="D653">
        <v>0</v>
      </c>
      <c r="E653">
        <v>1</v>
      </c>
      <c r="F653">
        <v>336</v>
      </c>
      <c r="G653">
        <v>1</v>
      </c>
      <c r="H653">
        <v>0</v>
      </c>
      <c r="I653">
        <v>1</v>
      </c>
      <c r="J653">
        <v>0</v>
      </c>
    </row>
    <row r="654" spans="1:10" x14ac:dyDescent="0.25">
      <c r="A654">
        <v>6525000</v>
      </c>
      <c r="B654">
        <v>0</v>
      </c>
      <c r="C654">
        <v>0</v>
      </c>
      <c r="D654">
        <v>0</v>
      </c>
      <c r="E654">
        <v>1</v>
      </c>
      <c r="F654">
        <v>25</v>
      </c>
      <c r="G654">
        <v>1</v>
      </c>
      <c r="H654">
        <v>0</v>
      </c>
      <c r="I654">
        <v>1</v>
      </c>
      <c r="J654">
        <v>0</v>
      </c>
    </row>
    <row r="655" spans="1:10" x14ac:dyDescent="0.25">
      <c r="A655">
        <v>6535000</v>
      </c>
      <c r="B655">
        <v>0</v>
      </c>
      <c r="C655">
        <v>0</v>
      </c>
      <c r="D655">
        <v>0</v>
      </c>
      <c r="E655">
        <v>1</v>
      </c>
      <c r="F655">
        <v>5</v>
      </c>
      <c r="G655">
        <v>1</v>
      </c>
      <c r="H655">
        <v>0</v>
      </c>
      <c r="I655">
        <v>1</v>
      </c>
      <c r="J655">
        <v>0</v>
      </c>
    </row>
    <row r="656" spans="1:10" x14ac:dyDescent="0.25">
      <c r="A656">
        <v>6545000</v>
      </c>
      <c r="B656">
        <v>0</v>
      </c>
      <c r="C656">
        <v>0</v>
      </c>
      <c r="D656">
        <v>0</v>
      </c>
      <c r="E656">
        <v>1</v>
      </c>
      <c r="F656">
        <v>33</v>
      </c>
      <c r="G656">
        <v>1</v>
      </c>
      <c r="H656">
        <v>0</v>
      </c>
      <c r="I656">
        <v>1</v>
      </c>
      <c r="J656">
        <v>0</v>
      </c>
    </row>
    <row r="657" spans="1:10" x14ac:dyDescent="0.25">
      <c r="A657">
        <v>6555000</v>
      </c>
      <c r="B657">
        <v>0</v>
      </c>
      <c r="C657">
        <v>0</v>
      </c>
      <c r="D657">
        <v>0</v>
      </c>
      <c r="E657">
        <v>1</v>
      </c>
      <c r="F657">
        <v>133</v>
      </c>
      <c r="G657">
        <v>1</v>
      </c>
      <c r="H657">
        <v>0</v>
      </c>
      <c r="I657">
        <v>1</v>
      </c>
      <c r="J657">
        <v>0</v>
      </c>
    </row>
    <row r="658" spans="1:10" x14ac:dyDescent="0.25">
      <c r="A658">
        <v>6565000</v>
      </c>
      <c r="B658">
        <v>0</v>
      </c>
      <c r="C658">
        <v>0</v>
      </c>
      <c r="D658">
        <v>0</v>
      </c>
      <c r="E658">
        <v>1</v>
      </c>
      <c r="F658">
        <v>1033</v>
      </c>
      <c r="G658">
        <v>1</v>
      </c>
      <c r="H658">
        <v>0</v>
      </c>
      <c r="I658">
        <v>1</v>
      </c>
      <c r="J658">
        <v>0</v>
      </c>
    </row>
    <row r="659" spans="1:10" x14ac:dyDescent="0.25">
      <c r="A659">
        <v>6575000</v>
      </c>
      <c r="B659">
        <v>0</v>
      </c>
      <c r="C659">
        <v>0</v>
      </c>
      <c r="D659">
        <v>0</v>
      </c>
      <c r="E659">
        <v>1</v>
      </c>
      <c r="F659">
        <v>10033</v>
      </c>
      <c r="G659">
        <v>1</v>
      </c>
      <c r="H659">
        <v>0</v>
      </c>
      <c r="I659">
        <v>1</v>
      </c>
      <c r="J659">
        <v>0</v>
      </c>
    </row>
    <row r="660" spans="1:10" x14ac:dyDescent="0.25">
      <c r="A660">
        <v>6585000</v>
      </c>
      <c r="B660">
        <v>0</v>
      </c>
      <c r="C660">
        <v>0</v>
      </c>
      <c r="D660">
        <v>0</v>
      </c>
      <c r="E660">
        <v>1</v>
      </c>
      <c r="F660">
        <v>1164</v>
      </c>
      <c r="G660">
        <v>1</v>
      </c>
      <c r="H660">
        <v>0</v>
      </c>
      <c r="I660">
        <v>1</v>
      </c>
      <c r="J660">
        <v>0</v>
      </c>
    </row>
    <row r="661" spans="1:10" x14ac:dyDescent="0.25">
      <c r="A661">
        <v>6595000</v>
      </c>
      <c r="B661">
        <v>0</v>
      </c>
      <c r="C661">
        <v>0</v>
      </c>
      <c r="D661">
        <v>0</v>
      </c>
      <c r="E661">
        <v>1</v>
      </c>
      <c r="F661">
        <v>345</v>
      </c>
      <c r="G661">
        <v>1</v>
      </c>
      <c r="H661">
        <v>0</v>
      </c>
      <c r="I661">
        <v>1</v>
      </c>
      <c r="J661">
        <v>0</v>
      </c>
    </row>
    <row r="662" spans="1:10" x14ac:dyDescent="0.25">
      <c r="A662">
        <v>6605000</v>
      </c>
      <c r="B662">
        <v>0</v>
      </c>
      <c r="C662">
        <v>0</v>
      </c>
      <c r="D662">
        <v>0</v>
      </c>
      <c r="E662">
        <v>1</v>
      </c>
      <c r="F662">
        <v>0</v>
      </c>
      <c r="G662">
        <v>1</v>
      </c>
      <c r="H662">
        <v>0</v>
      </c>
      <c r="I662">
        <v>1</v>
      </c>
      <c r="J662">
        <v>0</v>
      </c>
    </row>
    <row r="663" spans="1:10" x14ac:dyDescent="0.25">
      <c r="A663">
        <v>6615000</v>
      </c>
      <c r="B663">
        <v>0</v>
      </c>
      <c r="C663">
        <v>0</v>
      </c>
      <c r="D663">
        <v>0</v>
      </c>
      <c r="E663">
        <v>1</v>
      </c>
      <c r="F663">
        <v>268435454</v>
      </c>
      <c r="G663">
        <v>1</v>
      </c>
      <c r="H663">
        <v>1</v>
      </c>
      <c r="I663">
        <v>1</v>
      </c>
      <c r="J663">
        <v>0</v>
      </c>
    </row>
    <row r="664" spans="1:10" x14ac:dyDescent="0.25">
      <c r="A664">
        <v>6625000</v>
      </c>
      <c r="B664">
        <v>0</v>
      </c>
      <c r="C664">
        <v>0</v>
      </c>
      <c r="D664">
        <v>0</v>
      </c>
      <c r="E664">
        <v>1</v>
      </c>
      <c r="F664">
        <v>268435455</v>
      </c>
      <c r="G664">
        <v>1</v>
      </c>
      <c r="H664">
        <v>0</v>
      </c>
      <c r="I664">
        <v>1</v>
      </c>
      <c r="J664">
        <v>0</v>
      </c>
    </row>
    <row r="665" spans="1:10" x14ac:dyDescent="0.25">
      <c r="A665">
        <v>6635000</v>
      </c>
      <c r="B665">
        <v>0</v>
      </c>
      <c r="C665">
        <v>0</v>
      </c>
      <c r="D665">
        <v>0</v>
      </c>
      <c r="E665">
        <v>1</v>
      </c>
      <c r="F665">
        <v>25</v>
      </c>
      <c r="G665">
        <v>1</v>
      </c>
      <c r="H665">
        <v>0</v>
      </c>
      <c r="I665">
        <v>1</v>
      </c>
      <c r="J665">
        <v>0</v>
      </c>
    </row>
    <row r="666" spans="1:10" x14ac:dyDescent="0.25">
      <c r="A666">
        <v>6645000</v>
      </c>
      <c r="B666">
        <v>0</v>
      </c>
      <c r="C666">
        <v>0</v>
      </c>
      <c r="D666">
        <v>0</v>
      </c>
      <c r="E666">
        <v>1</v>
      </c>
      <c r="F666">
        <v>299</v>
      </c>
      <c r="G666">
        <v>1</v>
      </c>
      <c r="H666">
        <v>0</v>
      </c>
      <c r="I666">
        <v>1</v>
      </c>
      <c r="J666">
        <v>0</v>
      </c>
    </row>
    <row r="667" spans="1:10" x14ac:dyDescent="0.25">
      <c r="A667">
        <v>6655000</v>
      </c>
      <c r="B667">
        <v>0</v>
      </c>
      <c r="C667">
        <v>0</v>
      </c>
      <c r="D667">
        <v>0</v>
      </c>
      <c r="E667">
        <v>1</v>
      </c>
      <c r="F667">
        <v>337</v>
      </c>
      <c r="G667">
        <v>1</v>
      </c>
      <c r="H667">
        <v>0</v>
      </c>
      <c r="I667">
        <v>1</v>
      </c>
      <c r="J667">
        <v>0</v>
      </c>
    </row>
    <row r="668" spans="1:10" x14ac:dyDescent="0.25">
      <c r="A668">
        <v>6665000</v>
      </c>
      <c r="B668">
        <v>0</v>
      </c>
      <c r="C668">
        <v>0</v>
      </c>
      <c r="D668">
        <v>0</v>
      </c>
      <c r="E668">
        <v>1</v>
      </c>
      <c r="F668">
        <v>25</v>
      </c>
      <c r="G668">
        <v>1</v>
      </c>
      <c r="H668">
        <v>0</v>
      </c>
      <c r="I668">
        <v>1</v>
      </c>
      <c r="J668">
        <v>0</v>
      </c>
    </row>
    <row r="669" spans="1:10" x14ac:dyDescent="0.25">
      <c r="A669">
        <v>6675000</v>
      </c>
      <c r="B669">
        <v>0</v>
      </c>
      <c r="C669">
        <v>0</v>
      </c>
      <c r="D669">
        <v>0</v>
      </c>
      <c r="E669">
        <v>1</v>
      </c>
      <c r="F669">
        <v>5</v>
      </c>
      <c r="G669">
        <v>1</v>
      </c>
      <c r="H669">
        <v>0</v>
      </c>
      <c r="I669">
        <v>1</v>
      </c>
      <c r="J669">
        <v>0</v>
      </c>
    </row>
    <row r="670" spans="1:10" x14ac:dyDescent="0.25">
      <c r="A670">
        <v>6685000</v>
      </c>
      <c r="B670">
        <v>0</v>
      </c>
      <c r="C670">
        <v>0</v>
      </c>
      <c r="D670">
        <v>0</v>
      </c>
      <c r="E670">
        <v>1</v>
      </c>
      <c r="F670">
        <v>34</v>
      </c>
      <c r="G670">
        <v>1</v>
      </c>
      <c r="H670">
        <v>0</v>
      </c>
      <c r="I670">
        <v>1</v>
      </c>
      <c r="J670">
        <v>0</v>
      </c>
    </row>
    <row r="671" spans="1:10" x14ac:dyDescent="0.25">
      <c r="A671">
        <v>6695000</v>
      </c>
      <c r="B671">
        <v>0</v>
      </c>
      <c r="C671">
        <v>0</v>
      </c>
      <c r="D671">
        <v>0</v>
      </c>
      <c r="E671">
        <v>1</v>
      </c>
      <c r="F671">
        <v>134</v>
      </c>
      <c r="G671">
        <v>1</v>
      </c>
      <c r="H671">
        <v>0</v>
      </c>
      <c r="I671">
        <v>1</v>
      </c>
      <c r="J671">
        <v>0</v>
      </c>
    </row>
    <row r="672" spans="1:10" x14ac:dyDescent="0.25">
      <c r="A672">
        <v>6705000</v>
      </c>
      <c r="B672">
        <v>0</v>
      </c>
      <c r="C672">
        <v>0</v>
      </c>
      <c r="D672">
        <v>0</v>
      </c>
      <c r="E672">
        <v>1</v>
      </c>
      <c r="F672">
        <v>1034</v>
      </c>
      <c r="G672">
        <v>1</v>
      </c>
      <c r="H672">
        <v>0</v>
      </c>
      <c r="I672">
        <v>1</v>
      </c>
      <c r="J672">
        <v>0</v>
      </c>
    </row>
    <row r="673" spans="1:10" x14ac:dyDescent="0.25">
      <c r="A673">
        <v>6715000</v>
      </c>
      <c r="B673">
        <v>0</v>
      </c>
      <c r="C673">
        <v>0</v>
      </c>
      <c r="D673">
        <v>0</v>
      </c>
      <c r="E673">
        <v>1</v>
      </c>
      <c r="F673">
        <v>10034</v>
      </c>
      <c r="G673">
        <v>1</v>
      </c>
      <c r="H673">
        <v>0</v>
      </c>
      <c r="I673">
        <v>1</v>
      </c>
      <c r="J673">
        <v>0</v>
      </c>
    </row>
    <row r="674" spans="1:10" x14ac:dyDescent="0.25">
      <c r="A674">
        <v>6725000</v>
      </c>
      <c r="B674">
        <v>0</v>
      </c>
      <c r="C674">
        <v>0</v>
      </c>
      <c r="D674">
        <v>0</v>
      </c>
      <c r="E674">
        <v>1</v>
      </c>
      <c r="F674">
        <v>1166</v>
      </c>
      <c r="G674">
        <v>1</v>
      </c>
      <c r="H674">
        <v>0</v>
      </c>
      <c r="I674">
        <v>1</v>
      </c>
      <c r="J674">
        <v>0</v>
      </c>
    </row>
    <row r="675" spans="1:10" x14ac:dyDescent="0.25">
      <c r="A675">
        <v>6735000</v>
      </c>
      <c r="B675">
        <v>0</v>
      </c>
      <c r="C675">
        <v>0</v>
      </c>
      <c r="D675">
        <v>0</v>
      </c>
      <c r="E675">
        <v>1</v>
      </c>
      <c r="F675">
        <v>346</v>
      </c>
      <c r="G675">
        <v>1</v>
      </c>
      <c r="H675">
        <v>0</v>
      </c>
      <c r="I675">
        <v>1</v>
      </c>
      <c r="J675">
        <v>0</v>
      </c>
    </row>
    <row r="676" spans="1:10" x14ac:dyDescent="0.25">
      <c r="A676">
        <v>6745000</v>
      </c>
      <c r="B676">
        <v>0</v>
      </c>
      <c r="C676">
        <v>0</v>
      </c>
      <c r="D676">
        <v>0</v>
      </c>
      <c r="E676">
        <v>1</v>
      </c>
      <c r="F676">
        <v>0</v>
      </c>
      <c r="G676">
        <v>1</v>
      </c>
      <c r="H676">
        <v>0</v>
      </c>
      <c r="I676">
        <v>1</v>
      </c>
      <c r="J676">
        <v>0</v>
      </c>
    </row>
    <row r="677" spans="1:10" x14ac:dyDescent="0.25">
      <c r="A677">
        <v>6755000</v>
      </c>
      <c r="B677">
        <v>0</v>
      </c>
      <c r="C677">
        <v>0</v>
      </c>
      <c r="D677">
        <v>0</v>
      </c>
      <c r="E677">
        <v>1</v>
      </c>
      <c r="F677">
        <v>268435454</v>
      </c>
      <c r="G677">
        <v>1</v>
      </c>
      <c r="H677">
        <v>1</v>
      </c>
      <c r="I677">
        <v>1</v>
      </c>
      <c r="J677">
        <v>0</v>
      </c>
    </row>
    <row r="678" spans="1:10" x14ac:dyDescent="0.25">
      <c r="A678">
        <v>6765000</v>
      </c>
      <c r="B678">
        <v>0</v>
      </c>
      <c r="C678">
        <v>0</v>
      </c>
      <c r="D678">
        <v>0</v>
      </c>
      <c r="E678">
        <v>1</v>
      </c>
      <c r="F678">
        <v>268435455</v>
      </c>
      <c r="G678">
        <v>1</v>
      </c>
      <c r="H678">
        <v>0</v>
      </c>
      <c r="I678">
        <v>1</v>
      </c>
      <c r="J678">
        <v>0</v>
      </c>
    </row>
    <row r="679" spans="1:10" x14ac:dyDescent="0.25">
      <c r="A679">
        <v>6775000</v>
      </c>
      <c r="B679">
        <v>0</v>
      </c>
      <c r="C679">
        <v>0</v>
      </c>
      <c r="D679">
        <v>0</v>
      </c>
      <c r="E679">
        <v>1</v>
      </c>
      <c r="F679">
        <v>26</v>
      </c>
      <c r="G679">
        <v>1</v>
      </c>
      <c r="H679">
        <v>0</v>
      </c>
      <c r="I679">
        <v>1</v>
      </c>
      <c r="J679">
        <v>0</v>
      </c>
    </row>
    <row r="680" spans="1:10" x14ac:dyDescent="0.25">
      <c r="A680">
        <v>6785000</v>
      </c>
      <c r="B680">
        <v>0</v>
      </c>
      <c r="C680">
        <v>0</v>
      </c>
      <c r="D680">
        <v>0</v>
      </c>
      <c r="E680">
        <v>1</v>
      </c>
      <c r="F680">
        <v>311</v>
      </c>
      <c r="G680">
        <v>1</v>
      </c>
      <c r="H680">
        <v>0</v>
      </c>
      <c r="I680">
        <v>1</v>
      </c>
      <c r="J680">
        <v>0</v>
      </c>
    </row>
    <row r="681" spans="1:10" x14ac:dyDescent="0.25">
      <c r="A681">
        <v>6795000</v>
      </c>
      <c r="B681">
        <v>0</v>
      </c>
      <c r="C681">
        <v>0</v>
      </c>
      <c r="D681">
        <v>0</v>
      </c>
      <c r="E681">
        <v>1</v>
      </c>
      <c r="F681">
        <v>338</v>
      </c>
      <c r="G681">
        <v>1</v>
      </c>
      <c r="H681">
        <v>0</v>
      </c>
      <c r="I681">
        <v>1</v>
      </c>
      <c r="J681">
        <v>0</v>
      </c>
    </row>
    <row r="682" spans="1:10" x14ac:dyDescent="0.25">
      <c r="A682">
        <v>6805000</v>
      </c>
      <c r="B682">
        <v>0</v>
      </c>
      <c r="C682">
        <v>0</v>
      </c>
      <c r="D682">
        <v>0</v>
      </c>
      <c r="E682">
        <v>1</v>
      </c>
      <c r="F682">
        <v>25</v>
      </c>
      <c r="G682">
        <v>1</v>
      </c>
      <c r="H682">
        <v>0</v>
      </c>
      <c r="I682">
        <v>1</v>
      </c>
      <c r="J682">
        <v>0</v>
      </c>
    </row>
    <row r="683" spans="1:10" x14ac:dyDescent="0.25">
      <c r="A683">
        <v>6815000</v>
      </c>
      <c r="B683">
        <v>0</v>
      </c>
      <c r="C683">
        <v>0</v>
      </c>
      <c r="D683">
        <v>0</v>
      </c>
      <c r="E683">
        <v>1</v>
      </c>
      <c r="F683">
        <v>5</v>
      </c>
      <c r="G683">
        <v>1</v>
      </c>
      <c r="H683">
        <v>0</v>
      </c>
      <c r="I683">
        <v>1</v>
      </c>
      <c r="J683">
        <v>0</v>
      </c>
    </row>
    <row r="684" spans="1:10" x14ac:dyDescent="0.25">
      <c r="A684">
        <v>6825000</v>
      </c>
      <c r="B684">
        <v>0</v>
      </c>
      <c r="C684">
        <v>0</v>
      </c>
      <c r="D684">
        <v>0</v>
      </c>
      <c r="E684">
        <v>1</v>
      </c>
      <c r="F684">
        <v>35</v>
      </c>
      <c r="G684">
        <v>1</v>
      </c>
      <c r="H684">
        <v>0</v>
      </c>
      <c r="I684">
        <v>1</v>
      </c>
      <c r="J684">
        <v>0</v>
      </c>
    </row>
    <row r="685" spans="1:10" x14ac:dyDescent="0.25">
      <c r="A685">
        <v>6835000</v>
      </c>
      <c r="B685">
        <v>0</v>
      </c>
      <c r="C685">
        <v>0</v>
      </c>
      <c r="D685">
        <v>0</v>
      </c>
      <c r="E685">
        <v>1</v>
      </c>
      <c r="F685">
        <v>135</v>
      </c>
      <c r="G685">
        <v>1</v>
      </c>
      <c r="H685">
        <v>0</v>
      </c>
      <c r="I685">
        <v>1</v>
      </c>
      <c r="J685">
        <v>0</v>
      </c>
    </row>
    <row r="686" spans="1:10" x14ac:dyDescent="0.25">
      <c r="A686">
        <v>6845000</v>
      </c>
      <c r="B686">
        <v>0</v>
      </c>
      <c r="C686">
        <v>0</v>
      </c>
      <c r="D686">
        <v>0</v>
      </c>
      <c r="E686">
        <v>1</v>
      </c>
      <c r="F686">
        <v>1035</v>
      </c>
      <c r="G686">
        <v>1</v>
      </c>
      <c r="H686">
        <v>0</v>
      </c>
      <c r="I686">
        <v>1</v>
      </c>
      <c r="J686">
        <v>0</v>
      </c>
    </row>
    <row r="687" spans="1:10" x14ac:dyDescent="0.25">
      <c r="A687">
        <v>6855000</v>
      </c>
      <c r="B687">
        <v>0</v>
      </c>
      <c r="C687">
        <v>0</v>
      </c>
      <c r="D687">
        <v>0</v>
      </c>
      <c r="E687">
        <v>1</v>
      </c>
      <c r="F687">
        <v>10035</v>
      </c>
      <c r="G687">
        <v>1</v>
      </c>
      <c r="H687">
        <v>0</v>
      </c>
      <c r="I687">
        <v>1</v>
      </c>
      <c r="J687">
        <v>0</v>
      </c>
    </row>
    <row r="688" spans="1:10" x14ac:dyDescent="0.25">
      <c r="A688">
        <v>6865000</v>
      </c>
      <c r="B688">
        <v>0</v>
      </c>
      <c r="C688">
        <v>0</v>
      </c>
      <c r="D688">
        <v>0</v>
      </c>
      <c r="E688">
        <v>1</v>
      </c>
      <c r="F688">
        <v>1168</v>
      </c>
      <c r="G688">
        <v>1</v>
      </c>
      <c r="H688">
        <v>0</v>
      </c>
      <c r="I688">
        <v>1</v>
      </c>
      <c r="J688">
        <v>0</v>
      </c>
    </row>
    <row r="689" spans="1:10" x14ac:dyDescent="0.25">
      <c r="A689">
        <v>6875000</v>
      </c>
      <c r="B689">
        <v>0</v>
      </c>
      <c r="C689">
        <v>0</v>
      </c>
      <c r="D689">
        <v>0</v>
      </c>
      <c r="E689">
        <v>1</v>
      </c>
      <c r="F689">
        <v>347</v>
      </c>
      <c r="G689">
        <v>1</v>
      </c>
      <c r="H689">
        <v>0</v>
      </c>
      <c r="I689">
        <v>1</v>
      </c>
      <c r="J689">
        <v>0</v>
      </c>
    </row>
    <row r="690" spans="1:10" x14ac:dyDescent="0.25">
      <c r="A690">
        <v>6885000</v>
      </c>
      <c r="B690">
        <v>0</v>
      </c>
      <c r="C690">
        <v>0</v>
      </c>
      <c r="D690">
        <v>0</v>
      </c>
      <c r="E690">
        <v>1</v>
      </c>
      <c r="F690">
        <v>0</v>
      </c>
      <c r="G690">
        <v>1</v>
      </c>
      <c r="H690">
        <v>0</v>
      </c>
      <c r="I690">
        <v>1</v>
      </c>
      <c r="J690">
        <v>0</v>
      </c>
    </row>
    <row r="691" spans="1:10" x14ac:dyDescent="0.25">
      <c r="A691">
        <v>6895000</v>
      </c>
      <c r="B691">
        <v>0</v>
      </c>
      <c r="C691">
        <v>0</v>
      </c>
      <c r="D691">
        <v>0</v>
      </c>
      <c r="E691">
        <v>1</v>
      </c>
      <c r="F691">
        <v>268435454</v>
      </c>
      <c r="G691">
        <v>1</v>
      </c>
      <c r="H691">
        <v>1</v>
      </c>
      <c r="I691">
        <v>1</v>
      </c>
      <c r="J691">
        <v>0</v>
      </c>
    </row>
    <row r="692" spans="1:10" x14ac:dyDescent="0.25">
      <c r="A692">
        <v>6905000</v>
      </c>
      <c r="B692">
        <v>0</v>
      </c>
      <c r="C692">
        <v>0</v>
      </c>
      <c r="D692">
        <v>0</v>
      </c>
      <c r="E692">
        <v>1</v>
      </c>
      <c r="F692">
        <v>268435455</v>
      </c>
      <c r="G692">
        <v>1</v>
      </c>
      <c r="H692">
        <v>0</v>
      </c>
      <c r="I692">
        <v>1</v>
      </c>
      <c r="J692">
        <v>0</v>
      </c>
    </row>
    <row r="693" spans="1:10" x14ac:dyDescent="0.25">
      <c r="A693">
        <v>6915000</v>
      </c>
      <c r="B693">
        <v>0</v>
      </c>
      <c r="C693">
        <v>0</v>
      </c>
      <c r="D693">
        <v>0</v>
      </c>
      <c r="E693">
        <v>1</v>
      </c>
      <c r="F693">
        <v>27</v>
      </c>
      <c r="G693">
        <v>1</v>
      </c>
      <c r="H693">
        <v>0</v>
      </c>
      <c r="I693">
        <v>1</v>
      </c>
      <c r="J693">
        <v>0</v>
      </c>
    </row>
    <row r="694" spans="1:10" x14ac:dyDescent="0.25">
      <c r="A694">
        <v>6925000</v>
      </c>
      <c r="B694">
        <v>0</v>
      </c>
      <c r="C694">
        <v>0</v>
      </c>
      <c r="D694">
        <v>0</v>
      </c>
      <c r="E694">
        <v>1</v>
      </c>
      <c r="F694">
        <v>11</v>
      </c>
      <c r="G694">
        <v>1</v>
      </c>
      <c r="H694">
        <v>0</v>
      </c>
      <c r="I694">
        <v>1</v>
      </c>
      <c r="J694">
        <v>0</v>
      </c>
    </row>
    <row r="695" spans="1:10" x14ac:dyDescent="0.25">
      <c r="A695">
        <v>6935000</v>
      </c>
      <c r="B695">
        <v>0</v>
      </c>
      <c r="C695">
        <v>0</v>
      </c>
      <c r="D695">
        <v>0</v>
      </c>
      <c r="E695">
        <v>1</v>
      </c>
      <c r="F695">
        <v>97</v>
      </c>
      <c r="G695">
        <v>1</v>
      </c>
      <c r="H695">
        <v>0</v>
      </c>
      <c r="I695">
        <v>1</v>
      </c>
      <c r="J695">
        <v>0</v>
      </c>
    </row>
    <row r="696" spans="1:10" x14ac:dyDescent="0.25">
      <c r="A696">
        <v>6945000</v>
      </c>
      <c r="B696">
        <v>0</v>
      </c>
      <c r="C696">
        <v>0</v>
      </c>
      <c r="D696">
        <v>0</v>
      </c>
      <c r="E696">
        <v>1</v>
      </c>
      <c r="F696">
        <v>6</v>
      </c>
      <c r="G696">
        <v>1</v>
      </c>
      <c r="H696">
        <v>0</v>
      </c>
      <c r="I696">
        <v>1</v>
      </c>
      <c r="J696">
        <v>0</v>
      </c>
    </row>
    <row r="697" spans="1:10" x14ac:dyDescent="0.25">
      <c r="A697">
        <v>6955000</v>
      </c>
      <c r="B697">
        <v>0</v>
      </c>
      <c r="C697">
        <v>0</v>
      </c>
      <c r="D697">
        <v>0</v>
      </c>
      <c r="E697">
        <v>1</v>
      </c>
      <c r="F697">
        <v>8</v>
      </c>
      <c r="G697">
        <v>1</v>
      </c>
      <c r="H697">
        <v>0</v>
      </c>
      <c r="I697">
        <v>1</v>
      </c>
      <c r="J697">
        <v>0</v>
      </c>
    </row>
    <row r="698" spans="1:10" x14ac:dyDescent="0.25">
      <c r="A698">
        <v>6965000</v>
      </c>
      <c r="B698">
        <v>0</v>
      </c>
      <c r="C698">
        <v>0</v>
      </c>
      <c r="D698">
        <v>0</v>
      </c>
      <c r="E698">
        <v>1</v>
      </c>
      <c r="F698">
        <v>39</v>
      </c>
      <c r="G698">
        <v>1</v>
      </c>
      <c r="H698">
        <v>0</v>
      </c>
      <c r="I698">
        <v>1</v>
      </c>
      <c r="J698">
        <v>0</v>
      </c>
    </row>
    <row r="699" spans="1:10" x14ac:dyDescent="0.25">
      <c r="A699">
        <v>6975000</v>
      </c>
      <c r="B699">
        <v>0</v>
      </c>
      <c r="C699">
        <v>0</v>
      </c>
      <c r="D699">
        <v>0</v>
      </c>
      <c r="E699">
        <v>1</v>
      </c>
      <c r="F699">
        <v>139</v>
      </c>
      <c r="G699">
        <v>1</v>
      </c>
      <c r="H699">
        <v>0</v>
      </c>
      <c r="I699">
        <v>1</v>
      </c>
      <c r="J699">
        <v>0</v>
      </c>
    </row>
    <row r="700" spans="1:10" x14ac:dyDescent="0.25">
      <c r="A700">
        <v>6985000</v>
      </c>
      <c r="B700">
        <v>0</v>
      </c>
      <c r="C700">
        <v>0</v>
      </c>
      <c r="D700">
        <v>0</v>
      </c>
      <c r="E700">
        <v>1</v>
      </c>
      <c r="F700">
        <v>1039</v>
      </c>
      <c r="G700">
        <v>1</v>
      </c>
      <c r="H700">
        <v>0</v>
      </c>
      <c r="I700">
        <v>1</v>
      </c>
      <c r="J700">
        <v>0</v>
      </c>
    </row>
    <row r="701" spans="1:10" x14ac:dyDescent="0.25">
      <c r="A701">
        <v>6995000</v>
      </c>
      <c r="B701">
        <v>0</v>
      </c>
      <c r="C701">
        <v>0</v>
      </c>
      <c r="D701">
        <v>0</v>
      </c>
      <c r="E701">
        <v>1</v>
      </c>
      <c r="F701">
        <v>10039</v>
      </c>
      <c r="G701">
        <v>1</v>
      </c>
      <c r="H701">
        <v>0</v>
      </c>
      <c r="I701">
        <v>1</v>
      </c>
      <c r="J701">
        <v>0</v>
      </c>
    </row>
    <row r="702" spans="1:10" x14ac:dyDescent="0.25">
      <c r="A702">
        <v>7005000</v>
      </c>
      <c r="B702">
        <v>0</v>
      </c>
      <c r="C702">
        <v>0</v>
      </c>
      <c r="D702">
        <v>0</v>
      </c>
      <c r="E702">
        <v>1</v>
      </c>
      <c r="F702">
        <v>1178</v>
      </c>
      <c r="G702">
        <v>1</v>
      </c>
      <c r="H702">
        <v>0</v>
      </c>
      <c r="I702">
        <v>1</v>
      </c>
      <c r="J702">
        <v>0</v>
      </c>
    </row>
    <row r="703" spans="1:10" x14ac:dyDescent="0.25">
      <c r="A703">
        <v>7015000</v>
      </c>
      <c r="B703">
        <v>0</v>
      </c>
      <c r="C703">
        <v>0</v>
      </c>
      <c r="D703">
        <v>0</v>
      </c>
      <c r="E703">
        <v>1</v>
      </c>
      <c r="F703">
        <v>454</v>
      </c>
      <c r="G703">
        <v>1</v>
      </c>
      <c r="H703">
        <v>0</v>
      </c>
      <c r="I703">
        <v>1</v>
      </c>
      <c r="J703">
        <v>0</v>
      </c>
    </row>
    <row r="704" spans="1:10" x14ac:dyDescent="0.25">
      <c r="A704">
        <v>7025000</v>
      </c>
      <c r="B704">
        <v>0</v>
      </c>
      <c r="C704">
        <v>0</v>
      </c>
      <c r="D704">
        <v>0</v>
      </c>
      <c r="E704">
        <v>1</v>
      </c>
      <c r="F704">
        <v>0</v>
      </c>
      <c r="G704">
        <v>1</v>
      </c>
      <c r="H704">
        <v>0</v>
      </c>
      <c r="I704">
        <v>1</v>
      </c>
      <c r="J704">
        <v>0</v>
      </c>
    </row>
    <row r="705" spans="1:10" x14ac:dyDescent="0.25">
      <c r="A705">
        <v>7035000</v>
      </c>
      <c r="B705">
        <v>0</v>
      </c>
      <c r="C705">
        <v>0</v>
      </c>
      <c r="D705">
        <v>0</v>
      </c>
      <c r="E705">
        <v>1</v>
      </c>
      <c r="F705">
        <v>268435454</v>
      </c>
      <c r="G705">
        <v>1</v>
      </c>
      <c r="H705">
        <v>1</v>
      </c>
      <c r="I705">
        <v>1</v>
      </c>
      <c r="J705">
        <v>0</v>
      </c>
    </row>
    <row r="706" spans="1:10" x14ac:dyDescent="0.25">
      <c r="A706">
        <v>7045000</v>
      </c>
      <c r="B706">
        <v>0</v>
      </c>
      <c r="C706">
        <v>0</v>
      </c>
      <c r="D706">
        <v>0</v>
      </c>
      <c r="E706">
        <v>1</v>
      </c>
      <c r="F706">
        <v>268435455</v>
      </c>
      <c r="G706">
        <v>1</v>
      </c>
      <c r="H706">
        <v>0</v>
      </c>
      <c r="I706">
        <v>1</v>
      </c>
      <c r="J706">
        <v>0</v>
      </c>
    </row>
    <row r="707" spans="1:10" x14ac:dyDescent="0.25">
      <c r="A707">
        <v>7055000</v>
      </c>
      <c r="B707">
        <v>0</v>
      </c>
      <c r="C707">
        <v>0</v>
      </c>
      <c r="D707">
        <v>0</v>
      </c>
      <c r="E707">
        <v>1</v>
      </c>
      <c r="F707">
        <v>28</v>
      </c>
      <c r="G707">
        <v>1</v>
      </c>
      <c r="H707">
        <v>0</v>
      </c>
      <c r="I707">
        <v>1</v>
      </c>
      <c r="J707">
        <v>0</v>
      </c>
    </row>
    <row r="708" spans="1:10" x14ac:dyDescent="0.25">
      <c r="A708">
        <v>7065000</v>
      </c>
      <c r="B708">
        <v>0</v>
      </c>
      <c r="C708">
        <v>0</v>
      </c>
      <c r="D708">
        <v>0</v>
      </c>
      <c r="E708">
        <v>1</v>
      </c>
      <c r="F708">
        <v>23</v>
      </c>
      <c r="G708">
        <v>1</v>
      </c>
      <c r="H708">
        <v>0</v>
      </c>
      <c r="I708">
        <v>1</v>
      </c>
      <c r="J708">
        <v>0</v>
      </c>
    </row>
    <row r="709" spans="1:10" x14ac:dyDescent="0.25">
      <c r="A709">
        <v>7075000</v>
      </c>
      <c r="B709">
        <v>0</v>
      </c>
      <c r="C709">
        <v>0</v>
      </c>
      <c r="D709">
        <v>0</v>
      </c>
      <c r="E709">
        <v>1</v>
      </c>
      <c r="F709">
        <v>98</v>
      </c>
      <c r="G709">
        <v>1</v>
      </c>
      <c r="H709">
        <v>0</v>
      </c>
      <c r="I709">
        <v>1</v>
      </c>
      <c r="J709">
        <v>0</v>
      </c>
    </row>
    <row r="710" spans="1:10" x14ac:dyDescent="0.25">
      <c r="A710">
        <v>7085000</v>
      </c>
      <c r="B710">
        <v>0</v>
      </c>
      <c r="C710">
        <v>0</v>
      </c>
      <c r="D710">
        <v>0</v>
      </c>
      <c r="E710">
        <v>1</v>
      </c>
      <c r="F710">
        <v>6</v>
      </c>
      <c r="G710">
        <v>1</v>
      </c>
      <c r="H710">
        <v>0</v>
      </c>
      <c r="I710">
        <v>1</v>
      </c>
      <c r="J710">
        <v>0</v>
      </c>
    </row>
    <row r="711" spans="1:10" x14ac:dyDescent="0.25">
      <c r="A711">
        <v>7095000</v>
      </c>
      <c r="B711">
        <v>0</v>
      </c>
      <c r="C711">
        <v>0</v>
      </c>
      <c r="D711">
        <v>0</v>
      </c>
      <c r="E711">
        <v>1</v>
      </c>
      <c r="F711">
        <v>8</v>
      </c>
      <c r="G711">
        <v>1</v>
      </c>
      <c r="H711">
        <v>0</v>
      </c>
      <c r="I711">
        <v>1</v>
      </c>
      <c r="J711">
        <v>0</v>
      </c>
    </row>
    <row r="712" spans="1:10" x14ac:dyDescent="0.25">
      <c r="A712">
        <v>7105000</v>
      </c>
      <c r="B712">
        <v>0</v>
      </c>
      <c r="C712">
        <v>0</v>
      </c>
      <c r="D712">
        <v>0</v>
      </c>
      <c r="E712">
        <v>1</v>
      </c>
      <c r="F712">
        <v>40</v>
      </c>
      <c r="G712">
        <v>1</v>
      </c>
      <c r="H712">
        <v>0</v>
      </c>
      <c r="I712">
        <v>1</v>
      </c>
      <c r="J712">
        <v>0</v>
      </c>
    </row>
    <row r="713" spans="1:10" x14ac:dyDescent="0.25">
      <c r="A713">
        <v>7115000</v>
      </c>
      <c r="B713">
        <v>0</v>
      </c>
      <c r="C713">
        <v>0</v>
      </c>
      <c r="D713">
        <v>0</v>
      </c>
      <c r="E713">
        <v>1</v>
      </c>
      <c r="F713">
        <v>140</v>
      </c>
      <c r="G713">
        <v>1</v>
      </c>
      <c r="H713">
        <v>0</v>
      </c>
      <c r="I713">
        <v>1</v>
      </c>
      <c r="J713">
        <v>0</v>
      </c>
    </row>
    <row r="714" spans="1:10" x14ac:dyDescent="0.25">
      <c r="A714">
        <v>7125000</v>
      </c>
      <c r="B714">
        <v>0</v>
      </c>
      <c r="C714">
        <v>0</v>
      </c>
      <c r="D714">
        <v>0</v>
      </c>
      <c r="E714">
        <v>1</v>
      </c>
      <c r="F714">
        <v>1040</v>
      </c>
      <c r="G714">
        <v>1</v>
      </c>
      <c r="H714">
        <v>0</v>
      </c>
      <c r="I714">
        <v>1</v>
      </c>
      <c r="J714">
        <v>0</v>
      </c>
    </row>
    <row r="715" spans="1:10" x14ac:dyDescent="0.25">
      <c r="A715">
        <v>7135000</v>
      </c>
      <c r="B715">
        <v>0</v>
      </c>
      <c r="C715">
        <v>0</v>
      </c>
      <c r="D715">
        <v>0</v>
      </c>
      <c r="E715">
        <v>1</v>
      </c>
      <c r="F715">
        <v>10040</v>
      </c>
      <c r="G715">
        <v>1</v>
      </c>
      <c r="H715">
        <v>0</v>
      </c>
      <c r="I715">
        <v>1</v>
      </c>
      <c r="J715">
        <v>0</v>
      </c>
    </row>
    <row r="716" spans="1:10" x14ac:dyDescent="0.25">
      <c r="A716">
        <v>7145000</v>
      </c>
      <c r="B716">
        <v>0</v>
      </c>
      <c r="C716">
        <v>0</v>
      </c>
      <c r="D716">
        <v>0</v>
      </c>
      <c r="E716">
        <v>1</v>
      </c>
      <c r="F716">
        <v>1178</v>
      </c>
      <c r="G716">
        <v>1</v>
      </c>
      <c r="H716">
        <v>0</v>
      </c>
      <c r="I716">
        <v>1</v>
      </c>
      <c r="J716">
        <v>0</v>
      </c>
    </row>
    <row r="717" spans="1:10" x14ac:dyDescent="0.25">
      <c r="A717">
        <v>7155000</v>
      </c>
      <c r="B717">
        <v>0</v>
      </c>
      <c r="C717">
        <v>0</v>
      </c>
      <c r="D717">
        <v>0</v>
      </c>
      <c r="E717">
        <v>1</v>
      </c>
      <c r="F717">
        <v>455</v>
      </c>
      <c r="G717">
        <v>1</v>
      </c>
      <c r="H717">
        <v>0</v>
      </c>
      <c r="I717">
        <v>1</v>
      </c>
      <c r="J717">
        <v>0</v>
      </c>
    </row>
    <row r="718" spans="1:10" x14ac:dyDescent="0.25">
      <c r="A718">
        <v>7165000</v>
      </c>
      <c r="B718">
        <v>0</v>
      </c>
      <c r="C718">
        <v>0</v>
      </c>
      <c r="D718">
        <v>0</v>
      </c>
      <c r="E718">
        <v>1</v>
      </c>
      <c r="F718">
        <v>0</v>
      </c>
      <c r="G718">
        <v>1</v>
      </c>
      <c r="H718">
        <v>0</v>
      </c>
      <c r="I718">
        <v>1</v>
      </c>
      <c r="J718">
        <v>0</v>
      </c>
    </row>
    <row r="719" spans="1:10" x14ac:dyDescent="0.25">
      <c r="A719">
        <v>7175000</v>
      </c>
      <c r="B719">
        <v>0</v>
      </c>
      <c r="C719">
        <v>0</v>
      </c>
      <c r="D719">
        <v>0</v>
      </c>
      <c r="E719">
        <v>1</v>
      </c>
      <c r="F719">
        <v>268435454</v>
      </c>
      <c r="G719">
        <v>1</v>
      </c>
      <c r="H719">
        <v>1</v>
      </c>
      <c r="I719">
        <v>1</v>
      </c>
      <c r="J719">
        <v>0</v>
      </c>
    </row>
    <row r="720" spans="1:10" x14ac:dyDescent="0.25">
      <c r="A720">
        <v>7185000</v>
      </c>
      <c r="B720">
        <v>0</v>
      </c>
      <c r="C720">
        <v>0</v>
      </c>
      <c r="D720">
        <v>0</v>
      </c>
      <c r="E720">
        <v>1</v>
      </c>
      <c r="F720">
        <v>268435455</v>
      </c>
      <c r="G720">
        <v>1</v>
      </c>
      <c r="H720">
        <v>0</v>
      </c>
      <c r="I720">
        <v>1</v>
      </c>
      <c r="J720">
        <v>0</v>
      </c>
    </row>
    <row r="721" spans="1:10" x14ac:dyDescent="0.25">
      <c r="A721">
        <v>7195000</v>
      </c>
      <c r="B721">
        <v>0</v>
      </c>
      <c r="C721">
        <v>0</v>
      </c>
      <c r="D721">
        <v>0</v>
      </c>
      <c r="E721">
        <v>1</v>
      </c>
      <c r="F721">
        <v>29</v>
      </c>
      <c r="G721">
        <v>1</v>
      </c>
      <c r="H721">
        <v>0</v>
      </c>
      <c r="I721">
        <v>1</v>
      </c>
      <c r="J721">
        <v>0</v>
      </c>
    </row>
    <row r="722" spans="1:10" x14ac:dyDescent="0.25">
      <c r="A722">
        <v>7205000</v>
      </c>
      <c r="B722">
        <v>0</v>
      </c>
      <c r="C722">
        <v>0</v>
      </c>
      <c r="D722">
        <v>0</v>
      </c>
      <c r="E722">
        <v>1</v>
      </c>
      <c r="F722">
        <v>35</v>
      </c>
      <c r="G722">
        <v>1</v>
      </c>
      <c r="H722">
        <v>0</v>
      </c>
      <c r="I722">
        <v>1</v>
      </c>
      <c r="J722">
        <v>0</v>
      </c>
    </row>
    <row r="723" spans="1:10" x14ac:dyDescent="0.25">
      <c r="A723">
        <v>7215000</v>
      </c>
      <c r="B723">
        <v>0</v>
      </c>
      <c r="C723">
        <v>0</v>
      </c>
      <c r="D723">
        <v>0</v>
      </c>
      <c r="E723">
        <v>1</v>
      </c>
      <c r="F723">
        <v>99</v>
      </c>
      <c r="G723">
        <v>1</v>
      </c>
      <c r="H723">
        <v>0</v>
      </c>
      <c r="I723">
        <v>1</v>
      </c>
      <c r="J723">
        <v>0</v>
      </c>
    </row>
    <row r="724" spans="1:10" x14ac:dyDescent="0.25">
      <c r="A724">
        <v>7225000</v>
      </c>
      <c r="B724">
        <v>0</v>
      </c>
      <c r="C724">
        <v>0</v>
      </c>
      <c r="D724">
        <v>0</v>
      </c>
      <c r="E724">
        <v>1</v>
      </c>
      <c r="F724">
        <v>6</v>
      </c>
      <c r="G724">
        <v>1</v>
      </c>
      <c r="H724">
        <v>0</v>
      </c>
      <c r="I724">
        <v>1</v>
      </c>
      <c r="J724">
        <v>0</v>
      </c>
    </row>
    <row r="725" spans="1:10" x14ac:dyDescent="0.25">
      <c r="A725">
        <v>7235000</v>
      </c>
      <c r="B725">
        <v>0</v>
      </c>
      <c r="C725">
        <v>0</v>
      </c>
      <c r="D725">
        <v>0</v>
      </c>
      <c r="E725">
        <v>1</v>
      </c>
      <c r="F725">
        <v>8</v>
      </c>
      <c r="G725">
        <v>1</v>
      </c>
      <c r="H725">
        <v>0</v>
      </c>
      <c r="I725">
        <v>1</v>
      </c>
      <c r="J725">
        <v>0</v>
      </c>
    </row>
    <row r="726" spans="1:10" x14ac:dyDescent="0.25">
      <c r="A726">
        <v>7245000</v>
      </c>
      <c r="B726">
        <v>0</v>
      </c>
      <c r="C726">
        <v>0</v>
      </c>
      <c r="D726">
        <v>0</v>
      </c>
      <c r="E726">
        <v>1</v>
      </c>
      <c r="F726">
        <v>41</v>
      </c>
      <c r="G726">
        <v>1</v>
      </c>
      <c r="H726">
        <v>0</v>
      </c>
      <c r="I726">
        <v>1</v>
      </c>
      <c r="J726">
        <v>0</v>
      </c>
    </row>
    <row r="727" spans="1:10" x14ac:dyDescent="0.25">
      <c r="A727">
        <v>7255000</v>
      </c>
      <c r="B727">
        <v>0</v>
      </c>
      <c r="C727">
        <v>0</v>
      </c>
      <c r="D727">
        <v>0</v>
      </c>
      <c r="E727">
        <v>1</v>
      </c>
      <c r="F727">
        <v>141</v>
      </c>
      <c r="G727">
        <v>1</v>
      </c>
      <c r="H727">
        <v>0</v>
      </c>
      <c r="I727">
        <v>1</v>
      </c>
      <c r="J727">
        <v>0</v>
      </c>
    </row>
    <row r="728" spans="1:10" x14ac:dyDescent="0.25">
      <c r="A728">
        <v>7265000</v>
      </c>
      <c r="B728">
        <v>0</v>
      </c>
      <c r="C728">
        <v>0</v>
      </c>
      <c r="D728">
        <v>0</v>
      </c>
      <c r="E728">
        <v>1</v>
      </c>
      <c r="F728">
        <v>1041</v>
      </c>
      <c r="G728">
        <v>1</v>
      </c>
      <c r="H728">
        <v>0</v>
      </c>
      <c r="I728">
        <v>1</v>
      </c>
      <c r="J728">
        <v>0</v>
      </c>
    </row>
    <row r="729" spans="1:10" x14ac:dyDescent="0.25">
      <c r="A729">
        <v>7275000</v>
      </c>
      <c r="B729">
        <v>0</v>
      </c>
      <c r="C729">
        <v>0</v>
      </c>
      <c r="D729">
        <v>0</v>
      </c>
      <c r="E729">
        <v>1</v>
      </c>
      <c r="F729">
        <v>10041</v>
      </c>
      <c r="G729">
        <v>1</v>
      </c>
      <c r="H729">
        <v>0</v>
      </c>
      <c r="I729">
        <v>1</v>
      </c>
      <c r="J729">
        <v>0</v>
      </c>
    </row>
    <row r="730" spans="1:10" x14ac:dyDescent="0.25">
      <c r="A730">
        <v>7285000</v>
      </c>
      <c r="B730">
        <v>0</v>
      </c>
      <c r="C730">
        <v>0</v>
      </c>
      <c r="D730">
        <v>0</v>
      </c>
      <c r="E730">
        <v>1</v>
      </c>
      <c r="F730">
        <v>1180</v>
      </c>
      <c r="G730">
        <v>1</v>
      </c>
      <c r="H730">
        <v>0</v>
      </c>
      <c r="I730">
        <v>1</v>
      </c>
      <c r="J730">
        <v>0</v>
      </c>
    </row>
    <row r="731" spans="1:10" x14ac:dyDescent="0.25">
      <c r="A731">
        <v>7295000</v>
      </c>
      <c r="B731">
        <v>0</v>
      </c>
      <c r="C731">
        <v>0</v>
      </c>
      <c r="D731">
        <v>0</v>
      </c>
      <c r="E731">
        <v>1</v>
      </c>
      <c r="F731">
        <v>456</v>
      </c>
      <c r="G731">
        <v>1</v>
      </c>
      <c r="H731">
        <v>0</v>
      </c>
      <c r="I731">
        <v>1</v>
      </c>
      <c r="J731">
        <v>0</v>
      </c>
    </row>
    <row r="732" spans="1:10" x14ac:dyDescent="0.25">
      <c r="A732">
        <v>7305000</v>
      </c>
      <c r="B732">
        <v>0</v>
      </c>
      <c r="C732">
        <v>0</v>
      </c>
      <c r="D732">
        <v>0</v>
      </c>
      <c r="E732">
        <v>1</v>
      </c>
      <c r="F732">
        <v>0</v>
      </c>
      <c r="G732">
        <v>1</v>
      </c>
      <c r="H732">
        <v>0</v>
      </c>
      <c r="I732">
        <v>1</v>
      </c>
      <c r="J732">
        <v>0</v>
      </c>
    </row>
    <row r="733" spans="1:10" x14ac:dyDescent="0.25">
      <c r="A733">
        <v>7315000</v>
      </c>
      <c r="B733">
        <v>0</v>
      </c>
      <c r="C733">
        <v>0</v>
      </c>
      <c r="D733">
        <v>0</v>
      </c>
      <c r="E733">
        <v>1</v>
      </c>
      <c r="F733">
        <v>268435454</v>
      </c>
      <c r="G733">
        <v>1</v>
      </c>
      <c r="H733">
        <v>1</v>
      </c>
      <c r="I733">
        <v>1</v>
      </c>
      <c r="J733">
        <v>0</v>
      </c>
    </row>
    <row r="734" spans="1:10" x14ac:dyDescent="0.25">
      <c r="A734">
        <v>7325000</v>
      </c>
      <c r="B734">
        <v>0</v>
      </c>
      <c r="C734">
        <v>0</v>
      </c>
      <c r="D734">
        <v>0</v>
      </c>
      <c r="E734">
        <v>1</v>
      </c>
      <c r="F734">
        <v>268435455</v>
      </c>
      <c r="G734">
        <v>1</v>
      </c>
      <c r="H734">
        <v>0</v>
      </c>
      <c r="I734">
        <v>1</v>
      </c>
      <c r="J734">
        <v>0</v>
      </c>
    </row>
    <row r="735" spans="1:10" x14ac:dyDescent="0.25">
      <c r="A735">
        <v>7335000</v>
      </c>
      <c r="B735">
        <v>0</v>
      </c>
      <c r="C735">
        <v>0</v>
      </c>
      <c r="D735">
        <v>0</v>
      </c>
      <c r="E735">
        <v>1</v>
      </c>
      <c r="F735">
        <v>30</v>
      </c>
      <c r="G735">
        <v>1</v>
      </c>
      <c r="H735">
        <v>0</v>
      </c>
      <c r="I735">
        <v>1</v>
      </c>
      <c r="J735">
        <v>0</v>
      </c>
    </row>
    <row r="736" spans="1:10" x14ac:dyDescent="0.25">
      <c r="A736">
        <v>7345000</v>
      </c>
      <c r="B736">
        <v>0</v>
      </c>
      <c r="C736">
        <v>0</v>
      </c>
      <c r="D736">
        <v>0</v>
      </c>
      <c r="E736">
        <v>1</v>
      </c>
      <c r="F736">
        <v>47</v>
      </c>
      <c r="G736">
        <v>1</v>
      </c>
      <c r="H736">
        <v>0</v>
      </c>
      <c r="I736">
        <v>1</v>
      </c>
      <c r="J736">
        <v>0</v>
      </c>
    </row>
    <row r="737" spans="1:10" x14ac:dyDescent="0.25">
      <c r="A737">
        <v>7355000</v>
      </c>
      <c r="B737">
        <v>0</v>
      </c>
      <c r="C737">
        <v>0</v>
      </c>
      <c r="D737">
        <v>0</v>
      </c>
      <c r="E737">
        <v>1</v>
      </c>
      <c r="F737">
        <v>100</v>
      </c>
      <c r="G737">
        <v>1</v>
      </c>
      <c r="H737">
        <v>0</v>
      </c>
      <c r="I737">
        <v>1</v>
      </c>
      <c r="J737">
        <v>0</v>
      </c>
    </row>
    <row r="738" spans="1:10" x14ac:dyDescent="0.25">
      <c r="A738">
        <v>7365000</v>
      </c>
      <c r="B738">
        <v>0</v>
      </c>
      <c r="C738">
        <v>0</v>
      </c>
      <c r="D738">
        <v>0</v>
      </c>
      <c r="E738">
        <v>1</v>
      </c>
      <c r="F738">
        <v>6</v>
      </c>
      <c r="G738">
        <v>1</v>
      </c>
      <c r="H738">
        <v>0</v>
      </c>
      <c r="I738">
        <v>1</v>
      </c>
      <c r="J738">
        <v>0</v>
      </c>
    </row>
    <row r="739" spans="1:10" x14ac:dyDescent="0.25">
      <c r="A739">
        <v>7375000</v>
      </c>
      <c r="B739">
        <v>0</v>
      </c>
      <c r="C739">
        <v>0</v>
      </c>
      <c r="D739">
        <v>0</v>
      </c>
      <c r="E739">
        <v>1</v>
      </c>
      <c r="F739">
        <v>8</v>
      </c>
      <c r="G739">
        <v>1</v>
      </c>
      <c r="H739">
        <v>0</v>
      </c>
      <c r="I739">
        <v>1</v>
      </c>
      <c r="J739">
        <v>0</v>
      </c>
    </row>
    <row r="740" spans="1:10" x14ac:dyDescent="0.25">
      <c r="A740">
        <v>7385000</v>
      </c>
      <c r="B740">
        <v>0</v>
      </c>
      <c r="C740">
        <v>0</v>
      </c>
      <c r="D740">
        <v>0</v>
      </c>
      <c r="E740">
        <v>1</v>
      </c>
      <c r="F740">
        <v>42</v>
      </c>
      <c r="G740">
        <v>1</v>
      </c>
      <c r="H740">
        <v>0</v>
      </c>
      <c r="I740">
        <v>1</v>
      </c>
      <c r="J740">
        <v>0</v>
      </c>
    </row>
    <row r="741" spans="1:10" x14ac:dyDescent="0.25">
      <c r="A741">
        <v>7395000</v>
      </c>
      <c r="B741">
        <v>0</v>
      </c>
      <c r="C741">
        <v>0</v>
      </c>
      <c r="D741">
        <v>0</v>
      </c>
      <c r="E741">
        <v>1</v>
      </c>
      <c r="F741">
        <v>142</v>
      </c>
      <c r="G741">
        <v>1</v>
      </c>
      <c r="H741">
        <v>0</v>
      </c>
      <c r="I741">
        <v>1</v>
      </c>
      <c r="J741">
        <v>0</v>
      </c>
    </row>
    <row r="742" spans="1:10" x14ac:dyDescent="0.25">
      <c r="A742">
        <v>7405000</v>
      </c>
      <c r="B742">
        <v>0</v>
      </c>
      <c r="C742">
        <v>0</v>
      </c>
      <c r="D742">
        <v>0</v>
      </c>
      <c r="E742">
        <v>1</v>
      </c>
      <c r="F742">
        <v>1042</v>
      </c>
      <c r="G742">
        <v>1</v>
      </c>
      <c r="H742">
        <v>0</v>
      </c>
      <c r="I742">
        <v>1</v>
      </c>
      <c r="J742">
        <v>0</v>
      </c>
    </row>
    <row r="743" spans="1:10" x14ac:dyDescent="0.25">
      <c r="A743">
        <v>7415000</v>
      </c>
      <c r="B743">
        <v>0</v>
      </c>
      <c r="C743">
        <v>0</v>
      </c>
      <c r="D743">
        <v>0</v>
      </c>
      <c r="E743">
        <v>1</v>
      </c>
      <c r="F743">
        <v>10042</v>
      </c>
      <c r="G743">
        <v>1</v>
      </c>
      <c r="H743">
        <v>0</v>
      </c>
      <c r="I743">
        <v>1</v>
      </c>
      <c r="J743">
        <v>0</v>
      </c>
    </row>
    <row r="744" spans="1:10" x14ac:dyDescent="0.25">
      <c r="A744">
        <v>7425000</v>
      </c>
      <c r="B744">
        <v>0</v>
      </c>
      <c r="C744">
        <v>0</v>
      </c>
      <c r="D744">
        <v>0</v>
      </c>
      <c r="E744">
        <v>1</v>
      </c>
      <c r="F744">
        <v>1182</v>
      </c>
      <c r="G744">
        <v>1</v>
      </c>
      <c r="H744">
        <v>0</v>
      </c>
      <c r="I744">
        <v>1</v>
      </c>
      <c r="J744">
        <v>0</v>
      </c>
    </row>
    <row r="745" spans="1:10" x14ac:dyDescent="0.25">
      <c r="A745">
        <v>7435000</v>
      </c>
      <c r="B745">
        <v>0</v>
      </c>
      <c r="C745">
        <v>0</v>
      </c>
      <c r="D745">
        <v>0</v>
      </c>
      <c r="E745">
        <v>1</v>
      </c>
      <c r="F745">
        <v>457</v>
      </c>
      <c r="G745">
        <v>1</v>
      </c>
      <c r="H745">
        <v>0</v>
      </c>
      <c r="I745">
        <v>1</v>
      </c>
      <c r="J745">
        <v>0</v>
      </c>
    </row>
    <row r="746" spans="1:10" x14ac:dyDescent="0.25">
      <c r="A746">
        <v>7445000</v>
      </c>
      <c r="B746">
        <v>0</v>
      </c>
      <c r="C746">
        <v>0</v>
      </c>
      <c r="D746">
        <v>0</v>
      </c>
      <c r="E746">
        <v>1</v>
      </c>
      <c r="F746">
        <v>0</v>
      </c>
      <c r="G746">
        <v>1</v>
      </c>
      <c r="H746">
        <v>0</v>
      </c>
      <c r="I746">
        <v>1</v>
      </c>
      <c r="J746">
        <v>0</v>
      </c>
    </row>
    <row r="747" spans="1:10" x14ac:dyDescent="0.25">
      <c r="A747">
        <v>7455000</v>
      </c>
      <c r="B747">
        <v>0</v>
      </c>
      <c r="C747">
        <v>0</v>
      </c>
      <c r="D747">
        <v>0</v>
      </c>
      <c r="E747">
        <v>1</v>
      </c>
      <c r="F747">
        <v>268435454</v>
      </c>
      <c r="G747">
        <v>1</v>
      </c>
      <c r="H747">
        <v>1</v>
      </c>
      <c r="I747">
        <v>1</v>
      </c>
      <c r="J747">
        <v>0</v>
      </c>
    </row>
    <row r="748" spans="1:10" x14ac:dyDescent="0.25">
      <c r="A748">
        <v>7465000</v>
      </c>
      <c r="B748">
        <v>0</v>
      </c>
      <c r="C748">
        <v>0</v>
      </c>
      <c r="D748">
        <v>0</v>
      </c>
      <c r="E748">
        <v>1</v>
      </c>
      <c r="F748">
        <v>268435455</v>
      </c>
      <c r="G748">
        <v>1</v>
      </c>
      <c r="H748">
        <v>0</v>
      </c>
      <c r="I748">
        <v>1</v>
      </c>
      <c r="J748">
        <v>0</v>
      </c>
    </row>
    <row r="749" spans="1:10" x14ac:dyDescent="0.25">
      <c r="A749">
        <v>7475000</v>
      </c>
      <c r="B749">
        <v>0</v>
      </c>
      <c r="C749">
        <v>0</v>
      </c>
      <c r="D749">
        <v>0</v>
      </c>
      <c r="E749">
        <v>1</v>
      </c>
      <c r="F749">
        <v>31</v>
      </c>
      <c r="G749">
        <v>1</v>
      </c>
      <c r="H749">
        <v>0</v>
      </c>
      <c r="I749">
        <v>1</v>
      </c>
      <c r="J749">
        <v>0</v>
      </c>
    </row>
    <row r="750" spans="1:10" x14ac:dyDescent="0.25">
      <c r="A750">
        <v>7485000</v>
      </c>
      <c r="B750">
        <v>0</v>
      </c>
      <c r="C750">
        <v>0</v>
      </c>
      <c r="D750">
        <v>0</v>
      </c>
      <c r="E750">
        <v>1</v>
      </c>
      <c r="F750">
        <v>59</v>
      </c>
      <c r="G750">
        <v>1</v>
      </c>
      <c r="H750">
        <v>0</v>
      </c>
      <c r="I750">
        <v>1</v>
      </c>
      <c r="J750">
        <v>0</v>
      </c>
    </row>
    <row r="751" spans="1:10" x14ac:dyDescent="0.25">
      <c r="A751">
        <v>7495000</v>
      </c>
      <c r="B751">
        <v>0</v>
      </c>
      <c r="C751">
        <v>0</v>
      </c>
      <c r="D751">
        <v>0</v>
      </c>
      <c r="E751">
        <v>1</v>
      </c>
      <c r="F751">
        <v>101</v>
      </c>
      <c r="G751">
        <v>1</v>
      </c>
      <c r="H751">
        <v>0</v>
      </c>
      <c r="I751">
        <v>1</v>
      </c>
      <c r="J751">
        <v>0</v>
      </c>
    </row>
    <row r="752" spans="1:10" x14ac:dyDescent="0.25">
      <c r="A752">
        <v>7505000</v>
      </c>
      <c r="B752">
        <v>0</v>
      </c>
      <c r="C752">
        <v>0</v>
      </c>
      <c r="D752">
        <v>0</v>
      </c>
      <c r="E752">
        <v>1</v>
      </c>
      <c r="F752">
        <v>6</v>
      </c>
      <c r="G752">
        <v>1</v>
      </c>
      <c r="H752">
        <v>0</v>
      </c>
      <c r="I752">
        <v>1</v>
      </c>
      <c r="J752">
        <v>0</v>
      </c>
    </row>
    <row r="753" spans="1:10" x14ac:dyDescent="0.25">
      <c r="A753">
        <v>7515000</v>
      </c>
      <c r="B753">
        <v>0</v>
      </c>
      <c r="C753">
        <v>0</v>
      </c>
      <c r="D753">
        <v>0</v>
      </c>
      <c r="E753">
        <v>1</v>
      </c>
      <c r="F753">
        <v>8</v>
      </c>
      <c r="G753">
        <v>1</v>
      </c>
      <c r="H753">
        <v>0</v>
      </c>
      <c r="I753">
        <v>1</v>
      </c>
      <c r="J753">
        <v>0</v>
      </c>
    </row>
    <row r="754" spans="1:10" x14ac:dyDescent="0.25">
      <c r="A754">
        <v>7525000</v>
      </c>
      <c r="B754">
        <v>0</v>
      </c>
      <c r="C754">
        <v>0</v>
      </c>
      <c r="D754">
        <v>0</v>
      </c>
      <c r="E754">
        <v>1</v>
      </c>
      <c r="F754">
        <v>43</v>
      </c>
      <c r="G754">
        <v>1</v>
      </c>
      <c r="H754">
        <v>0</v>
      </c>
      <c r="I754">
        <v>1</v>
      </c>
      <c r="J754">
        <v>0</v>
      </c>
    </row>
    <row r="755" spans="1:10" x14ac:dyDescent="0.25">
      <c r="A755">
        <v>7535000</v>
      </c>
      <c r="B755">
        <v>0</v>
      </c>
      <c r="C755">
        <v>0</v>
      </c>
      <c r="D755">
        <v>0</v>
      </c>
      <c r="E755">
        <v>1</v>
      </c>
      <c r="F755">
        <v>143</v>
      </c>
      <c r="G755">
        <v>1</v>
      </c>
      <c r="H755">
        <v>0</v>
      </c>
      <c r="I755">
        <v>1</v>
      </c>
      <c r="J755">
        <v>0</v>
      </c>
    </row>
    <row r="756" spans="1:10" x14ac:dyDescent="0.25">
      <c r="A756">
        <v>7545000</v>
      </c>
      <c r="B756">
        <v>0</v>
      </c>
      <c r="C756">
        <v>0</v>
      </c>
      <c r="D756">
        <v>0</v>
      </c>
      <c r="E756">
        <v>1</v>
      </c>
      <c r="F756">
        <v>1043</v>
      </c>
      <c r="G756">
        <v>1</v>
      </c>
      <c r="H756">
        <v>0</v>
      </c>
      <c r="I756">
        <v>1</v>
      </c>
      <c r="J756">
        <v>0</v>
      </c>
    </row>
    <row r="757" spans="1:10" x14ac:dyDescent="0.25">
      <c r="A757">
        <v>7555000</v>
      </c>
      <c r="B757">
        <v>0</v>
      </c>
      <c r="C757">
        <v>0</v>
      </c>
      <c r="D757">
        <v>0</v>
      </c>
      <c r="E757">
        <v>1</v>
      </c>
      <c r="F757">
        <v>10043</v>
      </c>
      <c r="G757">
        <v>1</v>
      </c>
      <c r="H757">
        <v>0</v>
      </c>
      <c r="I757">
        <v>1</v>
      </c>
      <c r="J757">
        <v>0</v>
      </c>
    </row>
    <row r="758" spans="1:10" x14ac:dyDescent="0.25">
      <c r="A758">
        <v>7565000</v>
      </c>
      <c r="B758">
        <v>0</v>
      </c>
      <c r="C758">
        <v>0</v>
      </c>
      <c r="D758">
        <v>0</v>
      </c>
      <c r="E758">
        <v>1</v>
      </c>
      <c r="F758">
        <v>1184</v>
      </c>
      <c r="G758">
        <v>1</v>
      </c>
      <c r="H758">
        <v>0</v>
      </c>
      <c r="I758">
        <v>1</v>
      </c>
      <c r="J758">
        <v>0</v>
      </c>
    </row>
    <row r="759" spans="1:10" x14ac:dyDescent="0.25">
      <c r="A759">
        <v>7575000</v>
      </c>
      <c r="B759">
        <v>0</v>
      </c>
      <c r="C759">
        <v>0</v>
      </c>
      <c r="D759">
        <v>0</v>
      </c>
      <c r="E759">
        <v>1</v>
      </c>
      <c r="F759">
        <v>458</v>
      </c>
      <c r="G759">
        <v>1</v>
      </c>
      <c r="H759">
        <v>0</v>
      </c>
      <c r="I759">
        <v>1</v>
      </c>
      <c r="J759">
        <v>0</v>
      </c>
    </row>
    <row r="760" spans="1:10" x14ac:dyDescent="0.25">
      <c r="A760">
        <v>7585000</v>
      </c>
      <c r="B760">
        <v>0</v>
      </c>
      <c r="C760">
        <v>0</v>
      </c>
      <c r="D760">
        <v>0</v>
      </c>
      <c r="E760">
        <v>1</v>
      </c>
      <c r="F760">
        <v>0</v>
      </c>
      <c r="G760">
        <v>1</v>
      </c>
      <c r="H760">
        <v>0</v>
      </c>
      <c r="I760">
        <v>1</v>
      </c>
      <c r="J760">
        <v>0</v>
      </c>
    </row>
    <row r="761" spans="1:10" x14ac:dyDescent="0.25">
      <c r="A761">
        <v>7595000</v>
      </c>
      <c r="B761">
        <v>0</v>
      </c>
      <c r="C761">
        <v>0</v>
      </c>
      <c r="D761">
        <v>0</v>
      </c>
      <c r="E761">
        <v>1</v>
      </c>
      <c r="F761">
        <v>268435454</v>
      </c>
      <c r="G761">
        <v>1</v>
      </c>
      <c r="H761">
        <v>1</v>
      </c>
      <c r="I761">
        <v>1</v>
      </c>
      <c r="J761">
        <v>0</v>
      </c>
    </row>
    <row r="762" spans="1:10" x14ac:dyDescent="0.25">
      <c r="A762">
        <v>7605000</v>
      </c>
      <c r="B762">
        <v>0</v>
      </c>
      <c r="C762">
        <v>0</v>
      </c>
      <c r="D762">
        <v>0</v>
      </c>
      <c r="E762">
        <v>1</v>
      </c>
      <c r="F762">
        <v>268435455</v>
      </c>
      <c r="G762">
        <v>1</v>
      </c>
      <c r="H762">
        <v>0</v>
      </c>
      <c r="I762">
        <v>1</v>
      </c>
      <c r="J762">
        <v>0</v>
      </c>
    </row>
    <row r="763" spans="1:10" x14ac:dyDescent="0.25">
      <c r="A763">
        <v>7615000</v>
      </c>
      <c r="B763">
        <v>0</v>
      </c>
      <c r="C763">
        <v>0</v>
      </c>
      <c r="D763">
        <v>0</v>
      </c>
      <c r="E763">
        <v>1</v>
      </c>
      <c r="F763">
        <v>32</v>
      </c>
      <c r="G763">
        <v>1</v>
      </c>
      <c r="H763">
        <v>0</v>
      </c>
      <c r="I763">
        <v>1</v>
      </c>
      <c r="J763">
        <v>0</v>
      </c>
    </row>
    <row r="764" spans="1:10" x14ac:dyDescent="0.25">
      <c r="A764">
        <v>7625000</v>
      </c>
      <c r="B764">
        <v>0</v>
      </c>
      <c r="C764">
        <v>0</v>
      </c>
      <c r="D764">
        <v>0</v>
      </c>
      <c r="E764">
        <v>1</v>
      </c>
      <c r="F764">
        <v>71</v>
      </c>
      <c r="G764">
        <v>1</v>
      </c>
      <c r="H764">
        <v>0</v>
      </c>
      <c r="I764">
        <v>1</v>
      </c>
      <c r="J764">
        <v>0</v>
      </c>
    </row>
    <row r="765" spans="1:10" x14ac:dyDescent="0.25">
      <c r="A765">
        <v>7635000</v>
      </c>
      <c r="B765">
        <v>0</v>
      </c>
      <c r="C765">
        <v>0</v>
      </c>
      <c r="D765">
        <v>0</v>
      </c>
      <c r="E765">
        <v>1</v>
      </c>
      <c r="F765">
        <v>102</v>
      </c>
      <c r="G765">
        <v>1</v>
      </c>
      <c r="H765">
        <v>0</v>
      </c>
      <c r="I765">
        <v>1</v>
      </c>
      <c r="J765">
        <v>0</v>
      </c>
    </row>
    <row r="766" spans="1:10" x14ac:dyDescent="0.25">
      <c r="A766">
        <v>7645000</v>
      </c>
      <c r="B766">
        <v>0</v>
      </c>
      <c r="C766">
        <v>0</v>
      </c>
      <c r="D766">
        <v>0</v>
      </c>
      <c r="E766">
        <v>1</v>
      </c>
      <c r="F766">
        <v>6</v>
      </c>
      <c r="G766">
        <v>1</v>
      </c>
      <c r="H766">
        <v>0</v>
      </c>
      <c r="I766">
        <v>1</v>
      </c>
      <c r="J766">
        <v>0</v>
      </c>
    </row>
    <row r="767" spans="1:10" x14ac:dyDescent="0.25">
      <c r="A767">
        <v>7655000</v>
      </c>
      <c r="B767">
        <v>0</v>
      </c>
      <c r="C767">
        <v>0</v>
      </c>
      <c r="D767">
        <v>0</v>
      </c>
      <c r="E767">
        <v>1</v>
      </c>
      <c r="F767">
        <v>8</v>
      </c>
      <c r="G767">
        <v>1</v>
      </c>
      <c r="H767">
        <v>0</v>
      </c>
      <c r="I767">
        <v>1</v>
      </c>
      <c r="J767">
        <v>0</v>
      </c>
    </row>
    <row r="768" spans="1:10" x14ac:dyDescent="0.25">
      <c r="A768">
        <v>7665000</v>
      </c>
      <c r="B768">
        <v>0</v>
      </c>
      <c r="C768">
        <v>0</v>
      </c>
      <c r="D768">
        <v>0</v>
      </c>
      <c r="E768">
        <v>1</v>
      </c>
      <c r="F768">
        <v>44</v>
      </c>
      <c r="G768">
        <v>1</v>
      </c>
      <c r="H768">
        <v>0</v>
      </c>
      <c r="I768">
        <v>1</v>
      </c>
      <c r="J768">
        <v>0</v>
      </c>
    </row>
    <row r="769" spans="1:10" x14ac:dyDescent="0.25">
      <c r="A769">
        <v>7675000</v>
      </c>
      <c r="B769">
        <v>0</v>
      </c>
      <c r="C769">
        <v>0</v>
      </c>
      <c r="D769">
        <v>0</v>
      </c>
      <c r="E769">
        <v>1</v>
      </c>
      <c r="F769">
        <v>144</v>
      </c>
      <c r="G769">
        <v>1</v>
      </c>
      <c r="H769">
        <v>0</v>
      </c>
      <c r="I769">
        <v>1</v>
      </c>
      <c r="J769">
        <v>0</v>
      </c>
    </row>
    <row r="770" spans="1:10" x14ac:dyDescent="0.25">
      <c r="A770">
        <v>7685000</v>
      </c>
      <c r="B770">
        <v>0</v>
      </c>
      <c r="C770">
        <v>0</v>
      </c>
      <c r="D770">
        <v>0</v>
      </c>
      <c r="E770">
        <v>1</v>
      </c>
      <c r="F770">
        <v>1044</v>
      </c>
      <c r="G770">
        <v>1</v>
      </c>
      <c r="H770">
        <v>0</v>
      </c>
      <c r="I770">
        <v>1</v>
      </c>
      <c r="J770">
        <v>0</v>
      </c>
    </row>
    <row r="771" spans="1:10" x14ac:dyDescent="0.25">
      <c r="A771">
        <v>7695000</v>
      </c>
      <c r="B771">
        <v>0</v>
      </c>
      <c r="C771">
        <v>0</v>
      </c>
      <c r="D771">
        <v>0</v>
      </c>
      <c r="E771">
        <v>1</v>
      </c>
      <c r="F771">
        <v>10044</v>
      </c>
      <c r="G771">
        <v>1</v>
      </c>
      <c r="H771">
        <v>0</v>
      </c>
      <c r="I771">
        <v>1</v>
      </c>
      <c r="J771">
        <v>0</v>
      </c>
    </row>
    <row r="772" spans="1:10" x14ac:dyDescent="0.25">
      <c r="A772">
        <v>7705000</v>
      </c>
      <c r="B772">
        <v>0</v>
      </c>
      <c r="C772">
        <v>0</v>
      </c>
      <c r="D772">
        <v>0</v>
      </c>
      <c r="E772">
        <v>1</v>
      </c>
      <c r="F772">
        <v>1186</v>
      </c>
      <c r="G772">
        <v>1</v>
      </c>
      <c r="H772">
        <v>0</v>
      </c>
      <c r="I772">
        <v>1</v>
      </c>
      <c r="J772">
        <v>0</v>
      </c>
    </row>
    <row r="773" spans="1:10" x14ac:dyDescent="0.25">
      <c r="A773">
        <v>7715000</v>
      </c>
      <c r="B773">
        <v>0</v>
      </c>
      <c r="C773">
        <v>0</v>
      </c>
      <c r="D773">
        <v>0</v>
      </c>
      <c r="E773">
        <v>1</v>
      </c>
      <c r="F773">
        <v>459</v>
      </c>
      <c r="G773">
        <v>1</v>
      </c>
      <c r="H773">
        <v>0</v>
      </c>
      <c r="I773">
        <v>1</v>
      </c>
      <c r="J773">
        <v>0</v>
      </c>
    </row>
    <row r="774" spans="1:10" x14ac:dyDescent="0.25">
      <c r="A774">
        <v>7725000</v>
      </c>
      <c r="B774">
        <v>0</v>
      </c>
      <c r="C774">
        <v>0</v>
      </c>
      <c r="D774">
        <v>0</v>
      </c>
      <c r="E774">
        <v>1</v>
      </c>
      <c r="F774">
        <v>0</v>
      </c>
      <c r="G774">
        <v>1</v>
      </c>
      <c r="H774">
        <v>0</v>
      </c>
      <c r="I774">
        <v>1</v>
      </c>
      <c r="J774">
        <v>0</v>
      </c>
    </row>
    <row r="775" spans="1:10" x14ac:dyDescent="0.25">
      <c r="A775">
        <v>7735000</v>
      </c>
      <c r="B775">
        <v>0</v>
      </c>
      <c r="C775">
        <v>0</v>
      </c>
      <c r="D775">
        <v>0</v>
      </c>
      <c r="E775">
        <v>1</v>
      </c>
      <c r="F775">
        <v>268435454</v>
      </c>
      <c r="G775">
        <v>1</v>
      </c>
      <c r="H775">
        <v>1</v>
      </c>
      <c r="I775">
        <v>1</v>
      </c>
      <c r="J775">
        <v>0</v>
      </c>
    </row>
    <row r="776" spans="1:10" x14ac:dyDescent="0.25">
      <c r="A776">
        <v>7745000</v>
      </c>
      <c r="B776">
        <v>0</v>
      </c>
      <c r="C776">
        <v>0</v>
      </c>
      <c r="D776">
        <v>0</v>
      </c>
      <c r="E776">
        <v>1</v>
      </c>
      <c r="F776">
        <v>268435455</v>
      </c>
      <c r="G776">
        <v>1</v>
      </c>
      <c r="H776">
        <v>0</v>
      </c>
      <c r="I776">
        <v>1</v>
      </c>
      <c r="J776">
        <v>0</v>
      </c>
    </row>
    <row r="777" spans="1:10" x14ac:dyDescent="0.25">
      <c r="A777">
        <v>7755000</v>
      </c>
      <c r="B777">
        <v>0</v>
      </c>
      <c r="C777">
        <v>0</v>
      </c>
      <c r="D777">
        <v>0</v>
      </c>
      <c r="E777">
        <v>1</v>
      </c>
      <c r="F777">
        <v>33</v>
      </c>
      <c r="G777">
        <v>1</v>
      </c>
      <c r="H777">
        <v>0</v>
      </c>
      <c r="I777">
        <v>1</v>
      </c>
      <c r="J777">
        <v>0</v>
      </c>
    </row>
    <row r="778" spans="1:10" x14ac:dyDescent="0.25">
      <c r="A778">
        <v>7765000</v>
      </c>
      <c r="B778">
        <v>0</v>
      </c>
      <c r="C778">
        <v>0</v>
      </c>
      <c r="D778">
        <v>0</v>
      </c>
      <c r="E778">
        <v>1</v>
      </c>
      <c r="F778">
        <v>83</v>
      </c>
      <c r="G778">
        <v>1</v>
      </c>
      <c r="H778">
        <v>0</v>
      </c>
      <c r="I778">
        <v>1</v>
      </c>
      <c r="J778">
        <v>0</v>
      </c>
    </row>
    <row r="779" spans="1:10" x14ac:dyDescent="0.25">
      <c r="A779">
        <v>7775000</v>
      </c>
      <c r="B779">
        <v>0</v>
      </c>
      <c r="C779">
        <v>0</v>
      </c>
      <c r="D779">
        <v>0</v>
      </c>
      <c r="E779">
        <v>1</v>
      </c>
      <c r="F779">
        <v>103</v>
      </c>
      <c r="G779">
        <v>1</v>
      </c>
      <c r="H779">
        <v>0</v>
      </c>
      <c r="I779">
        <v>1</v>
      </c>
      <c r="J779">
        <v>0</v>
      </c>
    </row>
    <row r="780" spans="1:10" x14ac:dyDescent="0.25">
      <c r="A780">
        <v>7785000</v>
      </c>
      <c r="B780">
        <v>0</v>
      </c>
      <c r="C780">
        <v>0</v>
      </c>
      <c r="D780">
        <v>0</v>
      </c>
      <c r="E780">
        <v>1</v>
      </c>
      <c r="F780">
        <v>6</v>
      </c>
      <c r="G780">
        <v>1</v>
      </c>
      <c r="H780">
        <v>0</v>
      </c>
      <c r="I780">
        <v>1</v>
      </c>
      <c r="J780">
        <v>0</v>
      </c>
    </row>
    <row r="781" spans="1:10" x14ac:dyDescent="0.25">
      <c r="A781">
        <v>7795000</v>
      </c>
      <c r="B781">
        <v>0</v>
      </c>
      <c r="C781">
        <v>0</v>
      </c>
      <c r="D781">
        <v>0</v>
      </c>
      <c r="E781">
        <v>1</v>
      </c>
      <c r="F781">
        <v>8</v>
      </c>
      <c r="G781">
        <v>1</v>
      </c>
      <c r="H781">
        <v>0</v>
      </c>
      <c r="I781">
        <v>1</v>
      </c>
      <c r="J781">
        <v>0</v>
      </c>
    </row>
    <row r="782" spans="1:10" x14ac:dyDescent="0.25">
      <c r="A782">
        <v>7805000</v>
      </c>
      <c r="B782">
        <v>0</v>
      </c>
      <c r="C782">
        <v>0</v>
      </c>
      <c r="D782">
        <v>0</v>
      </c>
      <c r="E782">
        <v>1</v>
      </c>
      <c r="F782">
        <v>45</v>
      </c>
      <c r="G782">
        <v>1</v>
      </c>
      <c r="H782">
        <v>0</v>
      </c>
      <c r="I782">
        <v>1</v>
      </c>
      <c r="J782">
        <v>0</v>
      </c>
    </row>
    <row r="783" spans="1:10" x14ac:dyDescent="0.25">
      <c r="A783">
        <v>7815000</v>
      </c>
      <c r="B783">
        <v>0</v>
      </c>
      <c r="C783">
        <v>0</v>
      </c>
      <c r="D783">
        <v>0</v>
      </c>
      <c r="E783">
        <v>1</v>
      </c>
      <c r="F783">
        <v>145</v>
      </c>
      <c r="G783">
        <v>1</v>
      </c>
      <c r="H783">
        <v>0</v>
      </c>
      <c r="I783">
        <v>1</v>
      </c>
      <c r="J783">
        <v>0</v>
      </c>
    </row>
    <row r="784" spans="1:10" x14ac:dyDescent="0.25">
      <c r="A784">
        <v>7825000</v>
      </c>
      <c r="B784">
        <v>0</v>
      </c>
      <c r="C784">
        <v>0</v>
      </c>
      <c r="D784">
        <v>0</v>
      </c>
      <c r="E784">
        <v>1</v>
      </c>
      <c r="F784">
        <v>1045</v>
      </c>
      <c r="G784">
        <v>1</v>
      </c>
      <c r="H784">
        <v>0</v>
      </c>
      <c r="I784">
        <v>1</v>
      </c>
      <c r="J784">
        <v>0</v>
      </c>
    </row>
    <row r="785" spans="1:10" x14ac:dyDescent="0.25">
      <c r="A785">
        <v>7835000</v>
      </c>
      <c r="B785">
        <v>0</v>
      </c>
      <c r="C785">
        <v>0</v>
      </c>
      <c r="D785">
        <v>0</v>
      </c>
      <c r="E785">
        <v>1</v>
      </c>
      <c r="F785">
        <v>10045</v>
      </c>
      <c r="G785">
        <v>1</v>
      </c>
      <c r="H785">
        <v>0</v>
      </c>
      <c r="I785">
        <v>1</v>
      </c>
      <c r="J785">
        <v>0</v>
      </c>
    </row>
    <row r="786" spans="1:10" x14ac:dyDescent="0.25">
      <c r="A786">
        <v>7845000</v>
      </c>
      <c r="B786">
        <v>0</v>
      </c>
      <c r="C786">
        <v>0</v>
      </c>
      <c r="D786">
        <v>0</v>
      </c>
      <c r="E786">
        <v>1</v>
      </c>
      <c r="F786">
        <v>1188</v>
      </c>
      <c r="G786">
        <v>1</v>
      </c>
      <c r="H786">
        <v>0</v>
      </c>
      <c r="I786">
        <v>1</v>
      </c>
      <c r="J786">
        <v>0</v>
      </c>
    </row>
    <row r="787" spans="1:10" x14ac:dyDescent="0.25">
      <c r="A787">
        <v>7855000</v>
      </c>
      <c r="B787">
        <v>0</v>
      </c>
      <c r="C787">
        <v>0</v>
      </c>
      <c r="D787">
        <v>0</v>
      </c>
      <c r="E787">
        <v>1</v>
      </c>
      <c r="F787">
        <v>460</v>
      </c>
      <c r="G787">
        <v>1</v>
      </c>
      <c r="H787">
        <v>0</v>
      </c>
      <c r="I787">
        <v>1</v>
      </c>
      <c r="J787">
        <v>0</v>
      </c>
    </row>
    <row r="788" spans="1:10" x14ac:dyDescent="0.25">
      <c r="A788">
        <v>7865000</v>
      </c>
      <c r="B788">
        <v>0</v>
      </c>
      <c r="C788">
        <v>0</v>
      </c>
      <c r="D788">
        <v>0</v>
      </c>
      <c r="E788">
        <v>1</v>
      </c>
      <c r="F788">
        <v>0</v>
      </c>
      <c r="G788">
        <v>1</v>
      </c>
      <c r="H788">
        <v>0</v>
      </c>
      <c r="I788">
        <v>1</v>
      </c>
      <c r="J788">
        <v>0</v>
      </c>
    </row>
    <row r="789" spans="1:10" x14ac:dyDescent="0.25">
      <c r="A789">
        <v>7875000</v>
      </c>
      <c r="B789">
        <v>0</v>
      </c>
      <c r="C789">
        <v>0</v>
      </c>
      <c r="D789">
        <v>0</v>
      </c>
      <c r="E789">
        <v>1</v>
      </c>
      <c r="F789">
        <v>268435454</v>
      </c>
      <c r="G789">
        <v>1</v>
      </c>
      <c r="H789">
        <v>1</v>
      </c>
      <c r="I789">
        <v>1</v>
      </c>
      <c r="J789">
        <v>0</v>
      </c>
    </row>
    <row r="790" spans="1:10" x14ac:dyDescent="0.25">
      <c r="A790">
        <v>7885000</v>
      </c>
      <c r="B790">
        <v>0</v>
      </c>
      <c r="C790">
        <v>0</v>
      </c>
      <c r="D790">
        <v>0</v>
      </c>
      <c r="E790">
        <v>1</v>
      </c>
      <c r="F790">
        <v>0</v>
      </c>
      <c r="G790">
        <v>0</v>
      </c>
      <c r="H790">
        <v>0</v>
      </c>
      <c r="I790">
        <v>1</v>
      </c>
      <c r="J790">
        <v>0</v>
      </c>
    </row>
    <row r="791" spans="1:10" x14ac:dyDescent="0.25">
      <c r="A791">
        <v>7895000</v>
      </c>
      <c r="B791">
        <v>0</v>
      </c>
      <c r="C791">
        <v>0</v>
      </c>
      <c r="D791">
        <v>0</v>
      </c>
      <c r="E791">
        <v>1</v>
      </c>
      <c r="F791">
        <v>0</v>
      </c>
      <c r="G791">
        <v>0</v>
      </c>
      <c r="H791">
        <v>0</v>
      </c>
      <c r="I791">
        <v>1</v>
      </c>
      <c r="J791">
        <v>0</v>
      </c>
    </row>
    <row r="792" spans="1:10" x14ac:dyDescent="0.25">
      <c r="A792">
        <v>7905000</v>
      </c>
      <c r="B792">
        <v>0</v>
      </c>
      <c r="C792">
        <v>0</v>
      </c>
      <c r="D792">
        <v>0</v>
      </c>
      <c r="E792">
        <v>1</v>
      </c>
      <c r="F792">
        <v>0</v>
      </c>
      <c r="G792">
        <v>0</v>
      </c>
      <c r="H792">
        <v>0</v>
      </c>
      <c r="I792">
        <v>1</v>
      </c>
      <c r="J792">
        <v>0</v>
      </c>
    </row>
    <row r="793" spans="1:10" x14ac:dyDescent="0.25">
      <c r="A793">
        <v>7915000</v>
      </c>
      <c r="B793">
        <v>0</v>
      </c>
      <c r="C793">
        <v>0</v>
      </c>
      <c r="D793">
        <v>0</v>
      </c>
      <c r="E793">
        <v>1</v>
      </c>
      <c r="F793">
        <v>0</v>
      </c>
      <c r="G793">
        <v>0</v>
      </c>
      <c r="H793">
        <v>0</v>
      </c>
      <c r="I793">
        <v>1</v>
      </c>
      <c r="J793">
        <v>0</v>
      </c>
    </row>
    <row r="794" spans="1:10" x14ac:dyDescent="0.25">
      <c r="A794">
        <v>7925000</v>
      </c>
      <c r="B794">
        <v>0</v>
      </c>
      <c r="C794">
        <v>0</v>
      </c>
      <c r="D794">
        <v>0</v>
      </c>
      <c r="E794">
        <v>1</v>
      </c>
      <c r="F794">
        <v>0</v>
      </c>
      <c r="G794">
        <v>0</v>
      </c>
      <c r="H794">
        <v>0</v>
      </c>
      <c r="I794">
        <v>1</v>
      </c>
      <c r="J794">
        <v>0</v>
      </c>
    </row>
    <row r="795" spans="1:10" x14ac:dyDescent="0.25">
      <c r="A795">
        <v>7935000</v>
      </c>
      <c r="B795">
        <v>0</v>
      </c>
      <c r="C795">
        <v>0</v>
      </c>
      <c r="D795">
        <v>0</v>
      </c>
      <c r="E795">
        <v>1</v>
      </c>
      <c r="F795">
        <v>0</v>
      </c>
      <c r="G795">
        <v>0</v>
      </c>
      <c r="H795">
        <v>0</v>
      </c>
      <c r="I795">
        <v>1</v>
      </c>
      <c r="J795">
        <v>0</v>
      </c>
    </row>
    <row r="796" spans="1:10" x14ac:dyDescent="0.25">
      <c r="A796">
        <v>7945000</v>
      </c>
      <c r="B796">
        <v>0</v>
      </c>
      <c r="C796">
        <v>0</v>
      </c>
      <c r="D796">
        <v>0</v>
      </c>
      <c r="E796">
        <v>1</v>
      </c>
      <c r="F796">
        <v>0</v>
      </c>
      <c r="G796">
        <v>0</v>
      </c>
      <c r="H796">
        <v>0</v>
      </c>
      <c r="I796">
        <v>1</v>
      </c>
      <c r="J796">
        <v>0</v>
      </c>
    </row>
    <row r="797" spans="1:10" x14ac:dyDescent="0.25">
      <c r="A797">
        <v>7955000</v>
      </c>
      <c r="B797">
        <v>0</v>
      </c>
      <c r="C797">
        <v>0</v>
      </c>
      <c r="D797">
        <v>0</v>
      </c>
      <c r="E797">
        <v>1</v>
      </c>
      <c r="F797">
        <v>0</v>
      </c>
      <c r="G797">
        <v>0</v>
      </c>
      <c r="H797">
        <v>0</v>
      </c>
      <c r="I797">
        <v>1</v>
      </c>
      <c r="J797">
        <v>0</v>
      </c>
    </row>
    <row r="798" spans="1:10" x14ac:dyDescent="0.25">
      <c r="A798">
        <v>7965000</v>
      </c>
      <c r="B798">
        <v>0</v>
      </c>
      <c r="C798">
        <v>0</v>
      </c>
      <c r="D798">
        <v>0</v>
      </c>
      <c r="E798">
        <v>1</v>
      </c>
      <c r="F798">
        <v>0</v>
      </c>
      <c r="G798">
        <v>0</v>
      </c>
      <c r="H798">
        <v>0</v>
      </c>
      <c r="I798">
        <v>1</v>
      </c>
      <c r="J798">
        <v>0</v>
      </c>
    </row>
    <row r="799" spans="1:10" x14ac:dyDescent="0.25">
      <c r="A799">
        <v>7975000</v>
      </c>
      <c r="B799">
        <v>0</v>
      </c>
      <c r="C799">
        <v>0</v>
      </c>
      <c r="D799">
        <v>0</v>
      </c>
      <c r="E799">
        <v>1</v>
      </c>
      <c r="F799">
        <v>0</v>
      </c>
      <c r="G799">
        <v>0</v>
      </c>
      <c r="H799">
        <v>0</v>
      </c>
      <c r="I799">
        <v>1</v>
      </c>
      <c r="J799">
        <v>0</v>
      </c>
    </row>
    <row r="800" spans="1:10" x14ac:dyDescent="0.25">
      <c r="A800">
        <v>7985000</v>
      </c>
      <c r="B800">
        <v>0</v>
      </c>
      <c r="C800">
        <v>0</v>
      </c>
      <c r="D800">
        <v>0</v>
      </c>
      <c r="E800">
        <v>1</v>
      </c>
      <c r="F800">
        <v>0</v>
      </c>
      <c r="G800">
        <v>0</v>
      </c>
      <c r="H800">
        <v>0</v>
      </c>
      <c r="I800">
        <v>1</v>
      </c>
      <c r="J800">
        <v>0</v>
      </c>
    </row>
    <row r="801" spans="1:10" x14ac:dyDescent="0.25">
      <c r="A801">
        <v>7995000</v>
      </c>
      <c r="B801">
        <v>0</v>
      </c>
      <c r="C801">
        <v>0</v>
      </c>
      <c r="D801">
        <v>0</v>
      </c>
      <c r="E801">
        <v>1</v>
      </c>
      <c r="F801">
        <v>0</v>
      </c>
      <c r="G801">
        <v>0</v>
      </c>
      <c r="H801">
        <v>0</v>
      </c>
      <c r="I801">
        <v>1</v>
      </c>
      <c r="J801">
        <v>0</v>
      </c>
    </row>
    <row r="802" spans="1:10" x14ac:dyDescent="0.25">
      <c r="A802">
        <v>8005000</v>
      </c>
      <c r="B802">
        <v>0</v>
      </c>
      <c r="C802">
        <v>0</v>
      </c>
      <c r="D802">
        <v>0</v>
      </c>
      <c r="E802">
        <v>1</v>
      </c>
      <c r="F802">
        <v>0</v>
      </c>
      <c r="G802">
        <v>0</v>
      </c>
      <c r="H802">
        <v>0</v>
      </c>
      <c r="I802">
        <v>1</v>
      </c>
      <c r="J802">
        <v>0</v>
      </c>
    </row>
    <row r="803" spans="1:10" x14ac:dyDescent="0.25">
      <c r="A803">
        <v>8015000</v>
      </c>
      <c r="B803">
        <v>0</v>
      </c>
      <c r="C803">
        <v>0</v>
      </c>
      <c r="D803">
        <v>0</v>
      </c>
      <c r="E803">
        <v>1</v>
      </c>
      <c r="F803">
        <v>0</v>
      </c>
      <c r="G803">
        <v>0</v>
      </c>
      <c r="H803">
        <v>0</v>
      </c>
      <c r="I803">
        <v>1</v>
      </c>
      <c r="J803">
        <v>0</v>
      </c>
    </row>
    <row r="804" spans="1:10" x14ac:dyDescent="0.25">
      <c r="A804">
        <v>8025000</v>
      </c>
      <c r="B804">
        <v>0</v>
      </c>
      <c r="C804">
        <v>0</v>
      </c>
      <c r="D804">
        <v>0</v>
      </c>
      <c r="E804">
        <v>1</v>
      </c>
      <c r="F804">
        <v>0</v>
      </c>
      <c r="G804">
        <v>0</v>
      </c>
      <c r="H804">
        <v>0</v>
      </c>
      <c r="I804">
        <v>1</v>
      </c>
      <c r="J804">
        <v>0</v>
      </c>
    </row>
    <row r="805" spans="1:10" x14ac:dyDescent="0.25">
      <c r="A805">
        <v>8035000</v>
      </c>
      <c r="B805">
        <v>0</v>
      </c>
      <c r="C805">
        <v>0</v>
      </c>
      <c r="D805">
        <v>0</v>
      </c>
      <c r="E805">
        <v>1</v>
      </c>
      <c r="F805">
        <v>0</v>
      </c>
      <c r="G805">
        <v>0</v>
      </c>
      <c r="H805">
        <v>0</v>
      </c>
      <c r="I805">
        <v>1</v>
      </c>
      <c r="J805">
        <v>0</v>
      </c>
    </row>
    <row r="806" spans="1:10" x14ac:dyDescent="0.25">
      <c r="A806">
        <v>8045000</v>
      </c>
      <c r="B806">
        <v>0</v>
      </c>
      <c r="C806">
        <v>0</v>
      </c>
      <c r="D806">
        <v>0</v>
      </c>
      <c r="E806">
        <v>1</v>
      </c>
      <c r="F806">
        <v>0</v>
      </c>
      <c r="G806">
        <v>0</v>
      </c>
      <c r="H806">
        <v>0</v>
      </c>
      <c r="I806">
        <v>1</v>
      </c>
      <c r="J806">
        <v>0</v>
      </c>
    </row>
    <row r="807" spans="1:10" x14ac:dyDescent="0.25">
      <c r="A807">
        <v>8055000</v>
      </c>
      <c r="B807">
        <v>0</v>
      </c>
      <c r="C807">
        <v>0</v>
      </c>
      <c r="D807">
        <v>0</v>
      </c>
      <c r="E807">
        <v>1</v>
      </c>
      <c r="F807">
        <v>0</v>
      </c>
      <c r="G807">
        <v>0</v>
      </c>
      <c r="H807">
        <v>0</v>
      </c>
      <c r="I807">
        <v>1</v>
      </c>
      <c r="J807">
        <v>0</v>
      </c>
    </row>
    <row r="808" spans="1:10" x14ac:dyDescent="0.25">
      <c r="A808">
        <v>8065000</v>
      </c>
      <c r="B808">
        <v>0</v>
      </c>
      <c r="C808">
        <v>0</v>
      </c>
      <c r="D808">
        <v>0</v>
      </c>
      <c r="E808">
        <v>1</v>
      </c>
      <c r="F808">
        <v>0</v>
      </c>
      <c r="G808">
        <v>0</v>
      </c>
      <c r="H808">
        <v>0</v>
      </c>
      <c r="I808">
        <v>1</v>
      </c>
      <c r="J808">
        <v>0</v>
      </c>
    </row>
    <row r="809" spans="1:10" x14ac:dyDescent="0.25">
      <c r="A809">
        <v>8075000</v>
      </c>
      <c r="B809">
        <v>0</v>
      </c>
      <c r="C809">
        <v>0</v>
      </c>
      <c r="D809">
        <v>0</v>
      </c>
      <c r="E809">
        <v>1</v>
      </c>
      <c r="F809">
        <v>0</v>
      </c>
      <c r="G809">
        <v>0</v>
      </c>
      <c r="H809">
        <v>0</v>
      </c>
      <c r="I809">
        <v>1</v>
      </c>
      <c r="J809">
        <v>0</v>
      </c>
    </row>
    <row r="810" spans="1:10" x14ac:dyDescent="0.25">
      <c r="A810">
        <v>8085000</v>
      </c>
      <c r="B810">
        <v>0</v>
      </c>
      <c r="C810">
        <v>0</v>
      </c>
      <c r="D810">
        <v>0</v>
      </c>
      <c r="E810">
        <v>1</v>
      </c>
      <c r="F810">
        <v>0</v>
      </c>
      <c r="G810">
        <v>0</v>
      </c>
      <c r="H810">
        <v>0</v>
      </c>
      <c r="I810">
        <v>1</v>
      </c>
      <c r="J810">
        <v>0</v>
      </c>
    </row>
    <row r="811" spans="1:10" x14ac:dyDescent="0.25">
      <c r="A811">
        <v>8095000</v>
      </c>
      <c r="B811">
        <v>0</v>
      </c>
      <c r="C811">
        <v>0</v>
      </c>
      <c r="D811">
        <v>0</v>
      </c>
      <c r="E811">
        <v>1</v>
      </c>
      <c r="F811">
        <v>0</v>
      </c>
      <c r="G811">
        <v>0</v>
      </c>
      <c r="H811">
        <v>0</v>
      </c>
      <c r="I811">
        <v>1</v>
      </c>
      <c r="J811">
        <v>0</v>
      </c>
    </row>
    <row r="812" spans="1:10" x14ac:dyDescent="0.25">
      <c r="A812">
        <v>8105000</v>
      </c>
      <c r="B812">
        <v>0</v>
      </c>
      <c r="C812">
        <v>0</v>
      </c>
      <c r="D812">
        <v>0</v>
      </c>
      <c r="E812">
        <v>1</v>
      </c>
      <c r="F812">
        <v>0</v>
      </c>
      <c r="G812">
        <v>0</v>
      </c>
      <c r="H812">
        <v>0</v>
      </c>
      <c r="I812">
        <v>1</v>
      </c>
      <c r="J812">
        <v>0</v>
      </c>
    </row>
    <row r="813" spans="1:10" x14ac:dyDescent="0.25">
      <c r="A813">
        <v>8115000</v>
      </c>
      <c r="B813">
        <v>0</v>
      </c>
      <c r="C813">
        <v>0</v>
      </c>
      <c r="D813">
        <v>0</v>
      </c>
      <c r="E813">
        <v>1</v>
      </c>
      <c r="F813">
        <v>0</v>
      </c>
      <c r="G813">
        <v>0</v>
      </c>
      <c r="H813">
        <v>0</v>
      </c>
      <c r="I813">
        <v>1</v>
      </c>
      <c r="J813">
        <v>0</v>
      </c>
    </row>
    <row r="814" spans="1:10" x14ac:dyDescent="0.25">
      <c r="A814">
        <v>8125000</v>
      </c>
      <c r="B814">
        <v>0</v>
      </c>
      <c r="C814">
        <v>0</v>
      </c>
      <c r="D814">
        <v>0</v>
      </c>
      <c r="E814">
        <v>1</v>
      </c>
      <c r="F814">
        <v>0</v>
      </c>
      <c r="G814">
        <v>0</v>
      </c>
      <c r="H814">
        <v>0</v>
      </c>
      <c r="I814">
        <v>1</v>
      </c>
      <c r="J814">
        <v>0</v>
      </c>
    </row>
    <row r="815" spans="1:10" x14ac:dyDescent="0.25">
      <c r="A815">
        <v>8135000</v>
      </c>
      <c r="B815">
        <v>0</v>
      </c>
      <c r="C815">
        <v>0</v>
      </c>
      <c r="D815">
        <v>0</v>
      </c>
      <c r="E815">
        <v>1</v>
      </c>
      <c r="F815">
        <v>0</v>
      </c>
      <c r="G815">
        <v>0</v>
      </c>
      <c r="H815">
        <v>0</v>
      </c>
      <c r="I815">
        <v>1</v>
      </c>
      <c r="J815">
        <v>0</v>
      </c>
    </row>
    <row r="816" spans="1:10" x14ac:dyDescent="0.25">
      <c r="A816">
        <v>8145000</v>
      </c>
      <c r="B816">
        <v>0</v>
      </c>
      <c r="C816">
        <v>0</v>
      </c>
      <c r="D816">
        <v>0</v>
      </c>
      <c r="E816">
        <v>1</v>
      </c>
      <c r="F816">
        <v>0</v>
      </c>
      <c r="G816">
        <v>0</v>
      </c>
      <c r="H816">
        <v>0</v>
      </c>
      <c r="I816">
        <v>1</v>
      </c>
      <c r="J816">
        <v>0</v>
      </c>
    </row>
    <row r="817" spans="1:10" x14ac:dyDescent="0.25">
      <c r="A817">
        <v>8155000</v>
      </c>
      <c r="B817">
        <v>0</v>
      </c>
      <c r="C817">
        <v>0</v>
      </c>
      <c r="D817">
        <v>0</v>
      </c>
      <c r="E817">
        <v>1</v>
      </c>
      <c r="F817">
        <v>0</v>
      </c>
      <c r="G817">
        <v>0</v>
      </c>
      <c r="H817">
        <v>0</v>
      </c>
      <c r="I817">
        <v>1</v>
      </c>
      <c r="J817">
        <v>0</v>
      </c>
    </row>
    <row r="818" spans="1:10" x14ac:dyDescent="0.25">
      <c r="A818">
        <v>8165000</v>
      </c>
      <c r="B818">
        <v>0</v>
      </c>
      <c r="C818">
        <v>0</v>
      </c>
      <c r="D818">
        <v>0</v>
      </c>
      <c r="E818">
        <v>1</v>
      </c>
      <c r="F818">
        <v>0</v>
      </c>
      <c r="G818">
        <v>0</v>
      </c>
      <c r="H818">
        <v>0</v>
      </c>
      <c r="I818">
        <v>1</v>
      </c>
      <c r="J818">
        <v>0</v>
      </c>
    </row>
    <row r="819" spans="1:10" x14ac:dyDescent="0.25">
      <c r="A819">
        <v>8175000</v>
      </c>
      <c r="B819">
        <v>0</v>
      </c>
      <c r="C819">
        <v>0</v>
      </c>
      <c r="D819">
        <v>0</v>
      </c>
      <c r="E819">
        <v>1</v>
      </c>
      <c r="F819">
        <v>0</v>
      </c>
      <c r="G819">
        <v>0</v>
      </c>
      <c r="H819">
        <v>0</v>
      </c>
      <c r="I819">
        <v>1</v>
      </c>
      <c r="J819">
        <v>0</v>
      </c>
    </row>
    <row r="820" spans="1:10" x14ac:dyDescent="0.25">
      <c r="A820">
        <v>8185000</v>
      </c>
      <c r="B820">
        <v>0</v>
      </c>
      <c r="C820">
        <v>0</v>
      </c>
      <c r="D820">
        <v>0</v>
      </c>
      <c r="E820">
        <v>1</v>
      </c>
      <c r="F820">
        <v>0</v>
      </c>
      <c r="G820">
        <v>0</v>
      </c>
      <c r="H820">
        <v>0</v>
      </c>
      <c r="I820">
        <v>1</v>
      </c>
      <c r="J820">
        <v>0</v>
      </c>
    </row>
    <row r="821" spans="1:10" x14ac:dyDescent="0.25">
      <c r="A821">
        <v>8195000</v>
      </c>
      <c r="B821">
        <v>0</v>
      </c>
      <c r="C821">
        <v>0</v>
      </c>
      <c r="D821">
        <v>0</v>
      </c>
      <c r="E821">
        <v>1</v>
      </c>
      <c r="F821">
        <v>0</v>
      </c>
      <c r="G821">
        <v>0</v>
      </c>
      <c r="H821">
        <v>0</v>
      </c>
      <c r="I821">
        <v>1</v>
      </c>
      <c r="J821">
        <v>0</v>
      </c>
    </row>
    <row r="822" spans="1:10" x14ac:dyDescent="0.25">
      <c r="A822">
        <v>8205000</v>
      </c>
      <c r="B822">
        <v>0</v>
      </c>
      <c r="C822">
        <v>0</v>
      </c>
      <c r="D822">
        <v>0</v>
      </c>
      <c r="E822">
        <v>1</v>
      </c>
      <c r="F822">
        <v>0</v>
      </c>
      <c r="G822">
        <v>0</v>
      </c>
      <c r="H822">
        <v>0</v>
      </c>
      <c r="I822">
        <v>1</v>
      </c>
      <c r="J822">
        <v>0</v>
      </c>
    </row>
    <row r="823" spans="1:10" x14ac:dyDescent="0.25">
      <c r="A823">
        <v>8215000</v>
      </c>
      <c r="B823">
        <v>0</v>
      </c>
      <c r="C823">
        <v>0</v>
      </c>
      <c r="D823">
        <v>0</v>
      </c>
      <c r="E823">
        <v>1</v>
      </c>
      <c r="F823">
        <v>0</v>
      </c>
      <c r="G823">
        <v>0</v>
      </c>
      <c r="H823">
        <v>0</v>
      </c>
      <c r="I823">
        <v>1</v>
      </c>
      <c r="J823">
        <v>0</v>
      </c>
    </row>
    <row r="824" spans="1:10" x14ac:dyDescent="0.25">
      <c r="A824">
        <v>8225000</v>
      </c>
      <c r="B824">
        <v>0</v>
      </c>
      <c r="C824">
        <v>0</v>
      </c>
      <c r="D824">
        <v>0</v>
      </c>
      <c r="E824">
        <v>1</v>
      </c>
      <c r="F824">
        <v>0</v>
      </c>
      <c r="G824">
        <v>0</v>
      </c>
      <c r="H824">
        <v>0</v>
      </c>
      <c r="I824">
        <v>1</v>
      </c>
      <c r="J824">
        <v>0</v>
      </c>
    </row>
    <row r="825" spans="1:10" x14ac:dyDescent="0.25">
      <c r="A825">
        <v>8235000</v>
      </c>
      <c r="B825">
        <v>0</v>
      </c>
      <c r="C825">
        <v>0</v>
      </c>
      <c r="D825">
        <v>0</v>
      </c>
      <c r="E825">
        <v>1</v>
      </c>
      <c r="F825">
        <v>0</v>
      </c>
      <c r="G825">
        <v>0</v>
      </c>
      <c r="H825">
        <v>0</v>
      </c>
      <c r="I825">
        <v>1</v>
      </c>
      <c r="J825">
        <v>0</v>
      </c>
    </row>
    <row r="826" spans="1:10" x14ac:dyDescent="0.25">
      <c r="A826">
        <v>8245000</v>
      </c>
      <c r="B826">
        <v>0</v>
      </c>
      <c r="C826">
        <v>0</v>
      </c>
      <c r="D826">
        <v>0</v>
      </c>
      <c r="E826">
        <v>1</v>
      </c>
      <c r="F826">
        <v>0</v>
      </c>
      <c r="G826">
        <v>0</v>
      </c>
      <c r="H826">
        <v>0</v>
      </c>
      <c r="I826">
        <v>1</v>
      </c>
      <c r="J826">
        <v>0</v>
      </c>
    </row>
    <row r="827" spans="1:10" x14ac:dyDescent="0.25">
      <c r="A827">
        <v>8255000</v>
      </c>
      <c r="B827">
        <v>0</v>
      </c>
      <c r="C827">
        <v>0</v>
      </c>
      <c r="D827">
        <v>0</v>
      </c>
      <c r="E827">
        <v>1</v>
      </c>
      <c r="F827">
        <v>0</v>
      </c>
      <c r="G827">
        <v>0</v>
      </c>
      <c r="H827">
        <v>0</v>
      </c>
      <c r="I827">
        <v>1</v>
      </c>
      <c r="J827">
        <v>0</v>
      </c>
    </row>
    <row r="828" spans="1:10" x14ac:dyDescent="0.25">
      <c r="A828">
        <v>8265000</v>
      </c>
      <c r="B828">
        <v>0</v>
      </c>
      <c r="C828">
        <v>0</v>
      </c>
      <c r="D828">
        <v>0</v>
      </c>
      <c r="E828">
        <v>1</v>
      </c>
      <c r="F828">
        <v>0</v>
      </c>
      <c r="G828">
        <v>0</v>
      </c>
      <c r="H828">
        <v>0</v>
      </c>
      <c r="I828">
        <v>1</v>
      </c>
      <c r="J828">
        <v>0</v>
      </c>
    </row>
    <row r="829" spans="1:10" x14ac:dyDescent="0.25">
      <c r="A829">
        <v>8275000</v>
      </c>
      <c r="B829">
        <v>0</v>
      </c>
      <c r="C829">
        <v>0</v>
      </c>
      <c r="D829">
        <v>0</v>
      </c>
      <c r="E829">
        <v>1</v>
      </c>
      <c r="F829">
        <v>0</v>
      </c>
      <c r="G829">
        <v>0</v>
      </c>
      <c r="H829">
        <v>0</v>
      </c>
      <c r="I829">
        <v>1</v>
      </c>
      <c r="J829">
        <v>0</v>
      </c>
    </row>
    <row r="830" spans="1:10" x14ac:dyDescent="0.25">
      <c r="A830">
        <v>8285000</v>
      </c>
      <c r="B830">
        <v>0</v>
      </c>
      <c r="C830">
        <v>0</v>
      </c>
      <c r="D830">
        <v>0</v>
      </c>
      <c r="E830">
        <v>1</v>
      </c>
      <c r="F830">
        <v>0</v>
      </c>
      <c r="G830">
        <v>0</v>
      </c>
      <c r="H830">
        <v>0</v>
      </c>
      <c r="I830">
        <v>1</v>
      </c>
      <c r="J830">
        <v>0</v>
      </c>
    </row>
    <row r="831" spans="1:10" x14ac:dyDescent="0.25">
      <c r="A831">
        <v>8295000</v>
      </c>
      <c r="B831">
        <v>0</v>
      </c>
      <c r="C831">
        <v>0</v>
      </c>
      <c r="D831">
        <v>0</v>
      </c>
      <c r="E831">
        <v>1</v>
      </c>
      <c r="F831">
        <v>0</v>
      </c>
      <c r="G831">
        <v>0</v>
      </c>
      <c r="H831">
        <v>0</v>
      </c>
      <c r="I831">
        <v>1</v>
      </c>
      <c r="J831">
        <v>0</v>
      </c>
    </row>
    <row r="832" spans="1:10" x14ac:dyDescent="0.25">
      <c r="A832">
        <v>8305000</v>
      </c>
      <c r="B832">
        <v>0</v>
      </c>
      <c r="C832">
        <v>0</v>
      </c>
      <c r="D832">
        <v>0</v>
      </c>
      <c r="E832">
        <v>1</v>
      </c>
      <c r="F832">
        <v>0</v>
      </c>
      <c r="G832">
        <v>0</v>
      </c>
      <c r="H832">
        <v>0</v>
      </c>
      <c r="I832">
        <v>1</v>
      </c>
      <c r="J832">
        <v>0</v>
      </c>
    </row>
    <row r="833" spans="1:10" x14ac:dyDescent="0.25">
      <c r="A833">
        <v>8315000</v>
      </c>
      <c r="B833">
        <v>0</v>
      </c>
      <c r="C833">
        <v>0</v>
      </c>
      <c r="D833">
        <v>0</v>
      </c>
      <c r="E833">
        <v>1</v>
      </c>
      <c r="F833">
        <v>0</v>
      </c>
      <c r="G833">
        <v>0</v>
      </c>
      <c r="H833">
        <v>0</v>
      </c>
      <c r="I833">
        <v>1</v>
      </c>
      <c r="J833">
        <v>0</v>
      </c>
    </row>
    <row r="834" spans="1:10" x14ac:dyDescent="0.25">
      <c r="A834">
        <v>8325000</v>
      </c>
      <c r="B834">
        <v>0</v>
      </c>
      <c r="C834">
        <v>0</v>
      </c>
      <c r="D834">
        <v>0</v>
      </c>
      <c r="E834">
        <v>1</v>
      </c>
      <c r="F834">
        <v>0</v>
      </c>
      <c r="G834">
        <v>0</v>
      </c>
      <c r="H834">
        <v>0</v>
      </c>
      <c r="I834">
        <v>1</v>
      </c>
      <c r="J834">
        <v>0</v>
      </c>
    </row>
    <row r="835" spans="1:10" x14ac:dyDescent="0.25">
      <c r="A835">
        <v>8335000</v>
      </c>
      <c r="B835">
        <v>0</v>
      </c>
      <c r="C835">
        <v>0</v>
      </c>
      <c r="D835">
        <v>0</v>
      </c>
      <c r="E835">
        <v>1</v>
      </c>
      <c r="F835">
        <v>0</v>
      </c>
      <c r="G835">
        <v>0</v>
      </c>
      <c r="H835">
        <v>0</v>
      </c>
      <c r="I835">
        <v>1</v>
      </c>
      <c r="J835">
        <v>0</v>
      </c>
    </row>
    <row r="836" spans="1:10" x14ac:dyDescent="0.25">
      <c r="A836">
        <v>8345000</v>
      </c>
      <c r="B836">
        <v>0</v>
      </c>
      <c r="C836">
        <v>0</v>
      </c>
      <c r="D836">
        <v>0</v>
      </c>
      <c r="E836">
        <v>1</v>
      </c>
      <c r="F836">
        <v>0</v>
      </c>
      <c r="G836">
        <v>0</v>
      </c>
      <c r="H836">
        <v>0</v>
      </c>
      <c r="I836">
        <v>1</v>
      </c>
      <c r="J836">
        <v>0</v>
      </c>
    </row>
    <row r="837" spans="1:10" x14ac:dyDescent="0.25">
      <c r="A837">
        <v>8355000</v>
      </c>
      <c r="B837">
        <v>0</v>
      </c>
      <c r="C837">
        <v>0</v>
      </c>
      <c r="D837">
        <v>0</v>
      </c>
      <c r="E837">
        <v>1</v>
      </c>
      <c r="F837">
        <v>0</v>
      </c>
      <c r="G837">
        <v>0</v>
      </c>
      <c r="H837">
        <v>0</v>
      </c>
      <c r="I837">
        <v>1</v>
      </c>
      <c r="J837">
        <v>0</v>
      </c>
    </row>
    <row r="838" spans="1:10" x14ac:dyDescent="0.25">
      <c r="A838">
        <v>8365000</v>
      </c>
      <c r="B838">
        <v>0</v>
      </c>
      <c r="C838">
        <v>0</v>
      </c>
      <c r="D838">
        <v>0</v>
      </c>
      <c r="E838">
        <v>1</v>
      </c>
      <c r="F838">
        <v>0</v>
      </c>
      <c r="G838">
        <v>0</v>
      </c>
      <c r="H838">
        <v>0</v>
      </c>
      <c r="I838">
        <v>1</v>
      </c>
      <c r="J838">
        <v>0</v>
      </c>
    </row>
    <row r="839" spans="1:10" x14ac:dyDescent="0.25">
      <c r="A839">
        <v>8375000</v>
      </c>
      <c r="B839">
        <v>0</v>
      </c>
      <c r="C839">
        <v>0</v>
      </c>
      <c r="D839">
        <v>0</v>
      </c>
      <c r="E839">
        <v>1</v>
      </c>
      <c r="F839">
        <v>0</v>
      </c>
      <c r="G839">
        <v>0</v>
      </c>
      <c r="H839">
        <v>0</v>
      </c>
      <c r="I839">
        <v>1</v>
      </c>
      <c r="J839">
        <v>0</v>
      </c>
    </row>
    <row r="840" spans="1:10" x14ac:dyDescent="0.25">
      <c r="A840">
        <v>8385000</v>
      </c>
      <c r="B840">
        <v>0</v>
      </c>
      <c r="C840">
        <v>0</v>
      </c>
      <c r="D840">
        <v>0</v>
      </c>
      <c r="E840">
        <v>1</v>
      </c>
      <c r="F840">
        <v>0</v>
      </c>
      <c r="G840">
        <v>0</v>
      </c>
      <c r="H840">
        <v>0</v>
      </c>
      <c r="I840">
        <v>1</v>
      </c>
      <c r="J840">
        <v>0</v>
      </c>
    </row>
    <row r="841" spans="1:10" x14ac:dyDescent="0.25">
      <c r="A841">
        <v>8395000</v>
      </c>
      <c r="B841">
        <v>0</v>
      </c>
      <c r="C841">
        <v>0</v>
      </c>
      <c r="D841">
        <v>0</v>
      </c>
      <c r="E841">
        <v>1</v>
      </c>
      <c r="F841">
        <v>0</v>
      </c>
      <c r="G841">
        <v>0</v>
      </c>
      <c r="H841">
        <v>0</v>
      </c>
      <c r="I841">
        <v>1</v>
      </c>
      <c r="J841">
        <v>0</v>
      </c>
    </row>
    <row r="842" spans="1:10" x14ac:dyDescent="0.25">
      <c r="A842">
        <v>8405000</v>
      </c>
      <c r="B842">
        <v>0</v>
      </c>
      <c r="C842">
        <v>0</v>
      </c>
      <c r="D842">
        <v>0</v>
      </c>
      <c r="E842">
        <v>1</v>
      </c>
      <c r="F842">
        <v>0</v>
      </c>
      <c r="G842">
        <v>0</v>
      </c>
      <c r="H842">
        <v>0</v>
      </c>
      <c r="I842">
        <v>1</v>
      </c>
      <c r="J842">
        <v>0</v>
      </c>
    </row>
    <row r="843" spans="1:10" x14ac:dyDescent="0.25">
      <c r="A843">
        <v>8415000</v>
      </c>
      <c r="B843">
        <v>0</v>
      </c>
      <c r="C843">
        <v>0</v>
      </c>
      <c r="D843">
        <v>0</v>
      </c>
      <c r="E843">
        <v>1</v>
      </c>
      <c r="F843">
        <v>0</v>
      </c>
      <c r="G843">
        <v>0</v>
      </c>
      <c r="H843">
        <v>0</v>
      </c>
      <c r="I843">
        <v>1</v>
      </c>
      <c r="J843">
        <v>0</v>
      </c>
    </row>
    <row r="844" spans="1:10" x14ac:dyDescent="0.25">
      <c r="A844">
        <v>8425000</v>
      </c>
      <c r="B844">
        <v>0</v>
      </c>
      <c r="C844">
        <v>0</v>
      </c>
      <c r="D844">
        <v>0</v>
      </c>
      <c r="E844">
        <v>1</v>
      </c>
      <c r="F844">
        <v>0</v>
      </c>
      <c r="G844">
        <v>0</v>
      </c>
      <c r="H844">
        <v>0</v>
      </c>
      <c r="I844">
        <v>1</v>
      </c>
      <c r="J844">
        <v>0</v>
      </c>
    </row>
    <row r="845" spans="1:10" x14ac:dyDescent="0.25">
      <c r="A845">
        <v>8435000</v>
      </c>
      <c r="B845">
        <v>0</v>
      </c>
      <c r="C845">
        <v>0</v>
      </c>
      <c r="D845">
        <v>0</v>
      </c>
      <c r="E845">
        <v>1</v>
      </c>
      <c r="F845">
        <v>0</v>
      </c>
      <c r="G845">
        <v>0</v>
      </c>
      <c r="H845">
        <v>0</v>
      </c>
      <c r="I845">
        <v>1</v>
      </c>
      <c r="J845">
        <v>0</v>
      </c>
    </row>
    <row r="846" spans="1:10" x14ac:dyDescent="0.25">
      <c r="A846">
        <v>8445000</v>
      </c>
      <c r="B846">
        <v>0</v>
      </c>
      <c r="C846">
        <v>0</v>
      </c>
      <c r="D846">
        <v>0</v>
      </c>
      <c r="E846">
        <v>1</v>
      </c>
      <c r="F846">
        <v>0</v>
      </c>
      <c r="G846">
        <v>0</v>
      </c>
      <c r="H846">
        <v>0</v>
      </c>
      <c r="I846">
        <v>1</v>
      </c>
      <c r="J846">
        <v>0</v>
      </c>
    </row>
    <row r="847" spans="1:10" x14ac:dyDescent="0.25">
      <c r="A847">
        <v>8455000</v>
      </c>
      <c r="B847">
        <v>0</v>
      </c>
      <c r="C847">
        <v>0</v>
      </c>
      <c r="D847">
        <v>0</v>
      </c>
      <c r="E847">
        <v>1</v>
      </c>
      <c r="F847">
        <v>0</v>
      </c>
      <c r="G847">
        <v>0</v>
      </c>
      <c r="H847">
        <v>0</v>
      </c>
      <c r="I847">
        <v>1</v>
      </c>
      <c r="J847">
        <v>0</v>
      </c>
    </row>
    <row r="848" spans="1:10" x14ac:dyDescent="0.25">
      <c r="A848">
        <v>8465000</v>
      </c>
      <c r="B848">
        <v>0</v>
      </c>
      <c r="C848">
        <v>0</v>
      </c>
      <c r="D848">
        <v>0</v>
      </c>
      <c r="E848">
        <v>1</v>
      </c>
      <c r="F848">
        <v>0</v>
      </c>
      <c r="G848">
        <v>0</v>
      </c>
      <c r="H848">
        <v>0</v>
      </c>
      <c r="I848">
        <v>1</v>
      </c>
      <c r="J848">
        <v>0</v>
      </c>
    </row>
    <row r="849" spans="1:10" x14ac:dyDescent="0.25">
      <c r="A849">
        <v>8475000</v>
      </c>
      <c r="B849">
        <v>0</v>
      </c>
      <c r="C849">
        <v>0</v>
      </c>
      <c r="D849">
        <v>0</v>
      </c>
      <c r="E849">
        <v>1</v>
      </c>
      <c r="F849">
        <v>0</v>
      </c>
      <c r="G849">
        <v>0</v>
      </c>
      <c r="H849">
        <v>0</v>
      </c>
      <c r="I849">
        <v>1</v>
      </c>
      <c r="J849">
        <v>0</v>
      </c>
    </row>
    <row r="850" spans="1:10" x14ac:dyDescent="0.25">
      <c r="A850">
        <v>8485000</v>
      </c>
      <c r="B850">
        <v>0</v>
      </c>
      <c r="C850">
        <v>0</v>
      </c>
      <c r="D850">
        <v>0</v>
      </c>
      <c r="E850">
        <v>1</v>
      </c>
      <c r="F850">
        <v>0</v>
      </c>
      <c r="G850">
        <v>0</v>
      </c>
      <c r="H850">
        <v>0</v>
      </c>
      <c r="I850">
        <v>1</v>
      </c>
      <c r="J850">
        <v>0</v>
      </c>
    </row>
    <row r="851" spans="1:10" x14ac:dyDescent="0.25">
      <c r="A851">
        <v>8495000</v>
      </c>
      <c r="B851">
        <v>0</v>
      </c>
      <c r="C851">
        <v>0</v>
      </c>
      <c r="D851">
        <v>0</v>
      </c>
      <c r="E851">
        <v>1</v>
      </c>
      <c r="F851">
        <v>0</v>
      </c>
      <c r="G851">
        <v>0</v>
      </c>
      <c r="H851">
        <v>0</v>
      </c>
      <c r="I851">
        <v>1</v>
      </c>
      <c r="J851">
        <v>0</v>
      </c>
    </row>
    <row r="852" spans="1:10" x14ac:dyDescent="0.25">
      <c r="A852">
        <v>8505000</v>
      </c>
      <c r="B852">
        <v>0</v>
      </c>
      <c r="C852">
        <v>0</v>
      </c>
      <c r="D852">
        <v>0</v>
      </c>
      <c r="E852">
        <v>1</v>
      </c>
      <c r="F852">
        <v>0</v>
      </c>
      <c r="G852">
        <v>0</v>
      </c>
      <c r="H852">
        <v>0</v>
      </c>
      <c r="I852">
        <v>1</v>
      </c>
      <c r="J852">
        <v>0</v>
      </c>
    </row>
    <row r="853" spans="1:10" x14ac:dyDescent="0.25">
      <c r="A853">
        <v>8515000</v>
      </c>
      <c r="B853">
        <v>0</v>
      </c>
      <c r="C853">
        <v>0</v>
      </c>
      <c r="D853">
        <v>0</v>
      </c>
      <c r="E853">
        <v>1</v>
      </c>
      <c r="F853">
        <v>0</v>
      </c>
      <c r="G853">
        <v>0</v>
      </c>
      <c r="H853">
        <v>0</v>
      </c>
      <c r="I853">
        <v>1</v>
      </c>
      <c r="J853">
        <v>0</v>
      </c>
    </row>
    <row r="854" spans="1:10" x14ac:dyDescent="0.25">
      <c r="A854">
        <v>8525000</v>
      </c>
      <c r="B854">
        <v>0</v>
      </c>
      <c r="C854">
        <v>0</v>
      </c>
      <c r="D854">
        <v>0</v>
      </c>
      <c r="E854">
        <v>1</v>
      </c>
      <c r="F854">
        <v>0</v>
      </c>
      <c r="G854">
        <v>0</v>
      </c>
      <c r="H854">
        <v>0</v>
      </c>
      <c r="I854">
        <v>1</v>
      </c>
      <c r="J854">
        <v>0</v>
      </c>
    </row>
    <row r="855" spans="1:10" x14ac:dyDescent="0.25">
      <c r="A855">
        <v>8535000</v>
      </c>
      <c r="B855">
        <v>0</v>
      </c>
      <c r="C855">
        <v>0</v>
      </c>
      <c r="D855">
        <v>0</v>
      </c>
      <c r="E855">
        <v>1</v>
      </c>
      <c r="F855">
        <v>0</v>
      </c>
      <c r="G855">
        <v>0</v>
      </c>
      <c r="H855">
        <v>0</v>
      </c>
      <c r="I855">
        <v>1</v>
      </c>
      <c r="J855">
        <v>0</v>
      </c>
    </row>
    <row r="856" spans="1:10" x14ac:dyDescent="0.25">
      <c r="A856">
        <v>8545000</v>
      </c>
      <c r="B856">
        <v>0</v>
      </c>
      <c r="C856">
        <v>0</v>
      </c>
      <c r="D856">
        <v>0</v>
      </c>
      <c r="E856">
        <v>1</v>
      </c>
      <c r="F856">
        <v>0</v>
      </c>
      <c r="G856">
        <v>0</v>
      </c>
      <c r="H856">
        <v>0</v>
      </c>
      <c r="I856">
        <v>1</v>
      </c>
      <c r="J856">
        <v>0</v>
      </c>
    </row>
    <row r="857" spans="1:10" x14ac:dyDescent="0.25">
      <c r="A857">
        <v>8555000</v>
      </c>
      <c r="B857">
        <v>0</v>
      </c>
      <c r="C857">
        <v>0</v>
      </c>
      <c r="D857">
        <v>0</v>
      </c>
      <c r="E857">
        <v>1</v>
      </c>
      <c r="F857">
        <v>0</v>
      </c>
      <c r="G857">
        <v>0</v>
      </c>
      <c r="H857">
        <v>0</v>
      </c>
      <c r="I857">
        <v>1</v>
      </c>
      <c r="J857">
        <v>0</v>
      </c>
    </row>
    <row r="858" spans="1:10" x14ac:dyDescent="0.25">
      <c r="A858">
        <v>8565000</v>
      </c>
      <c r="B858">
        <v>0</v>
      </c>
      <c r="C858">
        <v>0</v>
      </c>
      <c r="D858">
        <v>0</v>
      </c>
      <c r="E858">
        <v>1</v>
      </c>
      <c r="F858">
        <v>0</v>
      </c>
      <c r="G858">
        <v>0</v>
      </c>
      <c r="H858">
        <v>0</v>
      </c>
      <c r="I858">
        <v>1</v>
      </c>
      <c r="J858">
        <v>0</v>
      </c>
    </row>
    <row r="859" spans="1:10" x14ac:dyDescent="0.25">
      <c r="A859">
        <v>8575000</v>
      </c>
      <c r="B859">
        <v>0</v>
      </c>
      <c r="C859">
        <v>0</v>
      </c>
      <c r="D859">
        <v>0</v>
      </c>
      <c r="E859">
        <v>1</v>
      </c>
      <c r="F859">
        <v>0</v>
      </c>
      <c r="G859">
        <v>0</v>
      </c>
      <c r="H859">
        <v>0</v>
      </c>
      <c r="I859">
        <v>1</v>
      </c>
      <c r="J859">
        <v>0</v>
      </c>
    </row>
    <row r="860" spans="1:10" x14ac:dyDescent="0.25">
      <c r="A860">
        <v>8585000</v>
      </c>
      <c r="B860">
        <v>0</v>
      </c>
      <c r="C860">
        <v>0</v>
      </c>
      <c r="D860">
        <v>0</v>
      </c>
      <c r="E860">
        <v>1</v>
      </c>
      <c r="F860">
        <v>0</v>
      </c>
      <c r="G860">
        <v>0</v>
      </c>
      <c r="H860">
        <v>0</v>
      </c>
      <c r="I860">
        <v>1</v>
      </c>
      <c r="J860">
        <v>0</v>
      </c>
    </row>
    <row r="861" spans="1:10" x14ac:dyDescent="0.25">
      <c r="A861">
        <v>8595000</v>
      </c>
      <c r="B861">
        <v>0</v>
      </c>
      <c r="C861">
        <v>0</v>
      </c>
      <c r="D861">
        <v>0</v>
      </c>
      <c r="E861">
        <v>1</v>
      </c>
      <c r="F861">
        <v>0</v>
      </c>
      <c r="G861">
        <v>0</v>
      </c>
      <c r="H861">
        <v>0</v>
      </c>
      <c r="I861">
        <v>1</v>
      </c>
      <c r="J861">
        <v>0</v>
      </c>
    </row>
    <row r="862" spans="1:10" x14ac:dyDescent="0.25">
      <c r="A862">
        <v>8605000</v>
      </c>
      <c r="B862">
        <v>0</v>
      </c>
      <c r="C862">
        <v>0</v>
      </c>
      <c r="D862">
        <v>0</v>
      </c>
      <c r="E862">
        <v>1</v>
      </c>
      <c r="F862">
        <v>0</v>
      </c>
      <c r="G862">
        <v>0</v>
      </c>
      <c r="H862">
        <v>0</v>
      </c>
      <c r="I862">
        <v>1</v>
      </c>
      <c r="J862">
        <v>0</v>
      </c>
    </row>
    <row r="863" spans="1:10" x14ac:dyDescent="0.25">
      <c r="A863">
        <v>8615000</v>
      </c>
      <c r="B863">
        <v>0</v>
      </c>
      <c r="C863">
        <v>0</v>
      </c>
      <c r="D863">
        <v>0</v>
      </c>
      <c r="E863">
        <v>1</v>
      </c>
      <c r="F863">
        <v>0</v>
      </c>
      <c r="G863">
        <v>0</v>
      </c>
      <c r="H863">
        <v>0</v>
      </c>
      <c r="I863">
        <v>1</v>
      </c>
      <c r="J863">
        <v>0</v>
      </c>
    </row>
    <row r="864" spans="1:10" x14ac:dyDescent="0.25">
      <c r="A864">
        <v>8625000</v>
      </c>
      <c r="B864">
        <v>0</v>
      </c>
      <c r="C864">
        <v>0</v>
      </c>
      <c r="D864">
        <v>0</v>
      </c>
      <c r="E864">
        <v>1</v>
      </c>
      <c r="F864">
        <v>0</v>
      </c>
      <c r="G864">
        <v>0</v>
      </c>
      <c r="H864">
        <v>0</v>
      </c>
      <c r="I864">
        <v>1</v>
      </c>
      <c r="J864">
        <v>0</v>
      </c>
    </row>
    <row r="865" spans="1:10" x14ac:dyDescent="0.25">
      <c r="A865">
        <v>8635000</v>
      </c>
      <c r="B865">
        <v>0</v>
      </c>
      <c r="C865">
        <v>0</v>
      </c>
      <c r="D865">
        <v>0</v>
      </c>
      <c r="E865">
        <v>1</v>
      </c>
      <c r="F865">
        <v>0</v>
      </c>
      <c r="G865">
        <v>0</v>
      </c>
      <c r="H865">
        <v>0</v>
      </c>
      <c r="I865">
        <v>1</v>
      </c>
      <c r="J865">
        <v>0</v>
      </c>
    </row>
    <row r="866" spans="1:10" x14ac:dyDescent="0.25">
      <c r="A866">
        <v>8645000</v>
      </c>
      <c r="B866">
        <v>0</v>
      </c>
      <c r="C866">
        <v>0</v>
      </c>
      <c r="D866">
        <v>0</v>
      </c>
      <c r="E866">
        <v>1</v>
      </c>
      <c r="F866">
        <v>0</v>
      </c>
      <c r="G866">
        <v>0</v>
      </c>
      <c r="H866">
        <v>0</v>
      </c>
      <c r="I866">
        <v>1</v>
      </c>
      <c r="J866">
        <v>0</v>
      </c>
    </row>
    <row r="867" spans="1:10" x14ac:dyDescent="0.25">
      <c r="A867">
        <v>8655000</v>
      </c>
      <c r="B867">
        <v>0</v>
      </c>
      <c r="C867">
        <v>0</v>
      </c>
      <c r="D867">
        <v>0</v>
      </c>
      <c r="E867">
        <v>1</v>
      </c>
      <c r="F867">
        <v>0</v>
      </c>
      <c r="G867">
        <v>0</v>
      </c>
      <c r="H867">
        <v>0</v>
      </c>
      <c r="I867">
        <v>1</v>
      </c>
      <c r="J867">
        <v>0</v>
      </c>
    </row>
    <row r="868" spans="1:10" x14ac:dyDescent="0.25">
      <c r="A868">
        <v>8665000</v>
      </c>
      <c r="B868">
        <v>0</v>
      </c>
      <c r="C868">
        <v>0</v>
      </c>
      <c r="D868">
        <v>0</v>
      </c>
      <c r="E868">
        <v>1</v>
      </c>
      <c r="F868">
        <v>0</v>
      </c>
      <c r="G868">
        <v>0</v>
      </c>
      <c r="H868">
        <v>0</v>
      </c>
      <c r="I868">
        <v>1</v>
      </c>
      <c r="J868">
        <v>0</v>
      </c>
    </row>
    <row r="869" spans="1:10" x14ac:dyDescent="0.25">
      <c r="A869">
        <v>8675000</v>
      </c>
      <c r="B869">
        <v>0</v>
      </c>
      <c r="C869">
        <v>0</v>
      </c>
      <c r="D869">
        <v>0</v>
      </c>
      <c r="E869">
        <v>1</v>
      </c>
      <c r="F869">
        <v>0</v>
      </c>
      <c r="G869">
        <v>0</v>
      </c>
      <c r="H869">
        <v>0</v>
      </c>
      <c r="I869">
        <v>1</v>
      </c>
      <c r="J869">
        <v>0</v>
      </c>
    </row>
    <row r="870" spans="1:10" x14ac:dyDescent="0.25">
      <c r="A870">
        <v>8685000</v>
      </c>
      <c r="B870">
        <v>0</v>
      </c>
      <c r="C870">
        <v>0</v>
      </c>
      <c r="D870">
        <v>0</v>
      </c>
      <c r="E870">
        <v>1</v>
      </c>
      <c r="F870">
        <v>0</v>
      </c>
      <c r="G870">
        <v>0</v>
      </c>
      <c r="H870">
        <v>0</v>
      </c>
      <c r="I870">
        <v>1</v>
      </c>
      <c r="J870">
        <v>0</v>
      </c>
    </row>
    <row r="871" spans="1:10" x14ac:dyDescent="0.25">
      <c r="A871">
        <v>8695000</v>
      </c>
      <c r="B871">
        <v>0</v>
      </c>
      <c r="C871">
        <v>0</v>
      </c>
      <c r="D871">
        <v>0</v>
      </c>
      <c r="E871">
        <v>1</v>
      </c>
      <c r="F871">
        <v>0</v>
      </c>
      <c r="G871">
        <v>0</v>
      </c>
      <c r="H871">
        <v>0</v>
      </c>
      <c r="I871">
        <v>1</v>
      </c>
      <c r="J871">
        <v>0</v>
      </c>
    </row>
    <row r="872" spans="1:10" x14ac:dyDescent="0.25">
      <c r="A872">
        <v>8705000</v>
      </c>
      <c r="B872">
        <v>0</v>
      </c>
      <c r="C872">
        <v>0</v>
      </c>
      <c r="D872">
        <v>0</v>
      </c>
      <c r="E872">
        <v>1</v>
      </c>
      <c r="F872">
        <v>0</v>
      </c>
      <c r="G872">
        <v>0</v>
      </c>
      <c r="H872">
        <v>0</v>
      </c>
      <c r="I872">
        <v>1</v>
      </c>
      <c r="J872">
        <v>0</v>
      </c>
    </row>
    <row r="873" spans="1:10" x14ac:dyDescent="0.25">
      <c r="A873">
        <v>8715000</v>
      </c>
      <c r="B873">
        <v>0</v>
      </c>
      <c r="C873">
        <v>0</v>
      </c>
      <c r="D873">
        <v>0</v>
      </c>
      <c r="E873">
        <v>1</v>
      </c>
      <c r="F873">
        <v>0</v>
      </c>
      <c r="G873">
        <v>0</v>
      </c>
      <c r="H873">
        <v>0</v>
      </c>
      <c r="I873">
        <v>1</v>
      </c>
      <c r="J873">
        <v>0</v>
      </c>
    </row>
    <row r="874" spans="1:10" x14ac:dyDescent="0.25">
      <c r="A874">
        <v>8725000</v>
      </c>
      <c r="B874">
        <v>0</v>
      </c>
      <c r="C874">
        <v>0</v>
      </c>
      <c r="D874">
        <v>0</v>
      </c>
      <c r="E874">
        <v>1</v>
      </c>
      <c r="F874">
        <v>0</v>
      </c>
      <c r="G874">
        <v>0</v>
      </c>
      <c r="H874">
        <v>0</v>
      </c>
      <c r="I874">
        <v>1</v>
      </c>
      <c r="J874">
        <v>0</v>
      </c>
    </row>
    <row r="875" spans="1:10" x14ac:dyDescent="0.25">
      <c r="A875">
        <v>8735000</v>
      </c>
      <c r="B875">
        <v>0</v>
      </c>
      <c r="C875">
        <v>0</v>
      </c>
      <c r="D875">
        <v>0</v>
      </c>
      <c r="E875">
        <v>1</v>
      </c>
      <c r="F875">
        <v>0</v>
      </c>
      <c r="G875">
        <v>0</v>
      </c>
      <c r="H875">
        <v>0</v>
      </c>
      <c r="I875">
        <v>1</v>
      </c>
      <c r="J875">
        <v>0</v>
      </c>
    </row>
    <row r="876" spans="1:10" x14ac:dyDescent="0.25">
      <c r="A876">
        <v>8745000</v>
      </c>
      <c r="B876">
        <v>0</v>
      </c>
      <c r="C876">
        <v>0</v>
      </c>
      <c r="D876">
        <v>0</v>
      </c>
      <c r="E876">
        <v>1</v>
      </c>
      <c r="F876">
        <v>0</v>
      </c>
      <c r="G876">
        <v>0</v>
      </c>
      <c r="H876">
        <v>0</v>
      </c>
      <c r="I876">
        <v>1</v>
      </c>
      <c r="J876">
        <v>0</v>
      </c>
    </row>
    <row r="877" spans="1:10" x14ac:dyDescent="0.25">
      <c r="A877">
        <v>8755000</v>
      </c>
      <c r="B877">
        <v>0</v>
      </c>
      <c r="C877">
        <v>0</v>
      </c>
      <c r="D877">
        <v>0</v>
      </c>
      <c r="E877">
        <v>1</v>
      </c>
      <c r="F877">
        <v>0</v>
      </c>
      <c r="G877">
        <v>0</v>
      </c>
      <c r="H877">
        <v>0</v>
      </c>
      <c r="I877">
        <v>1</v>
      </c>
      <c r="J877">
        <v>0</v>
      </c>
    </row>
    <row r="878" spans="1:10" x14ac:dyDescent="0.25">
      <c r="A878">
        <v>8765000</v>
      </c>
      <c r="B878">
        <v>0</v>
      </c>
      <c r="C878">
        <v>0</v>
      </c>
      <c r="D878">
        <v>0</v>
      </c>
      <c r="E878">
        <v>1</v>
      </c>
      <c r="F878">
        <v>0</v>
      </c>
      <c r="G878">
        <v>0</v>
      </c>
      <c r="H878">
        <v>0</v>
      </c>
      <c r="I878">
        <v>1</v>
      </c>
      <c r="J878">
        <v>0</v>
      </c>
    </row>
    <row r="879" spans="1:10" x14ac:dyDescent="0.25">
      <c r="A879">
        <v>8775000</v>
      </c>
      <c r="B879">
        <v>0</v>
      </c>
      <c r="C879">
        <v>0</v>
      </c>
      <c r="D879">
        <v>0</v>
      </c>
      <c r="E879">
        <v>1</v>
      </c>
      <c r="F879">
        <v>0</v>
      </c>
      <c r="G879">
        <v>0</v>
      </c>
      <c r="H879">
        <v>0</v>
      </c>
      <c r="I879">
        <v>1</v>
      </c>
      <c r="J879">
        <v>0</v>
      </c>
    </row>
    <row r="880" spans="1:10" x14ac:dyDescent="0.25">
      <c r="A880">
        <v>8785000</v>
      </c>
      <c r="B880">
        <v>0</v>
      </c>
      <c r="C880">
        <v>0</v>
      </c>
      <c r="D880">
        <v>0</v>
      </c>
      <c r="E880">
        <v>1</v>
      </c>
      <c r="F880">
        <v>0</v>
      </c>
      <c r="G880">
        <v>0</v>
      </c>
      <c r="H880">
        <v>0</v>
      </c>
      <c r="I880">
        <v>1</v>
      </c>
      <c r="J880">
        <v>0</v>
      </c>
    </row>
    <row r="881" spans="1:10" x14ac:dyDescent="0.25">
      <c r="A881">
        <v>8795000</v>
      </c>
      <c r="B881">
        <v>0</v>
      </c>
      <c r="C881">
        <v>0</v>
      </c>
      <c r="D881">
        <v>0</v>
      </c>
      <c r="E881">
        <v>1</v>
      </c>
      <c r="F881">
        <v>0</v>
      </c>
      <c r="G881">
        <v>0</v>
      </c>
      <c r="H881">
        <v>0</v>
      </c>
      <c r="I881">
        <v>1</v>
      </c>
      <c r="J881">
        <v>0</v>
      </c>
    </row>
    <row r="882" spans="1:10" x14ac:dyDescent="0.25">
      <c r="A882">
        <v>8805000</v>
      </c>
      <c r="B882">
        <v>0</v>
      </c>
      <c r="C882">
        <v>0</v>
      </c>
      <c r="D882">
        <v>0</v>
      </c>
      <c r="E882">
        <v>1</v>
      </c>
      <c r="F882">
        <v>0</v>
      </c>
      <c r="G882">
        <v>0</v>
      </c>
      <c r="H882">
        <v>0</v>
      </c>
      <c r="I882">
        <v>1</v>
      </c>
      <c r="J882">
        <v>0</v>
      </c>
    </row>
    <row r="883" spans="1:10" x14ac:dyDescent="0.25">
      <c r="A883">
        <v>8815000</v>
      </c>
      <c r="B883">
        <v>0</v>
      </c>
      <c r="C883">
        <v>0</v>
      </c>
      <c r="D883">
        <v>0</v>
      </c>
      <c r="E883">
        <v>1</v>
      </c>
      <c r="F883">
        <v>0</v>
      </c>
      <c r="G883">
        <v>0</v>
      </c>
      <c r="H883">
        <v>0</v>
      </c>
      <c r="I883">
        <v>1</v>
      </c>
      <c r="J883">
        <v>0</v>
      </c>
    </row>
    <row r="884" spans="1:10" x14ac:dyDescent="0.25">
      <c r="A884">
        <v>8825000</v>
      </c>
      <c r="B884">
        <v>0</v>
      </c>
      <c r="C884">
        <v>0</v>
      </c>
      <c r="D884">
        <v>0</v>
      </c>
      <c r="E884">
        <v>1</v>
      </c>
      <c r="F884">
        <v>0</v>
      </c>
      <c r="G884">
        <v>0</v>
      </c>
      <c r="H884">
        <v>0</v>
      </c>
      <c r="I884">
        <v>1</v>
      </c>
      <c r="J884">
        <v>0</v>
      </c>
    </row>
    <row r="885" spans="1:10" x14ac:dyDescent="0.25">
      <c r="A885">
        <v>8835000</v>
      </c>
      <c r="B885">
        <v>0</v>
      </c>
      <c r="C885">
        <v>0</v>
      </c>
      <c r="D885">
        <v>0</v>
      </c>
      <c r="E885">
        <v>1</v>
      </c>
      <c r="F885">
        <v>0</v>
      </c>
      <c r="G885">
        <v>0</v>
      </c>
      <c r="H885">
        <v>0</v>
      </c>
      <c r="I885">
        <v>1</v>
      </c>
      <c r="J885">
        <v>0</v>
      </c>
    </row>
    <row r="886" spans="1:10" x14ac:dyDescent="0.25">
      <c r="A886">
        <v>8845000</v>
      </c>
      <c r="B886">
        <v>0</v>
      </c>
      <c r="C886">
        <v>0</v>
      </c>
      <c r="D886">
        <v>0</v>
      </c>
      <c r="E886">
        <v>1</v>
      </c>
      <c r="F886">
        <v>0</v>
      </c>
      <c r="G886">
        <v>0</v>
      </c>
      <c r="H886">
        <v>0</v>
      </c>
      <c r="I886">
        <v>1</v>
      </c>
      <c r="J886">
        <v>0</v>
      </c>
    </row>
    <row r="887" spans="1:10" x14ac:dyDescent="0.25">
      <c r="A887">
        <v>8855000</v>
      </c>
      <c r="B887">
        <v>0</v>
      </c>
      <c r="C887">
        <v>0</v>
      </c>
      <c r="D887">
        <v>0</v>
      </c>
      <c r="E887">
        <v>1</v>
      </c>
      <c r="F887">
        <v>0</v>
      </c>
      <c r="G887">
        <v>0</v>
      </c>
      <c r="H887">
        <v>0</v>
      </c>
      <c r="I887">
        <v>1</v>
      </c>
      <c r="J887">
        <v>0</v>
      </c>
    </row>
    <row r="888" spans="1:10" x14ac:dyDescent="0.25">
      <c r="A888">
        <v>8865000</v>
      </c>
      <c r="B888">
        <v>0</v>
      </c>
      <c r="C888">
        <v>0</v>
      </c>
      <c r="D888">
        <v>0</v>
      </c>
      <c r="E888">
        <v>1</v>
      </c>
      <c r="F888">
        <v>0</v>
      </c>
      <c r="G888">
        <v>0</v>
      </c>
      <c r="H888">
        <v>0</v>
      </c>
      <c r="I888">
        <v>1</v>
      </c>
      <c r="J888">
        <v>0</v>
      </c>
    </row>
    <row r="889" spans="1:10" x14ac:dyDescent="0.25">
      <c r="A889">
        <v>8875000</v>
      </c>
      <c r="B889">
        <v>0</v>
      </c>
      <c r="C889">
        <v>0</v>
      </c>
      <c r="D889">
        <v>0</v>
      </c>
      <c r="E889">
        <v>1</v>
      </c>
      <c r="F889">
        <v>0</v>
      </c>
      <c r="G889">
        <v>0</v>
      </c>
      <c r="H889">
        <v>0</v>
      </c>
      <c r="I889">
        <v>1</v>
      </c>
      <c r="J889">
        <v>0</v>
      </c>
    </row>
    <row r="890" spans="1:10" x14ac:dyDescent="0.25">
      <c r="A890">
        <v>8885000</v>
      </c>
      <c r="B890">
        <v>0</v>
      </c>
      <c r="C890">
        <v>0</v>
      </c>
      <c r="D890">
        <v>0</v>
      </c>
      <c r="E890">
        <v>1</v>
      </c>
      <c r="F890">
        <v>0</v>
      </c>
      <c r="G890">
        <v>0</v>
      </c>
      <c r="H890">
        <v>0</v>
      </c>
      <c r="I890">
        <v>1</v>
      </c>
      <c r="J890">
        <v>0</v>
      </c>
    </row>
    <row r="891" spans="1:10" x14ac:dyDescent="0.25">
      <c r="A891">
        <v>8895000</v>
      </c>
      <c r="B891">
        <v>0</v>
      </c>
      <c r="C891">
        <v>0</v>
      </c>
      <c r="D891">
        <v>0</v>
      </c>
      <c r="E891">
        <v>1</v>
      </c>
      <c r="F891">
        <v>0</v>
      </c>
      <c r="G891">
        <v>0</v>
      </c>
      <c r="H891">
        <v>0</v>
      </c>
      <c r="I891">
        <v>1</v>
      </c>
      <c r="J891">
        <v>0</v>
      </c>
    </row>
    <row r="892" spans="1:10" x14ac:dyDescent="0.25">
      <c r="A892">
        <v>8905000</v>
      </c>
      <c r="B892">
        <v>0</v>
      </c>
      <c r="C892">
        <v>0</v>
      </c>
      <c r="D892">
        <v>0</v>
      </c>
      <c r="E892">
        <v>1</v>
      </c>
      <c r="F892">
        <v>0</v>
      </c>
      <c r="G892">
        <v>0</v>
      </c>
      <c r="H892">
        <v>0</v>
      </c>
      <c r="I892">
        <v>1</v>
      </c>
      <c r="J892">
        <v>0</v>
      </c>
    </row>
    <row r="893" spans="1:10" x14ac:dyDescent="0.25">
      <c r="A893">
        <v>8915000</v>
      </c>
      <c r="B893">
        <v>0</v>
      </c>
      <c r="C893">
        <v>0</v>
      </c>
      <c r="D893">
        <v>0</v>
      </c>
      <c r="E893">
        <v>1</v>
      </c>
      <c r="F893">
        <v>0</v>
      </c>
      <c r="G893">
        <v>0</v>
      </c>
      <c r="H893">
        <v>0</v>
      </c>
      <c r="I893">
        <v>1</v>
      </c>
      <c r="J893">
        <v>0</v>
      </c>
    </row>
    <row r="894" spans="1:10" x14ac:dyDescent="0.25">
      <c r="A894">
        <v>8925000</v>
      </c>
      <c r="B894">
        <v>0</v>
      </c>
      <c r="C894">
        <v>0</v>
      </c>
      <c r="D894">
        <v>0</v>
      </c>
      <c r="E894">
        <v>1</v>
      </c>
      <c r="F894">
        <v>0</v>
      </c>
      <c r="G894">
        <v>0</v>
      </c>
      <c r="H894">
        <v>0</v>
      </c>
      <c r="I894">
        <v>1</v>
      </c>
      <c r="J894">
        <v>0</v>
      </c>
    </row>
    <row r="895" spans="1:10" x14ac:dyDescent="0.25">
      <c r="A895">
        <v>8935000</v>
      </c>
      <c r="B895">
        <v>0</v>
      </c>
      <c r="C895">
        <v>0</v>
      </c>
      <c r="D895">
        <v>0</v>
      </c>
      <c r="E895">
        <v>1</v>
      </c>
      <c r="F895">
        <v>0</v>
      </c>
      <c r="G895">
        <v>0</v>
      </c>
      <c r="H895">
        <v>0</v>
      </c>
      <c r="I895">
        <v>1</v>
      </c>
      <c r="J895">
        <v>0</v>
      </c>
    </row>
    <row r="896" spans="1:10" x14ac:dyDescent="0.25">
      <c r="A896">
        <v>8945000</v>
      </c>
      <c r="B896">
        <v>0</v>
      </c>
      <c r="C896">
        <v>0</v>
      </c>
      <c r="D896">
        <v>0</v>
      </c>
      <c r="E896">
        <v>1</v>
      </c>
      <c r="F896">
        <v>0</v>
      </c>
      <c r="G896">
        <v>0</v>
      </c>
      <c r="H896">
        <v>0</v>
      </c>
      <c r="I896">
        <v>1</v>
      </c>
      <c r="J896">
        <v>0</v>
      </c>
    </row>
    <row r="897" spans="1:10" x14ac:dyDescent="0.25">
      <c r="A897">
        <v>8955000</v>
      </c>
      <c r="B897">
        <v>0</v>
      </c>
      <c r="C897">
        <v>0</v>
      </c>
      <c r="D897">
        <v>0</v>
      </c>
      <c r="E897">
        <v>1</v>
      </c>
      <c r="F897">
        <v>0</v>
      </c>
      <c r="G897">
        <v>0</v>
      </c>
      <c r="H897">
        <v>0</v>
      </c>
      <c r="I897">
        <v>1</v>
      </c>
      <c r="J897">
        <v>0</v>
      </c>
    </row>
    <row r="898" spans="1:10" x14ac:dyDescent="0.25">
      <c r="A898">
        <v>8965000</v>
      </c>
      <c r="B898">
        <v>0</v>
      </c>
      <c r="C898">
        <v>0</v>
      </c>
      <c r="D898">
        <v>0</v>
      </c>
      <c r="E898">
        <v>1</v>
      </c>
      <c r="F898">
        <v>0</v>
      </c>
      <c r="G898">
        <v>0</v>
      </c>
      <c r="H898">
        <v>0</v>
      </c>
      <c r="I898">
        <v>1</v>
      </c>
      <c r="J898">
        <v>0</v>
      </c>
    </row>
    <row r="899" spans="1:10" x14ac:dyDescent="0.25">
      <c r="A899">
        <v>8975000</v>
      </c>
      <c r="B899">
        <v>0</v>
      </c>
      <c r="C899">
        <v>0</v>
      </c>
      <c r="D899">
        <v>0</v>
      </c>
      <c r="E899">
        <v>1</v>
      </c>
      <c r="F899">
        <v>0</v>
      </c>
      <c r="G899">
        <v>0</v>
      </c>
      <c r="H899">
        <v>0</v>
      </c>
      <c r="I899">
        <v>1</v>
      </c>
      <c r="J899">
        <v>0</v>
      </c>
    </row>
    <row r="900" spans="1:10" x14ac:dyDescent="0.25">
      <c r="A900">
        <v>8985000</v>
      </c>
      <c r="B900">
        <v>0</v>
      </c>
      <c r="C900">
        <v>0</v>
      </c>
      <c r="D900">
        <v>0</v>
      </c>
      <c r="E900">
        <v>1</v>
      </c>
      <c r="F900">
        <v>0</v>
      </c>
      <c r="G900">
        <v>0</v>
      </c>
      <c r="H900">
        <v>0</v>
      </c>
      <c r="I900">
        <v>1</v>
      </c>
      <c r="J900">
        <v>0</v>
      </c>
    </row>
    <row r="901" spans="1:10" x14ac:dyDescent="0.25">
      <c r="A901">
        <v>8995000</v>
      </c>
      <c r="B901">
        <v>0</v>
      </c>
      <c r="C901">
        <v>0</v>
      </c>
      <c r="D901">
        <v>0</v>
      </c>
      <c r="E901">
        <v>1</v>
      </c>
      <c r="F901">
        <v>0</v>
      </c>
      <c r="G901">
        <v>0</v>
      </c>
      <c r="H901">
        <v>0</v>
      </c>
      <c r="I901">
        <v>1</v>
      </c>
      <c r="J901">
        <v>0</v>
      </c>
    </row>
    <row r="902" spans="1:10" x14ac:dyDescent="0.25">
      <c r="A902">
        <v>9005000</v>
      </c>
      <c r="B902">
        <v>0</v>
      </c>
      <c r="C902">
        <v>0</v>
      </c>
      <c r="D902">
        <v>0</v>
      </c>
      <c r="E902">
        <v>1</v>
      </c>
      <c r="F902">
        <v>0</v>
      </c>
      <c r="G902">
        <v>0</v>
      </c>
      <c r="H902">
        <v>0</v>
      </c>
      <c r="I902">
        <v>1</v>
      </c>
      <c r="J902">
        <v>0</v>
      </c>
    </row>
    <row r="903" spans="1:10" x14ac:dyDescent="0.25">
      <c r="A903">
        <v>9015000</v>
      </c>
      <c r="B903">
        <v>0</v>
      </c>
      <c r="C903">
        <v>0</v>
      </c>
      <c r="D903">
        <v>0</v>
      </c>
      <c r="E903">
        <v>1</v>
      </c>
      <c r="F903">
        <v>0</v>
      </c>
      <c r="G903">
        <v>0</v>
      </c>
      <c r="H903">
        <v>0</v>
      </c>
      <c r="I903">
        <v>1</v>
      </c>
      <c r="J903">
        <v>0</v>
      </c>
    </row>
    <row r="904" spans="1:10" x14ac:dyDescent="0.25">
      <c r="A904">
        <v>9025000</v>
      </c>
      <c r="B904">
        <v>0</v>
      </c>
      <c r="C904">
        <v>0</v>
      </c>
      <c r="D904">
        <v>0</v>
      </c>
      <c r="E904">
        <v>1</v>
      </c>
      <c r="F904">
        <v>0</v>
      </c>
      <c r="G904">
        <v>0</v>
      </c>
      <c r="H904">
        <v>0</v>
      </c>
      <c r="I904">
        <v>1</v>
      </c>
      <c r="J904">
        <v>0</v>
      </c>
    </row>
    <row r="905" spans="1:10" x14ac:dyDescent="0.25">
      <c r="A905">
        <v>9035000</v>
      </c>
      <c r="B905">
        <v>0</v>
      </c>
      <c r="C905">
        <v>0</v>
      </c>
      <c r="D905">
        <v>0</v>
      </c>
      <c r="E905">
        <v>1</v>
      </c>
      <c r="F905">
        <v>0</v>
      </c>
      <c r="G905">
        <v>0</v>
      </c>
      <c r="H905">
        <v>0</v>
      </c>
      <c r="I905">
        <v>1</v>
      </c>
      <c r="J905">
        <v>0</v>
      </c>
    </row>
    <row r="906" spans="1:10" x14ac:dyDescent="0.25">
      <c r="A906">
        <v>9045000</v>
      </c>
      <c r="B906">
        <v>0</v>
      </c>
      <c r="C906">
        <v>0</v>
      </c>
      <c r="D906">
        <v>0</v>
      </c>
      <c r="E906">
        <v>1</v>
      </c>
      <c r="F906">
        <v>0</v>
      </c>
      <c r="G906">
        <v>0</v>
      </c>
      <c r="H906">
        <v>0</v>
      </c>
      <c r="I906">
        <v>1</v>
      </c>
      <c r="J906">
        <v>0</v>
      </c>
    </row>
    <row r="907" spans="1:10" x14ac:dyDescent="0.25">
      <c r="A907">
        <v>9055000</v>
      </c>
      <c r="B907">
        <v>0</v>
      </c>
      <c r="C907">
        <v>0</v>
      </c>
      <c r="D907">
        <v>0</v>
      </c>
      <c r="E907">
        <v>1</v>
      </c>
      <c r="F907">
        <v>0</v>
      </c>
      <c r="G907">
        <v>0</v>
      </c>
      <c r="H907">
        <v>0</v>
      </c>
      <c r="I907">
        <v>1</v>
      </c>
      <c r="J907">
        <v>0</v>
      </c>
    </row>
    <row r="908" spans="1:10" x14ac:dyDescent="0.25">
      <c r="A908">
        <v>9065000</v>
      </c>
      <c r="B908">
        <v>0</v>
      </c>
      <c r="C908">
        <v>0</v>
      </c>
      <c r="D908">
        <v>0</v>
      </c>
      <c r="E908">
        <v>1</v>
      </c>
      <c r="F908">
        <v>0</v>
      </c>
      <c r="G908">
        <v>0</v>
      </c>
      <c r="H908">
        <v>0</v>
      </c>
      <c r="I908">
        <v>1</v>
      </c>
      <c r="J908">
        <v>0</v>
      </c>
    </row>
    <row r="909" spans="1:10" x14ac:dyDescent="0.25">
      <c r="A909">
        <v>9075000</v>
      </c>
      <c r="B909">
        <v>0</v>
      </c>
      <c r="C909">
        <v>0</v>
      </c>
      <c r="D909">
        <v>0</v>
      </c>
      <c r="E909">
        <v>1</v>
      </c>
      <c r="F909">
        <v>0</v>
      </c>
      <c r="G909">
        <v>0</v>
      </c>
      <c r="H909">
        <v>0</v>
      </c>
      <c r="I909">
        <v>1</v>
      </c>
      <c r="J909">
        <v>0</v>
      </c>
    </row>
    <row r="910" spans="1:10" x14ac:dyDescent="0.25">
      <c r="A910">
        <v>9085000</v>
      </c>
      <c r="B910">
        <v>0</v>
      </c>
      <c r="C910">
        <v>0</v>
      </c>
      <c r="D910">
        <v>0</v>
      </c>
      <c r="E910">
        <v>1</v>
      </c>
      <c r="F910">
        <v>0</v>
      </c>
      <c r="G910">
        <v>0</v>
      </c>
      <c r="H910">
        <v>0</v>
      </c>
      <c r="I910">
        <v>1</v>
      </c>
      <c r="J910">
        <v>0</v>
      </c>
    </row>
    <row r="911" spans="1:10" x14ac:dyDescent="0.25">
      <c r="A911">
        <v>9095000</v>
      </c>
      <c r="B911">
        <v>0</v>
      </c>
      <c r="C911">
        <v>0</v>
      </c>
      <c r="D911">
        <v>0</v>
      </c>
      <c r="E911">
        <v>1</v>
      </c>
      <c r="F911">
        <v>0</v>
      </c>
      <c r="G911">
        <v>0</v>
      </c>
      <c r="H911">
        <v>0</v>
      </c>
      <c r="I911">
        <v>1</v>
      </c>
      <c r="J911">
        <v>0</v>
      </c>
    </row>
    <row r="912" spans="1:10" x14ac:dyDescent="0.25">
      <c r="A912">
        <v>9105000</v>
      </c>
      <c r="B912">
        <v>0</v>
      </c>
      <c r="C912">
        <v>0</v>
      </c>
      <c r="D912">
        <v>0</v>
      </c>
      <c r="E912">
        <v>1</v>
      </c>
      <c r="F912">
        <v>0</v>
      </c>
      <c r="G912">
        <v>0</v>
      </c>
      <c r="H912">
        <v>0</v>
      </c>
      <c r="I912">
        <v>1</v>
      </c>
      <c r="J912">
        <v>0</v>
      </c>
    </row>
    <row r="913" spans="1:10" x14ac:dyDescent="0.25">
      <c r="A913">
        <v>9115000</v>
      </c>
      <c r="B913">
        <v>0</v>
      </c>
      <c r="C913">
        <v>0</v>
      </c>
      <c r="D913">
        <v>0</v>
      </c>
      <c r="E913">
        <v>1</v>
      </c>
      <c r="F913">
        <v>0</v>
      </c>
      <c r="G913">
        <v>0</v>
      </c>
      <c r="H913">
        <v>0</v>
      </c>
      <c r="I913">
        <v>1</v>
      </c>
      <c r="J913">
        <v>0</v>
      </c>
    </row>
    <row r="914" spans="1:10" x14ac:dyDescent="0.25">
      <c r="A914">
        <v>9125000</v>
      </c>
      <c r="B914">
        <v>0</v>
      </c>
      <c r="C914">
        <v>0</v>
      </c>
      <c r="D914">
        <v>0</v>
      </c>
      <c r="E914">
        <v>1</v>
      </c>
      <c r="F914">
        <v>0</v>
      </c>
      <c r="G914">
        <v>0</v>
      </c>
      <c r="H914">
        <v>0</v>
      </c>
      <c r="I914">
        <v>1</v>
      </c>
      <c r="J914">
        <v>0</v>
      </c>
    </row>
    <row r="915" spans="1:10" x14ac:dyDescent="0.25">
      <c r="A915">
        <v>9135000</v>
      </c>
      <c r="B915">
        <v>0</v>
      </c>
      <c r="C915">
        <v>0</v>
      </c>
      <c r="D915">
        <v>0</v>
      </c>
      <c r="E915">
        <v>1</v>
      </c>
      <c r="F915">
        <v>0</v>
      </c>
      <c r="G915">
        <v>0</v>
      </c>
      <c r="H915">
        <v>0</v>
      </c>
      <c r="I915">
        <v>1</v>
      </c>
      <c r="J915">
        <v>0</v>
      </c>
    </row>
    <row r="916" spans="1:10" x14ac:dyDescent="0.25">
      <c r="A916">
        <v>9145000</v>
      </c>
      <c r="B916">
        <v>0</v>
      </c>
      <c r="C916">
        <v>0</v>
      </c>
      <c r="D916">
        <v>0</v>
      </c>
      <c r="E916">
        <v>1</v>
      </c>
      <c r="F916">
        <v>0</v>
      </c>
      <c r="G916">
        <v>0</v>
      </c>
      <c r="H916">
        <v>0</v>
      </c>
      <c r="I916">
        <v>1</v>
      </c>
      <c r="J916">
        <v>0</v>
      </c>
    </row>
    <row r="917" spans="1:10" x14ac:dyDescent="0.25">
      <c r="A917">
        <v>9155000</v>
      </c>
      <c r="B917">
        <v>0</v>
      </c>
      <c r="C917">
        <v>0</v>
      </c>
      <c r="D917">
        <v>0</v>
      </c>
      <c r="E917">
        <v>1</v>
      </c>
      <c r="F917">
        <v>0</v>
      </c>
      <c r="G917">
        <v>0</v>
      </c>
      <c r="H917">
        <v>0</v>
      </c>
      <c r="I917">
        <v>1</v>
      </c>
      <c r="J917">
        <v>0</v>
      </c>
    </row>
    <row r="918" spans="1:10" x14ac:dyDescent="0.25">
      <c r="A918">
        <v>9165000</v>
      </c>
      <c r="B918">
        <v>0</v>
      </c>
      <c r="C918">
        <v>0</v>
      </c>
      <c r="D918">
        <v>0</v>
      </c>
      <c r="E918">
        <v>1</v>
      </c>
      <c r="F918">
        <v>0</v>
      </c>
      <c r="G918">
        <v>0</v>
      </c>
      <c r="H918">
        <v>0</v>
      </c>
      <c r="I918">
        <v>1</v>
      </c>
      <c r="J918">
        <v>0</v>
      </c>
    </row>
    <row r="919" spans="1:10" x14ac:dyDescent="0.25">
      <c r="A919">
        <v>9175000</v>
      </c>
      <c r="B919">
        <v>0</v>
      </c>
      <c r="C919">
        <v>0</v>
      </c>
      <c r="D919">
        <v>0</v>
      </c>
      <c r="E919">
        <v>1</v>
      </c>
      <c r="F919">
        <v>0</v>
      </c>
      <c r="G919">
        <v>0</v>
      </c>
      <c r="H919">
        <v>0</v>
      </c>
      <c r="I919">
        <v>1</v>
      </c>
      <c r="J919">
        <v>0</v>
      </c>
    </row>
    <row r="920" spans="1:10" x14ac:dyDescent="0.25">
      <c r="A920">
        <v>9185000</v>
      </c>
      <c r="B920">
        <v>0</v>
      </c>
      <c r="C920">
        <v>0</v>
      </c>
      <c r="D920">
        <v>0</v>
      </c>
      <c r="E920">
        <v>1</v>
      </c>
      <c r="F920">
        <v>0</v>
      </c>
      <c r="G920">
        <v>0</v>
      </c>
      <c r="H920">
        <v>0</v>
      </c>
      <c r="I920">
        <v>1</v>
      </c>
      <c r="J920">
        <v>0</v>
      </c>
    </row>
    <row r="921" spans="1:10" x14ac:dyDescent="0.25">
      <c r="A921">
        <v>9195000</v>
      </c>
      <c r="B921">
        <v>0</v>
      </c>
      <c r="C921">
        <v>0</v>
      </c>
      <c r="D921">
        <v>0</v>
      </c>
      <c r="E921">
        <v>1</v>
      </c>
      <c r="F921">
        <v>0</v>
      </c>
      <c r="G921">
        <v>0</v>
      </c>
      <c r="H921">
        <v>0</v>
      </c>
      <c r="I921">
        <v>1</v>
      </c>
      <c r="J921">
        <v>0</v>
      </c>
    </row>
    <row r="922" spans="1:10" x14ac:dyDescent="0.25">
      <c r="A922">
        <v>9205000</v>
      </c>
      <c r="B922">
        <v>0</v>
      </c>
      <c r="C922">
        <v>0</v>
      </c>
      <c r="D922">
        <v>0</v>
      </c>
      <c r="E922">
        <v>1</v>
      </c>
      <c r="F922">
        <v>0</v>
      </c>
      <c r="G922">
        <v>0</v>
      </c>
      <c r="H922">
        <v>0</v>
      </c>
      <c r="I922">
        <v>1</v>
      </c>
      <c r="J922">
        <v>0</v>
      </c>
    </row>
    <row r="923" spans="1:10" x14ac:dyDescent="0.25">
      <c r="A923">
        <v>9215000</v>
      </c>
      <c r="B923">
        <v>0</v>
      </c>
      <c r="C923">
        <v>0</v>
      </c>
      <c r="D923">
        <v>0</v>
      </c>
      <c r="E923">
        <v>1</v>
      </c>
      <c r="F923">
        <v>0</v>
      </c>
      <c r="G923">
        <v>0</v>
      </c>
      <c r="H923">
        <v>0</v>
      </c>
      <c r="I923">
        <v>1</v>
      </c>
      <c r="J923">
        <v>0</v>
      </c>
    </row>
    <row r="924" spans="1:10" x14ac:dyDescent="0.25">
      <c r="A924">
        <v>9225000</v>
      </c>
      <c r="B924">
        <v>0</v>
      </c>
      <c r="C924">
        <v>0</v>
      </c>
      <c r="D924">
        <v>0</v>
      </c>
      <c r="E924">
        <v>1</v>
      </c>
      <c r="F924">
        <v>0</v>
      </c>
      <c r="G924">
        <v>0</v>
      </c>
      <c r="H924">
        <v>0</v>
      </c>
      <c r="I924">
        <v>1</v>
      </c>
      <c r="J924">
        <v>0</v>
      </c>
    </row>
    <row r="925" spans="1:10" x14ac:dyDescent="0.25">
      <c r="A925">
        <v>9235000</v>
      </c>
      <c r="B925">
        <v>0</v>
      </c>
      <c r="C925">
        <v>0</v>
      </c>
      <c r="D925">
        <v>0</v>
      </c>
      <c r="E925">
        <v>1</v>
      </c>
      <c r="F925">
        <v>0</v>
      </c>
      <c r="G925">
        <v>0</v>
      </c>
      <c r="H925">
        <v>0</v>
      </c>
      <c r="I925">
        <v>1</v>
      </c>
      <c r="J925">
        <v>0</v>
      </c>
    </row>
    <row r="926" spans="1:10" x14ac:dyDescent="0.25">
      <c r="A926">
        <v>9245000</v>
      </c>
      <c r="B926">
        <v>0</v>
      </c>
      <c r="C926">
        <v>0</v>
      </c>
      <c r="D926">
        <v>0</v>
      </c>
      <c r="E926">
        <v>1</v>
      </c>
      <c r="F926">
        <v>0</v>
      </c>
      <c r="G926">
        <v>0</v>
      </c>
      <c r="H926">
        <v>0</v>
      </c>
      <c r="I926">
        <v>1</v>
      </c>
      <c r="J926">
        <v>0</v>
      </c>
    </row>
    <row r="927" spans="1:10" x14ac:dyDescent="0.25">
      <c r="A927">
        <v>9255000</v>
      </c>
      <c r="B927">
        <v>0</v>
      </c>
      <c r="C927">
        <v>0</v>
      </c>
      <c r="D927">
        <v>0</v>
      </c>
      <c r="E927">
        <v>1</v>
      </c>
      <c r="F927">
        <v>0</v>
      </c>
      <c r="G927">
        <v>0</v>
      </c>
      <c r="H927">
        <v>0</v>
      </c>
      <c r="I927">
        <v>1</v>
      </c>
      <c r="J927">
        <v>0</v>
      </c>
    </row>
    <row r="928" spans="1:10" x14ac:dyDescent="0.25">
      <c r="A928">
        <v>9265000</v>
      </c>
      <c r="B928">
        <v>0</v>
      </c>
      <c r="C928">
        <v>0</v>
      </c>
      <c r="D928">
        <v>0</v>
      </c>
      <c r="E928">
        <v>1</v>
      </c>
      <c r="F928">
        <v>0</v>
      </c>
      <c r="G928">
        <v>0</v>
      </c>
      <c r="H928">
        <v>0</v>
      </c>
      <c r="I928">
        <v>1</v>
      </c>
      <c r="J928">
        <v>0</v>
      </c>
    </row>
    <row r="929" spans="1:10" x14ac:dyDescent="0.25">
      <c r="A929">
        <v>9275000</v>
      </c>
      <c r="B929">
        <v>0</v>
      </c>
      <c r="C929">
        <v>0</v>
      </c>
      <c r="D929">
        <v>0</v>
      </c>
      <c r="E929">
        <v>1</v>
      </c>
      <c r="F929">
        <v>0</v>
      </c>
      <c r="G929">
        <v>0</v>
      </c>
      <c r="H929">
        <v>0</v>
      </c>
      <c r="I929">
        <v>1</v>
      </c>
      <c r="J929">
        <v>0</v>
      </c>
    </row>
    <row r="930" spans="1:10" x14ac:dyDescent="0.25">
      <c r="A930">
        <v>9285000</v>
      </c>
      <c r="B930">
        <v>0</v>
      </c>
      <c r="C930">
        <v>0</v>
      </c>
      <c r="D930">
        <v>0</v>
      </c>
      <c r="E930">
        <v>1</v>
      </c>
      <c r="F930">
        <v>0</v>
      </c>
      <c r="G930">
        <v>0</v>
      </c>
      <c r="H930">
        <v>0</v>
      </c>
      <c r="I930">
        <v>1</v>
      </c>
      <c r="J930">
        <v>0</v>
      </c>
    </row>
    <row r="931" spans="1:10" x14ac:dyDescent="0.25">
      <c r="A931">
        <v>9295000</v>
      </c>
      <c r="B931">
        <v>0</v>
      </c>
      <c r="C931">
        <v>0</v>
      </c>
      <c r="D931">
        <v>0</v>
      </c>
      <c r="E931">
        <v>1</v>
      </c>
      <c r="F931">
        <v>0</v>
      </c>
      <c r="G931">
        <v>0</v>
      </c>
      <c r="H931">
        <v>0</v>
      </c>
      <c r="I931">
        <v>1</v>
      </c>
      <c r="J931">
        <v>0</v>
      </c>
    </row>
    <row r="932" spans="1:10" x14ac:dyDescent="0.25">
      <c r="A932">
        <v>9305000</v>
      </c>
      <c r="B932">
        <v>0</v>
      </c>
      <c r="C932">
        <v>0</v>
      </c>
      <c r="D932">
        <v>0</v>
      </c>
      <c r="E932">
        <v>1</v>
      </c>
      <c r="F932">
        <v>0</v>
      </c>
      <c r="G932">
        <v>0</v>
      </c>
      <c r="H932">
        <v>0</v>
      </c>
      <c r="I932">
        <v>1</v>
      </c>
      <c r="J932">
        <v>0</v>
      </c>
    </row>
    <row r="933" spans="1:10" x14ac:dyDescent="0.25">
      <c r="A933">
        <v>9315000</v>
      </c>
      <c r="B933">
        <v>0</v>
      </c>
      <c r="C933">
        <v>0</v>
      </c>
      <c r="D933">
        <v>0</v>
      </c>
      <c r="E933">
        <v>1</v>
      </c>
      <c r="F933">
        <v>0</v>
      </c>
      <c r="G933">
        <v>0</v>
      </c>
      <c r="H933">
        <v>0</v>
      </c>
      <c r="I933">
        <v>1</v>
      </c>
      <c r="J933">
        <v>0</v>
      </c>
    </row>
    <row r="934" spans="1:10" x14ac:dyDescent="0.25">
      <c r="A934">
        <v>9325000</v>
      </c>
      <c r="B934">
        <v>0</v>
      </c>
      <c r="C934">
        <v>0</v>
      </c>
      <c r="D934">
        <v>0</v>
      </c>
      <c r="E934">
        <v>1</v>
      </c>
      <c r="F934">
        <v>0</v>
      </c>
      <c r="G934">
        <v>0</v>
      </c>
      <c r="H934">
        <v>0</v>
      </c>
      <c r="I934">
        <v>1</v>
      </c>
      <c r="J934">
        <v>0</v>
      </c>
    </row>
    <row r="935" spans="1:10" x14ac:dyDescent="0.25">
      <c r="A935">
        <v>9335000</v>
      </c>
      <c r="B935">
        <v>0</v>
      </c>
      <c r="C935">
        <v>0</v>
      </c>
      <c r="D935">
        <v>0</v>
      </c>
      <c r="E935">
        <v>1</v>
      </c>
      <c r="F935">
        <v>0</v>
      </c>
      <c r="G935">
        <v>0</v>
      </c>
      <c r="H935">
        <v>0</v>
      </c>
      <c r="I935">
        <v>1</v>
      </c>
      <c r="J935">
        <v>0</v>
      </c>
    </row>
    <row r="936" spans="1:10" x14ac:dyDescent="0.25">
      <c r="A936">
        <v>9345000</v>
      </c>
      <c r="B936">
        <v>0</v>
      </c>
      <c r="C936">
        <v>0</v>
      </c>
      <c r="D936">
        <v>0</v>
      </c>
      <c r="E936">
        <v>1</v>
      </c>
      <c r="F936">
        <v>0</v>
      </c>
      <c r="G936">
        <v>0</v>
      </c>
      <c r="H936">
        <v>0</v>
      </c>
      <c r="I936">
        <v>1</v>
      </c>
      <c r="J936">
        <v>0</v>
      </c>
    </row>
    <row r="937" spans="1:10" x14ac:dyDescent="0.25">
      <c r="A937">
        <v>9355000</v>
      </c>
      <c r="B937">
        <v>0</v>
      </c>
      <c r="C937">
        <v>0</v>
      </c>
      <c r="D937">
        <v>0</v>
      </c>
      <c r="E937">
        <v>1</v>
      </c>
      <c r="F937">
        <v>0</v>
      </c>
      <c r="G937">
        <v>0</v>
      </c>
      <c r="H937">
        <v>0</v>
      </c>
      <c r="I937">
        <v>1</v>
      </c>
      <c r="J937">
        <v>0</v>
      </c>
    </row>
    <row r="938" spans="1:10" x14ac:dyDescent="0.25">
      <c r="A938">
        <v>9365000</v>
      </c>
      <c r="B938">
        <v>0</v>
      </c>
      <c r="C938">
        <v>0</v>
      </c>
      <c r="D938">
        <v>0</v>
      </c>
      <c r="E938">
        <v>1</v>
      </c>
      <c r="F938">
        <v>0</v>
      </c>
      <c r="G938">
        <v>0</v>
      </c>
      <c r="H938">
        <v>0</v>
      </c>
      <c r="I938">
        <v>1</v>
      </c>
      <c r="J938">
        <v>0</v>
      </c>
    </row>
    <row r="939" spans="1:10" x14ac:dyDescent="0.25">
      <c r="A939">
        <v>9375000</v>
      </c>
      <c r="B939">
        <v>0</v>
      </c>
      <c r="C939">
        <v>0</v>
      </c>
      <c r="D939">
        <v>0</v>
      </c>
      <c r="E939">
        <v>1</v>
      </c>
      <c r="F939">
        <v>0</v>
      </c>
      <c r="G939">
        <v>0</v>
      </c>
      <c r="H939">
        <v>0</v>
      </c>
      <c r="I939">
        <v>1</v>
      </c>
      <c r="J939">
        <v>0</v>
      </c>
    </row>
    <row r="940" spans="1:10" x14ac:dyDescent="0.25">
      <c r="A940">
        <v>9385000</v>
      </c>
      <c r="B940">
        <v>0</v>
      </c>
      <c r="C940">
        <v>0</v>
      </c>
      <c r="D940">
        <v>0</v>
      </c>
      <c r="E940">
        <v>1</v>
      </c>
      <c r="F940">
        <v>0</v>
      </c>
      <c r="G940">
        <v>0</v>
      </c>
      <c r="H940">
        <v>0</v>
      </c>
      <c r="I940">
        <v>1</v>
      </c>
      <c r="J940">
        <v>0</v>
      </c>
    </row>
    <row r="941" spans="1:10" x14ac:dyDescent="0.25">
      <c r="A941">
        <v>9395000</v>
      </c>
      <c r="B941">
        <v>0</v>
      </c>
      <c r="C941">
        <v>0</v>
      </c>
      <c r="D941">
        <v>0</v>
      </c>
      <c r="E941">
        <v>1</v>
      </c>
      <c r="F941">
        <v>0</v>
      </c>
      <c r="G941">
        <v>0</v>
      </c>
      <c r="H941">
        <v>0</v>
      </c>
      <c r="I941">
        <v>1</v>
      </c>
      <c r="J941">
        <v>0</v>
      </c>
    </row>
    <row r="942" spans="1:10" x14ac:dyDescent="0.25">
      <c r="A942">
        <v>9405000</v>
      </c>
      <c r="B942">
        <v>0</v>
      </c>
      <c r="C942">
        <v>0</v>
      </c>
      <c r="D942">
        <v>0</v>
      </c>
      <c r="E942">
        <v>1</v>
      </c>
      <c r="F942">
        <v>0</v>
      </c>
      <c r="G942">
        <v>0</v>
      </c>
      <c r="H942">
        <v>0</v>
      </c>
      <c r="I942">
        <v>1</v>
      </c>
      <c r="J942">
        <v>0</v>
      </c>
    </row>
    <row r="943" spans="1:10" x14ac:dyDescent="0.25">
      <c r="A943">
        <v>9415000</v>
      </c>
      <c r="B943">
        <v>0</v>
      </c>
      <c r="C943">
        <v>0</v>
      </c>
      <c r="D943">
        <v>0</v>
      </c>
      <c r="E943">
        <v>1</v>
      </c>
      <c r="F943">
        <v>0</v>
      </c>
      <c r="G943">
        <v>0</v>
      </c>
      <c r="H943">
        <v>0</v>
      </c>
      <c r="I943">
        <v>1</v>
      </c>
      <c r="J943">
        <v>0</v>
      </c>
    </row>
    <row r="944" spans="1:10" x14ac:dyDescent="0.25">
      <c r="A944">
        <v>9425000</v>
      </c>
      <c r="B944">
        <v>0</v>
      </c>
      <c r="C944">
        <v>0</v>
      </c>
      <c r="D944">
        <v>0</v>
      </c>
      <c r="E944">
        <v>1</v>
      </c>
      <c r="F944">
        <v>0</v>
      </c>
      <c r="G944">
        <v>0</v>
      </c>
      <c r="H944">
        <v>0</v>
      </c>
      <c r="I944">
        <v>1</v>
      </c>
      <c r="J944">
        <v>0</v>
      </c>
    </row>
    <row r="945" spans="1:10" x14ac:dyDescent="0.25">
      <c r="A945">
        <v>9435000</v>
      </c>
      <c r="B945">
        <v>0</v>
      </c>
      <c r="C945">
        <v>0</v>
      </c>
      <c r="D945">
        <v>0</v>
      </c>
      <c r="E945">
        <v>1</v>
      </c>
      <c r="F945">
        <v>0</v>
      </c>
      <c r="G945">
        <v>0</v>
      </c>
      <c r="H945">
        <v>0</v>
      </c>
      <c r="I945">
        <v>1</v>
      </c>
      <c r="J945">
        <v>0</v>
      </c>
    </row>
    <row r="946" spans="1:10" x14ac:dyDescent="0.25">
      <c r="A946">
        <v>9445000</v>
      </c>
      <c r="B946">
        <v>0</v>
      </c>
      <c r="C946">
        <v>0</v>
      </c>
      <c r="D946">
        <v>0</v>
      </c>
      <c r="E946">
        <v>1</v>
      </c>
      <c r="F946">
        <v>0</v>
      </c>
      <c r="G946">
        <v>0</v>
      </c>
      <c r="H946">
        <v>0</v>
      </c>
      <c r="I946">
        <v>1</v>
      </c>
      <c r="J946">
        <v>0</v>
      </c>
    </row>
    <row r="947" spans="1:10" x14ac:dyDescent="0.25">
      <c r="A947">
        <v>9455000</v>
      </c>
      <c r="B947">
        <v>0</v>
      </c>
      <c r="C947">
        <v>0</v>
      </c>
      <c r="D947">
        <v>0</v>
      </c>
      <c r="E947">
        <v>1</v>
      </c>
      <c r="F947">
        <v>0</v>
      </c>
      <c r="G947">
        <v>0</v>
      </c>
      <c r="H947">
        <v>0</v>
      </c>
      <c r="I947">
        <v>1</v>
      </c>
      <c r="J947">
        <v>0</v>
      </c>
    </row>
    <row r="948" spans="1:10" x14ac:dyDescent="0.25">
      <c r="A948">
        <v>9465000</v>
      </c>
      <c r="B948">
        <v>0</v>
      </c>
      <c r="C948">
        <v>0</v>
      </c>
      <c r="D948">
        <v>0</v>
      </c>
      <c r="E948">
        <v>1</v>
      </c>
      <c r="F948">
        <v>0</v>
      </c>
      <c r="G948">
        <v>0</v>
      </c>
      <c r="H948">
        <v>0</v>
      </c>
      <c r="I948">
        <v>1</v>
      </c>
      <c r="J948">
        <v>0</v>
      </c>
    </row>
    <row r="949" spans="1:10" x14ac:dyDescent="0.25">
      <c r="A949">
        <v>9475000</v>
      </c>
      <c r="B949">
        <v>0</v>
      </c>
      <c r="C949">
        <v>0</v>
      </c>
      <c r="D949">
        <v>0</v>
      </c>
      <c r="E949">
        <v>1</v>
      </c>
      <c r="F949">
        <v>0</v>
      </c>
      <c r="G949">
        <v>0</v>
      </c>
      <c r="H949">
        <v>0</v>
      </c>
      <c r="I949">
        <v>1</v>
      </c>
      <c r="J949">
        <v>0</v>
      </c>
    </row>
    <row r="950" spans="1:10" x14ac:dyDescent="0.25">
      <c r="A950">
        <v>9485000</v>
      </c>
      <c r="B950">
        <v>0</v>
      </c>
      <c r="C950">
        <v>0</v>
      </c>
      <c r="D950">
        <v>0</v>
      </c>
      <c r="E950">
        <v>1</v>
      </c>
      <c r="F950">
        <v>0</v>
      </c>
      <c r="G950">
        <v>0</v>
      </c>
      <c r="H950">
        <v>0</v>
      </c>
      <c r="I950">
        <v>1</v>
      </c>
      <c r="J950">
        <v>0</v>
      </c>
    </row>
    <row r="951" spans="1:10" x14ac:dyDescent="0.25">
      <c r="A951">
        <v>9495000</v>
      </c>
      <c r="B951">
        <v>0</v>
      </c>
      <c r="C951">
        <v>0</v>
      </c>
      <c r="D951">
        <v>0</v>
      </c>
      <c r="E951">
        <v>1</v>
      </c>
      <c r="F951">
        <v>0</v>
      </c>
      <c r="G951">
        <v>0</v>
      </c>
      <c r="H951">
        <v>0</v>
      </c>
      <c r="I951">
        <v>1</v>
      </c>
      <c r="J951">
        <v>0</v>
      </c>
    </row>
    <row r="952" spans="1:10" x14ac:dyDescent="0.25">
      <c r="A952">
        <v>9505000</v>
      </c>
      <c r="B952">
        <v>0</v>
      </c>
      <c r="C952">
        <v>0</v>
      </c>
      <c r="D952">
        <v>0</v>
      </c>
      <c r="E952">
        <v>1</v>
      </c>
      <c r="F952">
        <v>0</v>
      </c>
      <c r="G952">
        <v>0</v>
      </c>
      <c r="H952">
        <v>0</v>
      </c>
      <c r="I952">
        <v>1</v>
      </c>
      <c r="J952">
        <v>0</v>
      </c>
    </row>
    <row r="953" spans="1:10" x14ac:dyDescent="0.25">
      <c r="A953">
        <v>9515000</v>
      </c>
      <c r="B953">
        <v>0</v>
      </c>
      <c r="C953">
        <v>0</v>
      </c>
      <c r="D953">
        <v>0</v>
      </c>
      <c r="E953">
        <v>1</v>
      </c>
      <c r="F953">
        <v>0</v>
      </c>
      <c r="G953">
        <v>0</v>
      </c>
      <c r="H953">
        <v>0</v>
      </c>
      <c r="I953">
        <v>1</v>
      </c>
      <c r="J953">
        <v>0</v>
      </c>
    </row>
    <row r="954" spans="1:10" x14ac:dyDescent="0.25">
      <c r="A954">
        <v>9525000</v>
      </c>
      <c r="B954">
        <v>0</v>
      </c>
      <c r="C954">
        <v>0</v>
      </c>
      <c r="D954">
        <v>0</v>
      </c>
      <c r="E954">
        <v>1</v>
      </c>
      <c r="F954">
        <v>0</v>
      </c>
      <c r="G954">
        <v>0</v>
      </c>
      <c r="H954">
        <v>0</v>
      </c>
      <c r="I954">
        <v>1</v>
      </c>
      <c r="J954">
        <v>0</v>
      </c>
    </row>
    <row r="955" spans="1:10" x14ac:dyDescent="0.25">
      <c r="A955">
        <v>9535000</v>
      </c>
      <c r="B955">
        <v>0</v>
      </c>
      <c r="C955">
        <v>0</v>
      </c>
      <c r="D955">
        <v>0</v>
      </c>
      <c r="E955">
        <v>1</v>
      </c>
      <c r="F955">
        <v>0</v>
      </c>
      <c r="G955">
        <v>0</v>
      </c>
      <c r="H955">
        <v>0</v>
      </c>
      <c r="I955">
        <v>1</v>
      </c>
      <c r="J955">
        <v>0</v>
      </c>
    </row>
    <row r="956" spans="1:10" x14ac:dyDescent="0.25">
      <c r="A956">
        <v>9545000</v>
      </c>
      <c r="B956">
        <v>0</v>
      </c>
      <c r="C956">
        <v>0</v>
      </c>
      <c r="D956">
        <v>0</v>
      </c>
      <c r="E956">
        <v>1</v>
      </c>
      <c r="F956">
        <v>0</v>
      </c>
      <c r="G956">
        <v>0</v>
      </c>
      <c r="H956">
        <v>0</v>
      </c>
      <c r="I956">
        <v>1</v>
      </c>
      <c r="J956">
        <v>0</v>
      </c>
    </row>
    <row r="957" spans="1:10" x14ac:dyDescent="0.25">
      <c r="A957">
        <v>9555000</v>
      </c>
      <c r="B957">
        <v>0</v>
      </c>
      <c r="C957">
        <v>0</v>
      </c>
      <c r="D957">
        <v>0</v>
      </c>
      <c r="E957">
        <v>1</v>
      </c>
      <c r="F957">
        <v>0</v>
      </c>
      <c r="G957">
        <v>0</v>
      </c>
      <c r="H957">
        <v>0</v>
      </c>
      <c r="I957">
        <v>1</v>
      </c>
      <c r="J957">
        <v>0</v>
      </c>
    </row>
    <row r="958" spans="1:10" x14ac:dyDescent="0.25">
      <c r="A958">
        <v>9565000</v>
      </c>
      <c r="B958">
        <v>0</v>
      </c>
      <c r="C958">
        <v>0</v>
      </c>
      <c r="D958">
        <v>0</v>
      </c>
      <c r="E958">
        <v>1</v>
      </c>
      <c r="F958">
        <v>0</v>
      </c>
      <c r="G958">
        <v>0</v>
      </c>
      <c r="H958">
        <v>0</v>
      </c>
      <c r="I958">
        <v>1</v>
      </c>
      <c r="J958">
        <v>0</v>
      </c>
    </row>
    <row r="959" spans="1:10" x14ac:dyDescent="0.25">
      <c r="A959">
        <v>9575000</v>
      </c>
      <c r="B959">
        <v>0</v>
      </c>
      <c r="C959">
        <v>0</v>
      </c>
      <c r="D959">
        <v>0</v>
      </c>
      <c r="E959">
        <v>1</v>
      </c>
      <c r="F959">
        <v>0</v>
      </c>
      <c r="G959">
        <v>0</v>
      </c>
      <c r="H959">
        <v>0</v>
      </c>
      <c r="I959">
        <v>1</v>
      </c>
      <c r="J959">
        <v>0</v>
      </c>
    </row>
    <row r="960" spans="1:10" x14ac:dyDescent="0.25">
      <c r="A960">
        <v>9585000</v>
      </c>
      <c r="B960">
        <v>0</v>
      </c>
      <c r="C960">
        <v>0</v>
      </c>
      <c r="D960">
        <v>0</v>
      </c>
      <c r="E960">
        <v>1</v>
      </c>
      <c r="F960">
        <v>0</v>
      </c>
      <c r="G960">
        <v>0</v>
      </c>
      <c r="H960">
        <v>0</v>
      </c>
      <c r="I960">
        <v>1</v>
      </c>
      <c r="J960">
        <v>0</v>
      </c>
    </row>
    <row r="961" spans="1:10" x14ac:dyDescent="0.25">
      <c r="A961">
        <v>9595000</v>
      </c>
      <c r="B961">
        <v>0</v>
      </c>
      <c r="C961">
        <v>0</v>
      </c>
      <c r="D961">
        <v>0</v>
      </c>
      <c r="E961">
        <v>1</v>
      </c>
      <c r="F961">
        <v>0</v>
      </c>
      <c r="G961">
        <v>0</v>
      </c>
      <c r="H961">
        <v>0</v>
      </c>
      <c r="I961">
        <v>1</v>
      </c>
      <c r="J961">
        <v>0</v>
      </c>
    </row>
    <row r="962" spans="1:10" x14ac:dyDescent="0.25">
      <c r="A962">
        <v>9605000</v>
      </c>
      <c r="B962">
        <v>0</v>
      </c>
      <c r="C962">
        <v>0</v>
      </c>
      <c r="D962">
        <v>0</v>
      </c>
      <c r="E962">
        <v>1</v>
      </c>
      <c r="F962">
        <v>0</v>
      </c>
      <c r="G962">
        <v>0</v>
      </c>
      <c r="H962">
        <v>0</v>
      </c>
      <c r="I962">
        <v>1</v>
      </c>
      <c r="J962">
        <v>0</v>
      </c>
    </row>
    <row r="963" spans="1:10" x14ac:dyDescent="0.25">
      <c r="A963">
        <v>9615000</v>
      </c>
      <c r="B963">
        <v>0</v>
      </c>
      <c r="C963">
        <v>0</v>
      </c>
      <c r="D963">
        <v>0</v>
      </c>
      <c r="E963">
        <v>1</v>
      </c>
      <c r="F963">
        <v>0</v>
      </c>
      <c r="G963">
        <v>0</v>
      </c>
      <c r="H963">
        <v>0</v>
      </c>
      <c r="I963">
        <v>1</v>
      </c>
      <c r="J963">
        <v>0</v>
      </c>
    </row>
    <row r="964" spans="1:10" x14ac:dyDescent="0.25">
      <c r="A964">
        <v>9625000</v>
      </c>
      <c r="B964">
        <v>0</v>
      </c>
      <c r="C964">
        <v>0</v>
      </c>
      <c r="D964">
        <v>0</v>
      </c>
      <c r="E964">
        <v>1</v>
      </c>
      <c r="F964">
        <v>0</v>
      </c>
      <c r="G964">
        <v>0</v>
      </c>
      <c r="H964">
        <v>0</v>
      </c>
      <c r="I964">
        <v>1</v>
      </c>
      <c r="J964">
        <v>0</v>
      </c>
    </row>
    <row r="965" spans="1:10" x14ac:dyDescent="0.25">
      <c r="A965">
        <v>9635000</v>
      </c>
      <c r="B965">
        <v>0</v>
      </c>
      <c r="C965">
        <v>0</v>
      </c>
      <c r="D965">
        <v>0</v>
      </c>
      <c r="E965">
        <v>1</v>
      </c>
      <c r="F965">
        <v>0</v>
      </c>
      <c r="G965">
        <v>0</v>
      </c>
      <c r="H965">
        <v>0</v>
      </c>
      <c r="I965">
        <v>1</v>
      </c>
      <c r="J965">
        <v>0</v>
      </c>
    </row>
    <row r="966" spans="1:10" x14ac:dyDescent="0.25">
      <c r="A966">
        <v>9645000</v>
      </c>
      <c r="B966">
        <v>0</v>
      </c>
      <c r="C966">
        <v>0</v>
      </c>
      <c r="D966">
        <v>0</v>
      </c>
      <c r="E966">
        <v>1</v>
      </c>
      <c r="F966">
        <v>0</v>
      </c>
      <c r="G966">
        <v>0</v>
      </c>
      <c r="H966">
        <v>0</v>
      </c>
      <c r="I966">
        <v>1</v>
      </c>
      <c r="J966">
        <v>0</v>
      </c>
    </row>
    <row r="967" spans="1:10" x14ac:dyDescent="0.25">
      <c r="A967">
        <v>9655000</v>
      </c>
      <c r="B967">
        <v>0</v>
      </c>
      <c r="C967">
        <v>0</v>
      </c>
      <c r="D967">
        <v>0</v>
      </c>
      <c r="E967">
        <v>1</v>
      </c>
      <c r="F967">
        <v>0</v>
      </c>
      <c r="G967">
        <v>0</v>
      </c>
      <c r="H967">
        <v>0</v>
      </c>
      <c r="I967">
        <v>1</v>
      </c>
      <c r="J967">
        <v>0</v>
      </c>
    </row>
    <row r="968" spans="1:10" x14ac:dyDescent="0.25">
      <c r="A968">
        <v>9665000</v>
      </c>
      <c r="B968">
        <v>0</v>
      </c>
      <c r="C968">
        <v>0</v>
      </c>
      <c r="D968">
        <v>0</v>
      </c>
      <c r="E968">
        <v>1</v>
      </c>
      <c r="F968">
        <v>0</v>
      </c>
      <c r="G968">
        <v>0</v>
      </c>
      <c r="H968">
        <v>0</v>
      </c>
      <c r="I968">
        <v>1</v>
      </c>
      <c r="J968">
        <v>0</v>
      </c>
    </row>
    <row r="969" spans="1:10" x14ac:dyDescent="0.25">
      <c r="A969">
        <v>9675000</v>
      </c>
      <c r="B969">
        <v>0</v>
      </c>
      <c r="C969">
        <v>0</v>
      </c>
      <c r="D969">
        <v>0</v>
      </c>
      <c r="E969">
        <v>1</v>
      </c>
      <c r="F969">
        <v>0</v>
      </c>
      <c r="G969">
        <v>0</v>
      </c>
      <c r="H969">
        <v>0</v>
      </c>
      <c r="I969">
        <v>1</v>
      </c>
      <c r="J969">
        <v>0</v>
      </c>
    </row>
    <row r="970" spans="1:10" x14ac:dyDescent="0.25">
      <c r="A970">
        <v>9685000</v>
      </c>
      <c r="B970">
        <v>0</v>
      </c>
      <c r="C970">
        <v>0</v>
      </c>
      <c r="D970">
        <v>0</v>
      </c>
      <c r="E970">
        <v>1</v>
      </c>
      <c r="F970">
        <v>0</v>
      </c>
      <c r="G970">
        <v>0</v>
      </c>
      <c r="H970">
        <v>0</v>
      </c>
      <c r="I970">
        <v>1</v>
      </c>
      <c r="J970">
        <v>0</v>
      </c>
    </row>
    <row r="971" spans="1:10" x14ac:dyDescent="0.25">
      <c r="A971">
        <v>9695000</v>
      </c>
      <c r="B971">
        <v>0</v>
      </c>
      <c r="C971">
        <v>0</v>
      </c>
      <c r="D971">
        <v>0</v>
      </c>
      <c r="E971">
        <v>1</v>
      </c>
      <c r="F971">
        <v>0</v>
      </c>
      <c r="G971">
        <v>0</v>
      </c>
      <c r="H971">
        <v>0</v>
      </c>
      <c r="I971">
        <v>1</v>
      </c>
      <c r="J971">
        <v>0</v>
      </c>
    </row>
    <row r="972" spans="1:10" x14ac:dyDescent="0.25">
      <c r="A972">
        <v>9705000</v>
      </c>
      <c r="B972">
        <v>0</v>
      </c>
      <c r="C972">
        <v>0</v>
      </c>
      <c r="D972">
        <v>0</v>
      </c>
      <c r="E972">
        <v>1</v>
      </c>
      <c r="F972">
        <v>0</v>
      </c>
      <c r="G972">
        <v>0</v>
      </c>
      <c r="H972">
        <v>0</v>
      </c>
      <c r="I972">
        <v>1</v>
      </c>
      <c r="J972">
        <v>0</v>
      </c>
    </row>
    <row r="973" spans="1:10" x14ac:dyDescent="0.25">
      <c r="A973">
        <v>9715000</v>
      </c>
      <c r="B973">
        <v>0</v>
      </c>
      <c r="C973">
        <v>0</v>
      </c>
      <c r="D973">
        <v>0</v>
      </c>
      <c r="E973">
        <v>1</v>
      </c>
      <c r="F973">
        <v>0</v>
      </c>
      <c r="G973">
        <v>0</v>
      </c>
      <c r="H973">
        <v>0</v>
      </c>
      <c r="I973">
        <v>1</v>
      </c>
      <c r="J973">
        <v>0</v>
      </c>
    </row>
    <row r="974" spans="1:10" x14ac:dyDescent="0.25">
      <c r="A974">
        <v>9725000</v>
      </c>
      <c r="B974">
        <v>0</v>
      </c>
      <c r="C974">
        <v>0</v>
      </c>
      <c r="D974">
        <v>0</v>
      </c>
      <c r="E974">
        <v>1</v>
      </c>
      <c r="F974">
        <v>0</v>
      </c>
      <c r="G974">
        <v>0</v>
      </c>
      <c r="H974">
        <v>0</v>
      </c>
      <c r="I974">
        <v>1</v>
      </c>
      <c r="J974">
        <v>0</v>
      </c>
    </row>
    <row r="975" spans="1:10" x14ac:dyDescent="0.25">
      <c r="A975">
        <v>9735000</v>
      </c>
      <c r="B975">
        <v>0</v>
      </c>
      <c r="C975">
        <v>0</v>
      </c>
      <c r="D975">
        <v>0</v>
      </c>
      <c r="E975">
        <v>1</v>
      </c>
      <c r="F975">
        <v>0</v>
      </c>
      <c r="G975">
        <v>0</v>
      </c>
      <c r="H975">
        <v>0</v>
      </c>
      <c r="I975">
        <v>1</v>
      </c>
      <c r="J975">
        <v>0</v>
      </c>
    </row>
    <row r="976" spans="1:10" x14ac:dyDescent="0.25">
      <c r="A976">
        <v>9745000</v>
      </c>
      <c r="B976">
        <v>0</v>
      </c>
      <c r="C976">
        <v>0</v>
      </c>
      <c r="D976">
        <v>0</v>
      </c>
      <c r="E976">
        <v>1</v>
      </c>
      <c r="F976">
        <v>0</v>
      </c>
      <c r="G976">
        <v>0</v>
      </c>
      <c r="H976">
        <v>0</v>
      </c>
      <c r="I976">
        <v>1</v>
      </c>
      <c r="J976">
        <v>0</v>
      </c>
    </row>
    <row r="977" spans="1:10" x14ac:dyDescent="0.25">
      <c r="A977">
        <v>9755000</v>
      </c>
      <c r="B977">
        <v>0</v>
      </c>
      <c r="C977">
        <v>0</v>
      </c>
      <c r="D977">
        <v>0</v>
      </c>
      <c r="E977">
        <v>1</v>
      </c>
      <c r="F977">
        <v>0</v>
      </c>
      <c r="G977">
        <v>0</v>
      </c>
      <c r="H977">
        <v>0</v>
      </c>
      <c r="I977">
        <v>1</v>
      </c>
      <c r="J977">
        <v>0</v>
      </c>
    </row>
    <row r="978" spans="1:10" x14ac:dyDescent="0.25">
      <c r="A978">
        <v>9765000</v>
      </c>
      <c r="B978">
        <v>0</v>
      </c>
      <c r="C978">
        <v>0</v>
      </c>
      <c r="D978">
        <v>0</v>
      </c>
      <c r="E978">
        <v>1</v>
      </c>
      <c r="F978">
        <v>0</v>
      </c>
      <c r="G978">
        <v>0</v>
      </c>
      <c r="H978">
        <v>0</v>
      </c>
      <c r="I978">
        <v>1</v>
      </c>
      <c r="J978">
        <v>0</v>
      </c>
    </row>
    <row r="979" spans="1:10" x14ac:dyDescent="0.25">
      <c r="A979">
        <v>9775000</v>
      </c>
      <c r="B979">
        <v>0</v>
      </c>
      <c r="C979">
        <v>0</v>
      </c>
      <c r="D979">
        <v>0</v>
      </c>
      <c r="E979">
        <v>1</v>
      </c>
      <c r="F979">
        <v>0</v>
      </c>
      <c r="G979">
        <v>0</v>
      </c>
      <c r="H979">
        <v>0</v>
      </c>
      <c r="I979">
        <v>1</v>
      </c>
      <c r="J979">
        <v>0</v>
      </c>
    </row>
    <row r="980" spans="1:10" x14ac:dyDescent="0.25">
      <c r="A980">
        <v>9785000</v>
      </c>
      <c r="B980">
        <v>0</v>
      </c>
      <c r="C980">
        <v>0</v>
      </c>
      <c r="D980">
        <v>0</v>
      </c>
      <c r="E980">
        <v>1</v>
      </c>
      <c r="F980">
        <v>0</v>
      </c>
      <c r="G980">
        <v>0</v>
      </c>
      <c r="H980">
        <v>0</v>
      </c>
      <c r="I980">
        <v>1</v>
      </c>
      <c r="J980">
        <v>0</v>
      </c>
    </row>
    <row r="981" spans="1:10" x14ac:dyDescent="0.25">
      <c r="A981">
        <v>9795000</v>
      </c>
      <c r="B981">
        <v>0</v>
      </c>
      <c r="C981">
        <v>0</v>
      </c>
      <c r="D981">
        <v>0</v>
      </c>
      <c r="E981">
        <v>1</v>
      </c>
      <c r="F981">
        <v>0</v>
      </c>
      <c r="G981">
        <v>0</v>
      </c>
      <c r="H981">
        <v>0</v>
      </c>
      <c r="I981">
        <v>1</v>
      </c>
      <c r="J981">
        <v>0</v>
      </c>
    </row>
    <row r="982" spans="1:10" x14ac:dyDescent="0.25">
      <c r="A982">
        <v>9805000</v>
      </c>
      <c r="B982">
        <v>0</v>
      </c>
      <c r="C982">
        <v>0</v>
      </c>
      <c r="D982">
        <v>0</v>
      </c>
      <c r="E982">
        <v>1</v>
      </c>
      <c r="F982">
        <v>0</v>
      </c>
      <c r="G982">
        <v>0</v>
      </c>
      <c r="H982">
        <v>0</v>
      </c>
      <c r="I982">
        <v>1</v>
      </c>
      <c r="J982">
        <v>0</v>
      </c>
    </row>
    <row r="983" spans="1:10" x14ac:dyDescent="0.25">
      <c r="A983">
        <v>9815000</v>
      </c>
      <c r="B983">
        <v>0</v>
      </c>
      <c r="C983">
        <v>0</v>
      </c>
      <c r="D983">
        <v>0</v>
      </c>
      <c r="E983">
        <v>1</v>
      </c>
      <c r="F983">
        <v>0</v>
      </c>
      <c r="G983">
        <v>0</v>
      </c>
      <c r="H983">
        <v>0</v>
      </c>
      <c r="I983">
        <v>1</v>
      </c>
      <c r="J983">
        <v>0</v>
      </c>
    </row>
    <row r="984" spans="1:10" x14ac:dyDescent="0.25">
      <c r="A984">
        <v>9825000</v>
      </c>
      <c r="B984">
        <v>0</v>
      </c>
      <c r="C984">
        <v>0</v>
      </c>
      <c r="D984">
        <v>0</v>
      </c>
      <c r="E984">
        <v>1</v>
      </c>
      <c r="F984">
        <v>0</v>
      </c>
      <c r="G984">
        <v>0</v>
      </c>
      <c r="H984">
        <v>0</v>
      </c>
      <c r="I984">
        <v>1</v>
      </c>
      <c r="J984">
        <v>0</v>
      </c>
    </row>
    <row r="985" spans="1:10" x14ac:dyDescent="0.25">
      <c r="A985">
        <v>9835000</v>
      </c>
      <c r="B985">
        <v>0</v>
      </c>
      <c r="C985">
        <v>0</v>
      </c>
      <c r="D985">
        <v>0</v>
      </c>
      <c r="E985">
        <v>1</v>
      </c>
      <c r="F985">
        <v>0</v>
      </c>
      <c r="G985">
        <v>0</v>
      </c>
      <c r="H985">
        <v>0</v>
      </c>
      <c r="I985">
        <v>1</v>
      </c>
      <c r="J985">
        <v>0</v>
      </c>
    </row>
    <row r="986" spans="1:10" x14ac:dyDescent="0.25">
      <c r="A986">
        <v>9845000</v>
      </c>
      <c r="B986">
        <v>0</v>
      </c>
      <c r="C986">
        <v>0</v>
      </c>
      <c r="D986">
        <v>0</v>
      </c>
      <c r="E986">
        <v>1</v>
      </c>
      <c r="F986">
        <v>0</v>
      </c>
      <c r="G986">
        <v>0</v>
      </c>
      <c r="H986">
        <v>0</v>
      </c>
      <c r="I986">
        <v>1</v>
      </c>
      <c r="J986">
        <v>0</v>
      </c>
    </row>
    <row r="987" spans="1:10" x14ac:dyDescent="0.25">
      <c r="A987">
        <v>9855000</v>
      </c>
      <c r="B987">
        <v>0</v>
      </c>
      <c r="C987">
        <v>0</v>
      </c>
      <c r="D987">
        <v>0</v>
      </c>
      <c r="E987">
        <v>1</v>
      </c>
      <c r="F987">
        <v>0</v>
      </c>
      <c r="G987">
        <v>0</v>
      </c>
      <c r="H987">
        <v>0</v>
      </c>
      <c r="I987">
        <v>1</v>
      </c>
      <c r="J987">
        <v>0</v>
      </c>
    </row>
    <row r="988" spans="1:10" x14ac:dyDescent="0.25">
      <c r="A988">
        <v>9865000</v>
      </c>
      <c r="B988">
        <v>0</v>
      </c>
      <c r="C988">
        <v>0</v>
      </c>
      <c r="D988">
        <v>0</v>
      </c>
      <c r="E988">
        <v>1</v>
      </c>
      <c r="F988">
        <v>0</v>
      </c>
      <c r="G988">
        <v>0</v>
      </c>
      <c r="H988">
        <v>0</v>
      </c>
      <c r="I988">
        <v>1</v>
      </c>
      <c r="J988">
        <v>0</v>
      </c>
    </row>
    <row r="989" spans="1:10" x14ac:dyDescent="0.25">
      <c r="A989">
        <v>9875000</v>
      </c>
      <c r="B989">
        <v>0</v>
      </c>
      <c r="C989">
        <v>0</v>
      </c>
      <c r="D989">
        <v>0</v>
      </c>
      <c r="E989">
        <v>1</v>
      </c>
      <c r="F989">
        <v>0</v>
      </c>
      <c r="G989">
        <v>0</v>
      </c>
      <c r="H989">
        <v>0</v>
      </c>
      <c r="I989">
        <v>1</v>
      </c>
      <c r="J989">
        <v>0</v>
      </c>
    </row>
    <row r="990" spans="1:10" x14ac:dyDescent="0.25">
      <c r="A990">
        <v>9885000</v>
      </c>
      <c r="B990">
        <v>0</v>
      </c>
      <c r="C990">
        <v>0</v>
      </c>
      <c r="D990">
        <v>0</v>
      </c>
      <c r="E990">
        <v>1</v>
      </c>
      <c r="F990">
        <v>0</v>
      </c>
      <c r="G990">
        <v>0</v>
      </c>
      <c r="H990">
        <v>0</v>
      </c>
      <c r="I990">
        <v>1</v>
      </c>
      <c r="J990">
        <v>0</v>
      </c>
    </row>
    <row r="991" spans="1:10" x14ac:dyDescent="0.25">
      <c r="A991">
        <v>9895000</v>
      </c>
      <c r="B991">
        <v>0</v>
      </c>
      <c r="C991">
        <v>0</v>
      </c>
      <c r="D991">
        <v>0</v>
      </c>
      <c r="E991">
        <v>1</v>
      </c>
      <c r="F991">
        <v>0</v>
      </c>
      <c r="G991">
        <v>0</v>
      </c>
      <c r="H991">
        <v>0</v>
      </c>
      <c r="I991">
        <v>1</v>
      </c>
      <c r="J991">
        <v>0</v>
      </c>
    </row>
    <row r="992" spans="1:10" x14ac:dyDescent="0.25">
      <c r="A992">
        <v>9905000</v>
      </c>
      <c r="B992">
        <v>0</v>
      </c>
      <c r="C992">
        <v>0</v>
      </c>
      <c r="D992">
        <v>0</v>
      </c>
      <c r="E992">
        <v>1</v>
      </c>
      <c r="F992">
        <v>0</v>
      </c>
      <c r="G992">
        <v>0</v>
      </c>
      <c r="H992">
        <v>0</v>
      </c>
      <c r="I992">
        <v>1</v>
      </c>
      <c r="J992">
        <v>0</v>
      </c>
    </row>
    <row r="993" spans="1:10" x14ac:dyDescent="0.25">
      <c r="A993">
        <v>9915000</v>
      </c>
      <c r="B993">
        <v>0</v>
      </c>
      <c r="C993">
        <v>0</v>
      </c>
      <c r="D993">
        <v>0</v>
      </c>
      <c r="E993">
        <v>1</v>
      </c>
      <c r="F993">
        <v>0</v>
      </c>
      <c r="G993">
        <v>0</v>
      </c>
      <c r="H993">
        <v>0</v>
      </c>
      <c r="I993">
        <v>1</v>
      </c>
      <c r="J993">
        <v>0</v>
      </c>
    </row>
    <row r="994" spans="1:10" x14ac:dyDescent="0.25">
      <c r="A994">
        <v>9925000</v>
      </c>
      <c r="B994">
        <v>0</v>
      </c>
      <c r="C994">
        <v>0</v>
      </c>
      <c r="D994">
        <v>0</v>
      </c>
      <c r="E994">
        <v>1</v>
      </c>
      <c r="F994">
        <v>0</v>
      </c>
      <c r="G994">
        <v>0</v>
      </c>
      <c r="H994">
        <v>0</v>
      </c>
      <c r="I994">
        <v>1</v>
      </c>
      <c r="J994">
        <v>0</v>
      </c>
    </row>
    <row r="995" spans="1:10" x14ac:dyDescent="0.25">
      <c r="A995">
        <v>9935000</v>
      </c>
      <c r="B995">
        <v>0</v>
      </c>
      <c r="C995">
        <v>0</v>
      </c>
      <c r="D995">
        <v>0</v>
      </c>
      <c r="E995">
        <v>1</v>
      </c>
      <c r="F995">
        <v>0</v>
      </c>
      <c r="G995">
        <v>0</v>
      </c>
      <c r="H995">
        <v>0</v>
      </c>
      <c r="I995">
        <v>1</v>
      </c>
      <c r="J995">
        <v>0</v>
      </c>
    </row>
    <row r="996" spans="1:10" x14ac:dyDescent="0.25">
      <c r="A996">
        <v>9945000</v>
      </c>
      <c r="B996">
        <v>0</v>
      </c>
      <c r="C996">
        <v>0</v>
      </c>
      <c r="D996">
        <v>0</v>
      </c>
      <c r="E996">
        <v>1</v>
      </c>
      <c r="F996">
        <v>0</v>
      </c>
      <c r="G996">
        <v>0</v>
      </c>
      <c r="H996">
        <v>0</v>
      </c>
      <c r="I996">
        <v>1</v>
      </c>
      <c r="J996">
        <v>0</v>
      </c>
    </row>
    <row r="997" spans="1:10" x14ac:dyDescent="0.25">
      <c r="A997">
        <v>9955000</v>
      </c>
      <c r="B997">
        <v>0</v>
      </c>
      <c r="C997">
        <v>0</v>
      </c>
      <c r="D997">
        <v>0</v>
      </c>
      <c r="E997">
        <v>1</v>
      </c>
      <c r="F997">
        <v>0</v>
      </c>
      <c r="G997">
        <v>0</v>
      </c>
      <c r="H997">
        <v>0</v>
      </c>
      <c r="I997">
        <v>1</v>
      </c>
      <c r="J997">
        <v>0</v>
      </c>
    </row>
    <row r="998" spans="1:10" x14ac:dyDescent="0.25">
      <c r="A998">
        <v>9965000</v>
      </c>
      <c r="B998">
        <v>0</v>
      </c>
      <c r="C998">
        <v>0</v>
      </c>
      <c r="D998">
        <v>0</v>
      </c>
      <c r="E998">
        <v>1</v>
      </c>
      <c r="F998">
        <v>0</v>
      </c>
      <c r="G998">
        <v>0</v>
      </c>
      <c r="H998">
        <v>0</v>
      </c>
      <c r="I998">
        <v>1</v>
      </c>
      <c r="J998">
        <v>0</v>
      </c>
    </row>
    <row r="999" spans="1:10" x14ac:dyDescent="0.25">
      <c r="A999">
        <v>9975000</v>
      </c>
      <c r="B999">
        <v>0</v>
      </c>
      <c r="C999">
        <v>0</v>
      </c>
      <c r="D999">
        <v>0</v>
      </c>
      <c r="E999">
        <v>1</v>
      </c>
      <c r="F999">
        <v>0</v>
      </c>
      <c r="G999">
        <v>0</v>
      </c>
      <c r="H999">
        <v>0</v>
      </c>
      <c r="I999">
        <v>1</v>
      </c>
      <c r="J999">
        <v>0</v>
      </c>
    </row>
    <row r="1000" spans="1:10" x14ac:dyDescent="0.25">
      <c r="A1000">
        <v>9985000</v>
      </c>
      <c r="B1000">
        <v>0</v>
      </c>
      <c r="C1000">
        <v>0</v>
      </c>
      <c r="D1000">
        <v>0</v>
      </c>
      <c r="E1000">
        <v>1</v>
      </c>
      <c r="F1000">
        <v>0</v>
      </c>
      <c r="G1000">
        <v>0</v>
      </c>
      <c r="H1000">
        <v>0</v>
      </c>
      <c r="I1000">
        <v>1</v>
      </c>
      <c r="J1000">
        <v>0</v>
      </c>
    </row>
    <row r="1001" spans="1:10" x14ac:dyDescent="0.25">
      <c r="A1001">
        <v>9995000</v>
      </c>
      <c r="B1001">
        <v>0</v>
      </c>
      <c r="C1001">
        <v>0</v>
      </c>
      <c r="D1001">
        <v>0</v>
      </c>
      <c r="E1001">
        <v>1</v>
      </c>
      <c r="F1001">
        <v>0</v>
      </c>
      <c r="G1001">
        <v>0</v>
      </c>
      <c r="H1001">
        <v>0</v>
      </c>
      <c r="I1001">
        <v>1</v>
      </c>
      <c r="J1001">
        <v>0</v>
      </c>
    </row>
    <row r="1002" spans="1:10" x14ac:dyDescent="0.25">
      <c r="A1002">
        <v>10005000</v>
      </c>
      <c r="B1002">
        <v>0</v>
      </c>
      <c r="C1002">
        <v>0</v>
      </c>
      <c r="D1002">
        <v>0</v>
      </c>
      <c r="E1002">
        <v>1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0" x14ac:dyDescent="0.25">
      <c r="A1003">
        <v>10015000</v>
      </c>
      <c r="B1003">
        <v>0</v>
      </c>
      <c r="C1003">
        <v>0</v>
      </c>
      <c r="D1003">
        <v>0</v>
      </c>
      <c r="E1003">
        <v>1</v>
      </c>
      <c r="F1003">
        <v>0</v>
      </c>
      <c r="G1003">
        <v>0</v>
      </c>
      <c r="H1003">
        <v>0</v>
      </c>
      <c r="I1003">
        <v>0</v>
      </c>
      <c r="J1003">
        <v>0</v>
      </c>
    </row>
    <row r="1004" spans="1:10" x14ac:dyDescent="0.25">
      <c r="A1004">
        <v>10025000</v>
      </c>
      <c r="B1004">
        <v>0</v>
      </c>
      <c r="C1004">
        <v>0</v>
      </c>
      <c r="D1004">
        <v>0</v>
      </c>
      <c r="E1004">
        <v>1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0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6" priority="3" operator="greaterThan">
      <formula>0</formula>
    </cfRule>
  </conditionalFormatting>
  <conditionalFormatting sqref="A1:AX277">
    <cfRule type="cellIs" dxfId="5" priority="2" operator="greaterThan">
      <formula>0</formula>
    </cfRule>
  </conditionalFormatting>
  <conditionalFormatting sqref="A1:AU10001">
    <cfRule type="cellIs" dxfId="4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topLeftCell="A562" zoomScale="55" zoomScaleNormal="55" workbookViewId="0">
      <selection activeCell="C18" sqref="C18"/>
    </sheetView>
  </sheetViews>
  <sheetFormatPr defaultRowHeight="15" x14ac:dyDescent="0.25"/>
  <cols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rxdata</v>
      </c>
      <c r="B1" t="str">
        <f>Book1!F3</f>
        <v>rxdatavalid</v>
      </c>
      <c r="C1" t="str">
        <f>Book1!G3</f>
        <v>rxdatalast</v>
      </c>
      <c r="D1" t="str">
        <f>Book1!L3</f>
        <v>txdataready</v>
      </c>
    </row>
    <row r="2" spans="1:25" x14ac:dyDescent="0.25">
      <c r="A2" t="s">
        <v>44</v>
      </c>
      <c r="B2" t="s">
        <v>46</v>
      </c>
      <c r="C2" t="s">
        <v>47</v>
      </c>
      <c r="D2" t="s">
        <v>48</v>
      </c>
      <c r="M2" s="18"/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Book1!L5</f>
        <v>1</v>
      </c>
    </row>
    <row r="4" spans="1:25" x14ac:dyDescent="0.25">
      <c r="A4">
        <f>Book1!E6</f>
        <v>0</v>
      </c>
      <c r="B4">
        <f>Book1!F6</f>
        <v>0</v>
      </c>
      <c r="C4">
        <f>Book1!G6</f>
        <v>0</v>
      </c>
      <c r="D4">
        <f>Book1!L6</f>
        <v>1</v>
      </c>
    </row>
    <row r="5" spans="1:25" x14ac:dyDescent="0.25">
      <c r="A5">
        <f>Book1!E7</f>
        <v>0</v>
      </c>
      <c r="B5">
        <f>Book1!F7</f>
        <v>0</v>
      </c>
      <c r="C5">
        <f>Book1!G7</f>
        <v>0</v>
      </c>
      <c r="D5">
        <f>Book1!L7</f>
        <v>1</v>
      </c>
    </row>
    <row r="6" spans="1:25" x14ac:dyDescent="0.25">
      <c r="A6">
        <f>Book1!E8</f>
        <v>0</v>
      </c>
      <c r="B6">
        <f>Book1!F8</f>
        <v>0</v>
      </c>
      <c r="C6">
        <f>Book1!G8</f>
        <v>0</v>
      </c>
      <c r="D6">
        <f>Book1!L8</f>
        <v>1</v>
      </c>
    </row>
    <row r="7" spans="1:25" x14ac:dyDescent="0.25">
      <c r="A7">
        <f>Book1!E9</f>
        <v>0</v>
      </c>
      <c r="B7">
        <f>Book1!F9</f>
        <v>0</v>
      </c>
      <c r="C7">
        <f>Book1!G9</f>
        <v>0</v>
      </c>
      <c r="D7">
        <f>Book1!L9</f>
        <v>1</v>
      </c>
    </row>
    <row r="8" spans="1:25" x14ac:dyDescent="0.25">
      <c r="A8">
        <f>Book1!E10</f>
        <v>0</v>
      </c>
      <c r="B8">
        <f>Book1!F10</f>
        <v>0</v>
      </c>
      <c r="C8">
        <f>Book1!G10</f>
        <v>0</v>
      </c>
      <c r="D8">
        <f>Book1!L10</f>
        <v>1</v>
      </c>
    </row>
    <row r="9" spans="1:25" x14ac:dyDescent="0.25">
      <c r="A9">
        <f>Book1!E11</f>
        <v>0</v>
      </c>
      <c r="B9">
        <f>Book1!F11</f>
        <v>0</v>
      </c>
      <c r="C9">
        <f>Book1!G11</f>
        <v>0</v>
      </c>
      <c r="D9">
        <f>Book1!L11</f>
        <v>1</v>
      </c>
    </row>
    <row r="10" spans="1:25" x14ac:dyDescent="0.25">
      <c r="A10">
        <f>Book1!E12</f>
        <v>0</v>
      </c>
      <c r="B10">
        <f>Book1!F12</f>
        <v>1</v>
      </c>
      <c r="C10">
        <f>Book1!G12</f>
        <v>0</v>
      </c>
      <c r="D10">
        <f>Book1!L12</f>
        <v>1</v>
      </c>
    </row>
    <row r="11" spans="1:25" x14ac:dyDescent="0.25">
      <c r="A11">
        <f>Book1!E13</f>
        <v>0</v>
      </c>
      <c r="B11">
        <f>Book1!F13</f>
        <v>0</v>
      </c>
      <c r="C11">
        <f>Book1!G13</f>
        <v>0</v>
      </c>
      <c r="D11">
        <f>Book1!L13</f>
        <v>1</v>
      </c>
    </row>
    <row r="12" spans="1:25" x14ac:dyDescent="0.25">
      <c r="A12">
        <f>Book1!E14</f>
        <v>5</v>
      </c>
      <c r="B12">
        <f>Book1!F14</f>
        <v>1</v>
      </c>
      <c r="C12">
        <f>Book1!G14</f>
        <v>0</v>
      </c>
      <c r="D12">
        <f>Book1!L14</f>
        <v>1</v>
      </c>
    </row>
    <row r="13" spans="1:25" x14ac:dyDescent="0.25">
      <c r="A13">
        <f>Book1!E15</f>
        <v>0</v>
      </c>
      <c r="B13">
        <f>Book1!F15</f>
        <v>0</v>
      </c>
      <c r="C13">
        <f>Book1!G15</f>
        <v>0</v>
      </c>
      <c r="D13">
        <f>Book1!L15</f>
        <v>1</v>
      </c>
    </row>
    <row r="14" spans="1:25" x14ac:dyDescent="0.25">
      <c r="A14">
        <f>Book1!E16</f>
        <v>10</v>
      </c>
      <c r="B14">
        <f>Book1!F16</f>
        <v>1</v>
      </c>
      <c r="C14">
        <f>Book1!G16</f>
        <v>0</v>
      </c>
      <c r="D14">
        <f>Book1!L16</f>
        <v>1</v>
      </c>
    </row>
    <row r="15" spans="1:25" x14ac:dyDescent="0.25">
      <c r="A15">
        <f>Book1!E17</f>
        <v>0</v>
      </c>
      <c r="B15">
        <f>Book1!F17</f>
        <v>0</v>
      </c>
      <c r="C15">
        <f>Book1!G17</f>
        <v>0</v>
      </c>
      <c r="D15">
        <f>Book1!L17</f>
        <v>1</v>
      </c>
    </row>
    <row r="16" spans="1:25" x14ac:dyDescent="0.25">
      <c r="A16">
        <f>Book1!E18</f>
        <v>110</v>
      </c>
      <c r="B16">
        <f>Book1!F18</f>
        <v>1</v>
      </c>
      <c r="C16">
        <f>Book1!G18</f>
        <v>0</v>
      </c>
      <c r="D16">
        <f>Book1!L18</f>
        <v>1</v>
      </c>
    </row>
    <row r="17" spans="1:4" x14ac:dyDescent="0.25">
      <c r="A17">
        <f>Book1!E19</f>
        <v>0</v>
      </c>
      <c r="B17">
        <f>Book1!F19</f>
        <v>0</v>
      </c>
      <c r="C17">
        <f>Book1!G19</f>
        <v>0</v>
      </c>
      <c r="D17">
        <f>Book1!L19</f>
        <v>1</v>
      </c>
    </row>
    <row r="18" spans="1:4" x14ac:dyDescent="0.25">
      <c r="A18">
        <f>Book1!E20</f>
        <v>1010</v>
      </c>
      <c r="B18">
        <f>Book1!F20</f>
        <v>1</v>
      </c>
      <c r="C18">
        <f>Book1!G20</f>
        <v>0</v>
      </c>
      <c r="D18">
        <f>Book1!L20</f>
        <v>1</v>
      </c>
    </row>
    <row r="19" spans="1:4" x14ac:dyDescent="0.25">
      <c r="A19">
        <f>Book1!E21</f>
        <v>0</v>
      </c>
      <c r="B19">
        <f>Book1!F21</f>
        <v>0</v>
      </c>
      <c r="C19">
        <f>Book1!G21</f>
        <v>0</v>
      </c>
      <c r="D19">
        <f>Book1!L21</f>
        <v>1</v>
      </c>
    </row>
    <row r="20" spans="1:4" x14ac:dyDescent="0.25">
      <c r="A20">
        <f>Book1!E22</f>
        <v>10010</v>
      </c>
      <c r="B20">
        <f>Book1!F22</f>
        <v>1</v>
      </c>
      <c r="C20">
        <f>Book1!G22</f>
        <v>1</v>
      </c>
      <c r="D20">
        <f>Book1!L22</f>
        <v>1</v>
      </c>
    </row>
    <row r="21" spans="1:4" x14ac:dyDescent="0.25">
      <c r="A21">
        <f>Book1!E23</f>
        <v>0</v>
      </c>
      <c r="B21">
        <f>Book1!F23</f>
        <v>0</v>
      </c>
      <c r="C21">
        <f>Book1!G23</f>
        <v>0</v>
      </c>
      <c r="D21">
        <f>Book1!L23</f>
        <v>1</v>
      </c>
    </row>
    <row r="22" spans="1:4" x14ac:dyDescent="0.25">
      <c r="A22">
        <f>Book1!E24</f>
        <v>0</v>
      </c>
      <c r="B22">
        <f>Book1!F24</f>
        <v>1</v>
      </c>
      <c r="C22">
        <f>Book1!G24</f>
        <v>0</v>
      </c>
      <c r="D22">
        <f>Book1!L24</f>
        <v>1</v>
      </c>
    </row>
    <row r="23" spans="1:4" x14ac:dyDescent="0.25">
      <c r="A23">
        <f>Book1!E25</f>
        <v>0</v>
      </c>
      <c r="B23">
        <f>Book1!F25</f>
        <v>0</v>
      </c>
      <c r="C23">
        <f>Book1!G25</f>
        <v>0</v>
      </c>
      <c r="D23">
        <f>Book1!L25</f>
        <v>1</v>
      </c>
    </row>
    <row r="24" spans="1:4" x14ac:dyDescent="0.25">
      <c r="A24">
        <f>Book1!E26</f>
        <v>5</v>
      </c>
      <c r="B24">
        <f>Book1!F26</f>
        <v>1</v>
      </c>
      <c r="C24">
        <f>Book1!G26</f>
        <v>0</v>
      </c>
      <c r="D24">
        <f>Book1!L26</f>
        <v>1</v>
      </c>
    </row>
    <row r="25" spans="1:4" x14ac:dyDescent="0.25">
      <c r="A25">
        <f>Book1!E27</f>
        <v>0</v>
      </c>
      <c r="B25">
        <f>Book1!F27</f>
        <v>0</v>
      </c>
      <c r="C25">
        <f>Book1!G27</f>
        <v>0</v>
      </c>
      <c r="D25">
        <f>Book1!L27</f>
        <v>1</v>
      </c>
    </row>
    <row r="26" spans="1:4" x14ac:dyDescent="0.25">
      <c r="A26">
        <f>Book1!E28</f>
        <v>11</v>
      </c>
      <c r="B26">
        <f>Book1!F28</f>
        <v>1</v>
      </c>
      <c r="C26">
        <f>Book1!G28</f>
        <v>0</v>
      </c>
      <c r="D26">
        <f>Book1!L28</f>
        <v>1</v>
      </c>
    </row>
    <row r="27" spans="1:4" x14ac:dyDescent="0.25">
      <c r="A27">
        <f>Book1!E29</f>
        <v>0</v>
      </c>
      <c r="B27">
        <f>Book1!F29</f>
        <v>0</v>
      </c>
      <c r="C27">
        <f>Book1!G29</f>
        <v>0</v>
      </c>
      <c r="D27">
        <f>Book1!L29</f>
        <v>1</v>
      </c>
    </row>
    <row r="28" spans="1:4" x14ac:dyDescent="0.25">
      <c r="A28">
        <f>Book1!E30</f>
        <v>111</v>
      </c>
      <c r="B28">
        <f>Book1!F30</f>
        <v>1</v>
      </c>
      <c r="C28">
        <f>Book1!G30</f>
        <v>0</v>
      </c>
      <c r="D28">
        <f>Book1!L30</f>
        <v>1</v>
      </c>
    </row>
    <row r="29" spans="1:4" x14ac:dyDescent="0.25">
      <c r="A29">
        <f>Book1!E31</f>
        <v>0</v>
      </c>
      <c r="B29">
        <f>Book1!F31</f>
        <v>0</v>
      </c>
      <c r="C29">
        <f>Book1!G31</f>
        <v>0</v>
      </c>
      <c r="D29">
        <f>Book1!L31</f>
        <v>1</v>
      </c>
    </row>
    <row r="30" spans="1:4" x14ac:dyDescent="0.25">
      <c r="A30">
        <f>Book1!E32</f>
        <v>1011</v>
      </c>
      <c r="B30">
        <f>Book1!F32</f>
        <v>1</v>
      </c>
      <c r="C30">
        <f>Book1!G32</f>
        <v>0</v>
      </c>
      <c r="D30">
        <f>Book1!L32</f>
        <v>1</v>
      </c>
    </row>
    <row r="31" spans="1:4" x14ac:dyDescent="0.25">
      <c r="A31">
        <f>Book1!E33</f>
        <v>0</v>
      </c>
      <c r="B31">
        <f>Book1!F33</f>
        <v>0</v>
      </c>
      <c r="C31">
        <f>Book1!G33</f>
        <v>0</v>
      </c>
      <c r="D31">
        <f>Book1!L33</f>
        <v>1</v>
      </c>
    </row>
    <row r="32" spans="1:4" x14ac:dyDescent="0.25">
      <c r="A32">
        <f>Book1!E34</f>
        <v>10011</v>
      </c>
      <c r="B32">
        <f>Book1!F34</f>
        <v>1</v>
      </c>
      <c r="C32">
        <f>Book1!G34</f>
        <v>1</v>
      </c>
      <c r="D32">
        <f>Book1!L34</f>
        <v>1</v>
      </c>
    </row>
    <row r="33" spans="1:4" x14ac:dyDescent="0.25">
      <c r="A33">
        <f>Book1!E35</f>
        <v>0</v>
      </c>
      <c r="B33">
        <f>Book1!F35</f>
        <v>0</v>
      </c>
      <c r="C33">
        <f>Book1!G35</f>
        <v>0</v>
      </c>
      <c r="D33">
        <f>Book1!L35</f>
        <v>1</v>
      </c>
    </row>
    <row r="34" spans="1:4" x14ac:dyDescent="0.25">
      <c r="A34">
        <f>Book1!E36</f>
        <v>0</v>
      </c>
      <c r="B34">
        <f>Book1!F36</f>
        <v>1</v>
      </c>
      <c r="C34">
        <f>Book1!G36</f>
        <v>0</v>
      </c>
      <c r="D34">
        <f>Book1!L36</f>
        <v>1</v>
      </c>
    </row>
    <row r="35" spans="1:4" x14ac:dyDescent="0.25">
      <c r="A35">
        <f>Book1!E37</f>
        <v>0</v>
      </c>
      <c r="B35">
        <f>Book1!F37</f>
        <v>0</v>
      </c>
      <c r="C35">
        <f>Book1!G37</f>
        <v>0</v>
      </c>
      <c r="D35">
        <f>Book1!L37</f>
        <v>1</v>
      </c>
    </row>
    <row r="36" spans="1:4" x14ac:dyDescent="0.25">
      <c r="A36">
        <f>Book1!E38</f>
        <v>5</v>
      </c>
      <c r="B36">
        <f>Book1!F38</f>
        <v>1</v>
      </c>
      <c r="C36">
        <f>Book1!G38</f>
        <v>0</v>
      </c>
      <c r="D36">
        <f>Book1!L38</f>
        <v>1</v>
      </c>
    </row>
    <row r="37" spans="1:4" x14ac:dyDescent="0.25">
      <c r="A37">
        <f>Book1!E39</f>
        <v>0</v>
      </c>
      <c r="B37">
        <f>Book1!F39</f>
        <v>0</v>
      </c>
      <c r="C37">
        <f>Book1!G39</f>
        <v>0</v>
      </c>
      <c r="D37">
        <f>Book1!L39</f>
        <v>1</v>
      </c>
    </row>
    <row r="38" spans="1:4" x14ac:dyDescent="0.25">
      <c r="A38">
        <f>Book1!E40</f>
        <v>12</v>
      </c>
      <c r="B38">
        <f>Book1!F40</f>
        <v>1</v>
      </c>
      <c r="C38">
        <f>Book1!G40</f>
        <v>0</v>
      </c>
      <c r="D38">
        <f>Book1!L40</f>
        <v>1</v>
      </c>
    </row>
    <row r="39" spans="1:4" x14ac:dyDescent="0.25">
      <c r="A39">
        <f>Book1!E41</f>
        <v>0</v>
      </c>
      <c r="B39">
        <f>Book1!F41</f>
        <v>0</v>
      </c>
      <c r="C39">
        <f>Book1!G41</f>
        <v>0</v>
      </c>
      <c r="D39">
        <f>Book1!L41</f>
        <v>1</v>
      </c>
    </row>
    <row r="40" spans="1:4" x14ac:dyDescent="0.25">
      <c r="A40">
        <f>Book1!E42</f>
        <v>112</v>
      </c>
      <c r="B40">
        <f>Book1!F42</f>
        <v>1</v>
      </c>
      <c r="C40">
        <f>Book1!G42</f>
        <v>0</v>
      </c>
      <c r="D40">
        <f>Book1!L42</f>
        <v>1</v>
      </c>
    </row>
    <row r="41" spans="1:4" x14ac:dyDescent="0.25">
      <c r="A41">
        <f>Book1!E43</f>
        <v>0</v>
      </c>
      <c r="B41">
        <f>Book1!F43</f>
        <v>0</v>
      </c>
      <c r="C41">
        <f>Book1!G43</f>
        <v>0</v>
      </c>
      <c r="D41">
        <f>Book1!L43</f>
        <v>1</v>
      </c>
    </row>
    <row r="42" spans="1:4" x14ac:dyDescent="0.25">
      <c r="A42">
        <f>Book1!E44</f>
        <v>1012</v>
      </c>
      <c r="B42">
        <f>Book1!F44</f>
        <v>1</v>
      </c>
      <c r="C42">
        <f>Book1!G44</f>
        <v>0</v>
      </c>
      <c r="D42">
        <f>Book1!L44</f>
        <v>1</v>
      </c>
    </row>
    <row r="43" spans="1:4" x14ac:dyDescent="0.25">
      <c r="A43">
        <f>Book1!E45</f>
        <v>0</v>
      </c>
      <c r="B43">
        <f>Book1!F45</f>
        <v>0</v>
      </c>
      <c r="C43">
        <f>Book1!G45</f>
        <v>0</v>
      </c>
      <c r="D43">
        <f>Book1!L45</f>
        <v>1</v>
      </c>
    </row>
    <row r="44" spans="1:4" x14ac:dyDescent="0.25">
      <c r="A44">
        <f>Book1!E46</f>
        <v>10012</v>
      </c>
      <c r="B44">
        <f>Book1!F46</f>
        <v>1</v>
      </c>
      <c r="C44">
        <f>Book1!G46</f>
        <v>1</v>
      </c>
      <c r="D44">
        <f>Book1!L46</f>
        <v>1</v>
      </c>
    </row>
    <row r="45" spans="1:4" x14ac:dyDescent="0.25">
      <c r="A45">
        <f>Book1!E47</f>
        <v>0</v>
      </c>
      <c r="B45">
        <f>Book1!F47</f>
        <v>0</v>
      </c>
      <c r="C45">
        <f>Book1!G47</f>
        <v>0</v>
      </c>
      <c r="D45">
        <f>Book1!L47</f>
        <v>1</v>
      </c>
    </row>
    <row r="46" spans="1:4" x14ac:dyDescent="0.25">
      <c r="A46">
        <f>Book1!E48</f>
        <v>0</v>
      </c>
      <c r="B46">
        <f>Book1!F48</f>
        <v>1</v>
      </c>
      <c r="C46">
        <f>Book1!G48</f>
        <v>0</v>
      </c>
      <c r="D46">
        <f>Book1!L48</f>
        <v>1</v>
      </c>
    </row>
    <row r="47" spans="1:4" x14ac:dyDescent="0.25">
      <c r="A47">
        <f>Book1!E49</f>
        <v>0</v>
      </c>
      <c r="B47">
        <f>Book1!F49</f>
        <v>0</v>
      </c>
      <c r="C47">
        <f>Book1!G49</f>
        <v>0</v>
      </c>
      <c r="D47">
        <f>Book1!L49</f>
        <v>1</v>
      </c>
    </row>
    <row r="48" spans="1:4" x14ac:dyDescent="0.25">
      <c r="A48">
        <f>Book1!E50</f>
        <v>5</v>
      </c>
      <c r="B48">
        <f>Book1!F50</f>
        <v>1</v>
      </c>
      <c r="C48">
        <f>Book1!G50</f>
        <v>0</v>
      </c>
      <c r="D48">
        <f>Book1!L50</f>
        <v>1</v>
      </c>
    </row>
    <row r="49" spans="1:4" x14ac:dyDescent="0.25">
      <c r="A49">
        <f>Book1!E51</f>
        <v>0</v>
      </c>
      <c r="B49">
        <f>Book1!F51</f>
        <v>0</v>
      </c>
      <c r="C49">
        <f>Book1!G51</f>
        <v>0</v>
      </c>
      <c r="D49">
        <f>Book1!L51</f>
        <v>1</v>
      </c>
    </row>
    <row r="50" spans="1:4" x14ac:dyDescent="0.25">
      <c r="A50">
        <f>Book1!E52</f>
        <v>13</v>
      </c>
      <c r="B50">
        <f>Book1!F52</f>
        <v>1</v>
      </c>
      <c r="C50">
        <f>Book1!G52</f>
        <v>0</v>
      </c>
      <c r="D50">
        <f>Book1!L52</f>
        <v>1</v>
      </c>
    </row>
    <row r="51" spans="1:4" x14ac:dyDescent="0.25">
      <c r="A51">
        <f>Book1!E53</f>
        <v>0</v>
      </c>
      <c r="B51">
        <f>Book1!F53</f>
        <v>0</v>
      </c>
      <c r="C51">
        <f>Book1!G53</f>
        <v>0</v>
      </c>
      <c r="D51">
        <f>Book1!L53</f>
        <v>1</v>
      </c>
    </row>
    <row r="52" spans="1:4" x14ac:dyDescent="0.25">
      <c r="A52">
        <f>Book1!E54</f>
        <v>113</v>
      </c>
      <c r="B52">
        <f>Book1!F54</f>
        <v>1</v>
      </c>
      <c r="C52">
        <f>Book1!G54</f>
        <v>0</v>
      </c>
      <c r="D52">
        <f>Book1!L54</f>
        <v>1</v>
      </c>
    </row>
    <row r="53" spans="1:4" x14ac:dyDescent="0.25">
      <c r="A53">
        <f>Book1!E55</f>
        <v>0</v>
      </c>
      <c r="B53">
        <f>Book1!F55</f>
        <v>0</v>
      </c>
      <c r="C53">
        <f>Book1!G55</f>
        <v>0</v>
      </c>
      <c r="D53">
        <f>Book1!L55</f>
        <v>1</v>
      </c>
    </row>
    <row r="54" spans="1:4" x14ac:dyDescent="0.25">
      <c r="A54">
        <f>Book1!E56</f>
        <v>1013</v>
      </c>
      <c r="B54">
        <f>Book1!F56</f>
        <v>1</v>
      </c>
      <c r="C54">
        <f>Book1!G56</f>
        <v>0</v>
      </c>
      <c r="D54">
        <f>Book1!L56</f>
        <v>1</v>
      </c>
    </row>
    <row r="55" spans="1:4" x14ac:dyDescent="0.25">
      <c r="A55">
        <f>Book1!E57</f>
        <v>0</v>
      </c>
      <c r="B55">
        <f>Book1!F57</f>
        <v>0</v>
      </c>
      <c r="C55">
        <f>Book1!G57</f>
        <v>0</v>
      </c>
      <c r="D55">
        <f>Book1!L57</f>
        <v>1</v>
      </c>
    </row>
    <row r="56" spans="1:4" x14ac:dyDescent="0.25">
      <c r="A56">
        <f>Book1!E58</f>
        <v>10013</v>
      </c>
      <c r="B56">
        <f>Book1!F58</f>
        <v>1</v>
      </c>
      <c r="C56">
        <f>Book1!G58</f>
        <v>1</v>
      </c>
      <c r="D56">
        <f>Book1!L58</f>
        <v>1</v>
      </c>
    </row>
    <row r="57" spans="1:4" x14ac:dyDescent="0.25">
      <c r="A57">
        <f>Book1!E59</f>
        <v>0</v>
      </c>
      <c r="B57">
        <f>Book1!F59</f>
        <v>0</v>
      </c>
      <c r="C57">
        <f>Book1!G59</f>
        <v>0</v>
      </c>
      <c r="D57">
        <f>Book1!L59</f>
        <v>1</v>
      </c>
    </row>
    <row r="58" spans="1:4" x14ac:dyDescent="0.25">
      <c r="A58">
        <f>Book1!E60</f>
        <v>0</v>
      </c>
      <c r="B58">
        <f>Book1!F60</f>
        <v>1</v>
      </c>
      <c r="C58">
        <f>Book1!G60</f>
        <v>0</v>
      </c>
      <c r="D58">
        <f>Book1!L60</f>
        <v>1</v>
      </c>
    </row>
    <row r="59" spans="1:4" x14ac:dyDescent="0.25">
      <c r="A59">
        <f>Book1!E61</f>
        <v>0</v>
      </c>
      <c r="B59">
        <f>Book1!F61</f>
        <v>0</v>
      </c>
      <c r="C59">
        <f>Book1!G61</f>
        <v>0</v>
      </c>
      <c r="D59">
        <f>Book1!L61</f>
        <v>1</v>
      </c>
    </row>
    <row r="60" spans="1:4" x14ac:dyDescent="0.25">
      <c r="A60">
        <f>Book1!E62</f>
        <v>5</v>
      </c>
      <c r="B60">
        <f>Book1!F62</f>
        <v>1</v>
      </c>
      <c r="C60">
        <f>Book1!G62</f>
        <v>0</v>
      </c>
      <c r="D60">
        <f>Book1!L62</f>
        <v>1</v>
      </c>
    </row>
    <row r="61" spans="1:4" x14ac:dyDescent="0.25">
      <c r="A61">
        <f>Book1!E63</f>
        <v>0</v>
      </c>
      <c r="B61">
        <f>Book1!F63</f>
        <v>0</v>
      </c>
      <c r="C61">
        <f>Book1!G63</f>
        <v>0</v>
      </c>
      <c r="D61">
        <f>Book1!L63</f>
        <v>1</v>
      </c>
    </row>
    <row r="62" spans="1:4" x14ac:dyDescent="0.25">
      <c r="A62">
        <f>Book1!E64</f>
        <v>14</v>
      </c>
      <c r="B62">
        <f>Book1!F64</f>
        <v>1</v>
      </c>
      <c r="C62">
        <f>Book1!G64</f>
        <v>0</v>
      </c>
      <c r="D62">
        <f>Book1!L64</f>
        <v>1</v>
      </c>
    </row>
    <row r="63" spans="1:4" x14ac:dyDescent="0.25">
      <c r="A63">
        <f>Book1!E65</f>
        <v>0</v>
      </c>
      <c r="B63">
        <f>Book1!F65</f>
        <v>0</v>
      </c>
      <c r="C63">
        <f>Book1!G65</f>
        <v>0</v>
      </c>
      <c r="D63">
        <f>Book1!L65</f>
        <v>1</v>
      </c>
    </row>
    <row r="64" spans="1:4" x14ac:dyDescent="0.25">
      <c r="A64">
        <f>Book1!E66</f>
        <v>114</v>
      </c>
      <c r="B64">
        <f>Book1!F66</f>
        <v>1</v>
      </c>
      <c r="C64">
        <f>Book1!G66</f>
        <v>0</v>
      </c>
      <c r="D64">
        <f>Book1!L66</f>
        <v>1</v>
      </c>
    </row>
    <row r="65" spans="1:4" x14ac:dyDescent="0.25">
      <c r="A65">
        <f>Book1!E67</f>
        <v>0</v>
      </c>
      <c r="B65">
        <f>Book1!F67</f>
        <v>0</v>
      </c>
      <c r="C65">
        <f>Book1!G67</f>
        <v>0</v>
      </c>
      <c r="D65">
        <f>Book1!L67</f>
        <v>1</v>
      </c>
    </row>
    <row r="66" spans="1:4" x14ac:dyDescent="0.25">
      <c r="A66">
        <f>Book1!E68</f>
        <v>1014</v>
      </c>
      <c r="B66">
        <f>Book1!F68</f>
        <v>1</v>
      </c>
      <c r="C66">
        <f>Book1!G68</f>
        <v>0</v>
      </c>
      <c r="D66">
        <f>Book1!L68</f>
        <v>1</v>
      </c>
    </row>
    <row r="67" spans="1:4" x14ac:dyDescent="0.25">
      <c r="A67">
        <f>Book1!E69</f>
        <v>0</v>
      </c>
      <c r="B67">
        <f>Book1!F69</f>
        <v>0</v>
      </c>
      <c r="C67">
        <f>Book1!G69</f>
        <v>0</v>
      </c>
      <c r="D67">
        <f>Book1!L69</f>
        <v>1</v>
      </c>
    </row>
    <row r="68" spans="1:4" x14ac:dyDescent="0.25">
      <c r="A68">
        <f>Book1!E70</f>
        <v>10014</v>
      </c>
      <c r="B68">
        <f>Book1!F70</f>
        <v>1</v>
      </c>
      <c r="C68">
        <f>Book1!G70</f>
        <v>1</v>
      </c>
      <c r="D68">
        <f>Book1!L70</f>
        <v>1</v>
      </c>
    </row>
    <row r="69" spans="1:4" x14ac:dyDescent="0.25">
      <c r="A69">
        <f>Book1!E71</f>
        <v>0</v>
      </c>
      <c r="B69">
        <f>Book1!F71</f>
        <v>0</v>
      </c>
      <c r="C69">
        <f>Book1!G71</f>
        <v>0</v>
      </c>
      <c r="D69">
        <f>Book1!L71</f>
        <v>1</v>
      </c>
    </row>
    <row r="70" spans="1:4" x14ac:dyDescent="0.25">
      <c r="A70">
        <f>Book1!E72</f>
        <v>0</v>
      </c>
      <c r="B70">
        <f>Book1!F72</f>
        <v>1</v>
      </c>
      <c r="C70">
        <f>Book1!G72</f>
        <v>0</v>
      </c>
      <c r="D70">
        <f>Book1!L72</f>
        <v>1</v>
      </c>
    </row>
    <row r="71" spans="1:4" x14ac:dyDescent="0.25">
      <c r="A71">
        <f>Book1!E73</f>
        <v>0</v>
      </c>
      <c r="B71">
        <f>Book1!F73</f>
        <v>0</v>
      </c>
      <c r="C71">
        <f>Book1!G73</f>
        <v>0</v>
      </c>
      <c r="D71">
        <f>Book1!L73</f>
        <v>1</v>
      </c>
    </row>
    <row r="72" spans="1:4" x14ac:dyDescent="0.25">
      <c r="A72">
        <f>Book1!E74</f>
        <v>5</v>
      </c>
      <c r="B72">
        <f>Book1!F74</f>
        <v>1</v>
      </c>
      <c r="C72">
        <f>Book1!G74</f>
        <v>0</v>
      </c>
      <c r="D72">
        <f>Book1!L74</f>
        <v>1</v>
      </c>
    </row>
    <row r="73" spans="1:4" x14ac:dyDescent="0.25">
      <c r="A73">
        <f>Book1!E75</f>
        <v>0</v>
      </c>
      <c r="B73">
        <f>Book1!F75</f>
        <v>0</v>
      </c>
      <c r="C73">
        <f>Book1!G75</f>
        <v>0</v>
      </c>
      <c r="D73">
        <f>Book1!L75</f>
        <v>1</v>
      </c>
    </row>
    <row r="74" spans="1:4" x14ac:dyDescent="0.25">
      <c r="A74">
        <f>Book1!E76</f>
        <v>15</v>
      </c>
      <c r="B74">
        <f>Book1!F76</f>
        <v>1</v>
      </c>
      <c r="C74">
        <f>Book1!G76</f>
        <v>0</v>
      </c>
      <c r="D74">
        <f>Book1!L76</f>
        <v>1</v>
      </c>
    </row>
    <row r="75" spans="1:4" x14ac:dyDescent="0.25">
      <c r="A75">
        <f>Book1!E77</f>
        <v>0</v>
      </c>
      <c r="B75">
        <f>Book1!F77</f>
        <v>0</v>
      </c>
      <c r="C75">
        <f>Book1!G77</f>
        <v>0</v>
      </c>
      <c r="D75">
        <f>Book1!L77</f>
        <v>1</v>
      </c>
    </row>
    <row r="76" spans="1:4" x14ac:dyDescent="0.25">
      <c r="A76">
        <f>Book1!E78</f>
        <v>115</v>
      </c>
      <c r="B76">
        <f>Book1!F78</f>
        <v>1</v>
      </c>
      <c r="C76">
        <f>Book1!G78</f>
        <v>0</v>
      </c>
      <c r="D76">
        <f>Book1!L78</f>
        <v>1</v>
      </c>
    </row>
    <row r="77" spans="1:4" x14ac:dyDescent="0.25">
      <c r="A77">
        <f>Book1!E79</f>
        <v>0</v>
      </c>
      <c r="B77">
        <f>Book1!F79</f>
        <v>0</v>
      </c>
      <c r="C77">
        <f>Book1!G79</f>
        <v>0</v>
      </c>
      <c r="D77">
        <f>Book1!L79</f>
        <v>1</v>
      </c>
    </row>
    <row r="78" spans="1:4" x14ac:dyDescent="0.25">
      <c r="A78">
        <f>Book1!E80</f>
        <v>1015</v>
      </c>
      <c r="B78">
        <f>Book1!F80</f>
        <v>1</v>
      </c>
      <c r="C78">
        <f>Book1!G80</f>
        <v>0</v>
      </c>
      <c r="D78">
        <f>Book1!L80</f>
        <v>1</v>
      </c>
    </row>
    <row r="79" spans="1:4" x14ac:dyDescent="0.25">
      <c r="A79">
        <f>Book1!E81</f>
        <v>0</v>
      </c>
      <c r="B79">
        <f>Book1!F81</f>
        <v>0</v>
      </c>
      <c r="C79">
        <f>Book1!G81</f>
        <v>0</v>
      </c>
      <c r="D79">
        <f>Book1!L81</f>
        <v>1</v>
      </c>
    </row>
    <row r="80" spans="1:4" x14ac:dyDescent="0.25">
      <c r="A80">
        <f>Book1!E82</f>
        <v>10015</v>
      </c>
      <c r="B80">
        <f>Book1!F82</f>
        <v>1</v>
      </c>
      <c r="C80">
        <f>Book1!G82</f>
        <v>1</v>
      </c>
      <c r="D80">
        <f>Book1!L82</f>
        <v>1</v>
      </c>
    </row>
    <row r="81" spans="1:4" x14ac:dyDescent="0.25">
      <c r="A81">
        <f>Book1!E83</f>
        <v>0</v>
      </c>
      <c r="B81">
        <f>Book1!F83</f>
        <v>0</v>
      </c>
      <c r="C81">
        <f>Book1!G83</f>
        <v>0</v>
      </c>
      <c r="D81">
        <f>Book1!L83</f>
        <v>1</v>
      </c>
    </row>
    <row r="82" spans="1:4" x14ac:dyDescent="0.25">
      <c r="A82">
        <f>Book1!E84</f>
        <v>0</v>
      </c>
      <c r="B82">
        <f>Book1!F84</f>
        <v>1</v>
      </c>
      <c r="C82">
        <f>Book1!G84</f>
        <v>0</v>
      </c>
      <c r="D82">
        <f>Book1!L84</f>
        <v>1</v>
      </c>
    </row>
    <row r="83" spans="1:4" x14ac:dyDescent="0.25">
      <c r="A83">
        <f>Book1!E85</f>
        <v>0</v>
      </c>
      <c r="B83">
        <f>Book1!F85</f>
        <v>0</v>
      </c>
      <c r="C83">
        <f>Book1!G85</f>
        <v>0</v>
      </c>
      <c r="D83">
        <f>Book1!L85</f>
        <v>1</v>
      </c>
    </row>
    <row r="84" spans="1:4" x14ac:dyDescent="0.25">
      <c r="A84">
        <f>Book1!E86</f>
        <v>5</v>
      </c>
      <c r="B84">
        <f>Book1!F86</f>
        <v>1</v>
      </c>
      <c r="C84">
        <f>Book1!G86</f>
        <v>0</v>
      </c>
      <c r="D84">
        <f>Book1!L86</f>
        <v>1</v>
      </c>
    </row>
    <row r="85" spans="1:4" x14ac:dyDescent="0.25">
      <c r="A85">
        <f>Book1!E87</f>
        <v>0</v>
      </c>
      <c r="B85">
        <f>Book1!F87</f>
        <v>0</v>
      </c>
      <c r="C85">
        <f>Book1!G87</f>
        <v>0</v>
      </c>
      <c r="D85">
        <f>Book1!L87</f>
        <v>1</v>
      </c>
    </row>
    <row r="86" spans="1:4" x14ac:dyDescent="0.25">
      <c r="A86">
        <f>Book1!E88</f>
        <v>16</v>
      </c>
      <c r="B86">
        <f>Book1!F88</f>
        <v>1</v>
      </c>
      <c r="C86">
        <f>Book1!G88</f>
        <v>0</v>
      </c>
      <c r="D86">
        <f>Book1!L88</f>
        <v>1</v>
      </c>
    </row>
    <row r="87" spans="1:4" x14ac:dyDescent="0.25">
      <c r="A87">
        <f>Book1!E89</f>
        <v>0</v>
      </c>
      <c r="B87">
        <f>Book1!F89</f>
        <v>0</v>
      </c>
      <c r="C87">
        <f>Book1!G89</f>
        <v>0</v>
      </c>
      <c r="D87">
        <f>Book1!L89</f>
        <v>1</v>
      </c>
    </row>
    <row r="88" spans="1:4" x14ac:dyDescent="0.25">
      <c r="A88">
        <f>Book1!E90</f>
        <v>116</v>
      </c>
      <c r="B88">
        <f>Book1!F90</f>
        <v>1</v>
      </c>
      <c r="C88">
        <f>Book1!G90</f>
        <v>0</v>
      </c>
      <c r="D88">
        <f>Book1!L90</f>
        <v>1</v>
      </c>
    </row>
    <row r="89" spans="1:4" x14ac:dyDescent="0.25">
      <c r="A89">
        <f>Book1!E91</f>
        <v>0</v>
      </c>
      <c r="B89">
        <f>Book1!F91</f>
        <v>0</v>
      </c>
      <c r="C89">
        <f>Book1!G91</f>
        <v>0</v>
      </c>
      <c r="D89">
        <f>Book1!L91</f>
        <v>1</v>
      </c>
    </row>
    <row r="90" spans="1:4" x14ac:dyDescent="0.25">
      <c r="A90">
        <f>Book1!E92</f>
        <v>1016</v>
      </c>
      <c r="B90">
        <f>Book1!F92</f>
        <v>1</v>
      </c>
      <c r="C90">
        <f>Book1!G92</f>
        <v>0</v>
      </c>
      <c r="D90">
        <f>Book1!L92</f>
        <v>1</v>
      </c>
    </row>
    <row r="91" spans="1:4" x14ac:dyDescent="0.25">
      <c r="A91">
        <f>Book1!E93</f>
        <v>0</v>
      </c>
      <c r="B91">
        <f>Book1!F93</f>
        <v>0</v>
      </c>
      <c r="C91">
        <f>Book1!G93</f>
        <v>0</v>
      </c>
      <c r="D91">
        <f>Book1!L93</f>
        <v>1</v>
      </c>
    </row>
    <row r="92" spans="1:4" x14ac:dyDescent="0.25">
      <c r="A92">
        <f>Book1!E94</f>
        <v>10016</v>
      </c>
      <c r="B92">
        <f>Book1!F94</f>
        <v>1</v>
      </c>
      <c r="C92">
        <f>Book1!G94</f>
        <v>1</v>
      </c>
      <c r="D92">
        <f>Book1!L94</f>
        <v>1</v>
      </c>
    </row>
    <row r="93" spans="1:4" x14ac:dyDescent="0.25">
      <c r="A93">
        <f>Book1!E95</f>
        <v>0</v>
      </c>
      <c r="B93">
        <f>Book1!F95</f>
        <v>0</v>
      </c>
      <c r="C93">
        <f>Book1!G95</f>
        <v>0</v>
      </c>
      <c r="D93">
        <f>Book1!L95</f>
        <v>1</v>
      </c>
    </row>
    <row r="94" spans="1:4" x14ac:dyDescent="0.25">
      <c r="A94">
        <f>Book1!E96</f>
        <v>0</v>
      </c>
      <c r="B94">
        <f>Book1!F96</f>
        <v>1</v>
      </c>
      <c r="C94">
        <f>Book1!G96</f>
        <v>0</v>
      </c>
      <c r="D94">
        <f>Book1!L96</f>
        <v>1</v>
      </c>
    </row>
    <row r="95" spans="1:4" x14ac:dyDescent="0.25">
      <c r="A95">
        <f>Book1!E97</f>
        <v>0</v>
      </c>
      <c r="B95">
        <f>Book1!F97</f>
        <v>0</v>
      </c>
      <c r="C95">
        <f>Book1!G97</f>
        <v>0</v>
      </c>
      <c r="D95">
        <f>Book1!L97</f>
        <v>1</v>
      </c>
    </row>
    <row r="96" spans="1:4" x14ac:dyDescent="0.25">
      <c r="A96">
        <f>Book1!E98</f>
        <v>5</v>
      </c>
      <c r="B96">
        <f>Book1!F98</f>
        <v>1</v>
      </c>
      <c r="C96">
        <f>Book1!G98</f>
        <v>0</v>
      </c>
      <c r="D96">
        <f>Book1!L98</f>
        <v>1</v>
      </c>
    </row>
    <row r="97" spans="1:4" x14ac:dyDescent="0.25">
      <c r="A97">
        <f>Book1!E99</f>
        <v>0</v>
      </c>
      <c r="B97">
        <f>Book1!F99</f>
        <v>0</v>
      </c>
      <c r="C97">
        <f>Book1!G99</f>
        <v>0</v>
      </c>
      <c r="D97">
        <f>Book1!L99</f>
        <v>1</v>
      </c>
    </row>
    <row r="98" spans="1:4" x14ac:dyDescent="0.25">
      <c r="A98">
        <f>Book1!E100</f>
        <v>17</v>
      </c>
      <c r="B98">
        <f>Book1!F100</f>
        <v>1</v>
      </c>
      <c r="C98">
        <f>Book1!G100</f>
        <v>0</v>
      </c>
      <c r="D98">
        <f>Book1!L100</f>
        <v>1</v>
      </c>
    </row>
    <row r="99" spans="1:4" x14ac:dyDescent="0.25">
      <c r="A99">
        <f>Book1!E101</f>
        <v>0</v>
      </c>
      <c r="B99">
        <f>Book1!F101</f>
        <v>0</v>
      </c>
      <c r="C99">
        <f>Book1!G101</f>
        <v>0</v>
      </c>
      <c r="D99">
        <f>Book1!L101</f>
        <v>1</v>
      </c>
    </row>
    <row r="100" spans="1:4" x14ac:dyDescent="0.25">
      <c r="A100">
        <f>Book1!E102</f>
        <v>117</v>
      </c>
      <c r="B100">
        <f>Book1!F102</f>
        <v>1</v>
      </c>
      <c r="C100">
        <f>Book1!G102</f>
        <v>0</v>
      </c>
      <c r="D100">
        <f>Book1!L102</f>
        <v>1</v>
      </c>
    </row>
    <row r="101" spans="1:4" x14ac:dyDescent="0.25">
      <c r="A101">
        <f>Book1!E103</f>
        <v>0</v>
      </c>
      <c r="B101">
        <f>Book1!F103</f>
        <v>0</v>
      </c>
      <c r="C101">
        <f>Book1!G103</f>
        <v>0</v>
      </c>
      <c r="D101">
        <f>Book1!L103</f>
        <v>1</v>
      </c>
    </row>
    <row r="102" spans="1:4" x14ac:dyDescent="0.25">
      <c r="A102">
        <f>Book1!E104</f>
        <v>1017</v>
      </c>
      <c r="B102">
        <f>Book1!F104</f>
        <v>1</v>
      </c>
      <c r="C102">
        <f>Book1!G104</f>
        <v>0</v>
      </c>
      <c r="D102">
        <f>Book1!L104</f>
        <v>1</v>
      </c>
    </row>
    <row r="103" spans="1:4" x14ac:dyDescent="0.25">
      <c r="A103">
        <f>Book1!E105</f>
        <v>0</v>
      </c>
      <c r="B103">
        <f>Book1!F105</f>
        <v>0</v>
      </c>
      <c r="C103">
        <f>Book1!G105</f>
        <v>0</v>
      </c>
      <c r="D103">
        <f>Book1!L105</f>
        <v>1</v>
      </c>
    </row>
    <row r="104" spans="1:4" x14ac:dyDescent="0.25">
      <c r="A104">
        <f>Book1!E106</f>
        <v>10017</v>
      </c>
      <c r="B104">
        <f>Book1!F106</f>
        <v>1</v>
      </c>
      <c r="C104">
        <f>Book1!G106</f>
        <v>1</v>
      </c>
      <c r="D104">
        <f>Book1!L106</f>
        <v>1</v>
      </c>
    </row>
    <row r="105" spans="1:4" x14ac:dyDescent="0.25">
      <c r="A105">
        <f>Book1!E107</f>
        <v>0</v>
      </c>
      <c r="B105">
        <f>Book1!F107</f>
        <v>0</v>
      </c>
      <c r="C105">
        <f>Book1!G107</f>
        <v>0</v>
      </c>
      <c r="D105">
        <f>Book1!L107</f>
        <v>1</v>
      </c>
    </row>
    <row r="106" spans="1:4" x14ac:dyDescent="0.25">
      <c r="A106">
        <f>Book1!E108</f>
        <v>0</v>
      </c>
      <c r="B106">
        <f>Book1!F108</f>
        <v>1</v>
      </c>
      <c r="C106">
        <f>Book1!G108</f>
        <v>0</v>
      </c>
      <c r="D106">
        <f>Book1!L108</f>
        <v>1</v>
      </c>
    </row>
    <row r="107" spans="1:4" x14ac:dyDescent="0.25">
      <c r="A107">
        <f>Book1!E109</f>
        <v>0</v>
      </c>
      <c r="B107">
        <f>Book1!F109</f>
        <v>0</v>
      </c>
      <c r="C107">
        <f>Book1!G109</f>
        <v>0</v>
      </c>
      <c r="D107">
        <f>Book1!L109</f>
        <v>1</v>
      </c>
    </row>
    <row r="108" spans="1:4" x14ac:dyDescent="0.25">
      <c r="A108">
        <f>Book1!E110</f>
        <v>5</v>
      </c>
      <c r="B108">
        <f>Book1!F110</f>
        <v>1</v>
      </c>
      <c r="C108">
        <f>Book1!G110</f>
        <v>0</v>
      </c>
      <c r="D108">
        <f>Book1!L110</f>
        <v>1</v>
      </c>
    </row>
    <row r="109" spans="1:4" x14ac:dyDescent="0.25">
      <c r="A109">
        <f>Book1!E111</f>
        <v>0</v>
      </c>
      <c r="B109">
        <f>Book1!F111</f>
        <v>0</v>
      </c>
      <c r="C109">
        <f>Book1!G111</f>
        <v>0</v>
      </c>
      <c r="D109">
        <f>Book1!L111</f>
        <v>1</v>
      </c>
    </row>
    <row r="110" spans="1:4" x14ac:dyDescent="0.25">
      <c r="A110">
        <f>Book1!E112</f>
        <v>18</v>
      </c>
      <c r="B110">
        <f>Book1!F112</f>
        <v>1</v>
      </c>
      <c r="C110">
        <f>Book1!G112</f>
        <v>0</v>
      </c>
      <c r="D110">
        <f>Book1!L112</f>
        <v>1</v>
      </c>
    </row>
    <row r="111" spans="1:4" x14ac:dyDescent="0.25">
      <c r="A111">
        <f>Book1!E113</f>
        <v>0</v>
      </c>
      <c r="B111">
        <f>Book1!F113</f>
        <v>0</v>
      </c>
      <c r="C111">
        <f>Book1!G113</f>
        <v>0</v>
      </c>
      <c r="D111">
        <f>Book1!L113</f>
        <v>1</v>
      </c>
    </row>
    <row r="112" spans="1:4" x14ac:dyDescent="0.25">
      <c r="A112">
        <f>Book1!E114</f>
        <v>118</v>
      </c>
      <c r="B112">
        <f>Book1!F114</f>
        <v>1</v>
      </c>
      <c r="C112">
        <f>Book1!G114</f>
        <v>0</v>
      </c>
      <c r="D112">
        <f>Book1!L114</f>
        <v>1</v>
      </c>
    </row>
    <row r="113" spans="1:4" x14ac:dyDescent="0.25">
      <c r="A113">
        <f>Book1!E115</f>
        <v>0</v>
      </c>
      <c r="B113">
        <f>Book1!F115</f>
        <v>0</v>
      </c>
      <c r="C113">
        <f>Book1!G115</f>
        <v>0</v>
      </c>
      <c r="D113">
        <f>Book1!L115</f>
        <v>1</v>
      </c>
    </row>
    <row r="114" spans="1:4" x14ac:dyDescent="0.25">
      <c r="A114">
        <f>Book1!E116</f>
        <v>1018</v>
      </c>
      <c r="B114">
        <f>Book1!F116</f>
        <v>1</v>
      </c>
      <c r="C114">
        <f>Book1!G116</f>
        <v>0</v>
      </c>
      <c r="D114">
        <f>Book1!L116</f>
        <v>1</v>
      </c>
    </row>
    <row r="115" spans="1:4" x14ac:dyDescent="0.25">
      <c r="A115">
        <f>Book1!E117</f>
        <v>0</v>
      </c>
      <c r="B115">
        <f>Book1!F117</f>
        <v>0</v>
      </c>
      <c r="C115">
        <f>Book1!G117</f>
        <v>0</v>
      </c>
      <c r="D115">
        <f>Book1!L117</f>
        <v>1</v>
      </c>
    </row>
    <row r="116" spans="1:4" x14ac:dyDescent="0.25">
      <c r="A116">
        <f>Book1!E118</f>
        <v>10018</v>
      </c>
      <c r="B116">
        <f>Book1!F118</f>
        <v>1</v>
      </c>
      <c r="C116">
        <f>Book1!G118</f>
        <v>1</v>
      </c>
      <c r="D116">
        <f>Book1!L118</f>
        <v>1</v>
      </c>
    </row>
    <row r="117" spans="1:4" x14ac:dyDescent="0.25">
      <c r="A117">
        <f>Book1!E119</f>
        <v>0</v>
      </c>
      <c r="B117">
        <f>Book1!F119</f>
        <v>0</v>
      </c>
      <c r="C117">
        <f>Book1!G119</f>
        <v>0</v>
      </c>
      <c r="D117">
        <f>Book1!L119</f>
        <v>1</v>
      </c>
    </row>
    <row r="118" spans="1:4" x14ac:dyDescent="0.25">
      <c r="A118">
        <f>Book1!E120</f>
        <v>0</v>
      </c>
      <c r="B118">
        <f>Book1!F120</f>
        <v>1</v>
      </c>
      <c r="C118">
        <f>Book1!G120</f>
        <v>0</v>
      </c>
      <c r="D118">
        <f>Book1!L120</f>
        <v>1</v>
      </c>
    </row>
    <row r="119" spans="1:4" x14ac:dyDescent="0.25">
      <c r="A119">
        <f>Book1!E121</f>
        <v>0</v>
      </c>
      <c r="B119">
        <f>Book1!F121</f>
        <v>0</v>
      </c>
      <c r="C119">
        <f>Book1!G121</f>
        <v>0</v>
      </c>
      <c r="D119">
        <f>Book1!L121</f>
        <v>1</v>
      </c>
    </row>
    <row r="120" spans="1:4" x14ac:dyDescent="0.25">
      <c r="A120">
        <f>Book1!E122</f>
        <v>5</v>
      </c>
      <c r="B120">
        <f>Book1!F122</f>
        <v>1</v>
      </c>
      <c r="C120">
        <f>Book1!G122</f>
        <v>0</v>
      </c>
      <c r="D120">
        <f>Book1!L122</f>
        <v>1</v>
      </c>
    </row>
    <row r="121" spans="1:4" x14ac:dyDescent="0.25">
      <c r="A121">
        <f>Book1!E123</f>
        <v>0</v>
      </c>
      <c r="B121">
        <f>Book1!F123</f>
        <v>0</v>
      </c>
      <c r="C121">
        <f>Book1!G123</f>
        <v>0</v>
      </c>
      <c r="D121">
        <f>Book1!L123</f>
        <v>1</v>
      </c>
    </row>
    <row r="122" spans="1:4" x14ac:dyDescent="0.25">
      <c r="A122">
        <f>Book1!E124</f>
        <v>19</v>
      </c>
      <c r="B122">
        <f>Book1!F124</f>
        <v>1</v>
      </c>
      <c r="C122">
        <f>Book1!G124</f>
        <v>0</v>
      </c>
      <c r="D122">
        <f>Book1!L124</f>
        <v>1</v>
      </c>
    </row>
    <row r="123" spans="1:4" x14ac:dyDescent="0.25">
      <c r="A123">
        <f>Book1!E125</f>
        <v>0</v>
      </c>
      <c r="B123">
        <f>Book1!F125</f>
        <v>0</v>
      </c>
      <c r="C123">
        <f>Book1!G125</f>
        <v>0</v>
      </c>
      <c r="D123">
        <f>Book1!L125</f>
        <v>1</v>
      </c>
    </row>
    <row r="124" spans="1:4" x14ac:dyDescent="0.25">
      <c r="A124">
        <f>Book1!E126</f>
        <v>119</v>
      </c>
      <c r="B124">
        <f>Book1!F126</f>
        <v>1</v>
      </c>
      <c r="C124">
        <f>Book1!G126</f>
        <v>0</v>
      </c>
      <c r="D124">
        <f>Book1!L126</f>
        <v>1</v>
      </c>
    </row>
    <row r="125" spans="1:4" x14ac:dyDescent="0.25">
      <c r="A125">
        <f>Book1!E127</f>
        <v>0</v>
      </c>
      <c r="B125">
        <f>Book1!F127</f>
        <v>0</v>
      </c>
      <c r="C125">
        <f>Book1!G127</f>
        <v>0</v>
      </c>
      <c r="D125">
        <f>Book1!L127</f>
        <v>1</v>
      </c>
    </row>
    <row r="126" spans="1:4" x14ac:dyDescent="0.25">
      <c r="A126">
        <f>Book1!E128</f>
        <v>1019</v>
      </c>
      <c r="B126">
        <f>Book1!F128</f>
        <v>1</v>
      </c>
      <c r="C126">
        <f>Book1!G128</f>
        <v>0</v>
      </c>
      <c r="D126">
        <f>Book1!L128</f>
        <v>1</v>
      </c>
    </row>
    <row r="127" spans="1:4" x14ac:dyDescent="0.25">
      <c r="A127">
        <f>Book1!E129</f>
        <v>0</v>
      </c>
      <c r="B127">
        <f>Book1!F129</f>
        <v>0</v>
      </c>
      <c r="C127">
        <f>Book1!G129</f>
        <v>0</v>
      </c>
      <c r="D127">
        <f>Book1!L129</f>
        <v>1</v>
      </c>
    </row>
    <row r="128" spans="1:4" x14ac:dyDescent="0.25">
      <c r="A128">
        <f>Book1!E130</f>
        <v>10019</v>
      </c>
      <c r="B128">
        <f>Book1!F130</f>
        <v>1</v>
      </c>
      <c r="C128">
        <f>Book1!G130</f>
        <v>1</v>
      </c>
      <c r="D128">
        <f>Book1!L130</f>
        <v>1</v>
      </c>
    </row>
    <row r="129" spans="1:4" x14ac:dyDescent="0.25">
      <c r="A129">
        <f>Book1!E131</f>
        <v>0</v>
      </c>
      <c r="B129">
        <f>Book1!F131</f>
        <v>0</v>
      </c>
      <c r="C129">
        <f>Book1!G131</f>
        <v>0</v>
      </c>
      <c r="D129">
        <f>Book1!L131</f>
        <v>1</v>
      </c>
    </row>
    <row r="130" spans="1:4" x14ac:dyDescent="0.25">
      <c r="A130">
        <f>Book1!E132</f>
        <v>0</v>
      </c>
      <c r="B130">
        <f>Book1!F132</f>
        <v>1</v>
      </c>
      <c r="C130">
        <f>Book1!G132</f>
        <v>0</v>
      </c>
      <c r="D130">
        <f>Book1!L132</f>
        <v>1</v>
      </c>
    </row>
    <row r="131" spans="1:4" x14ac:dyDescent="0.25">
      <c r="A131">
        <f>Book1!E133</f>
        <v>0</v>
      </c>
      <c r="B131">
        <f>Book1!F133</f>
        <v>0</v>
      </c>
      <c r="C131">
        <f>Book1!G133</f>
        <v>0</v>
      </c>
      <c r="D131">
        <f>Book1!L133</f>
        <v>1</v>
      </c>
    </row>
    <row r="132" spans="1:4" x14ac:dyDescent="0.25">
      <c r="A132">
        <f>Book1!E134</f>
        <v>5</v>
      </c>
      <c r="B132">
        <f>Book1!F134</f>
        <v>1</v>
      </c>
      <c r="C132">
        <f>Book1!G134</f>
        <v>0</v>
      </c>
      <c r="D132">
        <f>Book1!L134</f>
        <v>1</v>
      </c>
    </row>
    <row r="133" spans="1:4" x14ac:dyDescent="0.25">
      <c r="A133">
        <f>Book1!E135</f>
        <v>0</v>
      </c>
      <c r="B133">
        <f>Book1!F135</f>
        <v>0</v>
      </c>
      <c r="C133">
        <f>Book1!G135</f>
        <v>0</v>
      </c>
      <c r="D133">
        <f>Book1!L135</f>
        <v>1</v>
      </c>
    </row>
    <row r="134" spans="1:4" x14ac:dyDescent="0.25">
      <c r="A134">
        <f>Book1!E136</f>
        <v>20</v>
      </c>
      <c r="B134">
        <f>Book1!F136</f>
        <v>1</v>
      </c>
      <c r="C134">
        <f>Book1!G136</f>
        <v>0</v>
      </c>
      <c r="D134">
        <f>Book1!L136</f>
        <v>1</v>
      </c>
    </row>
    <row r="135" spans="1:4" x14ac:dyDescent="0.25">
      <c r="A135">
        <f>Book1!E137</f>
        <v>0</v>
      </c>
      <c r="B135">
        <f>Book1!F137</f>
        <v>0</v>
      </c>
      <c r="C135">
        <f>Book1!G137</f>
        <v>0</v>
      </c>
      <c r="D135">
        <f>Book1!L137</f>
        <v>1</v>
      </c>
    </row>
    <row r="136" spans="1:4" x14ac:dyDescent="0.25">
      <c r="A136">
        <f>Book1!E138</f>
        <v>120</v>
      </c>
      <c r="B136">
        <f>Book1!F138</f>
        <v>1</v>
      </c>
      <c r="C136">
        <f>Book1!G138</f>
        <v>0</v>
      </c>
      <c r="D136">
        <f>Book1!L138</f>
        <v>1</v>
      </c>
    </row>
    <row r="137" spans="1:4" x14ac:dyDescent="0.25">
      <c r="A137">
        <f>Book1!E139</f>
        <v>0</v>
      </c>
      <c r="B137">
        <f>Book1!F139</f>
        <v>0</v>
      </c>
      <c r="C137">
        <f>Book1!G139</f>
        <v>0</v>
      </c>
      <c r="D137">
        <f>Book1!L139</f>
        <v>1</v>
      </c>
    </row>
    <row r="138" spans="1:4" x14ac:dyDescent="0.25">
      <c r="A138">
        <f>Book1!E140</f>
        <v>1020</v>
      </c>
      <c r="B138">
        <f>Book1!F140</f>
        <v>1</v>
      </c>
      <c r="C138">
        <f>Book1!G140</f>
        <v>0</v>
      </c>
      <c r="D138">
        <f>Book1!L140</f>
        <v>1</v>
      </c>
    </row>
    <row r="139" spans="1:4" x14ac:dyDescent="0.25">
      <c r="A139">
        <f>Book1!E141</f>
        <v>0</v>
      </c>
      <c r="B139">
        <f>Book1!F141</f>
        <v>0</v>
      </c>
      <c r="C139">
        <f>Book1!G141</f>
        <v>0</v>
      </c>
      <c r="D139">
        <f>Book1!L141</f>
        <v>1</v>
      </c>
    </row>
    <row r="140" spans="1:4" x14ac:dyDescent="0.25">
      <c r="A140">
        <f>Book1!E142</f>
        <v>10020</v>
      </c>
      <c r="B140">
        <f>Book1!F142</f>
        <v>1</v>
      </c>
      <c r="C140">
        <f>Book1!G142</f>
        <v>1</v>
      </c>
      <c r="D140">
        <f>Book1!L142</f>
        <v>1</v>
      </c>
    </row>
    <row r="141" spans="1:4" x14ac:dyDescent="0.25">
      <c r="A141">
        <f>Book1!E143</f>
        <v>0</v>
      </c>
      <c r="B141">
        <f>Book1!F143</f>
        <v>0</v>
      </c>
      <c r="C141">
        <f>Book1!G143</f>
        <v>0</v>
      </c>
      <c r="D141">
        <f>Book1!L143</f>
        <v>1</v>
      </c>
    </row>
    <row r="142" spans="1:4" x14ac:dyDescent="0.25">
      <c r="A142">
        <f>Book1!E144</f>
        <v>0</v>
      </c>
      <c r="B142">
        <f>Book1!F144</f>
        <v>1</v>
      </c>
      <c r="C142">
        <f>Book1!G144</f>
        <v>0</v>
      </c>
      <c r="D142">
        <f>Book1!L144</f>
        <v>1</v>
      </c>
    </row>
    <row r="143" spans="1:4" x14ac:dyDescent="0.25">
      <c r="A143">
        <f>Book1!E145</f>
        <v>0</v>
      </c>
      <c r="B143">
        <f>Book1!F145</f>
        <v>0</v>
      </c>
      <c r="C143">
        <f>Book1!G145</f>
        <v>0</v>
      </c>
      <c r="D143">
        <f>Book1!L145</f>
        <v>1</v>
      </c>
    </row>
    <row r="144" spans="1:4" x14ac:dyDescent="0.25">
      <c r="A144">
        <f>Book1!E146</f>
        <v>5</v>
      </c>
      <c r="B144">
        <f>Book1!F146</f>
        <v>1</v>
      </c>
      <c r="C144">
        <f>Book1!G146</f>
        <v>0</v>
      </c>
      <c r="D144">
        <f>Book1!L146</f>
        <v>1</v>
      </c>
    </row>
    <row r="145" spans="1:4" x14ac:dyDescent="0.25">
      <c r="A145">
        <f>Book1!E147</f>
        <v>0</v>
      </c>
      <c r="B145">
        <f>Book1!F147</f>
        <v>0</v>
      </c>
      <c r="C145">
        <f>Book1!G147</f>
        <v>0</v>
      </c>
      <c r="D145">
        <f>Book1!L147</f>
        <v>1</v>
      </c>
    </row>
    <row r="146" spans="1:4" x14ac:dyDescent="0.25">
      <c r="A146">
        <f>Book1!E148</f>
        <v>21</v>
      </c>
      <c r="B146">
        <f>Book1!F148</f>
        <v>1</v>
      </c>
      <c r="C146">
        <f>Book1!G148</f>
        <v>0</v>
      </c>
      <c r="D146">
        <f>Book1!L148</f>
        <v>1</v>
      </c>
    </row>
    <row r="147" spans="1:4" x14ac:dyDescent="0.25">
      <c r="A147">
        <f>Book1!E149</f>
        <v>0</v>
      </c>
      <c r="B147">
        <f>Book1!F149</f>
        <v>0</v>
      </c>
      <c r="C147">
        <f>Book1!G149</f>
        <v>0</v>
      </c>
      <c r="D147">
        <f>Book1!L149</f>
        <v>1</v>
      </c>
    </row>
    <row r="148" spans="1:4" x14ac:dyDescent="0.25">
      <c r="A148">
        <f>Book1!E150</f>
        <v>121</v>
      </c>
      <c r="B148">
        <f>Book1!F150</f>
        <v>1</v>
      </c>
      <c r="C148">
        <f>Book1!G150</f>
        <v>0</v>
      </c>
      <c r="D148">
        <f>Book1!L150</f>
        <v>1</v>
      </c>
    </row>
    <row r="149" spans="1:4" x14ac:dyDescent="0.25">
      <c r="A149">
        <f>Book1!E151</f>
        <v>0</v>
      </c>
      <c r="B149">
        <f>Book1!F151</f>
        <v>0</v>
      </c>
      <c r="C149">
        <f>Book1!G151</f>
        <v>0</v>
      </c>
      <c r="D149">
        <f>Book1!L151</f>
        <v>1</v>
      </c>
    </row>
    <row r="150" spans="1:4" x14ac:dyDescent="0.25">
      <c r="A150">
        <f>Book1!E152</f>
        <v>1021</v>
      </c>
      <c r="B150">
        <f>Book1!F152</f>
        <v>1</v>
      </c>
      <c r="C150">
        <f>Book1!G152</f>
        <v>0</v>
      </c>
      <c r="D150">
        <f>Book1!L152</f>
        <v>1</v>
      </c>
    </row>
    <row r="151" spans="1:4" x14ac:dyDescent="0.25">
      <c r="A151">
        <f>Book1!E153</f>
        <v>0</v>
      </c>
      <c r="B151">
        <f>Book1!F153</f>
        <v>0</v>
      </c>
      <c r="C151">
        <f>Book1!G153</f>
        <v>0</v>
      </c>
      <c r="D151">
        <f>Book1!L153</f>
        <v>1</v>
      </c>
    </row>
    <row r="152" spans="1:4" x14ac:dyDescent="0.25">
      <c r="A152">
        <f>Book1!E154</f>
        <v>10021</v>
      </c>
      <c r="B152">
        <f>Book1!F154</f>
        <v>1</v>
      </c>
      <c r="C152">
        <f>Book1!G154</f>
        <v>1</v>
      </c>
      <c r="D152">
        <f>Book1!L154</f>
        <v>1</v>
      </c>
    </row>
    <row r="153" spans="1:4" x14ac:dyDescent="0.25">
      <c r="A153">
        <f>Book1!E155</f>
        <v>0</v>
      </c>
      <c r="B153">
        <f>Book1!F155</f>
        <v>0</v>
      </c>
      <c r="C153">
        <f>Book1!G155</f>
        <v>0</v>
      </c>
      <c r="D153">
        <f>Book1!L155</f>
        <v>1</v>
      </c>
    </row>
    <row r="154" spans="1:4" x14ac:dyDescent="0.25">
      <c r="A154">
        <f>Book1!E156</f>
        <v>0</v>
      </c>
      <c r="B154">
        <f>Book1!F156</f>
        <v>1</v>
      </c>
      <c r="C154">
        <f>Book1!G156</f>
        <v>0</v>
      </c>
      <c r="D154">
        <f>Book1!L156</f>
        <v>1</v>
      </c>
    </row>
    <row r="155" spans="1:4" x14ac:dyDescent="0.25">
      <c r="A155">
        <f>Book1!E157</f>
        <v>0</v>
      </c>
      <c r="B155">
        <f>Book1!F157</f>
        <v>0</v>
      </c>
      <c r="C155">
        <f>Book1!G157</f>
        <v>0</v>
      </c>
      <c r="D155">
        <f>Book1!L157</f>
        <v>1</v>
      </c>
    </row>
    <row r="156" spans="1:4" x14ac:dyDescent="0.25">
      <c r="A156">
        <f>Book1!E158</f>
        <v>5</v>
      </c>
      <c r="B156">
        <f>Book1!F158</f>
        <v>1</v>
      </c>
      <c r="C156">
        <f>Book1!G158</f>
        <v>0</v>
      </c>
      <c r="D156">
        <f>Book1!L158</f>
        <v>1</v>
      </c>
    </row>
    <row r="157" spans="1:4" x14ac:dyDescent="0.25">
      <c r="A157">
        <f>Book1!E159</f>
        <v>0</v>
      </c>
      <c r="B157">
        <f>Book1!F159</f>
        <v>0</v>
      </c>
      <c r="C157">
        <f>Book1!G159</f>
        <v>0</v>
      </c>
      <c r="D157">
        <f>Book1!L159</f>
        <v>1</v>
      </c>
    </row>
    <row r="158" spans="1:4" x14ac:dyDescent="0.25">
      <c r="A158">
        <f>Book1!E160</f>
        <v>22</v>
      </c>
      <c r="B158">
        <f>Book1!F160</f>
        <v>1</v>
      </c>
      <c r="C158">
        <f>Book1!G160</f>
        <v>0</v>
      </c>
      <c r="D158">
        <f>Book1!L160</f>
        <v>1</v>
      </c>
    </row>
    <row r="159" spans="1:4" x14ac:dyDescent="0.25">
      <c r="A159">
        <f>Book1!E161</f>
        <v>0</v>
      </c>
      <c r="B159">
        <f>Book1!F161</f>
        <v>0</v>
      </c>
      <c r="C159">
        <f>Book1!G161</f>
        <v>0</v>
      </c>
      <c r="D159">
        <f>Book1!L161</f>
        <v>1</v>
      </c>
    </row>
    <row r="160" spans="1:4" x14ac:dyDescent="0.25">
      <c r="A160">
        <f>Book1!E162</f>
        <v>122</v>
      </c>
      <c r="B160">
        <f>Book1!F162</f>
        <v>1</v>
      </c>
      <c r="C160">
        <f>Book1!G162</f>
        <v>0</v>
      </c>
      <c r="D160">
        <f>Book1!L162</f>
        <v>1</v>
      </c>
    </row>
    <row r="161" spans="1:4" x14ac:dyDescent="0.25">
      <c r="A161">
        <f>Book1!E163</f>
        <v>0</v>
      </c>
      <c r="B161">
        <f>Book1!F163</f>
        <v>0</v>
      </c>
      <c r="C161">
        <f>Book1!G163</f>
        <v>0</v>
      </c>
      <c r="D161">
        <f>Book1!L163</f>
        <v>1</v>
      </c>
    </row>
    <row r="162" spans="1:4" x14ac:dyDescent="0.25">
      <c r="A162">
        <f>Book1!E164</f>
        <v>1022</v>
      </c>
      <c r="B162">
        <f>Book1!F164</f>
        <v>1</v>
      </c>
      <c r="C162">
        <f>Book1!G164</f>
        <v>0</v>
      </c>
      <c r="D162">
        <f>Book1!L164</f>
        <v>1</v>
      </c>
    </row>
    <row r="163" spans="1:4" x14ac:dyDescent="0.25">
      <c r="A163">
        <f>Book1!E165</f>
        <v>0</v>
      </c>
      <c r="B163">
        <f>Book1!F165</f>
        <v>0</v>
      </c>
      <c r="C163">
        <f>Book1!G165</f>
        <v>0</v>
      </c>
      <c r="D163">
        <f>Book1!L165</f>
        <v>1</v>
      </c>
    </row>
    <row r="164" spans="1:4" x14ac:dyDescent="0.25">
      <c r="A164">
        <f>Book1!E166</f>
        <v>10022</v>
      </c>
      <c r="B164">
        <f>Book1!F166</f>
        <v>1</v>
      </c>
      <c r="C164">
        <f>Book1!G166</f>
        <v>1</v>
      </c>
      <c r="D164">
        <f>Book1!L166</f>
        <v>1</v>
      </c>
    </row>
    <row r="165" spans="1:4" x14ac:dyDescent="0.25">
      <c r="A165">
        <f>Book1!E167</f>
        <v>0</v>
      </c>
      <c r="B165">
        <f>Book1!F167</f>
        <v>0</v>
      </c>
      <c r="C165">
        <f>Book1!G167</f>
        <v>0</v>
      </c>
      <c r="D165">
        <f>Book1!L167</f>
        <v>1</v>
      </c>
    </row>
    <row r="166" spans="1:4" x14ac:dyDescent="0.25">
      <c r="A166">
        <f>Book1!E168</f>
        <v>0</v>
      </c>
      <c r="B166">
        <f>Book1!F168</f>
        <v>1</v>
      </c>
      <c r="C166">
        <f>Book1!G168</f>
        <v>0</v>
      </c>
      <c r="D166">
        <f>Book1!L168</f>
        <v>1</v>
      </c>
    </row>
    <row r="167" spans="1:4" x14ac:dyDescent="0.25">
      <c r="A167">
        <f>Book1!E169</f>
        <v>0</v>
      </c>
      <c r="B167">
        <f>Book1!F169</f>
        <v>0</v>
      </c>
      <c r="C167">
        <f>Book1!G169</f>
        <v>0</v>
      </c>
      <c r="D167">
        <f>Book1!L169</f>
        <v>1</v>
      </c>
    </row>
    <row r="168" spans="1:4" x14ac:dyDescent="0.25">
      <c r="A168">
        <f>Book1!E170</f>
        <v>5</v>
      </c>
      <c r="B168">
        <f>Book1!F170</f>
        <v>1</v>
      </c>
      <c r="C168">
        <f>Book1!G170</f>
        <v>0</v>
      </c>
      <c r="D168">
        <f>Book1!L170</f>
        <v>1</v>
      </c>
    </row>
    <row r="169" spans="1:4" x14ac:dyDescent="0.25">
      <c r="A169">
        <f>Book1!E171</f>
        <v>0</v>
      </c>
      <c r="B169">
        <f>Book1!F171</f>
        <v>0</v>
      </c>
      <c r="C169">
        <f>Book1!G171</f>
        <v>0</v>
      </c>
      <c r="D169">
        <f>Book1!L171</f>
        <v>1</v>
      </c>
    </row>
    <row r="170" spans="1:4" x14ac:dyDescent="0.25">
      <c r="A170">
        <f>Book1!E172</f>
        <v>23</v>
      </c>
      <c r="B170">
        <f>Book1!F172</f>
        <v>1</v>
      </c>
      <c r="C170">
        <f>Book1!G172</f>
        <v>0</v>
      </c>
      <c r="D170">
        <f>Book1!L172</f>
        <v>1</v>
      </c>
    </row>
    <row r="171" spans="1:4" x14ac:dyDescent="0.25">
      <c r="A171">
        <f>Book1!E173</f>
        <v>0</v>
      </c>
      <c r="B171">
        <f>Book1!F173</f>
        <v>0</v>
      </c>
      <c r="C171">
        <f>Book1!G173</f>
        <v>0</v>
      </c>
      <c r="D171">
        <f>Book1!L173</f>
        <v>1</v>
      </c>
    </row>
    <row r="172" spans="1:4" x14ac:dyDescent="0.25">
      <c r="A172">
        <f>Book1!E174</f>
        <v>123</v>
      </c>
      <c r="B172">
        <f>Book1!F174</f>
        <v>1</v>
      </c>
      <c r="C172">
        <f>Book1!G174</f>
        <v>0</v>
      </c>
      <c r="D172">
        <f>Book1!L174</f>
        <v>1</v>
      </c>
    </row>
    <row r="173" spans="1:4" x14ac:dyDescent="0.25">
      <c r="A173">
        <f>Book1!E175</f>
        <v>0</v>
      </c>
      <c r="B173">
        <f>Book1!F175</f>
        <v>0</v>
      </c>
      <c r="C173">
        <f>Book1!G175</f>
        <v>0</v>
      </c>
      <c r="D173">
        <f>Book1!L175</f>
        <v>1</v>
      </c>
    </row>
    <row r="174" spans="1:4" x14ac:dyDescent="0.25">
      <c r="A174">
        <f>Book1!E176</f>
        <v>1023</v>
      </c>
      <c r="B174">
        <f>Book1!F176</f>
        <v>1</v>
      </c>
      <c r="C174">
        <f>Book1!G176</f>
        <v>0</v>
      </c>
      <c r="D174">
        <f>Book1!L176</f>
        <v>1</v>
      </c>
    </row>
    <row r="175" spans="1:4" x14ac:dyDescent="0.25">
      <c r="A175">
        <f>Book1!E177</f>
        <v>0</v>
      </c>
      <c r="B175">
        <f>Book1!F177</f>
        <v>0</v>
      </c>
      <c r="C175">
        <f>Book1!G177</f>
        <v>0</v>
      </c>
      <c r="D175">
        <f>Book1!L177</f>
        <v>1</v>
      </c>
    </row>
    <row r="176" spans="1:4" x14ac:dyDescent="0.25">
      <c r="A176">
        <f>Book1!E178</f>
        <v>10023</v>
      </c>
      <c r="B176">
        <f>Book1!F178</f>
        <v>1</v>
      </c>
      <c r="C176">
        <f>Book1!G178</f>
        <v>1</v>
      </c>
      <c r="D176">
        <f>Book1!L178</f>
        <v>1</v>
      </c>
    </row>
    <row r="177" spans="1:4" x14ac:dyDescent="0.25">
      <c r="A177">
        <f>Book1!E179</f>
        <v>0</v>
      </c>
      <c r="B177">
        <f>Book1!F179</f>
        <v>0</v>
      </c>
      <c r="C177">
        <f>Book1!G179</f>
        <v>0</v>
      </c>
      <c r="D177">
        <f>Book1!L179</f>
        <v>1</v>
      </c>
    </row>
    <row r="178" spans="1:4" x14ac:dyDescent="0.25">
      <c r="A178">
        <f>Book1!E180</f>
        <v>0</v>
      </c>
      <c r="B178">
        <f>Book1!F180</f>
        <v>1</v>
      </c>
      <c r="C178">
        <f>Book1!G180</f>
        <v>0</v>
      </c>
      <c r="D178">
        <f>Book1!L180</f>
        <v>1</v>
      </c>
    </row>
    <row r="179" spans="1:4" x14ac:dyDescent="0.25">
      <c r="A179">
        <f>Book1!E181</f>
        <v>0</v>
      </c>
      <c r="B179">
        <f>Book1!F181</f>
        <v>0</v>
      </c>
      <c r="C179">
        <f>Book1!G181</f>
        <v>0</v>
      </c>
      <c r="D179">
        <f>Book1!L181</f>
        <v>1</v>
      </c>
    </row>
    <row r="180" spans="1:4" x14ac:dyDescent="0.25">
      <c r="A180">
        <f>Book1!E182</f>
        <v>5</v>
      </c>
      <c r="B180">
        <f>Book1!F182</f>
        <v>1</v>
      </c>
      <c r="C180">
        <f>Book1!G182</f>
        <v>0</v>
      </c>
      <c r="D180">
        <f>Book1!L182</f>
        <v>1</v>
      </c>
    </row>
    <row r="181" spans="1:4" x14ac:dyDescent="0.25">
      <c r="A181">
        <f>Book1!E183</f>
        <v>0</v>
      </c>
      <c r="B181">
        <f>Book1!F183</f>
        <v>0</v>
      </c>
      <c r="C181">
        <f>Book1!G183</f>
        <v>0</v>
      </c>
      <c r="D181">
        <f>Book1!L183</f>
        <v>1</v>
      </c>
    </row>
    <row r="182" spans="1:4" x14ac:dyDescent="0.25">
      <c r="A182">
        <f>Book1!E184</f>
        <v>24</v>
      </c>
      <c r="B182">
        <f>Book1!F184</f>
        <v>1</v>
      </c>
      <c r="C182">
        <f>Book1!G184</f>
        <v>0</v>
      </c>
      <c r="D182">
        <f>Book1!L184</f>
        <v>1</v>
      </c>
    </row>
    <row r="183" spans="1:4" x14ac:dyDescent="0.25">
      <c r="A183">
        <f>Book1!E185</f>
        <v>0</v>
      </c>
      <c r="B183">
        <f>Book1!F185</f>
        <v>0</v>
      </c>
      <c r="C183">
        <f>Book1!G185</f>
        <v>0</v>
      </c>
      <c r="D183">
        <f>Book1!L185</f>
        <v>1</v>
      </c>
    </row>
    <row r="184" spans="1:4" x14ac:dyDescent="0.25">
      <c r="A184">
        <f>Book1!E186</f>
        <v>124</v>
      </c>
      <c r="B184">
        <f>Book1!F186</f>
        <v>1</v>
      </c>
      <c r="C184">
        <f>Book1!G186</f>
        <v>0</v>
      </c>
      <c r="D184">
        <f>Book1!L186</f>
        <v>1</v>
      </c>
    </row>
    <row r="185" spans="1:4" x14ac:dyDescent="0.25">
      <c r="A185">
        <f>Book1!E187</f>
        <v>0</v>
      </c>
      <c r="B185">
        <f>Book1!F187</f>
        <v>0</v>
      </c>
      <c r="C185">
        <f>Book1!G187</f>
        <v>0</v>
      </c>
      <c r="D185">
        <f>Book1!L187</f>
        <v>1</v>
      </c>
    </row>
    <row r="186" spans="1:4" x14ac:dyDescent="0.25">
      <c r="A186">
        <f>Book1!E188</f>
        <v>1024</v>
      </c>
      <c r="B186">
        <f>Book1!F188</f>
        <v>1</v>
      </c>
      <c r="C186">
        <f>Book1!G188</f>
        <v>0</v>
      </c>
      <c r="D186">
        <f>Book1!L188</f>
        <v>1</v>
      </c>
    </row>
    <row r="187" spans="1:4" x14ac:dyDescent="0.25">
      <c r="A187">
        <f>Book1!E189</f>
        <v>0</v>
      </c>
      <c r="B187">
        <f>Book1!F189</f>
        <v>0</v>
      </c>
      <c r="C187">
        <f>Book1!G189</f>
        <v>0</v>
      </c>
      <c r="D187">
        <f>Book1!L189</f>
        <v>1</v>
      </c>
    </row>
    <row r="188" spans="1:4" x14ac:dyDescent="0.25">
      <c r="A188">
        <f>Book1!E190</f>
        <v>10024</v>
      </c>
      <c r="B188">
        <f>Book1!F190</f>
        <v>1</v>
      </c>
      <c r="C188">
        <f>Book1!G190</f>
        <v>1</v>
      </c>
      <c r="D188">
        <f>Book1!L190</f>
        <v>1</v>
      </c>
    </row>
    <row r="189" spans="1:4" x14ac:dyDescent="0.25">
      <c r="A189">
        <f>Book1!E191</f>
        <v>0</v>
      </c>
      <c r="B189">
        <f>Book1!F191</f>
        <v>0</v>
      </c>
      <c r="C189">
        <f>Book1!G191</f>
        <v>0</v>
      </c>
      <c r="D189">
        <f>Book1!L191</f>
        <v>1</v>
      </c>
    </row>
    <row r="190" spans="1:4" x14ac:dyDescent="0.25">
      <c r="A190">
        <f>Book1!E192</f>
        <v>0</v>
      </c>
      <c r="B190">
        <f>Book1!F192</f>
        <v>1</v>
      </c>
      <c r="C190">
        <f>Book1!G192</f>
        <v>0</v>
      </c>
      <c r="D190">
        <f>Book1!L192</f>
        <v>1</v>
      </c>
    </row>
    <row r="191" spans="1:4" x14ac:dyDescent="0.25">
      <c r="A191">
        <f>Book1!E193</f>
        <v>0</v>
      </c>
      <c r="B191">
        <f>Book1!F193</f>
        <v>0</v>
      </c>
      <c r="C191">
        <f>Book1!G193</f>
        <v>0</v>
      </c>
      <c r="D191">
        <f>Book1!L193</f>
        <v>1</v>
      </c>
    </row>
    <row r="192" spans="1:4" x14ac:dyDescent="0.25">
      <c r="A192">
        <f>Book1!E194</f>
        <v>5</v>
      </c>
      <c r="B192">
        <f>Book1!F194</f>
        <v>1</v>
      </c>
      <c r="C192">
        <f>Book1!G194</f>
        <v>0</v>
      </c>
      <c r="D192">
        <f>Book1!L194</f>
        <v>1</v>
      </c>
    </row>
    <row r="193" spans="1:4" x14ac:dyDescent="0.25">
      <c r="A193">
        <f>Book1!E195</f>
        <v>0</v>
      </c>
      <c r="B193">
        <f>Book1!F195</f>
        <v>0</v>
      </c>
      <c r="C193">
        <f>Book1!G195</f>
        <v>0</v>
      </c>
      <c r="D193">
        <f>Book1!L195</f>
        <v>1</v>
      </c>
    </row>
    <row r="194" spans="1:4" x14ac:dyDescent="0.25">
      <c r="A194">
        <f>Book1!E196</f>
        <v>25</v>
      </c>
      <c r="B194">
        <f>Book1!F196</f>
        <v>1</v>
      </c>
      <c r="C194">
        <f>Book1!G196</f>
        <v>0</v>
      </c>
      <c r="D194">
        <f>Book1!L196</f>
        <v>1</v>
      </c>
    </row>
    <row r="195" spans="1:4" x14ac:dyDescent="0.25">
      <c r="A195">
        <f>Book1!E197</f>
        <v>0</v>
      </c>
      <c r="B195">
        <f>Book1!F197</f>
        <v>0</v>
      </c>
      <c r="C195">
        <f>Book1!G197</f>
        <v>0</v>
      </c>
      <c r="D195">
        <f>Book1!L197</f>
        <v>1</v>
      </c>
    </row>
    <row r="196" spans="1:4" x14ac:dyDescent="0.25">
      <c r="A196">
        <f>Book1!E198</f>
        <v>125</v>
      </c>
      <c r="B196">
        <f>Book1!F198</f>
        <v>1</v>
      </c>
      <c r="C196">
        <f>Book1!G198</f>
        <v>0</v>
      </c>
      <c r="D196">
        <f>Book1!L198</f>
        <v>1</v>
      </c>
    </row>
    <row r="197" spans="1:4" x14ac:dyDescent="0.25">
      <c r="A197">
        <f>Book1!E199</f>
        <v>0</v>
      </c>
      <c r="B197">
        <f>Book1!F199</f>
        <v>0</v>
      </c>
      <c r="C197">
        <f>Book1!G199</f>
        <v>0</v>
      </c>
      <c r="D197">
        <f>Book1!L199</f>
        <v>1</v>
      </c>
    </row>
    <row r="198" spans="1:4" x14ac:dyDescent="0.25">
      <c r="A198">
        <f>Book1!E200</f>
        <v>1025</v>
      </c>
      <c r="B198">
        <f>Book1!F200</f>
        <v>1</v>
      </c>
      <c r="C198">
        <f>Book1!G200</f>
        <v>0</v>
      </c>
      <c r="D198">
        <f>Book1!L200</f>
        <v>1</v>
      </c>
    </row>
    <row r="199" spans="1:4" x14ac:dyDescent="0.25">
      <c r="A199">
        <f>Book1!E201</f>
        <v>0</v>
      </c>
      <c r="B199">
        <f>Book1!F201</f>
        <v>0</v>
      </c>
      <c r="C199">
        <f>Book1!G201</f>
        <v>0</v>
      </c>
      <c r="D199">
        <f>Book1!L201</f>
        <v>1</v>
      </c>
    </row>
    <row r="200" spans="1:4" x14ac:dyDescent="0.25">
      <c r="A200">
        <f>Book1!E202</f>
        <v>10025</v>
      </c>
      <c r="B200">
        <f>Book1!F202</f>
        <v>1</v>
      </c>
      <c r="C200">
        <f>Book1!G202</f>
        <v>1</v>
      </c>
      <c r="D200">
        <f>Book1!L202</f>
        <v>1</v>
      </c>
    </row>
    <row r="201" spans="1:4" x14ac:dyDescent="0.25">
      <c r="A201">
        <f>Book1!E203</f>
        <v>0</v>
      </c>
      <c r="B201">
        <f>Book1!F203</f>
        <v>0</v>
      </c>
      <c r="C201">
        <f>Book1!G203</f>
        <v>0</v>
      </c>
      <c r="D201">
        <f>Book1!L203</f>
        <v>1</v>
      </c>
    </row>
    <row r="202" spans="1:4" x14ac:dyDescent="0.25">
      <c r="A202">
        <f>Book1!E204</f>
        <v>0</v>
      </c>
      <c r="B202">
        <f>Book1!F204</f>
        <v>1</v>
      </c>
      <c r="C202">
        <f>Book1!G204</f>
        <v>0</v>
      </c>
      <c r="D202">
        <f>Book1!L204</f>
        <v>1</v>
      </c>
    </row>
    <row r="203" spans="1:4" x14ac:dyDescent="0.25">
      <c r="A203">
        <f>Book1!E205</f>
        <v>0</v>
      </c>
      <c r="B203">
        <f>Book1!F205</f>
        <v>0</v>
      </c>
      <c r="C203">
        <f>Book1!G205</f>
        <v>0</v>
      </c>
      <c r="D203">
        <f>Book1!L205</f>
        <v>1</v>
      </c>
    </row>
    <row r="204" spans="1:4" x14ac:dyDescent="0.25">
      <c r="A204">
        <f>Book1!E206</f>
        <v>5</v>
      </c>
      <c r="B204">
        <f>Book1!F206</f>
        <v>1</v>
      </c>
      <c r="C204">
        <f>Book1!G206</f>
        <v>0</v>
      </c>
      <c r="D204">
        <f>Book1!L206</f>
        <v>1</v>
      </c>
    </row>
    <row r="205" spans="1:4" x14ac:dyDescent="0.25">
      <c r="A205">
        <f>Book1!E207</f>
        <v>0</v>
      </c>
      <c r="B205">
        <f>Book1!F207</f>
        <v>0</v>
      </c>
      <c r="C205">
        <f>Book1!G207</f>
        <v>0</v>
      </c>
      <c r="D205">
        <f>Book1!L207</f>
        <v>1</v>
      </c>
    </row>
    <row r="206" spans="1:4" x14ac:dyDescent="0.25">
      <c r="A206">
        <f>Book1!E208</f>
        <v>26</v>
      </c>
      <c r="B206">
        <f>Book1!F208</f>
        <v>1</v>
      </c>
      <c r="C206">
        <f>Book1!G208</f>
        <v>0</v>
      </c>
      <c r="D206">
        <f>Book1!L208</f>
        <v>1</v>
      </c>
    </row>
    <row r="207" spans="1:4" x14ac:dyDescent="0.25">
      <c r="A207">
        <f>Book1!E209</f>
        <v>0</v>
      </c>
      <c r="B207">
        <f>Book1!F209</f>
        <v>0</v>
      </c>
      <c r="C207">
        <f>Book1!G209</f>
        <v>0</v>
      </c>
      <c r="D207">
        <f>Book1!L209</f>
        <v>1</v>
      </c>
    </row>
    <row r="208" spans="1:4" x14ac:dyDescent="0.25">
      <c r="A208">
        <f>Book1!E210</f>
        <v>126</v>
      </c>
      <c r="B208">
        <f>Book1!F210</f>
        <v>1</v>
      </c>
      <c r="C208">
        <f>Book1!G210</f>
        <v>0</v>
      </c>
      <c r="D208">
        <f>Book1!L210</f>
        <v>1</v>
      </c>
    </row>
    <row r="209" spans="1:4" x14ac:dyDescent="0.25">
      <c r="A209">
        <f>Book1!E211</f>
        <v>0</v>
      </c>
      <c r="B209">
        <f>Book1!F211</f>
        <v>0</v>
      </c>
      <c r="C209">
        <f>Book1!G211</f>
        <v>0</v>
      </c>
      <c r="D209">
        <f>Book1!L211</f>
        <v>1</v>
      </c>
    </row>
    <row r="210" spans="1:4" x14ac:dyDescent="0.25">
      <c r="A210">
        <f>Book1!E212</f>
        <v>1026</v>
      </c>
      <c r="B210">
        <f>Book1!F212</f>
        <v>1</v>
      </c>
      <c r="C210">
        <f>Book1!G212</f>
        <v>0</v>
      </c>
      <c r="D210">
        <f>Book1!L212</f>
        <v>1</v>
      </c>
    </row>
    <row r="211" spans="1:4" x14ac:dyDescent="0.25">
      <c r="A211">
        <f>Book1!E213</f>
        <v>0</v>
      </c>
      <c r="B211">
        <f>Book1!F213</f>
        <v>0</v>
      </c>
      <c r="C211">
        <f>Book1!G213</f>
        <v>0</v>
      </c>
      <c r="D211">
        <f>Book1!L213</f>
        <v>1</v>
      </c>
    </row>
    <row r="212" spans="1:4" x14ac:dyDescent="0.25">
      <c r="A212">
        <f>Book1!E214</f>
        <v>10026</v>
      </c>
      <c r="B212">
        <f>Book1!F214</f>
        <v>1</v>
      </c>
      <c r="C212">
        <f>Book1!G214</f>
        <v>1</v>
      </c>
      <c r="D212">
        <f>Book1!L214</f>
        <v>1</v>
      </c>
    </row>
    <row r="213" spans="1:4" x14ac:dyDescent="0.25">
      <c r="A213">
        <f>Book1!E215</f>
        <v>0</v>
      </c>
      <c r="B213">
        <f>Book1!F215</f>
        <v>0</v>
      </c>
      <c r="C213">
        <f>Book1!G215</f>
        <v>0</v>
      </c>
      <c r="D213">
        <f>Book1!L215</f>
        <v>1</v>
      </c>
    </row>
    <row r="214" spans="1:4" x14ac:dyDescent="0.25">
      <c r="A214">
        <f>Book1!E216</f>
        <v>0</v>
      </c>
      <c r="B214">
        <f>Book1!F216</f>
        <v>1</v>
      </c>
      <c r="C214">
        <f>Book1!G216</f>
        <v>0</v>
      </c>
      <c r="D214">
        <f>Book1!L216</f>
        <v>1</v>
      </c>
    </row>
    <row r="215" spans="1:4" x14ac:dyDescent="0.25">
      <c r="A215">
        <f>Book1!E217</f>
        <v>0</v>
      </c>
      <c r="B215">
        <f>Book1!F217</f>
        <v>0</v>
      </c>
      <c r="C215">
        <f>Book1!G217</f>
        <v>0</v>
      </c>
      <c r="D215">
        <f>Book1!L217</f>
        <v>1</v>
      </c>
    </row>
    <row r="216" spans="1:4" x14ac:dyDescent="0.25">
      <c r="A216">
        <f>Book1!E218</f>
        <v>5</v>
      </c>
      <c r="B216">
        <f>Book1!F218</f>
        <v>1</v>
      </c>
      <c r="C216">
        <f>Book1!G218</f>
        <v>0</v>
      </c>
      <c r="D216">
        <f>Book1!L218</f>
        <v>1</v>
      </c>
    </row>
    <row r="217" spans="1:4" x14ac:dyDescent="0.25">
      <c r="A217">
        <f>Book1!E219</f>
        <v>0</v>
      </c>
      <c r="B217">
        <f>Book1!F219</f>
        <v>0</v>
      </c>
      <c r="C217">
        <f>Book1!G219</f>
        <v>0</v>
      </c>
      <c r="D217">
        <f>Book1!L219</f>
        <v>1</v>
      </c>
    </row>
    <row r="218" spans="1:4" x14ac:dyDescent="0.25">
      <c r="A218">
        <f>Book1!E220</f>
        <v>27</v>
      </c>
      <c r="B218">
        <f>Book1!F220</f>
        <v>1</v>
      </c>
      <c r="C218">
        <f>Book1!G220</f>
        <v>0</v>
      </c>
      <c r="D218">
        <f>Book1!L220</f>
        <v>1</v>
      </c>
    </row>
    <row r="219" spans="1:4" x14ac:dyDescent="0.25">
      <c r="A219">
        <f>Book1!E221</f>
        <v>0</v>
      </c>
      <c r="B219">
        <f>Book1!F221</f>
        <v>0</v>
      </c>
      <c r="C219">
        <f>Book1!G221</f>
        <v>0</v>
      </c>
      <c r="D219">
        <f>Book1!L221</f>
        <v>1</v>
      </c>
    </row>
    <row r="220" spans="1:4" x14ac:dyDescent="0.25">
      <c r="A220">
        <f>Book1!E222</f>
        <v>127</v>
      </c>
      <c r="B220">
        <f>Book1!F222</f>
        <v>1</v>
      </c>
      <c r="C220">
        <f>Book1!G222</f>
        <v>0</v>
      </c>
      <c r="D220">
        <f>Book1!L222</f>
        <v>1</v>
      </c>
    </row>
    <row r="221" spans="1:4" x14ac:dyDescent="0.25">
      <c r="A221">
        <f>Book1!E223</f>
        <v>0</v>
      </c>
      <c r="B221">
        <f>Book1!F223</f>
        <v>0</v>
      </c>
      <c r="C221">
        <f>Book1!G223</f>
        <v>0</v>
      </c>
      <c r="D221">
        <f>Book1!L223</f>
        <v>1</v>
      </c>
    </row>
    <row r="222" spans="1:4" x14ac:dyDescent="0.25">
      <c r="A222">
        <f>Book1!E224</f>
        <v>1027</v>
      </c>
      <c r="B222">
        <f>Book1!F224</f>
        <v>1</v>
      </c>
      <c r="C222">
        <f>Book1!G224</f>
        <v>0</v>
      </c>
      <c r="D222">
        <f>Book1!L224</f>
        <v>1</v>
      </c>
    </row>
    <row r="223" spans="1:4" x14ac:dyDescent="0.25">
      <c r="A223">
        <f>Book1!E225</f>
        <v>0</v>
      </c>
      <c r="B223">
        <f>Book1!F225</f>
        <v>0</v>
      </c>
      <c r="C223">
        <f>Book1!G225</f>
        <v>0</v>
      </c>
      <c r="D223">
        <f>Book1!L225</f>
        <v>1</v>
      </c>
    </row>
    <row r="224" spans="1:4" x14ac:dyDescent="0.25">
      <c r="A224">
        <f>Book1!E226</f>
        <v>10027</v>
      </c>
      <c r="B224">
        <f>Book1!F226</f>
        <v>1</v>
      </c>
      <c r="C224">
        <f>Book1!G226</f>
        <v>1</v>
      </c>
      <c r="D224">
        <f>Book1!L226</f>
        <v>1</v>
      </c>
    </row>
    <row r="225" spans="1:4" x14ac:dyDescent="0.25">
      <c r="A225">
        <f>Book1!E227</f>
        <v>0</v>
      </c>
      <c r="B225">
        <f>Book1!F227</f>
        <v>0</v>
      </c>
      <c r="C225">
        <f>Book1!G227</f>
        <v>0</v>
      </c>
      <c r="D225">
        <f>Book1!L227</f>
        <v>1</v>
      </c>
    </row>
    <row r="226" spans="1:4" x14ac:dyDescent="0.25">
      <c r="A226">
        <f>Book1!E228</f>
        <v>0</v>
      </c>
      <c r="B226">
        <f>Book1!F228</f>
        <v>1</v>
      </c>
      <c r="C226">
        <f>Book1!G228</f>
        <v>0</v>
      </c>
      <c r="D226">
        <f>Book1!L228</f>
        <v>1</v>
      </c>
    </row>
    <row r="227" spans="1:4" x14ac:dyDescent="0.25">
      <c r="A227">
        <f>Book1!E229</f>
        <v>0</v>
      </c>
      <c r="B227">
        <f>Book1!F229</f>
        <v>0</v>
      </c>
      <c r="C227">
        <f>Book1!G229</f>
        <v>0</v>
      </c>
      <c r="D227">
        <f>Book1!L229</f>
        <v>1</v>
      </c>
    </row>
    <row r="228" spans="1:4" x14ac:dyDescent="0.25">
      <c r="A228">
        <f>Book1!E230</f>
        <v>5</v>
      </c>
      <c r="B228">
        <f>Book1!F230</f>
        <v>1</v>
      </c>
      <c r="C228">
        <f>Book1!G230</f>
        <v>0</v>
      </c>
      <c r="D228">
        <f>Book1!L230</f>
        <v>1</v>
      </c>
    </row>
    <row r="229" spans="1:4" x14ac:dyDescent="0.25">
      <c r="A229">
        <f>Book1!E231</f>
        <v>0</v>
      </c>
      <c r="B229">
        <f>Book1!F231</f>
        <v>0</v>
      </c>
      <c r="C229">
        <f>Book1!G231</f>
        <v>0</v>
      </c>
      <c r="D229">
        <f>Book1!L231</f>
        <v>1</v>
      </c>
    </row>
    <row r="230" spans="1:4" x14ac:dyDescent="0.25">
      <c r="A230">
        <f>Book1!E232</f>
        <v>28</v>
      </c>
      <c r="B230">
        <f>Book1!F232</f>
        <v>1</v>
      </c>
      <c r="C230">
        <f>Book1!G232</f>
        <v>0</v>
      </c>
      <c r="D230">
        <f>Book1!L232</f>
        <v>1</v>
      </c>
    </row>
    <row r="231" spans="1:4" x14ac:dyDescent="0.25">
      <c r="A231">
        <f>Book1!E233</f>
        <v>0</v>
      </c>
      <c r="B231">
        <f>Book1!F233</f>
        <v>0</v>
      </c>
      <c r="C231">
        <f>Book1!G233</f>
        <v>0</v>
      </c>
      <c r="D231">
        <f>Book1!L233</f>
        <v>1</v>
      </c>
    </row>
    <row r="232" spans="1:4" x14ac:dyDescent="0.25">
      <c r="A232">
        <f>Book1!E234</f>
        <v>128</v>
      </c>
      <c r="B232">
        <f>Book1!F234</f>
        <v>1</v>
      </c>
      <c r="C232">
        <f>Book1!G234</f>
        <v>0</v>
      </c>
      <c r="D232">
        <f>Book1!L234</f>
        <v>1</v>
      </c>
    </row>
    <row r="233" spans="1:4" x14ac:dyDescent="0.25">
      <c r="A233">
        <f>Book1!E235</f>
        <v>0</v>
      </c>
      <c r="B233">
        <f>Book1!F235</f>
        <v>0</v>
      </c>
      <c r="C233">
        <f>Book1!G235</f>
        <v>0</v>
      </c>
      <c r="D233">
        <f>Book1!L235</f>
        <v>1</v>
      </c>
    </row>
    <row r="234" spans="1:4" x14ac:dyDescent="0.25">
      <c r="A234">
        <f>Book1!E236</f>
        <v>1028</v>
      </c>
      <c r="B234">
        <f>Book1!F236</f>
        <v>1</v>
      </c>
      <c r="C234">
        <f>Book1!G236</f>
        <v>0</v>
      </c>
      <c r="D234">
        <f>Book1!L236</f>
        <v>1</v>
      </c>
    </row>
    <row r="235" spans="1:4" x14ac:dyDescent="0.25">
      <c r="A235">
        <f>Book1!E237</f>
        <v>0</v>
      </c>
      <c r="B235">
        <f>Book1!F237</f>
        <v>0</v>
      </c>
      <c r="C235">
        <f>Book1!G237</f>
        <v>0</v>
      </c>
      <c r="D235">
        <f>Book1!L237</f>
        <v>1</v>
      </c>
    </row>
    <row r="236" spans="1:4" x14ac:dyDescent="0.25">
      <c r="A236">
        <f>Book1!E238</f>
        <v>10028</v>
      </c>
      <c r="B236">
        <f>Book1!F238</f>
        <v>1</v>
      </c>
      <c r="C236">
        <f>Book1!G238</f>
        <v>1</v>
      </c>
      <c r="D236">
        <f>Book1!L238</f>
        <v>1</v>
      </c>
    </row>
    <row r="237" spans="1:4" x14ac:dyDescent="0.25">
      <c r="A237">
        <f>Book1!E239</f>
        <v>0</v>
      </c>
      <c r="B237">
        <f>Book1!F239</f>
        <v>0</v>
      </c>
      <c r="C237">
        <f>Book1!G239</f>
        <v>0</v>
      </c>
      <c r="D237">
        <f>Book1!L239</f>
        <v>1</v>
      </c>
    </row>
    <row r="238" spans="1:4" x14ac:dyDescent="0.25">
      <c r="A238">
        <f>Book1!E240</f>
        <v>0</v>
      </c>
      <c r="B238">
        <f>Book1!F240</f>
        <v>1</v>
      </c>
      <c r="C238">
        <f>Book1!G240</f>
        <v>0</v>
      </c>
      <c r="D238">
        <f>Book1!L240</f>
        <v>1</v>
      </c>
    </row>
    <row r="239" spans="1:4" x14ac:dyDescent="0.25">
      <c r="A239">
        <f>Book1!E241</f>
        <v>0</v>
      </c>
      <c r="B239">
        <f>Book1!F241</f>
        <v>0</v>
      </c>
      <c r="C239">
        <f>Book1!G241</f>
        <v>0</v>
      </c>
      <c r="D239">
        <f>Book1!L241</f>
        <v>1</v>
      </c>
    </row>
    <row r="240" spans="1:4" x14ac:dyDescent="0.25">
      <c r="A240">
        <f>Book1!E242</f>
        <v>5</v>
      </c>
      <c r="B240">
        <f>Book1!F242</f>
        <v>1</v>
      </c>
      <c r="C240">
        <f>Book1!G242</f>
        <v>0</v>
      </c>
      <c r="D240">
        <f>Book1!L242</f>
        <v>1</v>
      </c>
    </row>
    <row r="241" spans="1:4" x14ac:dyDescent="0.25">
      <c r="A241">
        <f>Book1!E243</f>
        <v>0</v>
      </c>
      <c r="B241">
        <f>Book1!F243</f>
        <v>0</v>
      </c>
      <c r="C241">
        <f>Book1!G243</f>
        <v>0</v>
      </c>
      <c r="D241">
        <f>Book1!L243</f>
        <v>1</v>
      </c>
    </row>
    <row r="242" spans="1:4" x14ac:dyDescent="0.25">
      <c r="A242">
        <f>Book1!E244</f>
        <v>29</v>
      </c>
      <c r="B242">
        <f>Book1!F244</f>
        <v>1</v>
      </c>
      <c r="C242">
        <f>Book1!G244</f>
        <v>0</v>
      </c>
      <c r="D242">
        <f>Book1!L244</f>
        <v>1</v>
      </c>
    </row>
    <row r="243" spans="1:4" x14ac:dyDescent="0.25">
      <c r="A243">
        <f>Book1!E245</f>
        <v>0</v>
      </c>
      <c r="B243">
        <f>Book1!F245</f>
        <v>0</v>
      </c>
      <c r="C243">
        <f>Book1!G245</f>
        <v>0</v>
      </c>
      <c r="D243">
        <f>Book1!L245</f>
        <v>1</v>
      </c>
    </row>
    <row r="244" spans="1:4" x14ac:dyDescent="0.25">
      <c r="A244">
        <f>Book1!E246</f>
        <v>129</v>
      </c>
      <c r="B244">
        <f>Book1!F246</f>
        <v>1</v>
      </c>
      <c r="C244">
        <f>Book1!G246</f>
        <v>0</v>
      </c>
      <c r="D244">
        <f>Book1!L246</f>
        <v>1</v>
      </c>
    </row>
    <row r="245" spans="1:4" x14ac:dyDescent="0.25">
      <c r="A245">
        <f>Book1!E247</f>
        <v>0</v>
      </c>
      <c r="B245">
        <f>Book1!F247</f>
        <v>0</v>
      </c>
      <c r="C245">
        <f>Book1!G247</f>
        <v>0</v>
      </c>
      <c r="D245">
        <f>Book1!L247</f>
        <v>1</v>
      </c>
    </row>
    <row r="246" spans="1:4" x14ac:dyDescent="0.25">
      <c r="A246">
        <f>Book1!E248</f>
        <v>1029</v>
      </c>
      <c r="B246">
        <f>Book1!F248</f>
        <v>1</v>
      </c>
      <c r="C246">
        <f>Book1!G248</f>
        <v>0</v>
      </c>
      <c r="D246">
        <f>Book1!L248</f>
        <v>1</v>
      </c>
    </row>
    <row r="247" spans="1:4" x14ac:dyDescent="0.25">
      <c r="A247">
        <f>Book1!E249</f>
        <v>0</v>
      </c>
      <c r="B247">
        <f>Book1!F249</f>
        <v>0</v>
      </c>
      <c r="C247">
        <f>Book1!G249</f>
        <v>0</v>
      </c>
      <c r="D247">
        <f>Book1!L249</f>
        <v>1</v>
      </c>
    </row>
    <row r="248" spans="1:4" x14ac:dyDescent="0.25">
      <c r="A248">
        <f>Book1!E250</f>
        <v>10029</v>
      </c>
      <c r="B248">
        <f>Book1!F250</f>
        <v>1</v>
      </c>
      <c r="C248">
        <f>Book1!G250</f>
        <v>1</v>
      </c>
      <c r="D248">
        <f>Book1!L250</f>
        <v>1</v>
      </c>
    </row>
    <row r="249" spans="1:4" x14ac:dyDescent="0.25">
      <c r="A249">
        <f>Book1!E251</f>
        <v>0</v>
      </c>
      <c r="B249">
        <f>Book1!F251</f>
        <v>0</v>
      </c>
      <c r="C249">
        <f>Book1!G251</f>
        <v>0</v>
      </c>
      <c r="D249">
        <f>Book1!L251</f>
        <v>1</v>
      </c>
    </row>
    <row r="250" spans="1:4" x14ac:dyDescent="0.25">
      <c r="A250">
        <f>Book1!E252</f>
        <v>0</v>
      </c>
      <c r="B250">
        <f>Book1!F252</f>
        <v>1</v>
      </c>
      <c r="C250">
        <f>Book1!G252</f>
        <v>0</v>
      </c>
      <c r="D250">
        <f>Book1!L252</f>
        <v>1</v>
      </c>
    </row>
    <row r="251" spans="1:4" x14ac:dyDescent="0.25">
      <c r="A251">
        <f>Book1!E253</f>
        <v>0</v>
      </c>
      <c r="B251">
        <f>Book1!F253</f>
        <v>0</v>
      </c>
      <c r="C251">
        <f>Book1!G253</f>
        <v>0</v>
      </c>
      <c r="D251">
        <f>Book1!L253</f>
        <v>1</v>
      </c>
    </row>
    <row r="252" spans="1:4" x14ac:dyDescent="0.25">
      <c r="A252">
        <f>Book1!E254</f>
        <v>5</v>
      </c>
      <c r="B252">
        <f>Book1!F254</f>
        <v>1</v>
      </c>
      <c r="C252">
        <f>Book1!G254</f>
        <v>0</v>
      </c>
      <c r="D252">
        <f>Book1!L254</f>
        <v>1</v>
      </c>
    </row>
    <row r="253" spans="1:4" x14ac:dyDescent="0.25">
      <c r="A253">
        <f>Book1!E255</f>
        <v>0</v>
      </c>
      <c r="B253">
        <f>Book1!F255</f>
        <v>0</v>
      </c>
      <c r="C253">
        <f>Book1!G255</f>
        <v>0</v>
      </c>
      <c r="D253">
        <f>Book1!L255</f>
        <v>1</v>
      </c>
    </row>
    <row r="254" spans="1:4" x14ac:dyDescent="0.25">
      <c r="A254">
        <f>Book1!E256</f>
        <v>30</v>
      </c>
      <c r="B254">
        <f>Book1!F256</f>
        <v>1</v>
      </c>
      <c r="C254">
        <f>Book1!G256</f>
        <v>0</v>
      </c>
      <c r="D254">
        <f>Book1!L256</f>
        <v>1</v>
      </c>
    </row>
    <row r="255" spans="1:4" x14ac:dyDescent="0.25">
      <c r="A255">
        <f>Book1!E257</f>
        <v>0</v>
      </c>
      <c r="B255">
        <f>Book1!F257</f>
        <v>0</v>
      </c>
      <c r="C255">
        <f>Book1!G257</f>
        <v>0</v>
      </c>
      <c r="D255">
        <f>Book1!L257</f>
        <v>1</v>
      </c>
    </row>
    <row r="256" spans="1:4" x14ac:dyDescent="0.25">
      <c r="A256">
        <f>Book1!E258</f>
        <v>130</v>
      </c>
      <c r="B256">
        <f>Book1!F258</f>
        <v>1</v>
      </c>
      <c r="C256">
        <f>Book1!G258</f>
        <v>0</v>
      </c>
      <c r="D256">
        <f>Book1!L258</f>
        <v>1</v>
      </c>
    </row>
    <row r="257" spans="1:4" x14ac:dyDescent="0.25">
      <c r="A257">
        <f>Book1!E259</f>
        <v>0</v>
      </c>
      <c r="B257">
        <f>Book1!F259</f>
        <v>0</v>
      </c>
      <c r="C257">
        <f>Book1!G259</f>
        <v>0</v>
      </c>
      <c r="D257">
        <f>Book1!L259</f>
        <v>1</v>
      </c>
    </row>
    <row r="258" spans="1:4" x14ac:dyDescent="0.25">
      <c r="A258">
        <f>Book1!E260</f>
        <v>1030</v>
      </c>
      <c r="B258">
        <f>Book1!F260</f>
        <v>1</v>
      </c>
      <c r="C258">
        <f>Book1!G260</f>
        <v>0</v>
      </c>
      <c r="D258">
        <f>Book1!L260</f>
        <v>1</v>
      </c>
    </row>
    <row r="259" spans="1:4" x14ac:dyDescent="0.25">
      <c r="A259">
        <f>Book1!E261</f>
        <v>0</v>
      </c>
      <c r="B259">
        <f>Book1!F261</f>
        <v>0</v>
      </c>
      <c r="C259">
        <f>Book1!G261</f>
        <v>0</v>
      </c>
      <c r="D259">
        <f>Book1!L261</f>
        <v>1</v>
      </c>
    </row>
    <row r="260" spans="1:4" x14ac:dyDescent="0.25">
      <c r="A260">
        <f>Book1!E262</f>
        <v>10030</v>
      </c>
      <c r="B260">
        <f>Book1!F262</f>
        <v>1</v>
      </c>
      <c r="C260">
        <f>Book1!G262</f>
        <v>1</v>
      </c>
      <c r="D260">
        <f>Book1!L262</f>
        <v>1</v>
      </c>
    </row>
    <row r="261" spans="1:4" x14ac:dyDescent="0.25">
      <c r="A261">
        <f>Book1!E263</f>
        <v>0</v>
      </c>
      <c r="B261">
        <f>Book1!F263</f>
        <v>0</v>
      </c>
      <c r="C261">
        <f>Book1!G263</f>
        <v>0</v>
      </c>
      <c r="D261">
        <f>Book1!L263</f>
        <v>1</v>
      </c>
    </row>
    <row r="262" spans="1:4" x14ac:dyDescent="0.25">
      <c r="A262">
        <f>Book1!E264</f>
        <v>0</v>
      </c>
      <c r="B262">
        <f>Book1!F264</f>
        <v>1</v>
      </c>
      <c r="C262">
        <f>Book1!G264</f>
        <v>0</v>
      </c>
      <c r="D262">
        <f>Book1!L264</f>
        <v>1</v>
      </c>
    </row>
    <row r="263" spans="1:4" x14ac:dyDescent="0.25">
      <c r="A263">
        <f>Book1!E265</f>
        <v>0</v>
      </c>
      <c r="B263">
        <f>Book1!F265</f>
        <v>0</v>
      </c>
      <c r="C263">
        <f>Book1!G265</f>
        <v>0</v>
      </c>
      <c r="D263">
        <f>Book1!L265</f>
        <v>1</v>
      </c>
    </row>
    <row r="264" spans="1:4" x14ac:dyDescent="0.25">
      <c r="A264">
        <f>Book1!E266</f>
        <v>5</v>
      </c>
      <c r="B264">
        <f>Book1!F266</f>
        <v>1</v>
      </c>
      <c r="C264">
        <f>Book1!G266</f>
        <v>0</v>
      </c>
      <c r="D264">
        <f>Book1!L266</f>
        <v>1</v>
      </c>
    </row>
    <row r="265" spans="1:4" x14ac:dyDescent="0.25">
      <c r="A265">
        <f>Book1!E267</f>
        <v>0</v>
      </c>
      <c r="B265">
        <f>Book1!F267</f>
        <v>0</v>
      </c>
      <c r="C265">
        <f>Book1!G267</f>
        <v>0</v>
      </c>
      <c r="D265">
        <f>Book1!L267</f>
        <v>1</v>
      </c>
    </row>
    <row r="266" spans="1:4" x14ac:dyDescent="0.25">
      <c r="A266">
        <f>Book1!E268</f>
        <v>31</v>
      </c>
      <c r="B266">
        <f>Book1!F268</f>
        <v>1</v>
      </c>
      <c r="C266">
        <f>Book1!G268</f>
        <v>0</v>
      </c>
      <c r="D266">
        <f>Book1!L268</f>
        <v>1</v>
      </c>
    </row>
    <row r="267" spans="1:4" x14ac:dyDescent="0.25">
      <c r="A267">
        <f>Book1!E269</f>
        <v>0</v>
      </c>
      <c r="B267">
        <f>Book1!F269</f>
        <v>0</v>
      </c>
      <c r="C267">
        <f>Book1!G269</f>
        <v>0</v>
      </c>
      <c r="D267">
        <f>Book1!L269</f>
        <v>1</v>
      </c>
    </row>
    <row r="268" spans="1:4" x14ac:dyDescent="0.25">
      <c r="A268">
        <f>Book1!E270</f>
        <v>131</v>
      </c>
      <c r="B268">
        <f>Book1!F270</f>
        <v>1</v>
      </c>
      <c r="C268">
        <f>Book1!G270</f>
        <v>0</v>
      </c>
      <c r="D268">
        <f>Book1!L270</f>
        <v>1</v>
      </c>
    </row>
    <row r="269" spans="1:4" x14ac:dyDescent="0.25">
      <c r="A269">
        <f>Book1!E271</f>
        <v>0</v>
      </c>
      <c r="B269">
        <f>Book1!F271</f>
        <v>0</v>
      </c>
      <c r="C269">
        <f>Book1!G271</f>
        <v>0</v>
      </c>
      <c r="D269">
        <f>Book1!L271</f>
        <v>1</v>
      </c>
    </row>
    <row r="270" spans="1:4" x14ac:dyDescent="0.25">
      <c r="A270">
        <f>Book1!E272</f>
        <v>1031</v>
      </c>
      <c r="B270">
        <f>Book1!F272</f>
        <v>1</v>
      </c>
      <c r="C270">
        <f>Book1!G272</f>
        <v>0</v>
      </c>
      <c r="D270">
        <f>Book1!L272</f>
        <v>1</v>
      </c>
    </row>
    <row r="271" spans="1:4" x14ac:dyDescent="0.25">
      <c r="A271">
        <f>Book1!E273</f>
        <v>0</v>
      </c>
      <c r="B271">
        <f>Book1!F273</f>
        <v>0</v>
      </c>
      <c r="C271">
        <f>Book1!G273</f>
        <v>0</v>
      </c>
      <c r="D271">
        <f>Book1!L273</f>
        <v>1</v>
      </c>
    </row>
    <row r="272" spans="1:4" x14ac:dyDescent="0.25">
      <c r="A272">
        <f>Book1!E274</f>
        <v>10031</v>
      </c>
      <c r="B272">
        <f>Book1!F274</f>
        <v>1</v>
      </c>
      <c r="C272">
        <f>Book1!G274</f>
        <v>1</v>
      </c>
      <c r="D272">
        <f>Book1!L274</f>
        <v>1</v>
      </c>
    </row>
    <row r="273" spans="1:4" x14ac:dyDescent="0.25">
      <c r="A273">
        <f>Book1!E275</f>
        <v>0</v>
      </c>
      <c r="B273">
        <f>Book1!F275</f>
        <v>0</v>
      </c>
      <c r="C273">
        <f>Book1!G275</f>
        <v>0</v>
      </c>
      <c r="D273">
        <f>Book1!L275</f>
        <v>1</v>
      </c>
    </row>
    <row r="274" spans="1:4" x14ac:dyDescent="0.25">
      <c r="A274">
        <f>Book1!E276</f>
        <v>0</v>
      </c>
      <c r="B274">
        <f>Book1!F276</f>
        <v>1</v>
      </c>
      <c r="C274">
        <f>Book1!G276</f>
        <v>0</v>
      </c>
      <c r="D274">
        <f>Book1!L276</f>
        <v>1</v>
      </c>
    </row>
    <row r="275" spans="1:4" x14ac:dyDescent="0.25">
      <c r="A275">
        <f>Book1!E277</f>
        <v>0</v>
      </c>
      <c r="B275">
        <f>Book1!F277</f>
        <v>0</v>
      </c>
      <c r="C275">
        <f>Book1!G277</f>
        <v>0</v>
      </c>
      <c r="D275">
        <f>Book1!L277</f>
        <v>1</v>
      </c>
    </row>
    <row r="276" spans="1:4" x14ac:dyDescent="0.25">
      <c r="A276">
        <f>Book1!E278</f>
        <v>5</v>
      </c>
      <c r="B276">
        <f>Book1!F278</f>
        <v>1</v>
      </c>
      <c r="C276">
        <f>Book1!G278</f>
        <v>0</v>
      </c>
      <c r="D276">
        <f>Book1!L278</f>
        <v>1</v>
      </c>
    </row>
    <row r="277" spans="1:4" x14ac:dyDescent="0.25">
      <c r="A277">
        <f>Book1!E279</f>
        <v>0</v>
      </c>
      <c r="B277">
        <f>Book1!F279</f>
        <v>0</v>
      </c>
      <c r="C277">
        <f>Book1!G279</f>
        <v>0</v>
      </c>
      <c r="D277">
        <f>Book1!L279</f>
        <v>1</v>
      </c>
    </row>
    <row r="278" spans="1:4" x14ac:dyDescent="0.25">
      <c r="A278">
        <f>Book1!E280</f>
        <v>32</v>
      </c>
      <c r="B278">
        <f>Book1!F280</f>
        <v>1</v>
      </c>
      <c r="C278">
        <f>Book1!G280</f>
        <v>0</v>
      </c>
      <c r="D278">
        <f>Book1!L280</f>
        <v>1</v>
      </c>
    </row>
    <row r="279" spans="1:4" x14ac:dyDescent="0.25">
      <c r="A279">
        <f>Book1!E281</f>
        <v>0</v>
      </c>
      <c r="B279">
        <f>Book1!F281</f>
        <v>0</v>
      </c>
      <c r="C279">
        <f>Book1!G281</f>
        <v>0</v>
      </c>
      <c r="D279">
        <f>Book1!L281</f>
        <v>1</v>
      </c>
    </row>
    <row r="280" spans="1:4" x14ac:dyDescent="0.25">
      <c r="A280">
        <f>Book1!E282</f>
        <v>132</v>
      </c>
      <c r="B280">
        <f>Book1!F282</f>
        <v>1</v>
      </c>
      <c r="C280">
        <f>Book1!G282</f>
        <v>0</v>
      </c>
      <c r="D280">
        <f>Book1!L282</f>
        <v>1</v>
      </c>
    </row>
    <row r="281" spans="1:4" x14ac:dyDescent="0.25">
      <c r="A281">
        <f>Book1!E283</f>
        <v>0</v>
      </c>
      <c r="B281">
        <f>Book1!F283</f>
        <v>0</v>
      </c>
      <c r="C281">
        <f>Book1!G283</f>
        <v>0</v>
      </c>
      <c r="D281">
        <f>Book1!L283</f>
        <v>1</v>
      </c>
    </row>
    <row r="282" spans="1:4" x14ac:dyDescent="0.25">
      <c r="A282">
        <f>Book1!E284</f>
        <v>1032</v>
      </c>
      <c r="B282">
        <f>Book1!F284</f>
        <v>1</v>
      </c>
      <c r="C282">
        <f>Book1!G284</f>
        <v>0</v>
      </c>
      <c r="D282">
        <f>Book1!L284</f>
        <v>1</v>
      </c>
    </row>
    <row r="283" spans="1:4" x14ac:dyDescent="0.25">
      <c r="A283">
        <f>Book1!E285</f>
        <v>0</v>
      </c>
      <c r="B283">
        <f>Book1!F285</f>
        <v>0</v>
      </c>
      <c r="C283">
        <f>Book1!G285</f>
        <v>0</v>
      </c>
      <c r="D283">
        <f>Book1!L285</f>
        <v>1</v>
      </c>
    </row>
    <row r="284" spans="1:4" x14ac:dyDescent="0.25">
      <c r="A284">
        <f>Book1!E286</f>
        <v>10032</v>
      </c>
      <c r="B284">
        <f>Book1!F286</f>
        <v>1</v>
      </c>
      <c r="C284">
        <f>Book1!G286</f>
        <v>1</v>
      </c>
      <c r="D284">
        <f>Book1!L286</f>
        <v>1</v>
      </c>
    </row>
    <row r="285" spans="1:4" x14ac:dyDescent="0.25">
      <c r="A285">
        <f>Book1!E287</f>
        <v>0</v>
      </c>
      <c r="B285">
        <f>Book1!F287</f>
        <v>0</v>
      </c>
      <c r="C285">
        <f>Book1!G287</f>
        <v>0</v>
      </c>
      <c r="D285">
        <f>Book1!L287</f>
        <v>1</v>
      </c>
    </row>
    <row r="286" spans="1:4" x14ac:dyDescent="0.25">
      <c r="A286">
        <f>Book1!E288</f>
        <v>0</v>
      </c>
      <c r="B286">
        <f>Book1!F288</f>
        <v>1</v>
      </c>
      <c r="C286">
        <f>Book1!G288</f>
        <v>0</v>
      </c>
      <c r="D286">
        <f>Book1!L288</f>
        <v>1</v>
      </c>
    </row>
    <row r="287" spans="1:4" x14ac:dyDescent="0.25">
      <c r="A287">
        <f>Book1!E289</f>
        <v>0</v>
      </c>
      <c r="B287">
        <f>Book1!F289</f>
        <v>0</v>
      </c>
      <c r="C287">
        <f>Book1!G289</f>
        <v>0</v>
      </c>
      <c r="D287">
        <f>Book1!L289</f>
        <v>1</v>
      </c>
    </row>
    <row r="288" spans="1:4" x14ac:dyDescent="0.25">
      <c r="A288">
        <f>Book1!E290</f>
        <v>5</v>
      </c>
      <c r="B288">
        <f>Book1!F290</f>
        <v>1</v>
      </c>
      <c r="C288">
        <f>Book1!G290</f>
        <v>0</v>
      </c>
      <c r="D288">
        <f>Book1!L290</f>
        <v>1</v>
      </c>
    </row>
    <row r="289" spans="1:4" x14ac:dyDescent="0.25">
      <c r="A289">
        <f>Book1!E291</f>
        <v>0</v>
      </c>
      <c r="B289">
        <f>Book1!F291</f>
        <v>0</v>
      </c>
      <c r="C289">
        <f>Book1!G291</f>
        <v>0</v>
      </c>
      <c r="D289">
        <f>Book1!L291</f>
        <v>1</v>
      </c>
    </row>
    <row r="290" spans="1:4" x14ac:dyDescent="0.25">
      <c r="A290">
        <f>Book1!E292</f>
        <v>33</v>
      </c>
      <c r="B290">
        <f>Book1!F292</f>
        <v>1</v>
      </c>
      <c r="C290">
        <f>Book1!G292</f>
        <v>0</v>
      </c>
      <c r="D290">
        <f>Book1!L292</f>
        <v>1</v>
      </c>
    </row>
    <row r="291" spans="1:4" x14ac:dyDescent="0.25">
      <c r="A291">
        <f>Book1!E293</f>
        <v>0</v>
      </c>
      <c r="B291">
        <f>Book1!F293</f>
        <v>0</v>
      </c>
      <c r="C291">
        <f>Book1!G293</f>
        <v>0</v>
      </c>
      <c r="D291">
        <f>Book1!L293</f>
        <v>1</v>
      </c>
    </row>
    <row r="292" spans="1:4" x14ac:dyDescent="0.25">
      <c r="A292">
        <f>Book1!E294</f>
        <v>133</v>
      </c>
      <c r="B292">
        <f>Book1!F294</f>
        <v>1</v>
      </c>
      <c r="C292">
        <f>Book1!G294</f>
        <v>0</v>
      </c>
      <c r="D292">
        <f>Book1!L294</f>
        <v>1</v>
      </c>
    </row>
    <row r="293" spans="1:4" x14ac:dyDescent="0.25">
      <c r="A293">
        <f>Book1!E295</f>
        <v>0</v>
      </c>
      <c r="B293">
        <f>Book1!F295</f>
        <v>0</v>
      </c>
      <c r="C293">
        <f>Book1!G295</f>
        <v>0</v>
      </c>
      <c r="D293">
        <f>Book1!L295</f>
        <v>1</v>
      </c>
    </row>
    <row r="294" spans="1:4" x14ac:dyDescent="0.25">
      <c r="A294">
        <f>Book1!E296</f>
        <v>1033</v>
      </c>
      <c r="B294">
        <f>Book1!F296</f>
        <v>1</v>
      </c>
      <c r="C294">
        <f>Book1!G296</f>
        <v>0</v>
      </c>
      <c r="D294">
        <f>Book1!L296</f>
        <v>1</v>
      </c>
    </row>
    <row r="295" spans="1:4" x14ac:dyDescent="0.25">
      <c r="A295">
        <f>Book1!E297</f>
        <v>0</v>
      </c>
      <c r="B295">
        <f>Book1!F297</f>
        <v>0</v>
      </c>
      <c r="C295">
        <f>Book1!G297</f>
        <v>0</v>
      </c>
      <c r="D295">
        <f>Book1!L297</f>
        <v>1</v>
      </c>
    </row>
    <row r="296" spans="1:4" x14ac:dyDescent="0.25">
      <c r="A296">
        <f>Book1!E298</f>
        <v>10033</v>
      </c>
      <c r="B296">
        <f>Book1!F298</f>
        <v>1</v>
      </c>
      <c r="C296">
        <f>Book1!G298</f>
        <v>1</v>
      </c>
      <c r="D296">
        <f>Book1!L298</f>
        <v>1</v>
      </c>
    </row>
    <row r="297" spans="1:4" x14ac:dyDescent="0.25">
      <c r="A297">
        <f>Book1!E299</f>
        <v>0</v>
      </c>
      <c r="B297">
        <f>Book1!F299</f>
        <v>0</v>
      </c>
      <c r="C297">
        <f>Book1!G299</f>
        <v>0</v>
      </c>
      <c r="D297">
        <f>Book1!L299</f>
        <v>1</v>
      </c>
    </row>
    <row r="298" spans="1:4" x14ac:dyDescent="0.25">
      <c r="A298">
        <f>Book1!E300</f>
        <v>0</v>
      </c>
      <c r="B298">
        <f>Book1!F300</f>
        <v>1</v>
      </c>
      <c r="C298">
        <f>Book1!G300</f>
        <v>0</v>
      </c>
      <c r="D298">
        <f>Book1!L300</f>
        <v>1</v>
      </c>
    </row>
    <row r="299" spans="1:4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Book1!L301</f>
        <v>1</v>
      </c>
    </row>
    <row r="300" spans="1:4" x14ac:dyDescent="0.25">
      <c r="A300">
        <f>Book1!E302</f>
        <v>5</v>
      </c>
      <c r="B300">
        <f>Book1!F302</f>
        <v>1</v>
      </c>
      <c r="C300">
        <f>Book1!G302</f>
        <v>0</v>
      </c>
      <c r="D300">
        <f>Book1!L302</f>
        <v>1</v>
      </c>
    </row>
    <row r="301" spans="1:4" x14ac:dyDescent="0.25">
      <c r="A301">
        <f>Book1!E303</f>
        <v>0</v>
      </c>
      <c r="B301">
        <f>Book1!F303</f>
        <v>0</v>
      </c>
      <c r="C301">
        <f>Book1!G303</f>
        <v>0</v>
      </c>
      <c r="D301">
        <f>Book1!L303</f>
        <v>1</v>
      </c>
    </row>
    <row r="302" spans="1:4" x14ac:dyDescent="0.25">
      <c r="A302">
        <f>Book1!E304</f>
        <v>34</v>
      </c>
      <c r="B302">
        <f>Book1!F304</f>
        <v>1</v>
      </c>
      <c r="C302">
        <f>Book1!G304</f>
        <v>0</v>
      </c>
      <c r="D302">
        <f>Book1!L304</f>
        <v>1</v>
      </c>
    </row>
    <row r="303" spans="1:4" x14ac:dyDescent="0.25">
      <c r="A303">
        <f>Book1!E305</f>
        <v>0</v>
      </c>
      <c r="B303">
        <f>Book1!F305</f>
        <v>0</v>
      </c>
      <c r="C303">
        <f>Book1!G305</f>
        <v>0</v>
      </c>
      <c r="D303">
        <f>Book1!L305</f>
        <v>1</v>
      </c>
    </row>
    <row r="304" spans="1:4" x14ac:dyDescent="0.25">
      <c r="A304">
        <f>Book1!E306</f>
        <v>134</v>
      </c>
      <c r="B304">
        <f>Book1!F306</f>
        <v>1</v>
      </c>
      <c r="C304">
        <f>Book1!G306</f>
        <v>0</v>
      </c>
      <c r="D304">
        <f>Book1!L306</f>
        <v>1</v>
      </c>
    </row>
    <row r="305" spans="1:4" x14ac:dyDescent="0.25">
      <c r="A305">
        <f>Book1!E307</f>
        <v>0</v>
      </c>
      <c r="B305">
        <f>Book1!F307</f>
        <v>0</v>
      </c>
      <c r="C305">
        <f>Book1!G307</f>
        <v>0</v>
      </c>
      <c r="D305">
        <f>Book1!L307</f>
        <v>1</v>
      </c>
    </row>
    <row r="306" spans="1:4" x14ac:dyDescent="0.25">
      <c r="A306">
        <f>Book1!E308</f>
        <v>1034</v>
      </c>
      <c r="B306">
        <f>Book1!F308</f>
        <v>1</v>
      </c>
      <c r="C306">
        <f>Book1!G308</f>
        <v>0</v>
      </c>
      <c r="D306">
        <f>Book1!L308</f>
        <v>1</v>
      </c>
    </row>
    <row r="307" spans="1:4" x14ac:dyDescent="0.25">
      <c r="A307">
        <f>Book1!E309</f>
        <v>0</v>
      </c>
      <c r="B307">
        <f>Book1!F309</f>
        <v>0</v>
      </c>
      <c r="C307">
        <f>Book1!G309</f>
        <v>0</v>
      </c>
      <c r="D307">
        <f>Book1!L309</f>
        <v>1</v>
      </c>
    </row>
    <row r="308" spans="1:4" x14ac:dyDescent="0.25">
      <c r="A308">
        <f>Book1!E310</f>
        <v>10034</v>
      </c>
      <c r="B308">
        <f>Book1!F310</f>
        <v>1</v>
      </c>
      <c r="C308">
        <f>Book1!G310</f>
        <v>1</v>
      </c>
      <c r="D308">
        <f>Book1!L310</f>
        <v>1</v>
      </c>
    </row>
    <row r="309" spans="1:4" x14ac:dyDescent="0.25">
      <c r="A309">
        <f>Book1!E311</f>
        <v>0</v>
      </c>
      <c r="B309">
        <f>Book1!F311</f>
        <v>0</v>
      </c>
      <c r="C309">
        <f>Book1!G311</f>
        <v>0</v>
      </c>
      <c r="D309">
        <f>Book1!L311</f>
        <v>1</v>
      </c>
    </row>
    <row r="310" spans="1:4" x14ac:dyDescent="0.25">
      <c r="A310">
        <f>Book1!E312</f>
        <v>1</v>
      </c>
      <c r="B310">
        <f>Book1!F312</f>
        <v>1</v>
      </c>
      <c r="C310">
        <f>Book1!G312</f>
        <v>0</v>
      </c>
      <c r="D310">
        <f>Book1!L312</f>
        <v>1</v>
      </c>
    </row>
    <row r="311" spans="1:4" x14ac:dyDescent="0.25">
      <c r="A311">
        <f>Book1!E313</f>
        <v>0</v>
      </c>
      <c r="B311">
        <f>Book1!F313</f>
        <v>0</v>
      </c>
      <c r="C311">
        <f>Book1!G313</f>
        <v>0</v>
      </c>
      <c r="D311">
        <f>Book1!L313</f>
        <v>1</v>
      </c>
    </row>
    <row r="312" spans="1:4" x14ac:dyDescent="0.25">
      <c r="A312">
        <f>Book1!E314</f>
        <v>5</v>
      </c>
      <c r="B312">
        <f>Book1!F314</f>
        <v>1</v>
      </c>
      <c r="C312">
        <f>Book1!G314</f>
        <v>0</v>
      </c>
      <c r="D312">
        <f>Book1!L314</f>
        <v>1</v>
      </c>
    </row>
    <row r="313" spans="1:4" x14ac:dyDescent="0.25">
      <c r="A313">
        <f>Book1!E315</f>
        <v>0</v>
      </c>
      <c r="B313">
        <f>Book1!F315</f>
        <v>0</v>
      </c>
      <c r="C313">
        <f>Book1!G315</f>
        <v>0</v>
      </c>
      <c r="D313">
        <f>Book1!L315</f>
        <v>1</v>
      </c>
    </row>
    <row r="314" spans="1:4" x14ac:dyDescent="0.25">
      <c r="A314">
        <f>Book1!E316</f>
        <v>35</v>
      </c>
      <c r="B314">
        <f>Book1!F316</f>
        <v>1</v>
      </c>
      <c r="C314">
        <f>Book1!G316</f>
        <v>0</v>
      </c>
      <c r="D314">
        <f>Book1!L316</f>
        <v>1</v>
      </c>
    </row>
    <row r="315" spans="1:4" x14ac:dyDescent="0.25">
      <c r="A315">
        <f>Book1!E317</f>
        <v>0</v>
      </c>
      <c r="B315">
        <f>Book1!F317</f>
        <v>0</v>
      </c>
      <c r="C315">
        <f>Book1!G317</f>
        <v>0</v>
      </c>
      <c r="D315">
        <f>Book1!L317</f>
        <v>1</v>
      </c>
    </row>
    <row r="316" spans="1:4" x14ac:dyDescent="0.25">
      <c r="A316">
        <f>Book1!E318</f>
        <v>135</v>
      </c>
      <c r="B316">
        <f>Book1!F318</f>
        <v>1</v>
      </c>
      <c r="C316">
        <f>Book1!G318</f>
        <v>0</v>
      </c>
      <c r="D316">
        <f>Book1!L318</f>
        <v>1</v>
      </c>
    </row>
    <row r="317" spans="1:4" x14ac:dyDescent="0.25">
      <c r="A317">
        <f>Book1!E319</f>
        <v>0</v>
      </c>
      <c r="B317">
        <f>Book1!F319</f>
        <v>0</v>
      </c>
      <c r="C317">
        <f>Book1!G319</f>
        <v>0</v>
      </c>
      <c r="D317">
        <f>Book1!L319</f>
        <v>1</v>
      </c>
    </row>
    <row r="318" spans="1:4" x14ac:dyDescent="0.25">
      <c r="A318">
        <f>Book1!E320</f>
        <v>1035</v>
      </c>
      <c r="B318">
        <f>Book1!F320</f>
        <v>1</v>
      </c>
      <c r="C318">
        <f>Book1!G320</f>
        <v>0</v>
      </c>
      <c r="D318">
        <f>Book1!L320</f>
        <v>1</v>
      </c>
    </row>
    <row r="319" spans="1:4" x14ac:dyDescent="0.25">
      <c r="A319">
        <f>Book1!E321</f>
        <v>0</v>
      </c>
      <c r="B319">
        <f>Book1!F321</f>
        <v>0</v>
      </c>
      <c r="C319">
        <f>Book1!G321</f>
        <v>0</v>
      </c>
      <c r="D319">
        <f>Book1!L321</f>
        <v>1</v>
      </c>
    </row>
    <row r="320" spans="1:4" x14ac:dyDescent="0.25">
      <c r="A320">
        <f>Book1!E322</f>
        <v>10035</v>
      </c>
      <c r="B320">
        <f>Book1!F322</f>
        <v>1</v>
      </c>
      <c r="C320">
        <f>Book1!G322</f>
        <v>1</v>
      </c>
      <c r="D320">
        <f>Book1!L322</f>
        <v>1</v>
      </c>
    </row>
    <row r="321" spans="1:4" x14ac:dyDescent="0.25">
      <c r="A321">
        <f>Book1!E323</f>
        <v>0</v>
      </c>
      <c r="B321">
        <f>Book1!F323</f>
        <v>0</v>
      </c>
      <c r="C321">
        <f>Book1!G323</f>
        <v>0</v>
      </c>
      <c r="D321">
        <f>Book1!L323</f>
        <v>1</v>
      </c>
    </row>
    <row r="322" spans="1:4" x14ac:dyDescent="0.25">
      <c r="A322">
        <f>Book1!E324</f>
        <v>1</v>
      </c>
      <c r="B322">
        <f>Book1!F324</f>
        <v>1</v>
      </c>
      <c r="C322">
        <f>Book1!G324</f>
        <v>0</v>
      </c>
      <c r="D322">
        <f>Book1!L324</f>
        <v>1</v>
      </c>
    </row>
    <row r="323" spans="1:4" x14ac:dyDescent="0.25">
      <c r="A323">
        <f>Book1!E325</f>
        <v>0</v>
      </c>
      <c r="B323">
        <f>Book1!F325</f>
        <v>0</v>
      </c>
      <c r="C323">
        <f>Book1!G325</f>
        <v>0</v>
      </c>
      <c r="D323">
        <f>Book1!L325</f>
        <v>1</v>
      </c>
    </row>
    <row r="324" spans="1:4" x14ac:dyDescent="0.25">
      <c r="A324">
        <f>Book1!E326</f>
        <v>6</v>
      </c>
      <c r="B324">
        <f>Book1!F326</f>
        <v>1</v>
      </c>
      <c r="C324">
        <f>Book1!G326</f>
        <v>0</v>
      </c>
      <c r="D324">
        <f>Book1!L326</f>
        <v>1</v>
      </c>
    </row>
    <row r="325" spans="1:4" x14ac:dyDescent="0.25">
      <c r="A325">
        <f>Book1!E327</f>
        <v>0</v>
      </c>
      <c r="B325">
        <f>Book1!F327</f>
        <v>0</v>
      </c>
      <c r="C325">
        <f>Book1!G327</f>
        <v>0</v>
      </c>
      <c r="D325">
        <f>Book1!L327</f>
        <v>1</v>
      </c>
    </row>
    <row r="326" spans="1:4" x14ac:dyDescent="0.25">
      <c r="A326">
        <f>Book1!E328</f>
        <v>36</v>
      </c>
      <c r="B326">
        <f>Book1!F328</f>
        <v>1</v>
      </c>
      <c r="C326">
        <f>Book1!G328</f>
        <v>0</v>
      </c>
      <c r="D326">
        <f>Book1!L328</f>
        <v>1</v>
      </c>
    </row>
    <row r="327" spans="1:4" x14ac:dyDescent="0.25">
      <c r="A327">
        <f>Book1!E329</f>
        <v>0</v>
      </c>
      <c r="B327">
        <f>Book1!F329</f>
        <v>0</v>
      </c>
      <c r="C327">
        <f>Book1!G329</f>
        <v>0</v>
      </c>
      <c r="D327">
        <f>Book1!L329</f>
        <v>1</v>
      </c>
    </row>
    <row r="328" spans="1:4" x14ac:dyDescent="0.25">
      <c r="A328">
        <f>Book1!E330</f>
        <v>136</v>
      </c>
      <c r="B328">
        <f>Book1!F330</f>
        <v>1</v>
      </c>
      <c r="C328">
        <f>Book1!G330</f>
        <v>0</v>
      </c>
      <c r="D328">
        <f>Book1!L330</f>
        <v>1</v>
      </c>
    </row>
    <row r="329" spans="1:4" x14ac:dyDescent="0.25">
      <c r="A329">
        <f>Book1!E331</f>
        <v>0</v>
      </c>
      <c r="B329">
        <f>Book1!F331</f>
        <v>0</v>
      </c>
      <c r="C329">
        <f>Book1!G331</f>
        <v>0</v>
      </c>
      <c r="D329">
        <f>Book1!L331</f>
        <v>1</v>
      </c>
    </row>
    <row r="330" spans="1:4" x14ac:dyDescent="0.25">
      <c r="A330">
        <f>Book1!E332</f>
        <v>1036</v>
      </c>
      <c r="B330">
        <f>Book1!F332</f>
        <v>1</v>
      </c>
      <c r="C330">
        <f>Book1!G332</f>
        <v>0</v>
      </c>
      <c r="D330">
        <f>Book1!L332</f>
        <v>1</v>
      </c>
    </row>
    <row r="331" spans="1:4" x14ac:dyDescent="0.25">
      <c r="A331">
        <f>Book1!E333</f>
        <v>0</v>
      </c>
      <c r="B331">
        <f>Book1!F333</f>
        <v>0</v>
      </c>
      <c r="C331">
        <f>Book1!G333</f>
        <v>0</v>
      </c>
      <c r="D331">
        <f>Book1!L333</f>
        <v>1</v>
      </c>
    </row>
    <row r="332" spans="1:4" x14ac:dyDescent="0.25">
      <c r="A332">
        <f>Book1!E334</f>
        <v>10036</v>
      </c>
      <c r="B332">
        <f>Book1!F334</f>
        <v>1</v>
      </c>
      <c r="C332">
        <f>Book1!G334</f>
        <v>1</v>
      </c>
      <c r="D332">
        <f>Book1!L334</f>
        <v>1</v>
      </c>
    </row>
    <row r="333" spans="1:4" x14ac:dyDescent="0.25">
      <c r="A333">
        <f>Book1!E335</f>
        <v>0</v>
      </c>
      <c r="B333">
        <f>Book1!F335</f>
        <v>0</v>
      </c>
      <c r="C333">
        <f>Book1!G335</f>
        <v>0</v>
      </c>
      <c r="D333">
        <f>Book1!L335</f>
        <v>1</v>
      </c>
    </row>
    <row r="334" spans="1:4" x14ac:dyDescent="0.25">
      <c r="A334">
        <f>Book1!E336</f>
        <v>1</v>
      </c>
      <c r="B334">
        <f>Book1!F336</f>
        <v>1</v>
      </c>
      <c r="C334">
        <f>Book1!G336</f>
        <v>0</v>
      </c>
      <c r="D334">
        <f>Book1!L336</f>
        <v>1</v>
      </c>
    </row>
    <row r="335" spans="1:4" x14ac:dyDescent="0.25">
      <c r="A335">
        <f>Book1!E337</f>
        <v>0</v>
      </c>
      <c r="B335">
        <f>Book1!F337</f>
        <v>0</v>
      </c>
      <c r="C335">
        <f>Book1!G337</f>
        <v>0</v>
      </c>
      <c r="D335">
        <f>Book1!L337</f>
        <v>1</v>
      </c>
    </row>
    <row r="336" spans="1:4" x14ac:dyDescent="0.25">
      <c r="A336">
        <f>Book1!E338</f>
        <v>7</v>
      </c>
      <c r="B336">
        <f>Book1!F338</f>
        <v>1</v>
      </c>
      <c r="C336">
        <f>Book1!G338</f>
        <v>0</v>
      </c>
      <c r="D336">
        <f>Book1!L338</f>
        <v>1</v>
      </c>
    </row>
    <row r="337" spans="1:4" x14ac:dyDescent="0.25">
      <c r="A337">
        <f>Book1!E339</f>
        <v>0</v>
      </c>
      <c r="B337">
        <f>Book1!F339</f>
        <v>0</v>
      </c>
      <c r="C337">
        <f>Book1!G339</f>
        <v>0</v>
      </c>
      <c r="D337">
        <f>Book1!L339</f>
        <v>1</v>
      </c>
    </row>
    <row r="338" spans="1:4" x14ac:dyDescent="0.25">
      <c r="A338">
        <f>Book1!E340</f>
        <v>37</v>
      </c>
      <c r="B338">
        <f>Book1!F340</f>
        <v>1</v>
      </c>
      <c r="C338">
        <f>Book1!G340</f>
        <v>0</v>
      </c>
      <c r="D338">
        <f>Book1!L340</f>
        <v>1</v>
      </c>
    </row>
    <row r="339" spans="1:4" x14ac:dyDescent="0.25">
      <c r="A339">
        <f>Book1!E341</f>
        <v>0</v>
      </c>
      <c r="B339">
        <f>Book1!F341</f>
        <v>0</v>
      </c>
      <c r="C339">
        <f>Book1!G341</f>
        <v>0</v>
      </c>
      <c r="D339">
        <f>Book1!L341</f>
        <v>1</v>
      </c>
    </row>
    <row r="340" spans="1:4" x14ac:dyDescent="0.25">
      <c r="A340">
        <f>Book1!E342</f>
        <v>137</v>
      </c>
      <c r="B340">
        <f>Book1!F342</f>
        <v>1</v>
      </c>
      <c r="C340">
        <f>Book1!G342</f>
        <v>0</v>
      </c>
      <c r="D340">
        <f>Book1!L342</f>
        <v>1</v>
      </c>
    </row>
    <row r="341" spans="1:4" x14ac:dyDescent="0.25">
      <c r="A341">
        <f>Book1!E343</f>
        <v>0</v>
      </c>
      <c r="B341">
        <f>Book1!F343</f>
        <v>0</v>
      </c>
      <c r="C341">
        <f>Book1!G343</f>
        <v>0</v>
      </c>
      <c r="D341">
        <f>Book1!L343</f>
        <v>1</v>
      </c>
    </row>
    <row r="342" spans="1:4" x14ac:dyDescent="0.25">
      <c r="A342">
        <f>Book1!E344</f>
        <v>1037</v>
      </c>
      <c r="B342">
        <f>Book1!F344</f>
        <v>1</v>
      </c>
      <c r="C342">
        <f>Book1!G344</f>
        <v>0</v>
      </c>
      <c r="D342">
        <f>Book1!L344</f>
        <v>1</v>
      </c>
    </row>
    <row r="343" spans="1:4" x14ac:dyDescent="0.25">
      <c r="A343">
        <f>Book1!E345</f>
        <v>0</v>
      </c>
      <c r="B343">
        <f>Book1!F345</f>
        <v>0</v>
      </c>
      <c r="C343">
        <f>Book1!G345</f>
        <v>0</v>
      </c>
      <c r="D343">
        <f>Book1!L345</f>
        <v>1</v>
      </c>
    </row>
    <row r="344" spans="1:4" x14ac:dyDescent="0.25">
      <c r="A344">
        <f>Book1!E346</f>
        <v>10037</v>
      </c>
      <c r="B344">
        <f>Book1!F346</f>
        <v>1</v>
      </c>
      <c r="C344">
        <f>Book1!G346</f>
        <v>1</v>
      </c>
      <c r="D344">
        <f>Book1!L346</f>
        <v>1</v>
      </c>
    </row>
    <row r="345" spans="1:4" x14ac:dyDescent="0.25">
      <c r="A345">
        <f>Book1!E347</f>
        <v>0</v>
      </c>
      <c r="B345">
        <f>Book1!F347</f>
        <v>0</v>
      </c>
      <c r="C345">
        <f>Book1!G347</f>
        <v>0</v>
      </c>
      <c r="D345">
        <f>Book1!L347</f>
        <v>1</v>
      </c>
    </row>
    <row r="346" spans="1:4" x14ac:dyDescent="0.25">
      <c r="A346">
        <f>Book1!E348</f>
        <v>0</v>
      </c>
      <c r="B346">
        <f>Book1!F348</f>
        <v>1</v>
      </c>
      <c r="C346">
        <f>Book1!G348</f>
        <v>0</v>
      </c>
      <c r="D346">
        <f>Book1!L348</f>
        <v>1</v>
      </c>
    </row>
    <row r="347" spans="1:4" x14ac:dyDescent="0.25">
      <c r="A347">
        <f>Book1!E349</f>
        <v>0</v>
      </c>
      <c r="B347">
        <f>Book1!F349</f>
        <v>0</v>
      </c>
      <c r="C347">
        <f>Book1!G349</f>
        <v>0</v>
      </c>
      <c r="D347">
        <f>Book1!L349</f>
        <v>1</v>
      </c>
    </row>
    <row r="348" spans="1:4" x14ac:dyDescent="0.25">
      <c r="A348">
        <f>Book1!E350</f>
        <v>8</v>
      </c>
      <c r="B348">
        <f>Book1!F350</f>
        <v>1</v>
      </c>
      <c r="C348">
        <f>Book1!G350</f>
        <v>0</v>
      </c>
      <c r="D348">
        <f>Book1!L350</f>
        <v>1</v>
      </c>
    </row>
    <row r="349" spans="1:4" x14ac:dyDescent="0.25">
      <c r="A349">
        <f>Book1!E351</f>
        <v>0</v>
      </c>
      <c r="B349">
        <f>Book1!F351</f>
        <v>0</v>
      </c>
      <c r="C349">
        <f>Book1!G351</f>
        <v>0</v>
      </c>
      <c r="D349">
        <f>Book1!L351</f>
        <v>1</v>
      </c>
    </row>
    <row r="350" spans="1:4" x14ac:dyDescent="0.25">
      <c r="A350">
        <f>Book1!E352</f>
        <v>38</v>
      </c>
      <c r="B350">
        <f>Book1!F352</f>
        <v>1</v>
      </c>
      <c r="C350">
        <f>Book1!G352</f>
        <v>0</v>
      </c>
      <c r="D350">
        <f>Book1!L352</f>
        <v>1</v>
      </c>
    </row>
    <row r="351" spans="1:4" x14ac:dyDescent="0.25">
      <c r="A351">
        <f>Book1!E353</f>
        <v>0</v>
      </c>
      <c r="B351">
        <f>Book1!F353</f>
        <v>0</v>
      </c>
      <c r="C351">
        <f>Book1!G353</f>
        <v>0</v>
      </c>
      <c r="D351">
        <f>Book1!L353</f>
        <v>1</v>
      </c>
    </row>
    <row r="352" spans="1:4" x14ac:dyDescent="0.25">
      <c r="A352">
        <f>Book1!E354</f>
        <v>138</v>
      </c>
      <c r="B352">
        <f>Book1!F354</f>
        <v>1</v>
      </c>
      <c r="C352">
        <f>Book1!G354</f>
        <v>0</v>
      </c>
      <c r="D352">
        <f>Book1!L354</f>
        <v>1</v>
      </c>
    </row>
    <row r="353" spans="1:4" x14ac:dyDescent="0.25">
      <c r="A353">
        <f>Book1!E355</f>
        <v>0</v>
      </c>
      <c r="B353">
        <f>Book1!F355</f>
        <v>0</v>
      </c>
      <c r="C353">
        <f>Book1!G355</f>
        <v>0</v>
      </c>
      <c r="D353">
        <f>Book1!L355</f>
        <v>1</v>
      </c>
    </row>
    <row r="354" spans="1:4" x14ac:dyDescent="0.25">
      <c r="A354">
        <f>Book1!E356</f>
        <v>1038</v>
      </c>
      <c r="B354">
        <f>Book1!F356</f>
        <v>1</v>
      </c>
      <c r="C354">
        <f>Book1!G356</f>
        <v>0</v>
      </c>
      <c r="D354">
        <f>Book1!L356</f>
        <v>1</v>
      </c>
    </row>
    <row r="355" spans="1:4" x14ac:dyDescent="0.25">
      <c r="A355">
        <f>Book1!E357</f>
        <v>0</v>
      </c>
      <c r="B355">
        <f>Book1!F357</f>
        <v>0</v>
      </c>
      <c r="C355">
        <f>Book1!G357</f>
        <v>0</v>
      </c>
      <c r="D355">
        <f>Book1!L357</f>
        <v>1</v>
      </c>
    </row>
    <row r="356" spans="1:4" x14ac:dyDescent="0.25">
      <c r="A356">
        <f>Book1!E358</f>
        <v>10038</v>
      </c>
      <c r="B356">
        <f>Book1!F358</f>
        <v>1</v>
      </c>
      <c r="C356">
        <f>Book1!G358</f>
        <v>1</v>
      </c>
      <c r="D356">
        <f>Book1!L358</f>
        <v>1</v>
      </c>
    </row>
    <row r="357" spans="1:4" x14ac:dyDescent="0.25">
      <c r="A357">
        <f>Book1!E359</f>
        <v>0</v>
      </c>
      <c r="B357">
        <f>Book1!F359</f>
        <v>0</v>
      </c>
      <c r="C357">
        <f>Book1!G359</f>
        <v>0</v>
      </c>
      <c r="D357">
        <f>Book1!L359</f>
        <v>1</v>
      </c>
    </row>
    <row r="358" spans="1:4" x14ac:dyDescent="0.25">
      <c r="A358">
        <f>Book1!E360</f>
        <v>0</v>
      </c>
      <c r="B358">
        <f>Book1!F360</f>
        <v>1</v>
      </c>
      <c r="C358">
        <f>Book1!G360</f>
        <v>0</v>
      </c>
      <c r="D358">
        <f>Book1!L360</f>
        <v>1</v>
      </c>
    </row>
    <row r="359" spans="1:4" x14ac:dyDescent="0.25">
      <c r="A359">
        <f>Book1!E361</f>
        <v>0</v>
      </c>
      <c r="B359">
        <f>Book1!F361</f>
        <v>0</v>
      </c>
      <c r="C359">
        <f>Book1!G361</f>
        <v>0</v>
      </c>
      <c r="D359">
        <f>Book1!L361</f>
        <v>1</v>
      </c>
    </row>
    <row r="360" spans="1:4" x14ac:dyDescent="0.25">
      <c r="A360">
        <f>Book1!E362</f>
        <v>8</v>
      </c>
      <c r="B360">
        <f>Book1!F362</f>
        <v>1</v>
      </c>
      <c r="C360">
        <f>Book1!G362</f>
        <v>0</v>
      </c>
      <c r="D360">
        <f>Book1!L362</f>
        <v>1</v>
      </c>
    </row>
    <row r="361" spans="1:4" x14ac:dyDescent="0.25">
      <c r="A361">
        <f>Book1!E363</f>
        <v>0</v>
      </c>
      <c r="B361">
        <f>Book1!F363</f>
        <v>0</v>
      </c>
      <c r="C361">
        <f>Book1!G363</f>
        <v>0</v>
      </c>
      <c r="D361">
        <f>Book1!L363</f>
        <v>1</v>
      </c>
    </row>
    <row r="362" spans="1:4" x14ac:dyDescent="0.25">
      <c r="A362">
        <f>Book1!E364</f>
        <v>39</v>
      </c>
      <c r="B362">
        <f>Book1!F364</f>
        <v>1</v>
      </c>
      <c r="C362">
        <f>Book1!G364</f>
        <v>0</v>
      </c>
      <c r="D362">
        <f>Book1!L364</f>
        <v>1</v>
      </c>
    </row>
    <row r="363" spans="1:4" x14ac:dyDescent="0.25">
      <c r="A363">
        <f>Book1!E365</f>
        <v>0</v>
      </c>
      <c r="B363">
        <f>Book1!F365</f>
        <v>0</v>
      </c>
      <c r="C363">
        <f>Book1!G365</f>
        <v>0</v>
      </c>
      <c r="D363">
        <f>Book1!L365</f>
        <v>1</v>
      </c>
    </row>
    <row r="364" spans="1:4" x14ac:dyDescent="0.25">
      <c r="A364">
        <f>Book1!E366</f>
        <v>139</v>
      </c>
      <c r="B364">
        <f>Book1!F366</f>
        <v>1</v>
      </c>
      <c r="C364">
        <f>Book1!G366</f>
        <v>0</v>
      </c>
      <c r="D364">
        <f>Book1!L366</f>
        <v>1</v>
      </c>
    </row>
    <row r="365" spans="1:4" x14ac:dyDescent="0.25">
      <c r="A365">
        <f>Book1!E367</f>
        <v>0</v>
      </c>
      <c r="B365">
        <f>Book1!F367</f>
        <v>0</v>
      </c>
      <c r="C365">
        <f>Book1!G367</f>
        <v>0</v>
      </c>
      <c r="D365">
        <f>Book1!L367</f>
        <v>1</v>
      </c>
    </row>
    <row r="366" spans="1:4" x14ac:dyDescent="0.25">
      <c r="A366">
        <f>Book1!E368</f>
        <v>1039</v>
      </c>
      <c r="B366">
        <f>Book1!F368</f>
        <v>1</v>
      </c>
      <c r="C366">
        <f>Book1!G368</f>
        <v>0</v>
      </c>
      <c r="D366">
        <f>Book1!L368</f>
        <v>1</v>
      </c>
    </row>
    <row r="367" spans="1:4" x14ac:dyDescent="0.25">
      <c r="A367">
        <f>Book1!E369</f>
        <v>0</v>
      </c>
      <c r="B367">
        <f>Book1!F369</f>
        <v>0</v>
      </c>
      <c r="C367">
        <f>Book1!G369</f>
        <v>0</v>
      </c>
      <c r="D367">
        <f>Book1!L369</f>
        <v>1</v>
      </c>
    </row>
    <row r="368" spans="1:4" x14ac:dyDescent="0.25">
      <c r="A368">
        <f>Book1!E370</f>
        <v>10039</v>
      </c>
      <c r="B368">
        <f>Book1!F370</f>
        <v>1</v>
      </c>
      <c r="C368">
        <f>Book1!G370</f>
        <v>1</v>
      </c>
      <c r="D368">
        <f>Book1!L370</f>
        <v>1</v>
      </c>
    </row>
    <row r="369" spans="1:4" x14ac:dyDescent="0.25">
      <c r="A369">
        <f>Book1!E371</f>
        <v>0</v>
      </c>
      <c r="B369">
        <f>Book1!F371</f>
        <v>0</v>
      </c>
      <c r="C369">
        <f>Book1!G371</f>
        <v>0</v>
      </c>
      <c r="D369">
        <f>Book1!L371</f>
        <v>1</v>
      </c>
    </row>
    <row r="370" spans="1:4" x14ac:dyDescent="0.25">
      <c r="A370">
        <f>Book1!E372</f>
        <v>0</v>
      </c>
      <c r="B370">
        <f>Book1!F372</f>
        <v>1</v>
      </c>
      <c r="C370">
        <f>Book1!G372</f>
        <v>0</v>
      </c>
      <c r="D370">
        <f>Book1!L372</f>
        <v>1</v>
      </c>
    </row>
    <row r="371" spans="1:4" x14ac:dyDescent="0.25">
      <c r="A371">
        <f>Book1!E373</f>
        <v>0</v>
      </c>
      <c r="B371">
        <f>Book1!F373</f>
        <v>0</v>
      </c>
      <c r="C371">
        <f>Book1!G373</f>
        <v>0</v>
      </c>
      <c r="D371">
        <f>Book1!L373</f>
        <v>1</v>
      </c>
    </row>
    <row r="372" spans="1:4" x14ac:dyDescent="0.25">
      <c r="A372">
        <f>Book1!E374</f>
        <v>8</v>
      </c>
      <c r="B372">
        <f>Book1!F374</f>
        <v>1</v>
      </c>
      <c r="C372">
        <f>Book1!G374</f>
        <v>0</v>
      </c>
      <c r="D372">
        <f>Book1!L374</f>
        <v>1</v>
      </c>
    </row>
    <row r="373" spans="1:4" x14ac:dyDescent="0.25">
      <c r="A373">
        <f>Book1!E375</f>
        <v>0</v>
      </c>
      <c r="B373">
        <f>Book1!F375</f>
        <v>0</v>
      </c>
      <c r="C373">
        <f>Book1!G375</f>
        <v>0</v>
      </c>
      <c r="D373">
        <f>Book1!L375</f>
        <v>1</v>
      </c>
    </row>
    <row r="374" spans="1:4" x14ac:dyDescent="0.25">
      <c r="A374">
        <f>Book1!E376</f>
        <v>40</v>
      </c>
      <c r="B374">
        <f>Book1!F376</f>
        <v>1</v>
      </c>
      <c r="C374">
        <f>Book1!G376</f>
        <v>0</v>
      </c>
      <c r="D374">
        <f>Book1!L376</f>
        <v>1</v>
      </c>
    </row>
    <row r="375" spans="1:4" x14ac:dyDescent="0.25">
      <c r="A375">
        <f>Book1!E377</f>
        <v>0</v>
      </c>
      <c r="B375">
        <f>Book1!F377</f>
        <v>0</v>
      </c>
      <c r="C375">
        <f>Book1!G377</f>
        <v>0</v>
      </c>
      <c r="D375">
        <f>Book1!L377</f>
        <v>1</v>
      </c>
    </row>
    <row r="376" spans="1:4" x14ac:dyDescent="0.25">
      <c r="A376">
        <f>Book1!E378</f>
        <v>140</v>
      </c>
      <c r="B376">
        <f>Book1!F378</f>
        <v>1</v>
      </c>
      <c r="C376">
        <f>Book1!G378</f>
        <v>0</v>
      </c>
      <c r="D376">
        <f>Book1!L378</f>
        <v>1</v>
      </c>
    </row>
    <row r="377" spans="1:4" x14ac:dyDescent="0.25">
      <c r="A377">
        <f>Book1!E379</f>
        <v>0</v>
      </c>
      <c r="B377">
        <f>Book1!F379</f>
        <v>0</v>
      </c>
      <c r="C377">
        <f>Book1!G379</f>
        <v>0</v>
      </c>
      <c r="D377">
        <f>Book1!L379</f>
        <v>1</v>
      </c>
    </row>
    <row r="378" spans="1:4" x14ac:dyDescent="0.25">
      <c r="A378">
        <f>Book1!E380</f>
        <v>1040</v>
      </c>
      <c r="B378">
        <f>Book1!F380</f>
        <v>1</v>
      </c>
      <c r="C378">
        <f>Book1!G380</f>
        <v>0</v>
      </c>
      <c r="D378">
        <f>Book1!L380</f>
        <v>1</v>
      </c>
    </row>
    <row r="379" spans="1:4" x14ac:dyDescent="0.25">
      <c r="A379">
        <f>Book1!E381</f>
        <v>0</v>
      </c>
      <c r="B379">
        <f>Book1!F381</f>
        <v>0</v>
      </c>
      <c r="C379">
        <f>Book1!G381</f>
        <v>0</v>
      </c>
      <c r="D379">
        <f>Book1!L381</f>
        <v>1</v>
      </c>
    </row>
    <row r="380" spans="1:4" x14ac:dyDescent="0.25">
      <c r="A380">
        <f>Book1!E382</f>
        <v>10040</v>
      </c>
      <c r="B380">
        <f>Book1!F382</f>
        <v>1</v>
      </c>
      <c r="C380">
        <f>Book1!G382</f>
        <v>1</v>
      </c>
      <c r="D380">
        <f>Book1!L382</f>
        <v>1</v>
      </c>
    </row>
    <row r="381" spans="1:4" x14ac:dyDescent="0.25">
      <c r="A381">
        <f>Book1!E383</f>
        <v>0</v>
      </c>
      <c r="B381">
        <f>Book1!F383</f>
        <v>0</v>
      </c>
      <c r="C381">
        <f>Book1!G383</f>
        <v>0</v>
      </c>
      <c r="D381">
        <f>Book1!L383</f>
        <v>1</v>
      </c>
    </row>
    <row r="382" spans="1:4" x14ac:dyDescent="0.25">
      <c r="A382">
        <f>Book1!E384</f>
        <v>0</v>
      </c>
      <c r="B382">
        <f>Book1!F384</f>
        <v>1</v>
      </c>
      <c r="C382">
        <f>Book1!G384</f>
        <v>0</v>
      </c>
      <c r="D382">
        <f>Book1!L384</f>
        <v>1</v>
      </c>
    </row>
    <row r="383" spans="1:4" x14ac:dyDescent="0.25">
      <c r="A383">
        <f>Book1!E385</f>
        <v>0</v>
      </c>
      <c r="B383">
        <f>Book1!F385</f>
        <v>0</v>
      </c>
      <c r="C383">
        <f>Book1!G385</f>
        <v>0</v>
      </c>
      <c r="D383">
        <f>Book1!L385</f>
        <v>1</v>
      </c>
    </row>
    <row r="384" spans="1:4" x14ac:dyDescent="0.25">
      <c r="A384">
        <f>Book1!E386</f>
        <v>8</v>
      </c>
      <c r="B384">
        <f>Book1!F386</f>
        <v>1</v>
      </c>
      <c r="C384">
        <f>Book1!G386</f>
        <v>0</v>
      </c>
      <c r="D384">
        <f>Book1!L386</f>
        <v>1</v>
      </c>
    </row>
    <row r="385" spans="1:4" x14ac:dyDescent="0.25">
      <c r="A385">
        <f>Book1!E387</f>
        <v>0</v>
      </c>
      <c r="B385">
        <f>Book1!F387</f>
        <v>0</v>
      </c>
      <c r="C385">
        <f>Book1!G387</f>
        <v>0</v>
      </c>
      <c r="D385">
        <f>Book1!L387</f>
        <v>1</v>
      </c>
    </row>
    <row r="386" spans="1:4" x14ac:dyDescent="0.25">
      <c r="A386">
        <f>Book1!E388</f>
        <v>41</v>
      </c>
      <c r="B386">
        <f>Book1!F388</f>
        <v>1</v>
      </c>
      <c r="C386">
        <f>Book1!G388</f>
        <v>0</v>
      </c>
      <c r="D386">
        <f>Book1!L388</f>
        <v>1</v>
      </c>
    </row>
    <row r="387" spans="1:4" x14ac:dyDescent="0.25">
      <c r="A387">
        <f>Book1!E389</f>
        <v>0</v>
      </c>
      <c r="B387">
        <f>Book1!F389</f>
        <v>0</v>
      </c>
      <c r="C387">
        <f>Book1!G389</f>
        <v>0</v>
      </c>
      <c r="D387">
        <f>Book1!L389</f>
        <v>1</v>
      </c>
    </row>
    <row r="388" spans="1:4" x14ac:dyDescent="0.25">
      <c r="A388">
        <f>Book1!E390</f>
        <v>141</v>
      </c>
      <c r="B388">
        <f>Book1!F390</f>
        <v>1</v>
      </c>
      <c r="C388">
        <f>Book1!G390</f>
        <v>0</v>
      </c>
      <c r="D388">
        <f>Book1!L390</f>
        <v>1</v>
      </c>
    </row>
    <row r="389" spans="1:4" x14ac:dyDescent="0.25">
      <c r="A389">
        <f>Book1!E391</f>
        <v>0</v>
      </c>
      <c r="B389">
        <f>Book1!F391</f>
        <v>0</v>
      </c>
      <c r="C389">
        <f>Book1!G391</f>
        <v>0</v>
      </c>
      <c r="D389">
        <f>Book1!L391</f>
        <v>1</v>
      </c>
    </row>
    <row r="390" spans="1:4" x14ac:dyDescent="0.25">
      <c r="A390">
        <f>Book1!E392</f>
        <v>1041</v>
      </c>
      <c r="B390">
        <f>Book1!F392</f>
        <v>1</v>
      </c>
      <c r="C390">
        <f>Book1!G392</f>
        <v>0</v>
      </c>
      <c r="D390">
        <f>Book1!L392</f>
        <v>1</v>
      </c>
    </row>
    <row r="391" spans="1:4" x14ac:dyDescent="0.25">
      <c r="A391">
        <f>Book1!E393</f>
        <v>0</v>
      </c>
      <c r="B391">
        <f>Book1!F393</f>
        <v>0</v>
      </c>
      <c r="C391">
        <f>Book1!G393</f>
        <v>0</v>
      </c>
      <c r="D391">
        <f>Book1!L393</f>
        <v>1</v>
      </c>
    </row>
    <row r="392" spans="1:4" x14ac:dyDescent="0.25">
      <c r="A392">
        <f>Book1!E394</f>
        <v>10041</v>
      </c>
      <c r="B392">
        <f>Book1!F394</f>
        <v>1</v>
      </c>
      <c r="C392">
        <f>Book1!G394</f>
        <v>1</v>
      </c>
      <c r="D392">
        <f>Book1!L394</f>
        <v>1</v>
      </c>
    </row>
    <row r="393" spans="1:4" x14ac:dyDescent="0.25">
      <c r="A393">
        <f>Book1!E395</f>
        <v>0</v>
      </c>
      <c r="B393">
        <f>Book1!F395</f>
        <v>0</v>
      </c>
      <c r="C393">
        <f>Book1!G395</f>
        <v>0</v>
      </c>
      <c r="D393">
        <f>Book1!L395</f>
        <v>1</v>
      </c>
    </row>
    <row r="394" spans="1:4" x14ac:dyDescent="0.25">
      <c r="A394">
        <f>Book1!E396</f>
        <v>0</v>
      </c>
      <c r="B394">
        <f>Book1!F396</f>
        <v>1</v>
      </c>
      <c r="C394">
        <f>Book1!G396</f>
        <v>0</v>
      </c>
      <c r="D394">
        <f>Book1!L396</f>
        <v>1</v>
      </c>
    </row>
    <row r="395" spans="1:4" x14ac:dyDescent="0.25">
      <c r="A395">
        <f>Book1!E397</f>
        <v>0</v>
      </c>
      <c r="B395">
        <f>Book1!F397</f>
        <v>0</v>
      </c>
      <c r="C395">
        <f>Book1!G397</f>
        <v>0</v>
      </c>
      <c r="D395">
        <f>Book1!L397</f>
        <v>1</v>
      </c>
    </row>
    <row r="396" spans="1:4" x14ac:dyDescent="0.25">
      <c r="A396">
        <f>Book1!E398</f>
        <v>8</v>
      </c>
      <c r="B396">
        <f>Book1!F398</f>
        <v>1</v>
      </c>
      <c r="C396">
        <f>Book1!G398</f>
        <v>0</v>
      </c>
      <c r="D396">
        <f>Book1!L398</f>
        <v>1</v>
      </c>
    </row>
    <row r="397" spans="1:4" x14ac:dyDescent="0.25">
      <c r="A397">
        <f>Book1!E399</f>
        <v>0</v>
      </c>
      <c r="B397">
        <f>Book1!F399</f>
        <v>0</v>
      </c>
      <c r="C397">
        <f>Book1!G399</f>
        <v>0</v>
      </c>
      <c r="D397">
        <f>Book1!L399</f>
        <v>1</v>
      </c>
    </row>
    <row r="398" spans="1:4" x14ac:dyDescent="0.25">
      <c r="A398">
        <f>Book1!E400</f>
        <v>42</v>
      </c>
      <c r="B398">
        <f>Book1!F400</f>
        <v>1</v>
      </c>
      <c r="C398">
        <f>Book1!G400</f>
        <v>0</v>
      </c>
      <c r="D398">
        <f>Book1!L400</f>
        <v>1</v>
      </c>
    </row>
    <row r="399" spans="1:4" x14ac:dyDescent="0.25">
      <c r="A399">
        <f>Book1!E401</f>
        <v>0</v>
      </c>
      <c r="B399">
        <f>Book1!F401</f>
        <v>0</v>
      </c>
      <c r="C399">
        <f>Book1!G401</f>
        <v>0</v>
      </c>
      <c r="D399">
        <f>Book1!L401</f>
        <v>1</v>
      </c>
    </row>
    <row r="400" spans="1:4" x14ac:dyDescent="0.25">
      <c r="A400">
        <f>Book1!E402</f>
        <v>142</v>
      </c>
      <c r="B400">
        <f>Book1!F402</f>
        <v>1</v>
      </c>
      <c r="C400">
        <f>Book1!G402</f>
        <v>0</v>
      </c>
      <c r="D400">
        <f>Book1!L402</f>
        <v>1</v>
      </c>
    </row>
    <row r="401" spans="1:4" x14ac:dyDescent="0.25">
      <c r="A401">
        <f>Book1!E403</f>
        <v>0</v>
      </c>
      <c r="B401">
        <f>Book1!F403</f>
        <v>0</v>
      </c>
      <c r="C401">
        <f>Book1!G403</f>
        <v>0</v>
      </c>
      <c r="D401">
        <f>Book1!L403</f>
        <v>1</v>
      </c>
    </row>
    <row r="402" spans="1:4" x14ac:dyDescent="0.25">
      <c r="A402">
        <f>Book1!E404</f>
        <v>1042</v>
      </c>
      <c r="B402">
        <f>Book1!F404</f>
        <v>1</v>
      </c>
      <c r="C402">
        <f>Book1!G404</f>
        <v>0</v>
      </c>
      <c r="D402">
        <f>Book1!L404</f>
        <v>1</v>
      </c>
    </row>
    <row r="403" spans="1:4" x14ac:dyDescent="0.25">
      <c r="A403">
        <f>Book1!E405</f>
        <v>0</v>
      </c>
      <c r="B403">
        <f>Book1!F405</f>
        <v>0</v>
      </c>
      <c r="C403">
        <f>Book1!G405</f>
        <v>0</v>
      </c>
      <c r="D403">
        <f>Book1!L405</f>
        <v>1</v>
      </c>
    </row>
    <row r="404" spans="1:4" x14ac:dyDescent="0.25">
      <c r="A404">
        <f>Book1!E406</f>
        <v>10042</v>
      </c>
      <c r="B404">
        <f>Book1!F406</f>
        <v>1</v>
      </c>
      <c r="C404">
        <f>Book1!G406</f>
        <v>1</v>
      </c>
      <c r="D404">
        <f>Book1!L406</f>
        <v>1</v>
      </c>
    </row>
    <row r="405" spans="1:4" x14ac:dyDescent="0.25">
      <c r="A405">
        <f>Book1!E407</f>
        <v>0</v>
      </c>
      <c r="B405">
        <f>Book1!F407</f>
        <v>0</v>
      </c>
      <c r="C405">
        <f>Book1!G407</f>
        <v>0</v>
      </c>
      <c r="D405">
        <f>Book1!L407</f>
        <v>1</v>
      </c>
    </row>
    <row r="406" spans="1:4" x14ac:dyDescent="0.25">
      <c r="A406">
        <f>Book1!E408</f>
        <v>0</v>
      </c>
      <c r="B406">
        <f>Book1!F408</f>
        <v>1</v>
      </c>
      <c r="C406">
        <f>Book1!G408</f>
        <v>0</v>
      </c>
      <c r="D406">
        <f>Book1!L408</f>
        <v>1</v>
      </c>
    </row>
    <row r="407" spans="1:4" x14ac:dyDescent="0.25">
      <c r="A407">
        <f>Book1!E409</f>
        <v>0</v>
      </c>
      <c r="B407">
        <f>Book1!F409</f>
        <v>0</v>
      </c>
      <c r="C407">
        <f>Book1!G409</f>
        <v>0</v>
      </c>
      <c r="D407">
        <f>Book1!L409</f>
        <v>1</v>
      </c>
    </row>
    <row r="408" spans="1:4" x14ac:dyDescent="0.25">
      <c r="A408">
        <f>Book1!E410</f>
        <v>8</v>
      </c>
      <c r="B408">
        <f>Book1!F410</f>
        <v>1</v>
      </c>
      <c r="C408">
        <f>Book1!G410</f>
        <v>0</v>
      </c>
      <c r="D408">
        <f>Book1!L410</f>
        <v>1</v>
      </c>
    </row>
    <row r="409" spans="1:4" x14ac:dyDescent="0.25">
      <c r="A409">
        <f>Book1!E411</f>
        <v>0</v>
      </c>
      <c r="B409">
        <f>Book1!F411</f>
        <v>0</v>
      </c>
      <c r="C409">
        <f>Book1!G411</f>
        <v>0</v>
      </c>
      <c r="D409">
        <f>Book1!L411</f>
        <v>1</v>
      </c>
    </row>
    <row r="410" spans="1:4" x14ac:dyDescent="0.25">
      <c r="A410">
        <f>Book1!E412</f>
        <v>43</v>
      </c>
      <c r="B410">
        <f>Book1!F412</f>
        <v>1</v>
      </c>
      <c r="C410">
        <f>Book1!G412</f>
        <v>0</v>
      </c>
      <c r="D410">
        <f>Book1!L412</f>
        <v>1</v>
      </c>
    </row>
    <row r="411" spans="1:4" x14ac:dyDescent="0.25">
      <c r="A411">
        <f>Book1!E413</f>
        <v>0</v>
      </c>
      <c r="B411">
        <f>Book1!F413</f>
        <v>0</v>
      </c>
      <c r="C411">
        <f>Book1!G413</f>
        <v>0</v>
      </c>
      <c r="D411">
        <f>Book1!L413</f>
        <v>1</v>
      </c>
    </row>
    <row r="412" spans="1:4" x14ac:dyDescent="0.25">
      <c r="A412">
        <f>Book1!E414</f>
        <v>143</v>
      </c>
      <c r="B412">
        <f>Book1!F414</f>
        <v>1</v>
      </c>
      <c r="C412">
        <f>Book1!G414</f>
        <v>0</v>
      </c>
      <c r="D412">
        <f>Book1!L414</f>
        <v>1</v>
      </c>
    </row>
    <row r="413" spans="1:4" x14ac:dyDescent="0.25">
      <c r="A413">
        <f>Book1!E415</f>
        <v>0</v>
      </c>
      <c r="B413">
        <f>Book1!F415</f>
        <v>0</v>
      </c>
      <c r="C413">
        <f>Book1!G415</f>
        <v>0</v>
      </c>
      <c r="D413">
        <f>Book1!L415</f>
        <v>1</v>
      </c>
    </row>
    <row r="414" spans="1:4" x14ac:dyDescent="0.25">
      <c r="A414">
        <f>Book1!E416</f>
        <v>1043</v>
      </c>
      <c r="B414">
        <f>Book1!F416</f>
        <v>1</v>
      </c>
      <c r="C414">
        <f>Book1!G416</f>
        <v>0</v>
      </c>
      <c r="D414">
        <f>Book1!L416</f>
        <v>1</v>
      </c>
    </row>
    <row r="415" spans="1:4" x14ac:dyDescent="0.25">
      <c r="A415">
        <f>Book1!E417</f>
        <v>0</v>
      </c>
      <c r="B415">
        <f>Book1!F417</f>
        <v>0</v>
      </c>
      <c r="C415">
        <f>Book1!G417</f>
        <v>0</v>
      </c>
      <c r="D415">
        <f>Book1!L417</f>
        <v>1</v>
      </c>
    </row>
    <row r="416" spans="1:4" x14ac:dyDescent="0.25">
      <c r="A416">
        <f>Book1!E418</f>
        <v>10043</v>
      </c>
      <c r="B416">
        <f>Book1!F418</f>
        <v>1</v>
      </c>
      <c r="C416">
        <f>Book1!G418</f>
        <v>1</v>
      </c>
      <c r="D416">
        <f>Book1!L418</f>
        <v>1</v>
      </c>
    </row>
    <row r="417" spans="1:4" x14ac:dyDescent="0.25">
      <c r="A417">
        <f>Book1!E419</f>
        <v>0</v>
      </c>
      <c r="B417">
        <f>Book1!F419</f>
        <v>0</v>
      </c>
      <c r="C417">
        <f>Book1!G419</f>
        <v>0</v>
      </c>
      <c r="D417">
        <f>Book1!L419</f>
        <v>1</v>
      </c>
    </row>
    <row r="418" spans="1:4" x14ac:dyDescent="0.25">
      <c r="A418">
        <f>Book1!E420</f>
        <v>0</v>
      </c>
      <c r="B418">
        <f>Book1!F420</f>
        <v>1</v>
      </c>
      <c r="C418">
        <f>Book1!G420</f>
        <v>0</v>
      </c>
      <c r="D418">
        <f>Book1!L420</f>
        <v>1</v>
      </c>
    </row>
    <row r="419" spans="1:4" x14ac:dyDescent="0.25">
      <c r="A419">
        <f>Book1!E421</f>
        <v>0</v>
      </c>
      <c r="B419">
        <f>Book1!F421</f>
        <v>0</v>
      </c>
      <c r="C419">
        <f>Book1!G421</f>
        <v>0</v>
      </c>
      <c r="D419">
        <f>Book1!L421</f>
        <v>1</v>
      </c>
    </row>
    <row r="420" spans="1:4" x14ac:dyDescent="0.25">
      <c r="A420">
        <f>Book1!E422</f>
        <v>8</v>
      </c>
      <c r="B420">
        <f>Book1!F422</f>
        <v>1</v>
      </c>
      <c r="C420">
        <f>Book1!G422</f>
        <v>0</v>
      </c>
      <c r="D420">
        <f>Book1!L422</f>
        <v>1</v>
      </c>
    </row>
    <row r="421" spans="1:4" x14ac:dyDescent="0.25">
      <c r="A421">
        <f>Book1!E423</f>
        <v>0</v>
      </c>
      <c r="B421">
        <f>Book1!F423</f>
        <v>0</v>
      </c>
      <c r="C421">
        <f>Book1!G423</f>
        <v>0</v>
      </c>
      <c r="D421">
        <f>Book1!L423</f>
        <v>1</v>
      </c>
    </row>
    <row r="422" spans="1:4" x14ac:dyDescent="0.25">
      <c r="A422">
        <f>Book1!E424</f>
        <v>44</v>
      </c>
      <c r="B422">
        <f>Book1!F424</f>
        <v>1</v>
      </c>
      <c r="C422">
        <f>Book1!G424</f>
        <v>0</v>
      </c>
      <c r="D422">
        <f>Book1!L424</f>
        <v>1</v>
      </c>
    </row>
    <row r="423" spans="1:4" x14ac:dyDescent="0.25">
      <c r="A423">
        <f>Book1!E425</f>
        <v>0</v>
      </c>
      <c r="B423">
        <f>Book1!F425</f>
        <v>0</v>
      </c>
      <c r="C423">
        <f>Book1!G425</f>
        <v>0</v>
      </c>
      <c r="D423">
        <f>Book1!L425</f>
        <v>1</v>
      </c>
    </row>
    <row r="424" spans="1:4" x14ac:dyDescent="0.25">
      <c r="A424">
        <f>Book1!E426</f>
        <v>144</v>
      </c>
      <c r="B424">
        <f>Book1!F426</f>
        <v>1</v>
      </c>
      <c r="C424">
        <f>Book1!G426</f>
        <v>0</v>
      </c>
      <c r="D424">
        <f>Book1!L426</f>
        <v>1</v>
      </c>
    </row>
    <row r="425" spans="1:4" x14ac:dyDescent="0.25">
      <c r="A425">
        <f>Book1!E427</f>
        <v>0</v>
      </c>
      <c r="B425">
        <f>Book1!F427</f>
        <v>0</v>
      </c>
      <c r="C425">
        <f>Book1!G427</f>
        <v>0</v>
      </c>
      <c r="D425">
        <f>Book1!L427</f>
        <v>1</v>
      </c>
    </row>
    <row r="426" spans="1:4" x14ac:dyDescent="0.25">
      <c r="A426">
        <f>Book1!E428</f>
        <v>1044</v>
      </c>
      <c r="B426">
        <f>Book1!F428</f>
        <v>1</v>
      </c>
      <c r="C426">
        <f>Book1!G428</f>
        <v>0</v>
      </c>
      <c r="D426">
        <f>Book1!L428</f>
        <v>1</v>
      </c>
    </row>
    <row r="427" spans="1:4" x14ac:dyDescent="0.25">
      <c r="A427">
        <f>Book1!E429</f>
        <v>0</v>
      </c>
      <c r="B427">
        <f>Book1!F429</f>
        <v>0</v>
      </c>
      <c r="C427">
        <f>Book1!G429</f>
        <v>0</v>
      </c>
      <c r="D427">
        <f>Book1!L429</f>
        <v>1</v>
      </c>
    </row>
    <row r="428" spans="1:4" x14ac:dyDescent="0.25">
      <c r="A428">
        <f>Book1!E430</f>
        <v>10044</v>
      </c>
      <c r="B428">
        <f>Book1!F430</f>
        <v>1</v>
      </c>
      <c r="C428">
        <f>Book1!G430</f>
        <v>1</v>
      </c>
      <c r="D428">
        <f>Book1!L430</f>
        <v>1</v>
      </c>
    </row>
    <row r="429" spans="1:4" x14ac:dyDescent="0.25">
      <c r="A429">
        <f>Book1!E431</f>
        <v>0</v>
      </c>
      <c r="B429">
        <f>Book1!F431</f>
        <v>0</v>
      </c>
      <c r="C429">
        <f>Book1!G431</f>
        <v>0</v>
      </c>
      <c r="D429">
        <f>Book1!L431</f>
        <v>1</v>
      </c>
    </row>
    <row r="430" spans="1:4" x14ac:dyDescent="0.25">
      <c r="A430">
        <f>Book1!E432</f>
        <v>0</v>
      </c>
      <c r="B430">
        <f>Book1!F432</f>
        <v>1</v>
      </c>
      <c r="C430">
        <f>Book1!G432</f>
        <v>0</v>
      </c>
      <c r="D430">
        <f>Book1!L432</f>
        <v>1</v>
      </c>
    </row>
    <row r="431" spans="1:4" x14ac:dyDescent="0.25">
      <c r="A431">
        <f>Book1!E433</f>
        <v>0</v>
      </c>
      <c r="B431">
        <f>Book1!F433</f>
        <v>0</v>
      </c>
      <c r="C431">
        <f>Book1!G433</f>
        <v>0</v>
      </c>
      <c r="D431">
        <f>Book1!L433</f>
        <v>1</v>
      </c>
    </row>
    <row r="432" spans="1:4" x14ac:dyDescent="0.25">
      <c r="A432">
        <f>Book1!E434</f>
        <v>8</v>
      </c>
      <c r="B432">
        <f>Book1!F434</f>
        <v>1</v>
      </c>
      <c r="C432">
        <f>Book1!G434</f>
        <v>0</v>
      </c>
      <c r="D432">
        <f>Book1!L434</f>
        <v>1</v>
      </c>
    </row>
    <row r="433" spans="1:4" x14ac:dyDescent="0.25">
      <c r="A433">
        <f>Book1!E435</f>
        <v>0</v>
      </c>
      <c r="B433">
        <f>Book1!F435</f>
        <v>0</v>
      </c>
      <c r="C433">
        <f>Book1!G435</f>
        <v>0</v>
      </c>
      <c r="D433">
        <f>Book1!L435</f>
        <v>1</v>
      </c>
    </row>
    <row r="434" spans="1:4" x14ac:dyDescent="0.25">
      <c r="A434">
        <f>Book1!E436</f>
        <v>45</v>
      </c>
      <c r="B434">
        <f>Book1!F436</f>
        <v>1</v>
      </c>
      <c r="C434">
        <f>Book1!G436</f>
        <v>0</v>
      </c>
      <c r="D434">
        <f>Book1!L436</f>
        <v>1</v>
      </c>
    </row>
    <row r="435" spans="1:4" x14ac:dyDescent="0.25">
      <c r="A435">
        <f>Book1!E437</f>
        <v>0</v>
      </c>
      <c r="B435">
        <f>Book1!F437</f>
        <v>0</v>
      </c>
      <c r="C435">
        <f>Book1!G437</f>
        <v>0</v>
      </c>
      <c r="D435">
        <f>Book1!L437</f>
        <v>1</v>
      </c>
    </row>
    <row r="436" spans="1:4" x14ac:dyDescent="0.25">
      <c r="A436">
        <f>Book1!E438</f>
        <v>145</v>
      </c>
      <c r="B436">
        <f>Book1!F438</f>
        <v>1</v>
      </c>
      <c r="C436">
        <f>Book1!G438</f>
        <v>0</v>
      </c>
      <c r="D436">
        <f>Book1!L438</f>
        <v>1</v>
      </c>
    </row>
    <row r="437" spans="1:4" x14ac:dyDescent="0.25">
      <c r="A437">
        <f>Book1!E439</f>
        <v>0</v>
      </c>
      <c r="B437">
        <f>Book1!F439</f>
        <v>0</v>
      </c>
      <c r="C437">
        <f>Book1!G439</f>
        <v>0</v>
      </c>
      <c r="D437">
        <f>Book1!L439</f>
        <v>1</v>
      </c>
    </row>
    <row r="438" spans="1:4" x14ac:dyDescent="0.25">
      <c r="A438">
        <f>Book1!E440</f>
        <v>1045</v>
      </c>
      <c r="B438">
        <f>Book1!F440</f>
        <v>1</v>
      </c>
      <c r="C438">
        <f>Book1!G440</f>
        <v>0</v>
      </c>
      <c r="D438">
        <f>Book1!L440</f>
        <v>1</v>
      </c>
    </row>
    <row r="439" spans="1:4" x14ac:dyDescent="0.25">
      <c r="A439">
        <f>Book1!E441</f>
        <v>0</v>
      </c>
      <c r="B439">
        <f>Book1!F441</f>
        <v>0</v>
      </c>
      <c r="C439">
        <f>Book1!G441</f>
        <v>0</v>
      </c>
      <c r="D439">
        <f>Book1!L441</f>
        <v>1</v>
      </c>
    </row>
    <row r="440" spans="1:4" x14ac:dyDescent="0.25">
      <c r="A440">
        <f>Book1!E442</f>
        <v>10045</v>
      </c>
      <c r="B440">
        <f>Book1!F442</f>
        <v>1</v>
      </c>
      <c r="C440">
        <f>Book1!G442</f>
        <v>1</v>
      </c>
      <c r="D440">
        <f>Book1!L442</f>
        <v>1</v>
      </c>
    </row>
    <row r="441" spans="1:4" x14ac:dyDescent="0.25">
      <c r="A441">
        <f>Book1!E443</f>
        <v>0</v>
      </c>
      <c r="B441">
        <f>Book1!F443</f>
        <v>0</v>
      </c>
      <c r="C441">
        <f>Book1!G443</f>
        <v>0</v>
      </c>
      <c r="D441">
        <f>Book1!L443</f>
        <v>1</v>
      </c>
    </row>
    <row r="442" spans="1:4" x14ac:dyDescent="0.25">
      <c r="A442">
        <f>Book1!E444</f>
        <v>1</v>
      </c>
      <c r="B442">
        <f>Book1!F444</f>
        <v>1</v>
      </c>
      <c r="C442">
        <f>Book1!G444</f>
        <v>0</v>
      </c>
      <c r="D442">
        <f>Book1!L444</f>
        <v>1</v>
      </c>
    </row>
    <row r="443" spans="1:4" x14ac:dyDescent="0.25">
      <c r="A443">
        <f>Book1!E445</f>
        <v>0</v>
      </c>
      <c r="B443">
        <f>Book1!F445</f>
        <v>0</v>
      </c>
      <c r="C443">
        <f>Book1!G445</f>
        <v>0</v>
      </c>
      <c r="D443">
        <f>Book1!L445</f>
        <v>1</v>
      </c>
    </row>
    <row r="444" spans="1:4" x14ac:dyDescent="0.25">
      <c r="A444">
        <f>Book1!E446</f>
        <v>8</v>
      </c>
      <c r="B444">
        <f>Book1!F446</f>
        <v>1</v>
      </c>
      <c r="C444">
        <f>Book1!G446</f>
        <v>0</v>
      </c>
      <c r="D444">
        <f>Book1!L446</f>
        <v>1</v>
      </c>
    </row>
    <row r="445" spans="1:4" x14ac:dyDescent="0.25">
      <c r="A445">
        <f>Book1!E447</f>
        <v>0</v>
      </c>
      <c r="B445">
        <f>Book1!F447</f>
        <v>0</v>
      </c>
      <c r="C445">
        <f>Book1!G447</f>
        <v>0</v>
      </c>
      <c r="D445">
        <f>Book1!L447</f>
        <v>1</v>
      </c>
    </row>
    <row r="446" spans="1:4" x14ac:dyDescent="0.25">
      <c r="A446">
        <f>Book1!E448</f>
        <v>46</v>
      </c>
      <c r="B446">
        <f>Book1!F448</f>
        <v>1</v>
      </c>
      <c r="C446">
        <f>Book1!G448</f>
        <v>0</v>
      </c>
      <c r="D446">
        <f>Book1!L448</f>
        <v>1</v>
      </c>
    </row>
    <row r="447" spans="1:4" x14ac:dyDescent="0.25">
      <c r="A447">
        <f>Book1!E449</f>
        <v>0</v>
      </c>
      <c r="B447">
        <f>Book1!F449</f>
        <v>0</v>
      </c>
      <c r="C447">
        <f>Book1!G449</f>
        <v>0</v>
      </c>
      <c r="D447">
        <f>Book1!L449</f>
        <v>1</v>
      </c>
    </row>
    <row r="448" spans="1:4" x14ac:dyDescent="0.25">
      <c r="A448">
        <f>Book1!E450</f>
        <v>146</v>
      </c>
      <c r="B448">
        <f>Book1!F450</f>
        <v>1</v>
      </c>
      <c r="C448">
        <f>Book1!G450</f>
        <v>0</v>
      </c>
      <c r="D448">
        <f>Book1!L450</f>
        <v>1</v>
      </c>
    </row>
    <row r="449" spans="1:4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Book1!L451</f>
        <v>1</v>
      </c>
    </row>
    <row r="450" spans="1:4" x14ac:dyDescent="0.25">
      <c r="A450">
        <f>Book1!E452</f>
        <v>1046</v>
      </c>
      <c r="B450">
        <f>Book1!F452</f>
        <v>1</v>
      </c>
      <c r="C450">
        <f>Book1!G452</f>
        <v>0</v>
      </c>
      <c r="D450">
        <f>Book1!L452</f>
        <v>1</v>
      </c>
    </row>
    <row r="451" spans="1:4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Book1!L453</f>
        <v>1</v>
      </c>
    </row>
    <row r="452" spans="1:4" x14ac:dyDescent="0.25">
      <c r="A452">
        <f>Book1!E454</f>
        <v>10046</v>
      </c>
      <c r="B452">
        <f>Book1!F454</f>
        <v>1</v>
      </c>
      <c r="C452">
        <f>Book1!G454</f>
        <v>1</v>
      </c>
      <c r="D452">
        <f>Book1!L454</f>
        <v>1</v>
      </c>
    </row>
    <row r="453" spans="1:4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Book1!L455</f>
        <v>1</v>
      </c>
    </row>
    <row r="454" spans="1:4" x14ac:dyDescent="0.25">
      <c r="A454">
        <f>Book1!E456</f>
        <v>0</v>
      </c>
      <c r="B454">
        <f>Book1!F456</f>
        <v>0</v>
      </c>
      <c r="C454">
        <f>Book1!G456</f>
        <v>0</v>
      </c>
      <c r="D454">
        <f>Book1!L456</f>
        <v>1</v>
      </c>
    </row>
    <row r="455" spans="1:4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Book1!L457</f>
        <v>1</v>
      </c>
    </row>
    <row r="456" spans="1:4" x14ac:dyDescent="0.25">
      <c r="A456">
        <f>Book1!E458</f>
        <v>0</v>
      </c>
      <c r="B456">
        <f>Book1!F458</f>
        <v>0</v>
      </c>
      <c r="C456">
        <f>Book1!G458</f>
        <v>0</v>
      </c>
      <c r="D456">
        <f>Book1!L458</f>
        <v>1</v>
      </c>
    </row>
    <row r="457" spans="1:4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Book1!L459</f>
        <v>1</v>
      </c>
    </row>
    <row r="458" spans="1:4" x14ac:dyDescent="0.25">
      <c r="A458">
        <f>Book1!E460</f>
        <v>0</v>
      </c>
      <c r="B458">
        <f>Book1!F460</f>
        <v>0</v>
      </c>
      <c r="C458">
        <f>Book1!G460</f>
        <v>0</v>
      </c>
      <c r="D458">
        <f>Book1!L460</f>
        <v>1</v>
      </c>
    </row>
    <row r="459" spans="1:4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Book1!L461</f>
        <v>1</v>
      </c>
    </row>
    <row r="460" spans="1:4" x14ac:dyDescent="0.25">
      <c r="A460">
        <f>Book1!E462</f>
        <v>0</v>
      </c>
      <c r="B460">
        <f>Book1!F462</f>
        <v>0</v>
      </c>
      <c r="C460">
        <f>Book1!G462</f>
        <v>0</v>
      </c>
      <c r="D460">
        <f>Book1!L462</f>
        <v>1</v>
      </c>
    </row>
    <row r="461" spans="1:4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Book1!L463</f>
        <v>1</v>
      </c>
    </row>
    <row r="462" spans="1:4" x14ac:dyDescent="0.25">
      <c r="A462">
        <f>Book1!E464</f>
        <v>0</v>
      </c>
      <c r="B462">
        <f>Book1!F464</f>
        <v>0</v>
      </c>
      <c r="C462">
        <f>Book1!G464</f>
        <v>0</v>
      </c>
      <c r="D462">
        <f>Book1!L464</f>
        <v>1</v>
      </c>
    </row>
    <row r="463" spans="1:4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Book1!L465</f>
        <v>1</v>
      </c>
    </row>
    <row r="464" spans="1:4" x14ac:dyDescent="0.25">
      <c r="A464">
        <f>Book1!E466</f>
        <v>0</v>
      </c>
      <c r="B464">
        <f>Book1!F466</f>
        <v>0</v>
      </c>
      <c r="C464">
        <f>Book1!G466</f>
        <v>0</v>
      </c>
      <c r="D464">
        <f>Book1!L466</f>
        <v>1</v>
      </c>
    </row>
    <row r="465" spans="1:4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Book1!L467</f>
        <v>1</v>
      </c>
    </row>
    <row r="466" spans="1:4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Book1!L468</f>
        <v>1</v>
      </c>
    </row>
    <row r="467" spans="1:4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Book1!L469</f>
        <v>1</v>
      </c>
    </row>
    <row r="468" spans="1:4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Book1!L470</f>
        <v>1</v>
      </c>
    </row>
    <row r="469" spans="1:4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Book1!L471</f>
        <v>1</v>
      </c>
    </row>
    <row r="470" spans="1:4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Book1!L472</f>
        <v>1</v>
      </c>
    </row>
    <row r="471" spans="1:4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Book1!L473</f>
        <v>1</v>
      </c>
    </row>
    <row r="472" spans="1:4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Book1!L474</f>
        <v>1</v>
      </c>
    </row>
    <row r="473" spans="1:4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Book1!L475</f>
        <v>1</v>
      </c>
    </row>
    <row r="474" spans="1:4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Book1!L476</f>
        <v>1</v>
      </c>
    </row>
    <row r="475" spans="1:4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Book1!L477</f>
        <v>1</v>
      </c>
    </row>
    <row r="476" spans="1:4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Book1!L478</f>
        <v>1</v>
      </c>
    </row>
    <row r="477" spans="1:4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Book1!L479</f>
        <v>1</v>
      </c>
    </row>
    <row r="478" spans="1:4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Book1!L480</f>
        <v>1</v>
      </c>
    </row>
    <row r="479" spans="1:4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Book1!L481</f>
        <v>1</v>
      </c>
    </row>
    <row r="480" spans="1:4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Book1!L482</f>
        <v>1</v>
      </c>
    </row>
    <row r="481" spans="1:4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Book1!L483</f>
        <v>1</v>
      </c>
    </row>
    <row r="482" spans="1:4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Book1!L484</f>
        <v>1</v>
      </c>
    </row>
    <row r="483" spans="1:4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Book1!L485</f>
        <v>1</v>
      </c>
    </row>
    <row r="484" spans="1:4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Book1!L486</f>
        <v>1</v>
      </c>
    </row>
    <row r="485" spans="1:4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Book1!L487</f>
        <v>1</v>
      </c>
    </row>
    <row r="486" spans="1:4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Book1!L488</f>
        <v>1</v>
      </c>
    </row>
    <row r="487" spans="1:4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Book1!L489</f>
        <v>1</v>
      </c>
    </row>
    <row r="488" spans="1:4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Book1!L490</f>
        <v>1</v>
      </c>
    </row>
    <row r="489" spans="1:4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Book1!L491</f>
        <v>1</v>
      </c>
    </row>
    <row r="490" spans="1:4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Book1!L492</f>
        <v>1</v>
      </c>
    </row>
    <row r="491" spans="1:4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Book1!L493</f>
        <v>1</v>
      </c>
    </row>
    <row r="492" spans="1:4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Book1!L494</f>
        <v>1</v>
      </c>
    </row>
    <row r="493" spans="1:4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Book1!L495</f>
        <v>1</v>
      </c>
    </row>
    <row r="494" spans="1:4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Book1!L496</f>
        <v>1</v>
      </c>
    </row>
    <row r="495" spans="1:4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Book1!L497</f>
        <v>1</v>
      </c>
    </row>
    <row r="496" spans="1:4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Book1!L498</f>
        <v>1</v>
      </c>
    </row>
    <row r="497" spans="1:4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Book1!L499</f>
        <v>1</v>
      </c>
    </row>
    <row r="498" spans="1:4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Book1!L500</f>
        <v>1</v>
      </c>
    </row>
    <row r="499" spans="1:4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Book1!L501</f>
        <v>1</v>
      </c>
    </row>
    <row r="500" spans="1:4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Book1!L502</f>
        <v>1</v>
      </c>
    </row>
    <row r="501" spans="1:4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Book1!L503</f>
        <v>1</v>
      </c>
    </row>
    <row r="502" spans="1:4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Book1!L504</f>
        <v>1</v>
      </c>
    </row>
    <row r="503" spans="1:4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Book1!L505</f>
        <v>1</v>
      </c>
    </row>
    <row r="504" spans="1:4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Book1!L506</f>
        <v>1</v>
      </c>
    </row>
    <row r="505" spans="1:4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Book1!L507</f>
        <v>1</v>
      </c>
    </row>
    <row r="506" spans="1:4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Book1!L508</f>
        <v>1</v>
      </c>
    </row>
    <row r="507" spans="1:4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Book1!L509</f>
        <v>1</v>
      </c>
    </row>
    <row r="508" spans="1:4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Book1!L510</f>
        <v>1</v>
      </c>
    </row>
    <row r="509" spans="1:4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Book1!L511</f>
        <v>1</v>
      </c>
    </row>
    <row r="510" spans="1:4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Book1!L512</f>
        <v>1</v>
      </c>
    </row>
    <row r="511" spans="1:4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Book1!L513</f>
        <v>1</v>
      </c>
    </row>
    <row r="512" spans="1:4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Book1!L514</f>
        <v>1</v>
      </c>
    </row>
    <row r="513" spans="1:4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Book1!L515</f>
        <v>1</v>
      </c>
    </row>
    <row r="514" spans="1:4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Book1!L516</f>
        <v>1</v>
      </c>
    </row>
    <row r="515" spans="1:4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Book1!L517</f>
        <v>1</v>
      </c>
    </row>
    <row r="516" spans="1:4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Book1!L518</f>
        <v>1</v>
      </c>
    </row>
    <row r="517" spans="1:4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Book1!L519</f>
        <v>1</v>
      </c>
    </row>
    <row r="518" spans="1:4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Book1!L520</f>
        <v>1</v>
      </c>
    </row>
    <row r="519" spans="1:4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Book1!L521</f>
        <v>1</v>
      </c>
    </row>
    <row r="520" spans="1:4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Book1!L522</f>
        <v>1</v>
      </c>
    </row>
    <row r="521" spans="1:4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Book1!L523</f>
        <v>1</v>
      </c>
    </row>
    <row r="522" spans="1:4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Book1!L524</f>
        <v>1</v>
      </c>
    </row>
    <row r="523" spans="1:4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Book1!L525</f>
        <v>1</v>
      </c>
    </row>
    <row r="524" spans="1:4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Book1!L526</f>
        <v>1</v>
      </c>
    </row>
    <row r="525" spans="1:4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Book1!L527</f>
        <v>1</v>
      </c>
    </row>
    <row r="526" spans="1:4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Book1!L528</f>
        <v>1</v>
      </c>
    </row>
    <row r="527" spans="1:4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Book1!L529</f>
        <v>1</v>
      </c>
    </row>
    <row r="528" spans="1:4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Book1!L530</f>
        <v>1</v>
      </c>
    </row>
    <row r="529" spans="1:4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Book1!L531</f>
        <v>1</v>
      </c>
    </row>
    <row r="530" spans="1:4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Book1!L532</f>
        <v>1</v>
      </c>
    </row>
    <row r="531" spans="1:4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Book1!L533</f>
        <v>1</v>
      </c>
    </row>
    <row r="532" spans="1:4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Book1!L534</f>
        <v>1</v>
      </c>
    </row>
    <row r="533" spans="1:4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Book1!L535</f>
        <v>1</v>
      </c>
    </row>
    <row r="534" spans="1:4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Book1!L536</f>
        <v>1</v>
      </c>
    </row>
    <row r="535" spans="1:4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Book1!L537</f>
        <v>1</v>
      </c>
    </row>
    <row r="536" spans="1:4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Book1!L538</f>
        <v>1</v>
      </c>
    </row>
    <row r="537" spans="1:4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Book1!L539</f>
        <v>1</v>
      </c>
    </row>
    <row r="538" spans="1:4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Book1!L540</f>
        <v>1</v>
      </c>
    </row>
    <row r="539" spans="1:4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Book1!L541</f>
        <v>1</v>
      </c>
    </row>
    <row r="540" spans="1:4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Book1!L542</f>
        <v>1</v>
      </c>
    </row>
    <row r="541" spans="1:4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Book1!L543</f>
        <v>1</v>
      </c>
    </row>
    <row r="542" spans="1:4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Book1!L544</f>
        <v>1</v>
      </c>
    </row>
    <row r="543" spans="1:4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Book1!L545</f>
        <v>1</v>
      </c>
    </row>
    <row r="544" spans="1:4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Book1!L546</f>
        <v>1</v>
      </c>
    </row>
    <row r="545" spans="1:4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Book1!L547</f>
        <v>1</v>
      </c>
    </row>
    <row r="546" spans="1:4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Book1!L548</f>
        <v>1</v>
      </c>
    </row>
    <row r="547" spans="1:4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Book1!L549</f>
        <v>1</v>
      </c>
    </row>
    <row r="548" spans="1:4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Book1!L550</f>
        <v>1</v>
      </c>
    </row>
    <row r="549" spans="1:4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Book1!L551</f>
        <v>1</v>
      </c>
    </row>
    <row r="550" spans="1:4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Book1!L552</f>
        <v>1</v>
      </c>
    </row>
    <row r="551" spans="1:4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Book1!L553</f>
        <v>1</v>
      </c>
    </row>
    <row r="552" spans="1:4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Book1!L554</f>
        <v>1</v>
      </c>
    </row>
    <row r="553" spans="1:4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Book1!L555</f>
        <v>1</v>
      </c>
    </row>
    <row r="554" spans="1:4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Book1!L556</f>
        <v>1</v>
      </c>
    </row>
    <row r="555" spans="1:4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Book1!L557</f>
        <v>1</v>
      </c>
    </row>
    <row r="556" spans="1:4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Book1!L558</f>
        <v>1</v>
      </c>
    </row>
    <row r="557" spans="1:4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Book1!L559</f>
        <v>1</v>
      </c>
    </row>
    <row r="558" spans="1:4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Book1!L560</f>
        <v>1</v>
      </c>
    </row>
    <row r="559" spans="1:4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Book1!L561</f>
        <v>1</v>
      </c>
    </row>
    <row r="560" spans="1:4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Book1!L562</f>
        <v>1</v>
      </c>
    </row>
    <row r="561" spans="1:4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Book1!L563</f>
        <v>1</v>
      </c>
    </row>
    <row r="562" spans="1:4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Book1!L564</f>
        <v>1</v>
      </c>
    </row>
    <row r="563" spans="1:4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Book1!L565</f>
        <v>1</v>
      </c>
    </row>
    <row r="564" spans="1:4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Book1!L566</f>
        <v>1</v>
      </c>
    </row>
    <row r="565" spans="1:4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Book1!L567</f>
        <v>1</v>
      </c>
    </row>
    <row r="566" spans="1:4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Book1!L568</f>
        <v>1</v>
      </c>
    </row>
    <row r="567" spans="1:4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Book1!L569</f>
        <v>1</v>
      </c>
    </row>
    <row r="568" spans="1:4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Book1!L570</f>
        <v>1</v>
      </c>
    </row>
    <row r="569" spans="1:4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Book1!L571</f>
        <v>1</v>
      </c>
    </row>
    <row r="570" spans="1:4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Book1!L572</f>
        <v>1</v>
      </c>
    </row>
    <row r="571" spans="1:4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Book1!L573</f>
        <v>1</v>
      </c>
    </row>
    <row r="572" spans="1:4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Book1!L574</f>
        <v>1</v>
      </c>
    </row>
    <row r="573" spans="1:4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Book1!L575</f>
        <v>1</v>
      </c>
    </row>
    <row r="574" spans="1:4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Book1!L576</f>
        <v>1</v>
      </c>
    </row>
    <row r="575" spans="1:4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Book1!L577</f>
        <v>1</v>
      </c>
    </row>
    <row r="576" spans="1:4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Book1!L578</f>
        <v>1</v>
      </c>
    </row>
    <row r="577" spans="1:4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Book1!L579</f>
        <v>1</v>
      </c>
    </row>
    <row r="578" spans="1:4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Book1!L580</f>
        <v>1</v>
      </c>
    </row>
    <row r="579" spans="1:4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Book1!L581</f>
        <v>1</v>
      </c>
    </row>
    <row r="580" spans="1:4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Book1!L582</f>
        <v>1</v>
      </c>
    </row>
    <row r="581" spans="1:4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Book1!L583</f>
        <v>1</v>
      </c>
    </row>
    <row r="582" spans="1:4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Book1!L584</f>
        <v>1</v>
      </c>
    </row>
    <row r="583" spans="1:4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Book1!L585</f>
        <v>1</v>
      </c>
    </row>
    <row r="584" spans="1:4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Book1!L586</f>
        <v>1</v>
      </c>
    </row>
    <row r="585" spans="1:4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Book1!L587</f>
        <v>1</v>
      </c>
    </row>
    <row r="586" spans="1:4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Book1!L588</f>
        <v>1</v>
      </c>
    </row>
    <row r="587" spans="1:4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Book1!L589</f>
        <v>1</v>
      </c>
    </row>
    <row r="588" spans="1:4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Book1!L590</f>
        <v>1</v>
      </c>
    </row>
    <row r="589" spans="1:4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Book1!L591</f>
        <v>1</v>
      </c>
    </row>
    <row r="590" spans="1:4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Book1!L592</f>
        <v>1</v>
      </c>
    </row>
    <row r="591" spans="1:4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Book1!L593</f>
        <v>1</v>
      </c>
    </row>
    <row r="592" spans="1:4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Book1!L594</f>
        <v>1</v>
      </c>
    </row>
    <row r="593" spans="1:4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Book1!L595</f>
        <v>1</v>
      </c>
    </row>
    <row r="594" spans="1:4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Book1!L596</f>
        <v>1</v>
      </c>
    </row>
    <row r="595" spans="1:4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Book1!L597</f>
        <v>1</v>
      </c>
    </row>
    <row r="596" spans="1:4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Book1!L598</f>
        <v>1</v>
      </c>
    </row>
    <row r="597" spans="1:4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Book1!L599</f>
        <v>1</v>
      </c>
    </row>
    <row r="598" spans="1:4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Book1!L600</f>
        <v>1</v>
      </c>
    </row>
    <row r="599" spans="1:4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Book1!L601</f>
        <v>1</v>
      </c>
    </row>
    <row r="600" spans="1:4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Book1!L602</f>
        <v>1</v>
      </c>
    </row>
    <row r="601" spans="1:4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Book1!L603</f>
        <v>1</v>
      </c>
    </row>
    <row r="602" spans="1:4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Book1!L604</f>
        <v>1</v>
      </c>
    </row>
    <row r="603" spans="1:4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Book1!L605</f>
        <v>1</v>
      </c>
    </row>
    <row r="604" spans="1:4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Book1!L606</f>
        <v>1</v>
      </c>
    </row>
    <row r="605" spans="1:4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Book1!L607</f>
        <v>1</v>
      </c>
    </row>
    <row r="606" spans="1:4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Book1!L608</f>
        <v>1</v>
      </c>
    </row>
    <row r="607" spans="1:4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Book1!L609</f>
        <v>1</v>
      </c>
    </row>
    <row r="608" spans="1:4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Book1!L610</f>
        <v>1</v>
      </c>
    </row>
    <row r="609" spans="1:4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Book1!L611</f>
        <v>1</v>
      </c>
    </row>
    <row r="610" spans="1:4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Book1!L612</f>
        <v>1</v>
      </c>
    </row>
    <row r="611" spans="1:4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Book1!L613</f>
        <v>1</v>
      </c>
    </row>
    <row r="612" spans="1:4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Book1!L614</f>
        <v>1</v>
      </c>
    </row>
    <row r="613" spans="1:4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Book1!L615</f>
        <v>1</v>
      </c>
    </row>
    <row r="614" spans="1:4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Book1!L616</f>
        <v>1</v>
      </c>
    </row>
    <row r="615" spans="1:4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Book1!L617</f>
        <v>1</v>
      </c>
    </row>
    <row r="616" spans="1:4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Book1!L618</f>
        <v>1</v>
      </c>
    </row>
    <row r="617" spans="1:4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Book1!L619</f>
        <v>1</v>
      </c>
    </row>
    <row r="618" spans="1:4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Book1!L620</f>
        <v>1</v>
      </c>
    </row>
    <row r="619" spans="1:4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Book1!L621</f>
        <v>1</v>
      </c>
    </row>
    <row r="620" spans="1:4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Book1!L622</f>
        <v>1</v>
      </c>
    </row>
    <row r="621" spans="1:4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Book1!L623</f>
        <v>1</v>
      </c>
    </row>
    <row r="622" spans="1:4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Book1!L624</f>
        <v>1</v>
      </c>
    </row>
    <row r="623" spans="1:4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Book1!L625</f>
        <v>1</v>
      </c>
    </row>
    <row r="624" spans="1:4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Book1!L626</f>
        <v>1</v>
      </c>
    </row>
    <row r="625" spans="1:4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Book1!L627</f>
        <v>1</v>
      </c>
    </row>
    <row r="626" spans="1:4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Book1!L628</f>
        <v>1</v>
      </c>
    </row>
    <row r="627" spans="1:4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Book1!L629</f>
        <v>1</v>
      </c>
    </row>
    <row r="628" spans="1:4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Book1!L630</f>
        <v>1</v>
      </c>
    </row>
    <row r="629" spans="1:4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Book1!L631</f>
        <v>1</v>
      </c>
    </row>
    <row r="630" spans="1:4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Book1!L632</f>
        <v>1</v>
      </c>
    </row>
    <row r="631" spans="1:4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Book1!L633</f>
        <v>1</v>
      </c>
    </row>
    <row r="632" spans="1:4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Book1!L634</f>
        <v>1</v>
      </c>
    </row>
    <row r="633" spans="1:4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Book1!L635</f>
        <v>1</v>
      </c>
    </row>
    <row r="634" spans="1:4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Book1!L636</f>
        <v>1</v>
      </c>
    </row>
    <row r="635" spans="1:4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Book1!L637</f>
        <v>1</v>
      </c>
    </row>
    <row r="636" spans="1:4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Book1!L638</f>
        <v>1</v>
      </c>
    </row>
    <row r="637" spans="1:4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Book1!L639</f>
        <v>1</v>
      </c>
    </row>
    <row r="638" spans="1:4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Book1!L640</f>
        <v>1</v>
      </c>
    </row>
    <row r="639" spans="1:4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Book1!L641</f>
        <v>1</v>
      </c>
    </row>
    <row r="640" spans="1:4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Book1!L642</f>
        <v>1</v>
      </c>
    </row>
    <row r="641" spans="1:4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Book1!L643</f>
        <v>1</v>
      </c>
    </row>
    <row r="642" spans="1:4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Book1!L644</f>
        <v>1</v>
      </c>
    </row>
    <row r="643" spans="1:4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Book1!L645</f>
        <v>1</v>
      </c>
    </row>
    <row r="644" spans="1:4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Book1!L646</f>
        <v>1</v>
      </c>
    </row>
    <row r="645" spans="1:4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Book1!L647</f>
        <v>1</v>
      </c>
    </row>
    <row r="646" spans="1:4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Book1!L648</f>
        <v>1</v>
      </c>
    </row>
    <row r="647" spans="1:4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Book1!L649</f>
        <v>1</v>
      </c>
    </row>
    <row r="648" spans="1:4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Book1!L650</f>
        <v>1</v>
      </c>
    </row>
    <row r="649" spans="1:4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Book1!L651</f>
        <v>1</v>
      </c>
    </row>
    <row r="650" spans="1:4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Book1!L652</f>
        <v>1</v>
      </c>
    </row>
    <row r="651" spans="1:4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Book1!L653</f>
        <v>1</v>
      </c>
    </row>
    <row r="652" spans="1:4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Book1!L654</f>
        <v>1</v>
      </c>
    </row>
    <row r="653" spans="1:4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Book1!L655</f>
        <v>1</v>
      </c>
    </row>
    <row r="654" spans="1:4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Book1!L656</f>
        <v>1</v>
      </c>
    </row>
    <row r="655" spans="1:4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Book1!L657</f>
        <v>1</v>
      </c>
    </row>
    <row r="656" spans="1:4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Book1!L658</f>
        <v>1</v>
      </c>
    </row>
    <row r="657" spans="1:4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Book1!L659</f>
        <v>1</v>
      </c>
    </row>
    <row r="658" spans="1:4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Book1!L660</f>
        <v>1</v>
      </c>
    </row>
    <row r="659" spans="1:4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Book1!L661</f>
        <v>1</v>
      </c>
    </row>
    <row r="660" spans="1:4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Book1!L662</f>
        <v>1</v>
      </c>
    </row>
    <row r="661" spans="1:4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Book1!L663</f>
        <v>1</v>
      </c>
    </row>
    <row r="662" spans="1:4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Book1!L664</f>
        <v>1</v>
      </c>
    </row>
    <row r="663" spans="1:4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Book1!L665</f>
        <v>1</v>
      </c>
    </row>
    <row r="664" spans="1:4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Book1!L666</f>
        <v>1</v>
      </c>
    </row>
    <row r="665" spans="1:4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Book1!L667</f>
        <v>1</v>
      </c>
    </row>
    <row r="666" spans="1:4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Book1!L668</f>
        <v>1</v>
      </c>
    </row>
    <row r="667" spans="1:4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Book1!L669</f>
        <v>1</v>
      </c>
    </row>
    <row r="668" spans="1:4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Book1!L670</f>
        <v>1</v>
      </c>
    </row>
    <row r="669" spans="1:4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Book1!L671</f>
        <v>1</v>
      </c>
    </row>
    <row r="670" spans="1:4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Book1!L672</f>
        <v>1</v>
      </c>
    </row>
    <row r="671" spans="1:4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Book1!L673</f>
        <v>1</v>
      </c>
    </row>
    <row r="672" spans="1:4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Book1!L674</f>
        <v>1</v>
      </c>
    </row>
    <row r="673" spans="1:4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Book1!L675</f>
        <v>1</v>
      </c>
    </row>
    <row r="674" spans="1:4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Book1!L676</f>
        <v>1</v>
      </c>
    </row>
    <row r="675" spans="1:4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Book1!L677</f>
        <v>1</v>
      </c>
    </row>
    <row r="676" spans="1:4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Book1!L678</f>
        <v>1</v>
      </c>
    </row>
    <row r="677" spans="1:4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Book1!L679</f>
        <v>1</v>
      </c>
    </row>
    <row r="678" spans="1:4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Book1!L680</f>
        <v>1</v>
      </c>
    </row>
    <row r="679" spans="1:4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Book1!L681</f>
        <v>1</v>
      </c>
    </row>
    <row r="680" spans="1:4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Book1!L682</f>
        <v>1</v>
      </c>
    </row>
    <row r="681" spans="1:4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Book1!L683</f>
        <v>1</v>
      </c>
    </row>
    <row r="682" spans="1:4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Book1!L684</f>
        <v>1</v>
      </c>
    </row>
    <row r="683" spans="1:4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Book1!L685</f>
        <v>1</v>
      </c>
    </row>
    <row r="684" spans="1:4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Book1!L686</f>
        <v>1</v>
      </c>
    </row>
    <row r="685" spans="1:4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Book1!L687</f>
        <v>1</v>
      </c>
    </row>
    <row r="686" spans="1:4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Book1!L688</f>
        <v>1</v>
      </c>
    </row>
    <row r="687" spans="1:4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Book1!L689</f>
        <v>1</v>
      </c>
    </row>
    <row r="688" spans="1:4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Book1!L690</f>
        <v>1</v>
      </c>
    </row>
    <row r="689" spans="1:4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Book1!L691</f>
        <v>1</v>
      </c>
    </row>
    <row r="690" spans="1:4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Book1!L692</f>
        <v>1</v>
      </c>
    </row>
    <row r="691" spans="1:4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Book1!L693</f>
        <v>1</v>
      </c>
    </row>
    <row r="692" spans="1:4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Book1!L694</f>
        <v>1</v>
      </c>
    </row>
    <row r="693" spans="1:4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Book1!L695</f>
        <v>1</v>
      </c>
    </row>
    <row r="694" spans="1:4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Book1!L696</f>
        <v>1</v>
      </c>
    </row>
    <row r="695" spans="1:4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Book1!L697</f>
        <v>1</v>
      </c>
    </row>
    <row r="696" spans="1:4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Book1!L698</f>
        <v>1</v>
      </c>
    </row>
    <row r="697" spans="1:4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Book1!L699</f>
        <v>1</v>
      </c>
    </row>
    <row r="698" spans="1:4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Book1!L700</f>
        <v>1</v>
      </c>
    </row>
    <row r="699" spans="1:4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Book1!L701</f>
        <v>1</v>
      </c>
    </row>
    <row r="700" spans="1:4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Book1!L702</f>
        <v>1</v>
      </c>
    </row>
    <row r="701" spans="1:4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Book1!L703</f>
        <v>1</v>
      </c>
    </row>
    <row r="702" spans="1:4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Book1!L704</f>
        <v>1</v>
      </c>
    </row>
    <row r="703" spans="1:4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Book1!L705</f>
        <v>1</v>
      </c>
    </row>
    <row r="704" spans="1:4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Book1!L706</f>
        <v>1</v>
      </c>
    </row>
    <row r="705" spans="1:4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Book1!L707</f>
        <v>1</v>
      </c>
    </row>
    <row r="706" spans="1:4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Book1!L708</f>
        <v>1</v>
      </c>
    </row>
    <row r="707" spans="1:4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Book1!L709</f>
        <v>1</v>
      </c>
    </row>
    <row r="708" spans="1:4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Book1!L710</f>
        <v>1</v>
      </c>
    </row>
    <row r="709" spans="1:4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Book1!L711</f>
        <v>1</v>
      </c>
    </row>
    <row r="710" spans="1:4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Book1!L712</f>
        <v>1</v>
      </c>
    </row>
    <row r="711" spans="1:4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Book1!L713</f>
        <v>1</v>
      </c>
    </row>
    <row r="712" spans="1:4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Book1!L714</f>
        <v>1</v>
      </c>
    </row>
    <row r="713" spans="1:4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Book1!L715</f>
        <v>1</v>
      </c>
    </row>
    <row r="714" spans="1:4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Book1!L716</f>
        <v>1</v>
      </c>
    </row>
    <row r="715" spans="1:4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Book1!L717</f>
        <v>1</v>
      </c>
    </row>
    <row r="716" spans="1:4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Book1!L718</f>
        <v>1</v>
      </c>
    </row>
    <row r="717" spans="1:4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Book1!L719</f>
        <v>1</v>
      </c>
    </row>
    <row r="718" spans="1:4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Book1!L720</f>
        <v>1</v>
      </c>
    </row>
    <row r="719" spans="1:4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Book1!L721</f>
        <v>1</v>
      </c>
    </row>
    <row r="720" spans="1:4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Book1!L722</f>
        <v>1</v>
      </c>
    </row>
    <row r="721" spans="1:4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Book1!L723</f>
        <v>1</v>
      </c>
    </row>
    <row r="722" spans="1:4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Book1!L724</f>
        <v>1</v>
      </c>
    </row>
    <row r="723" spans="1:4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Book1!L725</f>
        <v>1</v>
      </c>
    </row>
    <row r="724" spans="1:4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Book1!L726</f>
        <v>1</v>
      </c>
    </row>
    <row r="725" spans="1:4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Book1!L727</f>
        <v>1</v>
      </c>
    </row>
    <row r="726" spans="1:4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Book1!L728</f>
        <v>1</v>
      </c>
    </row>
    <row r="727" spans="1:4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Book1!L729</f>
        <v>1</v>
      </c>
    </row>
    <row r="728" spans="1:4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Book1!L730</f>
        <v>1</v>
      </c>
    </row>
    <row r="729" spans="1:4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Book1!L731</f>
        <v>1</v>
      </c>
    </row>
    <row r="730" spans="1:4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Book1!L732</f>
        <v>1</v>
      </c>
    </row>
    <row r="731" spans="1:4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Book1!L733</f>
        <v>1</v>
      </c>
    </row>
    <row r="732" spans="1:4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Book1!L734</f>
        <v>1</v>
      </c>
    </row>
    <row r="733" spans="1:4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Book1!L735</f>
        <v>1</v>
      </c>
    </row>
    <row r="734" spans="1:4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Book1!L736</f>
        <v>1</v>
      </c>
    </row>
    <row r="735" spans="1:4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Book1!L737</f>
        <v>1</v>
      </c>
    </row>
    <row r="736" spans="1:4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Book1!L738</f>
        <v>1</v>
      </c>
    </row>
    <row r="737" spans="1:4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Book1!L739</f>
        <v>1</v>
      </c>
    </row>
    <row r="738" spans="1:4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Book1!L740</f>
        <v>1</v>
      </c>
    </row>
    <row r="739" spans="1:4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Book1!L741</f>
        <v>1</v>
      </c>
    </row>
    <row r="740" spans="1:4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Book1!L742</f>
        <v>1</v>
      </c>
    </row>
    <row r="741" spans="1:4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Book1!L743</f>
        <v>1</v>
      </c>
    </row>
    <row r="742" spans="1:4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Book1!L744</f>
        <v>1</v>
      </c>
    </row>
    <row r="743" spans="1:4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Book1!L745</f>
        <v>1</v>
      </c>
    </row>
    <row r="744" spans="1:4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Book1!L746</f>
        <v>1</v>
      </c>
    </row>
    <row r="745" spans="1:4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Book1!L747</f>
        <v>1</v>
      </c>
    </row>
    <row r="746" spans="1:4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Book1!L748</f>
        <v>1</v>
      </c>
    </row>
    <row r="747" spans="1:4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Book1!L749</f>
        <v>1</v>
      </c>
    </row>
    <row r="748" spans="1:4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Book1!L750</f>
        <v>1</v>
      </c>
    </row>
    <row r="749" spans="1:4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Book1!L751</f>
        <v>1</v>
      </c>
    </row>
    <row r="750" spans="1:4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Book1!L752</f>
        <v>1</v>
      </c>
    </row>
    <row r="751" spans="1:4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Book1!L753</f>
        <v>1</v>
      </c>
    </row>
    <row r="752" spans="1:4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Book1!L754</f>
        <v>1</v>
      </c>
    </row>
    <row r="753" spans="1:4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Book1!L755</f>
        <v>1</v>
      </c>
    </row>
    <row r="754" spans="1:4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Book1!L756</f>
        <v>1</v>
      </c>
    </row>
    <row r="755" spans="1:4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Book1!L757</f>
        <v>1</v>
      </c>
    </row>
    <row r="756" spans="1:4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Book1!L758</f>
        <v>1</v>
      </c>
    </row>
    <row r="757" spans="1:4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Book1!L759</f>
        <v>1</v>
      </c>
    </row>
    <row r="758" spans="1:4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Book1!L760</f>
        <v>1</v>
      </c>
    </row>
    <row r="759" spans="1:4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Book1!L761</f>
        <v>1</v>
      </c>
    </row>
    <row r="760" spans="1:4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Book1!L762</f>
        <v>1</v>
      </c>
    </row>
    <row r="761" spans="1:4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Book1!L763</f>
        <v>1</v>
      </c>
    </row>
    <row r="762" spans="1:4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Book1!L764</f>
        <v>1</v>
      </c>
    </row>
    <row r="763" spans="1:4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Book1!L765</f>
        <v>1</v>
      </c>
    </row>
    <row r="764" spans="1:4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Book1!L766</f>
        <v>1</v>
      </c>
    </row>
    <row r="765" spans="1:4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Book1!L767</f>
        <v>1</v>
      </c>
    </row>
    <row r="766" spans="1:4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Book1!L768</f>
        <v>1</v>
      </c>
    </row>
    <row r="767" spans="1:4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Book1!L769</f>
        <v>1</v>
      </c>
    </row>
    <row r="768" spans="1:4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Book1!L770</f>
        <v>1</v>
      </c>
    </row>
    <row r="769" spans="1:4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Book1!L771</f>
        <v>1</v>
      </c>
    </row>
    <row r="770" spans="1:4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Book1!L772</f>
        <v>1</v>
      </c>
    </row>
    <row r="771" spans="1:4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Book1!L773</f>
        <v>1</v>
      </c>
    </row>
    <row r="772" spans="1:4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Book1!L774</f>
        <v>1</v>
      </c>
    </row>
    <row r="773" spans="1:4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Book1!L775</f>
        <v>1</v>
      </c>
    </row>
    <row r="774" spans="1:4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Book1!L776</f>
        <v>1</v>
      </c>
    </row>
    <row r="775" spans="1:4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Book1!L777</f>
        <v>1</v>
      </c>
    </row>
    <row r="776" spans="1:4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Book1!L778</f>
        <v>1</v>
      </c>
    </row>
    <row r="777" spans="1:4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Book1!L779</f>
        <v>1</v>
      </c>
    </row>
    <row r="778" spans="1:4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Book1!L780</f>
        <v>1</v>
      </c>
    </row>
    <row r="779" spans="1:4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Book1!L781</f>
        <v>1</v>
      </c>
    </row>
    <row r="780" spans="1:4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Book1!L782</f>
        <v>1</v>
      </c>
    </row>
    <row r="781" spans="1:4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Book1!L783</f>
        <v>1</v>
      </c>
    </row>
    <row r="782" spans="1:4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Book1!L784</f>
        <v>1</v>
      </c>
    </row>
    <row r="783" spans="1:4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Book1!L785</f>
        <v>1</v>
      </c>
    </row>
    <row r="784" spans="1:4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Book1!L786</f>
        <v>1</v>
      </c>
    </row>
    <row r="785" spans="1:4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Book1!L787</f>
        <v>1</v>
      </c>
    </row>
    <row r="786" spans="1:4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Book1!L788</f>
        <v>1</v>
      </c>
    </row>
    <row r="787" spans="1:4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Book1!L789</f>
        <v>1</v>
      </c>
    </row>
    <row r="788" spans="1:4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Book1!L790</f>
        <v>1</v>
      </c>
    </row>
    <row r="789" spans="1:4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Book1!L791</f>
        <v>1</v>
      </c>
    </row>
    <row r="790" spans="1:4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Book1!L792</f>
        <v>1</v>
      </c>
    </row>
    <row r="791" spans="1:4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Book1!L793</f>
        <v>1</v>
      </c>
    </row>
    <row r="792" spans="1:4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Book1!L794</f>
        <v>1</v>
      </c>
    </row>
    <row r="793" spans="1:4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Book1!L795</f>
        <v>1</v>
      </c>
    </row>
    <row r="794" spans="1:4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Book1!L796</f>
        <v>1</v>
      </c>
    </row>
    <row r="795" spans="1:4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Book1!L797</f>
        <v>1</v>
      </c>
    </row>
    <row r="796" spans="1:4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Book1!L798</f>
        <v>1</v>
      </c>
    </row>
    <row r="797" spans="1:4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Book1!L799</f>
        <v>1</v>
      </c>
    </row>
    <row r="798" spans="1:4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Book1!L800</f>
        <v>1</v>
      </c>
    </row>
    <row r="799" spans="1:4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Book1!L801</f>
        <v>1</v>
      </c>
    </row>
    <row r="800" spans="1:4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Book1!L802</f>
        <v>1</v>
      </c>
    </row>
    <row r="801" spans="1:4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Book1!L803</f>
        <v>1</v>
      </c>
    </row>
    <row r="802" spans="1:4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Book1!L804</f>
        <v>1</v>
      </c>
    </row>
    <row r="803" spans="1:4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Book1!L805</f>
        <v>1</v>
      </c>
    </row>
    <row r="804" spans="1:4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Book1!L806</f>
        <v>1</v>
      </c>
    </row>
    <row r="805" spans="1:4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Book1!L807</f>
        <v>1</v>
      </c>
    </row>
    <row r="806" spans="1:4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Book1!L808</f>
        <v>1</v>
      </c>
    </row>
    <row r="807" spans="1:4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Book1!L809</f>
        <v>1</v>
      </c>
    </row>
    <row r="808" spans="1:4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Book1!L810</f>
        <v>1</v>
      </c>
    </row>
    <row r="809" spans="1:4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Book1!L811</f>
        <v>1</v>
      </c>
    </row>
    <row r="810" spans="1:4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Book1!L812</f>
        <v>1</v>
      </c>
    </row>
    <row r="811" spans="1:4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Book1!L813</f>
        <v>1</v>
      </c>
    </row>
    <row r="812" spans="1:4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Book1!L814</f>
        <v>1</v>
      </c>
    </row>
    <row r="813" spans="1:4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Book1!L815</f>
        <v>1</v>
      </c>
    </row>
    <row r="814" spans="1:4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Book1!L816</f>
        <v>1</v>
      </c>
    </row>
    <row r="815" spans="1:4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Book1!L817</f>
        <v>1</v>
      </c>
    </row>
    <row r="816" spans="1:4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Book1!L818</f>
        <v>1</v>
      </c>
    </row>
    <row r="817" spans="1:4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Book1!L819</f>
        <v>1</v>
      </c>
    </row>
    <row r="818" spans="1:4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Book1!L820</f>
        <v>1</v>
      </c>
    </row>
    <row r="819" spans="1:4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Book1!L821</f>
        <v>1</v>
      </c>
    </row>
    <row r="820" spans="1:4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Book1!L822</f>
        <v>1</v>
      </c>
    </row>
    <row r="821" spans="1:4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Book1!L823</f>
        <v>1</v>
      </c>
    </row>
    <row r="822" spans="1:4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Book1!L824</f>
        <v>1</v>
      </c>
    </row>
    <row r="823" spans="1:4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Book1!L825</f>
        <v>1</v>
      </c>
    </row>
    <row r="824" spans="1:4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Book1!L826</f>
        <v>1</v>
      </c>
    </row>
    <row r="825" spans="1:4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Book1!L827</f>
        <v>1</v>
      </c>
    </row>
    <row r="826" spans="1:4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Book1!L828</f>
        <v>1</v>
      </c>
    </row>
    <row r="827" spans="1:4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Book1!L829</f>
        <v>1</v>
      </c>
    </row>
    <row r="828" spans="1:4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Book1!L830</f>
        <v>1</v>
      </c>
    </row>
    <row r="829" spans="1:4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Book1!L831</f>
        <v>1</v>
      </c>
    </row>
    <row r="830" spans="1:4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Book1!L832</f>
        <v>1</v>
      </c>
    </row>
    <row r="831" spans="1:4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Book1!L833</f>
        <v>1</v>
      </c>
    </row>
    <row r="832" spans="1:4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Book1!L834</f>
        <v>1</v>
      </c>
    </row>
    <row r="833" spans="1:4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Book1!L835</f>
        <v>1</v>
      </c>
    </row>
    <row r="834" spans="1:4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Book1!L836</f>
        <v>1</v>
      </c>
    </row>
    <row r="835" spans="1:4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Book1!L837</f>
        <v>1</v>
      </c>
    </row>
    <row r="836" spans="1:4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Book1!L838</f>
        <v>1</v>
      </c>
    </row>
    <row r="837" spans="1:4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Book1!L839</f>
        <v>1</v>
      </c>
    </row>
    <row r="838" spans="1:4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Book1!L840</f>
        <v>1</v>
      </c>
    </row>
    <row r="839" spans="1:4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Book1!L841</f>
        <v>1</v>
      </c>
    </row>
    <row r="840" spans="1:4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Book1!L842</f>
        <v>1</v>
      </c>
    </row>
    <row r="841" spans="1:4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Book1!L843</f>
        <v>1</v>
      </c>
    </row>
    <row r="842" spans="1:4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Book1!L844</f>
        <v>1</v>
      </c>
    </row>
    <row r="843" spans="1:4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Book1!L845</f>
        <v>1</v>
      </c>
    </row>
    <row r="844" spans="1:4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Book1!L846</f>
        <v>1</v>
      </c>
    </row>
    <row r="845" spans="1:4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Book1!L847</f>
        <v>1</v>
      </c>
    </row>
    <row r="846" spans="1:4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Book1!L848</f>
        <v>1</v>
      </c>
    </row>
    <row r="847" spans="1:4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Book1!L849</f>
        <v>1</v>
      </c>
    </row>
    <row r="848" spans="1:4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Book1!L850</f>
        <v>1</v>
      </c>
    </row>
    <row r="849" spans="1:4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Book1!L851</f>
        <v>1</v>
      </c>
    </row>
    <row r="850" spans="1:4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Book1!L852</f>
        <v>1</v>
      </c>
    </row>
    <row r="851" spans="1:4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Book1!L853</f>
        <v>1</v>
      </c>
    </row>
    <row r="852" spans="1:4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Book1!L854</f>
        <v>1</v>
      </c>
    </row>
    <row r="853" spans="1:4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Book1!L855</f>
        <v>1</v>
      </c>
    </row>
    <row r="854" spans="1:4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Book1!L856</f>
        <v>1</v>
      </c>
    </row>
    <row r="855" spans="1:4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Book1!L857</f>
        <v>1</v>
      </c>
    </row>
    <row r="856" spans="1:4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Book1!L858</f>
        <v>1</v>
      </c>
    </row>
    <row r="857" spans="1:4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Book1!L859</f>
        <v>1</v>
      </c>
    </row>
    <row r="858" spans="1:4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Book1!L860</f>
        <v>1</v>
      </c>
    </row>
    <row r="859" spans="1:4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Book1!L861</f>
        <v>1</v>
      </c>
    </row>
    <row r="860" spans="1:4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Book1!L862</f>
        <v>1</v>
      </c>
    </row>
    <row r="861" spans="1:4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Book1!L863</f>
        <v>1</v>
      </c>
    </row>
    <row r="862" spans="1:4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Book1!L864</f>
        <v>1</v>
      </c>
    </row>
    <row r="863" spans="1:4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Book1!L865</f>
        <v>1</v>
      </c>
    </row>
    <row r="864" spans="1:4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Book1!L866</f>
        <v>1</v>
      </c>
    </row>
    <row r="865" spans="1:4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Book1!L867</f>
        <v>1</v>
      </c>
    </row>
    <row r="866" spans="1:4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Book1!L868</f>
        <v>1</v>
      </c>
    </row>
    <row r="867" spans="1:4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Book1!L869</f>
        <v>1</v>
      </c>
    </row>
    <row r="868" spans="1:4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Book1!L870</f>
        <v>1</v>
      </c>
    </row>
    <row r="869" spans="1:4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Book1!L871</f>
        <v>1</v>
      </c>
    </row>
    <row r="870" spans="1:4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Book1!L872</f>
        <v>1</v>
      </c>
    </row>
    <row r="871" spans="1:4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Book1!L873</f>
        <v>1</v>
      </c>
    </row>
    <row r="872" spans="1:4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Book1!L874</f>
        <v>1</v>
      </c>
    </row>
    <row r="873" spans="1:4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Book1!L875</f>
        <v>1</v>
      </c>
    </row>
    <row r="874" spans="1:4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Book1!L876</f>
        <v>1</v>
      </c>
    </row>
    <row r="875" spans="1:4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Book1!L877</f>
        <v>1</v>
      </c>
    </row>
    <row r="876" spans="1:4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Book1!L878</f>
        <v>1</v>
      </c>
    </row>
    <row r="877" spans="1:4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Book1!L879</f>
        <v>1</v>
      </c>
    </row>
    <row r="878" spans="1:4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Book1!L880</f>
        <v>1</v>
      </c>
    </row>
    <row r="879" spans="1:4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Book1!L881</f>
        <v>1</v>
      </c>
    </row>
    <row r="880" spans="1:4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Book1!L882</f>
        <v>1</v>
      </c>
    </row>
    <row r="881" spans="1:4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Book1!L883</f>
        <v>1</v>
      </c>
    </row>
    <row r="882" spans="1:4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Book1!L884</f>
        <v>1</v>
      </c>
    </row>
    <row r="883" spans="1:4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Book1!L885</f>
        <v>1</v>
      </c>
    </row>
    <row r="884" spans="1:4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Book1!L886</f>
        <v>1</v>
      </c>
    </row>
    <row r="885" spans="1:4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Book1!L887</f>
        <v>1</v>
      </c>
    </row>
    <row r="886" spans="1:4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Book1!L888</f>
        <v>1</v>
      </c>
    </row>
    <row r="887" spans="1:4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Book1!L889</f>
        <v>1</v>
      </c>
    </row>
    <row r="888" spans="1:4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Book1!L890</f>
        <v>1</v>
      </c>
    </row>
    <row r="889" spans="1:4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Book1!L891</f>
        <v>1</v>
      </c>
    </row>
    <row r="890" spans="1:4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Book1!L892</f>
        <v>1</v>
      </c>
    </row>
    <row r="891" spans="1:4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Book1!L893</f>
        <v>1</v>
      </c>
    </row>
    <row r="892" spans="1:4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Book1!L894</f>
        <v>1</v>
      </c>
    </row>
    <row r="893" spans="1:4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Book1!L895</f>
        <v>1</v>
      </c>
    </row>
    <row r="894" spans="1:4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Book1!L896</f>
        <v>1</v>
      </c>
    </row>
    <row r="895" spans="1:4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Book1!L897</f>
        <v>1</v>
      </c>
    </row>
    <row r="896" spans="1:4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Book1!L898</f>
        <v>1</v>
      </c>
    </row>
    <row r="897" spans="1:4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Book1!L899</f>
        <v>1</v>
      </c>
    </row>
    <row r="898" spans="1:4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Book1!L900</f>
        <v>1</v>
      </c>
    </row>
    <row r="899" spans="1:4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Book1!L901</f>
        <v>1</v>
      </c>
    </row>
    <row r="900" spans="1:4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Book1!L902</f>
        <v>1</v>
      </c>
    </row>
    <row r="901" spans="1:4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Book1!L903</f>
        <v>1</v>
      </c>
    </row>
    <row r="902" spans="1:4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Book1!L904</f>
        <v>1</v>
      </c>
    </row>
    <row r="903" spans="1:4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Book1!L905</f>
        <v>1</v>
      </c>
    </row>
    <row r="904" spans="1:4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Book1!L906</f>
        <v>1</v>
      </c>
    </row>
    <row r="905" spans="1:4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Book1!L907</f>
        <v>1</v>
      </c>
    </row>
    <row r="906" spans="1:4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Book1!L908</f>
        <v>1</v>
      </c>
    </row>
    <row r="907" spans="1:4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Book1!L909</f>
        <v>1</v>
      </c>
    </row>
    <row r="908" spans="1:4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Book1!L910</f>
        <v>1</v>
      </c>
    </row>
    <row r="909" spans="1:4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Book1!L911</f>
        <v>1</v>
      </c>
    </row>
    <row r="910" spans="1:4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Book1!L912</f>
        <v>1</v>
      </c>
    </row>
    <row r="911" spans="1:4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Book1!L913</f>
        <v>1</v>
      </c>
    </row>
    <row r="912" spans="1:4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Book1!L914</f>
        <v>1</v>
      </c>
    </row>
    <row r="913" spans="1:4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Book1!L915</f>
        <v>1</v>
      </c>
    </row>
    <row r="914" spans="1:4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Book1!L916</f>
        <v>1</v>
      </c>
    </row>
    <row r="915" spans="1:4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Book1!L917</f>
        <v>1</v>
      </c>
    </row>
    <row r="916" spans="1:4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Book1!L918</f>
        <v>1</v>
      </c>
    </row>
    <row r="917" spans="1:4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Book1!L919</f>
        <v>1</v>
      </c>
    </row>
    <row r="918" spans="1:4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Book1!L920</f>
        <v>1</v>
      </c>
    </row>
    <row r="919" spans="1:4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Book1!L921</f>
        <v>1</v>
      </c>
    </row>
    <row r="920" spans="1:4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Book1!L922</f>
        <v>1</v>
      </c>
    </row>
    <row r="921" spans="1:4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Book1!L923</f>
        <v>1</v>
      </c>
    </row>
    <row r="922" spans="1:4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Book1!L924</f>
        <v>1</v>
      </c>
    </row>
    <row r="923" spans="1:4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Book1!L925</f>
        <v>1</v>
      </c>
    </row>
    <row r="924" spans="1:4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Book1!L926</f>
        <v>1</v>
      </c>
    </row>
    <row r="925" spans="1:4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Book1!L927</f>
        <v>1</v>
      </c>
    </row>
    <row r="926" spans="1:4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Book1!L928</f>
        <v>1</v>
      </c>
    </row>
    <row r="927" spans="1:4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Book1!L929</f>
        <v>1</v>
      </c>
    </row>
    <row r="928" spans="1:4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Book1!L930</f>
        <v>1</v>
      </c>
    </row>
    <row r="929" spans="1:4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Book1!L931</f>
        <v>1</v>
      </c>
    </row>
    <row r="930" spans="1:4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Book1!L932</f>
        <v>1</v>
      </c>
    </row>
    <row r="931" spans="1:4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Book1!L933</f>
        <v>1</v>
      </c>
    </row>
    <row r="932" spans="1:4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Book1!L934</f>
        <v>1</v>
      </c>
    </row>
    <row r="933" spans="1:4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Book1!L935</f>
        <v>1</v>
      </c>
    </row>
    <row r="934" spans="1:4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Book1!L936</f>
        <v>1</v>
      </c>
    </row>
    <row r="935" spans="1:4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Book1!L937</f>
        <v>1</v>
      </c>
    </row>
    <row r="936" spans="1:4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Book1!L938</f>
        <v>1</v>
      </c>
    </row>
    <row r="937" spans="1:4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Book1!L939</f>
        <v>1</v>
      </c>
    </row>
    <row r="938" spans="1:4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Book1!L940</f>
        <v>1</v>
      </c>
    </row>
    <row r="939" spans="1:4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Book1!L941</f>
        <v>1</v>
      </c>
    </row>
    <row r="940" spans="1:4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Book1!L942</f>
        <v>1</v>
      </c>
    </row>
    <row r="941" spans="1:4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Book1!L943</f>
        <v>1</v>
      </c>
    </row>
    <row r="942" spans="1:4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Book1!L944</f>
        <v>1</v>
      </c>
    </row>
    <row r="943" spans="1:4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Book1!L945</f>
        <v>1</v>
      </c>
    </row>
    <row r="944" spans="1:4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Book1!L946</f>
        <v>1</v>
      </c>
    </row>
    <row r="945" spans="1:4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Book1!L947</f>
        <v>1</v>
      </c>
    </row>
    <row r="946" spans="1:4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Book1!L948</f>
        <v>1</v>
      </c>
    </row>
    <row r="947" spans="1:4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Book1!L949</f>
        <v>1</v>
      </c>
    </row>
    <row r="948" spans="1:4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Book1!L950</f>
        <v>1</v>
      </c>
    </row>
    <row r="949" spans="1:4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Book1!L951</f>
        <v>1</v>
      </c>
    </row>
    <row r="950" spans="1:4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Book1!L952</f>
        <v>1</v>
      </c>
    </row>
    <row r="951" spans="1:4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Book1!L953</f>
        <v>1</v>
      </c>
    </row>
    <row r="952" spans="1:4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Book1!L954</f>
        <v>1</v>
      </c>
    </row>
    <row r="953" spans="1:4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Book1!L955</f>
        <v>1</v>
      </c>
    </row>
    <row r="954" spans="1:4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Book1!L956</f>
        <v>1</v>
      </c>
    </row>
    <row r="955" spans="1:4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Book1!L957</f>
        <v>1</v>
      </c>
    </row>
    <row r="956" spans="1:4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Book1!L958</f>
        <v>1</v>
      </c>
    </row>
    <row r="957" spans="1:4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Book1!L959</f>
        <v>1</v>
      </c>
    </row>
    <row r="958" spans="1:4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Book1!L960</f>
        <v>1</v>
      </c>
    </row>
    <row r="959" spans="1:4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Book1!L961</f>
        <v>1</v>
      </c>
    </row>
    <row r="960" spans="1:4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Book1!L962</f>
        <v>1</v>
      </c>
    </row>
    <row r="961" spans="1:4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Book1!L963</f>
        <v>1</v>
      </c>
    </row>
    <row r="962" spans="1:4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Book1!L964</f>
        <v>1</v>
      </c>
    </row>
    <row r="963" spans="1:4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Book1!L965</f>
        <v>1</v>
      </c>
    </row>
    <row r="964" spans="1:4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Book1!L966</f>
        <v>1</v>
      </c>
    </row>
    <row r="965" spans="1:4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Book1!L967</f>
        <v>1</v>
      </c>
    </row>
    <row r="966" spans="1:4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Book1!L968</f>
        <v>1</v>
      </c>
    </row>
    <row r="967" spans="1:4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Book1!L969</f>
        <v>1</v>
      </c>
    </row>
    <row r="968" spans="1:4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Book1!L970</f>
        <v>1</v>
      </c>
    </row>
    <row r="969" spans="1:4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Book1!L971</f>
        <v>1</v>
      </c>
    </row>
    <row r="970" spans="1:4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Book1!L972</f>
        <v>1</v>
      </c>
    </row>
    <row r="971" spans="1:4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Book1!L973</f>
        <v>1</v>
      </c>
    </row>
    <row r="972" spans="1:4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Book1!L974</f>
        <v>1</v>
      </c>
    </row>
    <row r="973" spans="1:4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Book1!L975</f>
        <v>1</v>
      </c>
    </row>
    <row r="974" spans="1:4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Book1!L976</f>
        <v>1</v>
      </c>
    </row>
    <row r="975" spans="1:4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Book1!L977</f>
        <v>1</v>
      </c>
    </row>
    <row r="976" spans="1:4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Book1!L978</f>
        <v>1</v>
      </c>
    </row>
    <row r="977" spans="1:4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Book1!L979</f>
        <v>1</v>
      </c>
    </row>
    <row r="978" spans="1:4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Book1!L980</f>
        <v>1</v>
      </c>
    </row>
    <row r="979" spans="1:4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Book1!L981</f>
        <v>1</v>
      </c>
    </row>
    <row r="980" spans="1:4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Book1!L982</f>
        <v>1</v>
      </c>
    </row>
    <row r="981" spans="1:4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Book1!L983</f>
        <v>1</v>
      </c>
    </row>
    <row r="982" spans="1:4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Book1!L984</f>
        <v>1</v>
      </c>
    </row>
    <row r="983" spans="1:4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Book1!L985</f>
        <v>1</v>
      </c>
    </row>
    <row r="984" spans="1:4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Book1!L986</f>
        <v>1</v>
      </c>
    </row>
    <row r="985" spans="1:4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Book1!L987</f>
        <v>1</v>
      </c>
    </row>
    <row r="986" spans="1:4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Book1!L988</f>
        <v>1</v>
      </c>
    </row>
    <row r="987" spans="1:4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Book1!L989</f>
        <v>1</v>
      </c>
    </row>
    <row r="988" spans="1:4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Book1!L990</f>
        <v>1</v>
      </c>
    </row>
    <row r="989" spans="1:4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Book1!L991</f>
        <v>1</v>
      </c>
    </row>
    <row r="990" spans="1:4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Book1!L992</f>
        <v>1</v>
      </c>
    </row>
    <row r="991" spans="1:4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Book1!L993</f>
        <v>1</v>
      </c>
    </row>
    <row r="992" spans="1:4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Book1!L994</f>
        <v>1</v>
      </c>
    </row>
    <row r="993" spans="1:4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Book1!L995</f>
        <v>1</v>
      </c>
    </row>
    <row r="994" spans="1:4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Book1!L996</f>
        <v>1</v>
      </c>
    </row>
    <row r="995" spans="1:4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Book1!L997</f>
        <v>1</v>
      </c>
    </row>
    <row r="996" spans="1:4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Book1!L998</f>
        <v>1</v>
      </c>
    </row>
    <row r="997" spans="1:4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Book1!L999</f>
        <v>1</v>
      </c>
    </row>
    <row r="998" spans="1:4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Book1!L1000</f>
        <v>1</v>
      </c>
    </row>
    <row r="999" spans="1:4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Book1!L1001</f>
        <v>1</v>
      </c>
    </row>
    <row r="1000" spans="1:4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Book1!L1002</f>
        <v>1</v>
      </c>
    </row>
    <row r="1001" spans="1:4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Book1!L1003</f>
        <v>1</v>
      </c>
    </row>
    <row r="1002" spans="1:4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Book1!L1004</f>
        <v>0</v>
      </c>
    </row>
    <row r="1003" spans="1:4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Book1!L1005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FW1289"/>
  <sheetViews>
    <sheetView topLeftCell="B1" workbookViewId="0">
      <selection activeCell="B5" sqref="B5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4" spans="1:10" x14ac:dyDescent="0.25">
      <c r="A4" s="2" t="s">
        <v>5</v>
      </c>
      <c r="B4" s="2" t="s">
        <v>6</v>
      </c>
    </row>
    <row r="5" spans="1:10" x14ac:dyDescent="0.25">
      <c r="A5" s="3" t="s">
        <v>8</v>
      </c>
      <c r="B5" s="4" t="s">
        <v>36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9" t="str">
        <f>EntityName&amp;"_in.csv"</f>
        <v>simplearithmetic_ether_test_tb_csv_in.csv</v>
      </c>
      <c r="C7" s="1"/>
      <c r="D7" s="1"/>
      <c r="E7" s="1"/>
      <c r="F7" s="1"/>
      <c r="G7" s="1"/>
      <c r="H7" s="1"/>
      <c r="I7" s="1"/>
      <c r="J7" s="1"/>
    </row>
    <row r="8" spans="1:10" x14ac:dyDescent="0.25">
      <c r="A8" s="8" t="s">
        <v>1</v>
      </c>
      <c r="B8" s="9" t="str">
        <f>EntityName&amp;"_out.csv"</f>
        <v>simplearithmetic_ether_test_tb_csv_out.csv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15" t="s">
        <v>25</v>
      </c>
      <c r="B9" s="9" t="str">
        <f>EntityName&amp;"_out.csv"</f>
        <v>simplearithmetic_ether_test_tb_csv_out.csv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31</v>
      </c>
      <c r="B13" s="17" t="s">
        <v>32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0" t="s">
        <v>3</v>
      </c>
      <c r="B14" s="11" t="s">
        <v>30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0" t="s">
        <v>14</v>
      </c>
      <c r="B15" s="11" t="s">
        <v>33</v>
      </c>
    </row>
    <row r="16" spans="1:10" x14ac:dyDescent="0.25">
      <c r="A16" s="16" t="s">
        <v>20</v>
      </c>
      <c r="B16" s="10" t="str">
        <f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simplearithmetic_ether_test_tb_csv  firmware-ethernet/tests/tb1//simplearithmetic_ether_test_tb_csv_in.csv firmware-ethernet/tests/tb1//simplearithmetic_ether_test_tb_csv_out.csv &gt; build/simplearithmetic_ether_test_tb_csv/run_output.txt 2&gt;&amp;1</v>
      </c>
    </row>
    <row r="17" spans="1:179" x14ac:dyDescent="0.25">
      <c r="A17" s="16" t="s">
        <v>21</v>
      </c>
      <c r="B17" s="10" t="str">
        <f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simplearithmetic_ether_test_tb_csv  firmware-ethernet/tests/tb1//simplearithmetic_ether_test_tb_csv_in.csv firmware-ethernet/tests/tb1//simplearithmetic_ether_test_tb_csv_out.csv" &gt; build/simplearithmetic_ether_test_tb_csv/run_output.txt 2&gt;&amp;1</v>
      </c>
    </row>
    <row r="18" spans="1:179" x14ac:dyDescent="0.25">
      <c r="A18" s="10" t="s">
        <v>16</v>
      </c>
      <c r="B18" s="10" t="str">
        <f>"build/"  &amp;   EntityName &amp; "/run_output.txt"</f>
        <v>build/simplearithmetic_ether_test_tb_csv/run_output.txt</v>
      </c>
    </row>
    <row r="19" spans="1:179" x14ac:dyDescent="0.25">
      <c r="A19" s="10" t="s">
        <v>17</v>
      </c>
      <c r="B19" s="10" t="str">
        <f>IF(Show_Commandline=0, " &gt; "  &amp;   FileOutPut &amp; " 2&gt;&amp;1","")</f>
        <v xml:space="preserve"> &gt; build/simplearithmetic_ether_test_tb_csv/run_output.txt 2&gt;&amp;1</v>
      </c>
    </row>
    <row r="20" spans="1:179" x14ac:dyDescent="0.25">
      <c r="A20" s="16" t="s">
        <v>22</v>
      </c>
      <c r="B20" s="10" t="str">
        <f xml:space="preserve"> "cd """ &amp; w_path &amp; """ &amp;&amp; " &amp;  "./" &amp; make_command &amp; " "  &amp; EntityName</f>
        <v>cd "C:\Users\Peschke\Documents\xilinx_share2\GitHub\klm_scrod_vas" &amp;&amp; ./make_simulation.sh simplearithmetic_ether_test_tb_csv</v>
      </c>
    </row>
    <row r="21" spans="1:179" x14ac:dyDescent="0.25">
      <c r="A21" s="16" t="s">
        <v>23</v>
      </c>
      <c r="B21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simplearithmetic_ether_test_tb_csv"</v>
      </c>
    </row>
    <row r="22" spans="1:179" x14ac:dyDescent="0.25">
      <c r="A22" s="16" t="s">
        <v>28</v>
      </c>
      <c r="B22" s="10" t="str">
        <f xml:space="preserve"> "cd """ &amp; w_path &amp; """ &amp;&amp; " &amp;  "./" &amp; RUN_ON_HW_Command &amp; " "  &amp; EntityName &amp; "  " &amp; rel_path &amp; "/" &amp; sim_in &amp;" " &amp; rel_path &amp; "/" &amp; RUN_ON_HW_OUT &amp; output_File_Command</f>
        <v>cd "C:\Users\Peschke\Documents\xilinx_share2\GitHub\klm_scrod_vas" &amp;&amp; ./run_on_hardware.sh simplearithmetic_ether_test_tb_csv  firmware-ethernet/tests/tb1//simplearithmetic_ether_test_tb_csv_in.csv firmware-ethernet/tests/tb1//simplearithmetic_ether_test_tb_csv_out.csv &gt; build/simplearithmetic_ether_test_tb_csv/run_output.txt 2&gt;&amp;1</v>
      </c>
    </row>
    <row r="23" spans="1:179" x14ac:dyDescent="0.25">
      <c r="A23" s="16" t="s">
        <v>29</v>
      </c>
      <c r="B23" s="10" t="str">
        <f xml:space="preserve"> "cd """ &amp; w_path &amp; """ &amp;&amp; " &amp;  BashPath  &amp; " -c ""./" &amp; RUN_ON_HW_Command &amp; " " &amp; EntityName &amp; "  " &amp; rel_path &amp; "/" &amp; sim_in &amp;" " &amp; rel_path &amp; "/" &amp; RUN_ON_HW_OUT &amp;"""" &amp; output_File_Command</f>
        <v>cd "C:\Users\Peschke\Documents\xilinx_share2\GitHub\klm_scrod_vas" &amp;&amp; bash -c "./run_on_hardware.sh simplearithmetic_ether_test_tb_csv  firmware-ethernet/tests/tb1//simplearithmetic_ether_test_tb_csv_in.csv firmware-ethernet/tests/tb1//simplearithmetic_ether_test_tb_csv_out.csv" &gt; build/simplearithmetic_ether_test_tb_csv/run_output.txt 2&gt;&amp;1</v>
      </c>
    </row>
    <row r="25" spans="1:179" x14ac:dyDescent="0.25">
      <c r="A25" s="12" t="s">
        <v>11</v>
      </c>
      <c r="B25" s="13" t="str">
        <f>Setup!A31</f>
        <v xml:space="preserve"> txdatalast, </v>
      </c>
    </row>
    <row r="26" spans="1:179" x14ac:dyDescent="0.25">
      <c r="A26" s="12" t="s">
        <v>12</v>
      </c>
      <c r="B26" s="13" t="str">
        <f>Setup!N37</f>
        <v xml:space="preserve">19, 20, 21, 22, 23, 24, 25, 26, 27, 28, 29, 30, 31, 32, 33, 34, 35, </v>
      </c>
    </row>
    <row r="30" spans="1:179" hidden="1" x14ac:dyDescent="0.25"/>
    <row r="31" spans="1:179" hidden="1" x14ac:dyDescent="0.25">
      <c r="A31" t="str">
        <f>IF(Book1!D1&gt;0,Book1!D3&amp;", " &amp; B31,IF(B31 =0,"",B31) )</f>
        <v xml:space="preserve"> txdatalast, </v>
      </c>
      <c r="B31" t="str">
        <f>IF(Book1!E1&gt;0,Book1!E3&amp;", " &amp; C31,IF(C31 =0,"",C31) )</f>
        <v xml:space="preserve"> txdatalast, </v>
      </c>
      <c r="C31" t="str">
        <f>IF(Book1!F1&gt;0,Book1!F3&amp;", " &amp; D31,IF(D31 =0,"",D31) )</f>
        <v xml:space="preserve"> txdatalast, </v>
      </c>
      <c r="D31" t="str">
        <f>IF(Book1!G1&gt;0,Book1!G3&amp;", " &amp; E31,IF(E31 =0,"",E31) )</f>
        <v xml:space="preserve"> txdatalast, </v>
      </c>
      <c r="E31" t="str">
        <f>IF(Book1!H1&gt;0,Book1!H3&amp;", " &amp; F31,IF(F31 =0,"",F31) )</f>
        <v xml:space="preserve"> txdatalast, </v>
      </c>
      <c r="F31" t="str">
        <f>IF(Book1!I1&gt;0,Book1!I3&amp;", " &amp; G31,IF(G31 =0,"",G31) )</f>
        <v xml:space="preserve"> txdatalast, </v>
      </c>
      <c r="G31" t="str">
        <f>IF(Book1!J1&gt;0,Book1!J3&amp;", " &amp; H31,IF(H31 =0,"",H31) )</f>
        <v xml:space="preserve"> txdatalast, </v>
      </c>
      <c r="H31" t="str">
        <f>IF(Book1!K1&gt;0,Book1!K3&amp;", " &amp; I31,IF(I31 =0,"",I31) )</f>
        <v xml:space="preserve"> txdatalast, </v>
      </c>
      <c r="I31" t="str">
        <f>IF(Book1!L1&gt;0,Book1!L3&amp;", " &amp; J31,IF(J31 =0,"",J31) )</f>
        <v/>
      </c>
      <c r="J31" t="str">
        <f>IF(Book1!M1&gt;0,Book1!M3&amp;", " &amp; K31,IF(K31 =0,"",K31) )</f>
        <v/>
      </c>
      <c r="K31" t="str">
        <f>IF(Book1!O1&gt;0,Book1!O3&amp;", " &amp; L31,IF(L31 =0,"",L31) )</f>
        <v/>
      </c>
      <c r="L31" t="str">
        <f>IF(Book1!P1&gt;0,Book1!P3&amp;", " &amp; M31,IF(M31 =0,"",M31) )</f>
        <v/>
      </c>
      <c r="M31" t="str">
        <f>IF(Book1!Q1&gt;0,Book1!Q3&amp;", " &amp; N31,IF(N31 =0,"",N31) )</f>
        <v/>
      </c>
      <c r="N31" t="str">
        <f>IF(Book1!R1&gt;0,Book1!R3&amp;", " &amp; O31,IF(O31 =0,"",O31) )</f>
        <v/>
      </c>
      <c r="O31" t="str">
        <f>IF(Book1!S1&gt;0,Book1!S3&amp;", " &amp; P31,IF(P31 =0,"",P31) )</f>
        <v/>
      </c>
      <c r="P31" t="str">
        <f>IF(Book1!T1&gt;0,Book1!T3&amp;", " &amp; Q31,IF(Q31 =0,"",Q31) )</f>
        <v/>
      </c>
      <c r="Q31" t="str">
        <f>IF(Book1!U1&gt;0,Book1!U3&amp;", " &amp; R31,IF(R31 =0,"",R31) )</f>
        <v/>
      </c>
      <c r="R31" t="str">
        <f>IF(Book1!V1&gt;0,Book1!V3&amp;", " &amp; S31,IF(S31 =0,"",S31) )</f>
        <v/>
      </c>
      <c r="S31" t="str">
        <f>IF(Book1!W1&gt;0,Book1!W3&amp;", " &amp; T31,IF(T31 =0,"",T31) )</f>
        <v/>
      </c>
      <c r="T31" t="str">
        <f>IF(Book1!X1&gt;0,Book1!X3&amp;", " &amp; U31,IF(U31 =0,"",U31) )</f>
        <v/>
      </c>
      <c r="U31" t="str">
        <f>IF(Book1!Y1&gt;0,Book1!Y3&amp;", " &amp; V31,IF(V31 =0,"",V31) )</f>
        <v/>
      </c>
      <c r="V31" t="str">
        <f>IF(Book1!Z1&gt;0,Book1!Z3&amp;", " &amp; W31,IF(W31 =0,"",W31) )</f>
        <v/>
      </c>
      <c r="W31" t="str">
        <f>IF(Book1!AA1&gt;0,Book1!AA3&amp;", " &amp; X31,IF(X31 =0,"",X31) )</f>
        <v/>
      </c>
      <c r="X31" t="str">
        <f>IF(Book1!AB1&gt;0,Book1!AB3&amp;", " &amp; Y31,IF(Y31 =0,"",Y31) )</f>
        <v/>
      </c>
      <c r="Y31" t="str">
        <f>IF(Book1!AC1&gt;0,Book1!AC3&amp;", " &amp; Z31,IF(Z31 =0,"",Z31) )</f>
        <v/>
      </c>
      <c r="Z31" t="str">
        <f>IF(Book1!AD1&gt;0,Book1!AD3&amp;", " &amp; AA31,IF(AA31 =0,"",AA31) )</f>
        <v/>
      </c>
      <c r="AA31" t="str">
        <f>IF(Book1!AE1&gt;0,Book1!AE3&amp;", " &amp; AB31,IF(AB31 =0,"",AB31) )</f>
        <v/>
      </c>
      <c r="AB31" t="str">
        <f>IF(Book1!AF1&gt;0,Book1!AF3&amp;", " &amp; AC31,IF(AC31 =0,"",AC31) )</f>
        <v/>
      </c>
      <c r="AC31" t="str">
        <f>IF(Book1!AG1&gt;0,Book1!AG3&amp;", " &amp; AD31,IF(AD31 =0,"",AD31) )</f>
        <v/>
      </c>
      <c r="AD31" t="str">
        <f>IF(Book1!AH1&gt;0,Book1!AH3&amp;", " &amp; AE31,IF(AE31 =0,"",AE31) )</f>
        <v/>
      </c>
      <c r="AE31" t="str">
        <f>IF(Book1!AI1&gt;0,Book1!AI3&amp;", " &amp; AF31,IF(AF31 =0,"",AF31) )</f>
        <v/>
      </c>
      <c r="AF31" t="str">
        <f>IF(Book1!AJ1&gt;0,Book1!AJ3&amp;", " &amp; AG31,IF(AG31 =0,"",AG31) )</f>
        <v/>
      </c>
      <c r="AG31" t="str">
        <f>IF(Book1!AK1&gt;0,Book1!AK3&amp;", " &amp; AH31,IF(AH31 =0,"",AH31) )</f>
        <v/>
      </c>
      <c r="AH31" t="str">
        <f>IF(Book1!AL1&gt;0,Book1!AL3&amp;", " &amp; AI31,IF(AI31 =0,"",AI31) )</f>
        <v/>
      </c>
      <c r="AI31" t="str">
        <f>IF(Book1!AM1&gt;0,Book1!AM3&amp;", " &amp; AJ31,IF(AJ31 =0,"",AJ31) )</f>
        <v/>
      </c>
      <c r="AJ31" t="str">
        <f>IF(Book1!AN1&gt;0,Book1!AN3&amp;", " &amp; AK31,IF(AK31 =0,"",AK31) )</f>
        <v/>
      </c>
      <c r="AK31" t="str">
        <f>IF(Book1!AO1&gt;0,Book1!AO3&amp;", " &amp; AL31,IF(AL31 =0,"",AL31) )</f>
        <v/>
      </c>
      <c r="AL31" t="str">
        <f>IF(Book1!AP1&gt;0,Book1!AP3&amp;", " &amp; AM31,IF(AM31 =0,"",AM31) )</f>
        <v/>
      </c>
      <c r="AM31" t="str">
        <f>IF(Book1!AQ1&gt;0,Book1!AQ3&amp;", " &amp; AN31,IF(AN31 =0,"",AN31) )</f>
        <v/>
      </c>
      <c r="AN31" t="str">
        <f>IF(Book1!AR1&gt;0,Book1!AR3&amp;", " &amp; AO31,IF(AO31 =0,"",AO31) )</f>
        <v/>
      </c>
      <c r="AO31" t="str">
        <f>IF(Book1!AS1&gt;0,Book1!AS3&amp;", " &amp; AP31,IF(AP31 =0,"",AP31) )</f>
        <v/>
      </c>
      <c r="AP31" t="str">
        <f>IF(Book1!AT1&gt;0,Book1!AT3&amp;", " &amp; AQ31,IF(AQ31 =0,"",AQ31) )</f>
        <v/>
      </c>
      <c r="AQ31" t="str">
        <f>IF(Book1!AU1&gt;0,Book1!AU3&amp;", " &amp; AR31,IF(AR31 =0,"",AR31) )</f>
        <v/>
      </c>
      <c r="AR31" t="str">
        <f>IF(Book1!AV1&gt;0,Book1!AV3&amp;", " &amp; AS31,IF(AS31 =0,"",AS31) )</f>
        <v/>
      </c>
      <c r="AS31" t="str">
        <f>IF(Book1!AW1&gt;0,Book1!AW3&amp;", " &amp; AT31,IF(AT31 =0,"",AT31) )</f>
        <v/>
      </c>
      <c r="AT31" t="str">
        <f>IF(Book1!AX1&gt;0,Book1!AX3&amp;", " &amp; AU31,IF(AU31 =0,"",AU31) )</f>
        <v/>
      </c>
      <c r="AU31" t="str">
        <f>IF(Book1!AY1&gt;0,Book1!AY3&amp;", " &amp; AV31,IF(AV31 =0,"",AV31) )</f>
        <v/>
      </c>
      <c r="AV31" t="str">
        <f>IF(Book1!AZ1&gt;0,Book1!AZ3&amp;", " &amp; AW31,IF(AW31 =0,"",AW31) )</f>
        <v/>
      </c>
      <c r="AW31" t="str">
        <f>IF(Book1!BA1&gt;0,Book1!BA3&amp;", " &amp; AX31,IF(AX31 =0,"",AX31) )</f>
        <v/>
      </c>
      <c r="AX31" t="str">
        <f>IF(Book1!BB1&gt;0,Book1!BB3&amp;", " &amp; AY31,IF(AY31 =0,"",AY31) )</f>
        <v/>
      </c>
      <c r="AY31" t="str">
        <f>IF(Book1!BC1&gt;0,Book1!BC3&amp;", " &amp; AZ31,IF(AZ31 =0,"",AZ31) )</f>
        <v/>
      </c>
      <c r="AZ31" t="str">
        <f>IF(Book1!BD1&gt;0,Book1!BD3&amp;", " &amp; BA31,IF(BA31 =0,"",BA31) )</f>
        <v/>
      </c>
      <c r="BA31" t="str">
        <f>IF(Book1!BE1&gt;0,Book1!BE3&amp;", " &amp; BB31,IF(BB31 =0,"",BB31) )</f>
        <v/>
      </c>
      <c r="BB31" t="str">
        <f>IF(Book1!BF1&gt;0,Book1!BF3&amp;", " &amp; BC31,IF(BC31 =0,"",BC31) )</f>
        <v/>
      </c>
      <c r="BC31" t="str">
        <f>IF(Book1!BG1&gt;0,Book1!BG3&amp;", " &amp; BD31,IF(BD31 =0,"",BD31) )</f>
        <v/>
      </c>
      <c r="BD31" t="str">
        <f>IF(Book1!BH1&gt;0,Book1!BH3&amp;", " &amp; BE31,IF(BE31 =0,"",BE31) )</f>
        <v/>
      </c>
      <c r="BE31" t="str">
        <f>IF(Book1!BI1&gt;0,Book1!BI3&amp;", " &amp; BF31,IF(BF31 =0,"",BF31) )</f>
        <v/>
      </c>
      <c r="BF31" t="str">
        <f>IF(Book1!BJ1&gt;0,Book1!BJ3&amp;", " &amp; BG31,IF(BG31 =0,"",BG31) )</f>
        <v/>
      </c>
      <c r="BG31" t="str">
        <f>IF(Book1!BK1&gt;0,Book1!BK3&amp;", " &amp; BH31,IF(BH31 =0,"",BH31) )</f>
        <v/>
      </c>
      <c r="BH31" t="str">
        <f>IF(Book1!BL1&gt;0,Book1!BL3&amp;", " &amp; BI31,IF(BI31 =0,"",BI31) )</f>
        <v/>
      </c>
      <c r="BI31" t="str">
        <f>IF(Book1!BM1&gt;0,Book1!BM3&amp;", " &amp; BJ31,IF(BJ31 =0,"",BJ31) )</f>
        <v/>
      </c>
      <c r="BJ31" t="str">
        <f>IF(Book1!BN1&gt;0,Book1!BN3&amp;", " &amp; BK31,IF(BK31 =0,"",BK31) )</f>
        <v/>
      </c>
      <c r="BK31" t="str">
        <f>IF(Book1!BO1&gt;0,Book1!BO3&amp;", " &amp; BL31,IF(BL31 =0,"",BL31) )</f>
        <v/>
      </c>
      <c r="BL31" t="str">
        <f>IF(Book1!BP1&gt;0,Book1!BP3&amp;", " &amp; BM31,IF(BM31 =0,"",BM31) )</f>
        <v/>
      </c>
      <c r="BM31" t="str">
        <f>IF(Book1!BQ1&gt;0,Book1!BQ3&amp;", " &amp; BN31,IF(BN31 =0,"",BN31) )</f>
        <v/>
      </c>
      <c r="BN31" t="str">
        <f>IF(Book1!BR1&gt;0,Book1!BR3&amp;", " &amp; BO31,IF(BO31 =0,"",BO31) )</f>
        <v/>
      </c>
      <c r="BO31" t="str">
        <f>IF(Book1!BS1&gt;0,Book1!BS3&amp;", " &amp; BP31,IF(BP31 =0,"",BP31) )</f>
        <v/>
      </c>
      <c r="BP31" t="str">
        <f>IF(Book1!BT1&gt;0,Book1!BT3&amp;", " &amp; BQ31,IF(BQ31 =0,"",BQ31) )</f>
        <v/>
      </c>
      <c r="BQ31" t="str">
        <f>IF(Book1!BU1&gt;0,Book1!BU3&amp;", " &amp; BR31,IF(BR31 =0,"",BR31) )</f>
        <v/>
      </c>
      <c r="BR31" t="str">
        <f>IF(Book1!BV1&gt;0,Book1!BV3&amp;", " &amp; BS31,IF(BS31 =0,"",BS31) )</f>
        <v/>
      </c>
      <c r="BS31" t="str">
        <f>IF(Book1!BW1&gt;0,Book1!BW3&amp;", " &amp; BT31,IF(BT31 =0,"",BT31) )</f>
        <v/>
      </c>
      <c r="BT31" t="str">
        <f>IF(Book1!BX1&gt;0,Book1!BX3&amp;", " &amp; BU31,IF(BU31 =0,"",BU31) )</f>
        <v/>
      </c>
      <c r="BU31" t="str">
        <f>IF(Book1!BY1&gt;0,Book1!BY3&amp;", " &amp; BV31,IF(BV31 =0,"",BV31) )</f>
        <v/>
      </c>
      <c r="BV31" t="str">
        <f>IF(Book1!BZ1&gt;0,Book1!BZ3&amp;", " &amp; BW31,IF(BW31 =0,"",BW31) )</f>
        <v/>
      </c>
      <c r="BW31" t="str">
        <f>IF(Book1!CA1&gt;0,Book1!CA3&amp;", " &amp; BX31,IF(BX31 =0,"",BX31) )</f>
        <v/>
      </c>
      <c r="BX31" t="str">
        <f>IF(Book1!CB1&gt;0,Book1!CB3&amp;", " &amp; BY31,IF(BY31 =0,"",BY31) )</f>
        <v/>
      </c>
      <c r="BY31" t="str">
        <f>IF(Book1!CC1&gt;0,Book1!CC3&amp;", " &amp; BZ31,IF(BZ31 =0,"",BZ31) )</f>
        <v/>
      </c>
      <c r="BZ31" t="str">
        <f>IF(Book1!CD1&gt;0,Book1!CD3&amp;", " &amp; CA31,IF(CA31 =0,"",CA31) )</f>
        <v/>
      </c>
      <c r="CA31" t="str">
        <f>IF(Book1!CE1&gt;0,Book1!CE3&amp;", " &amp; CB31,IF(CB31 =0,"",CB31) )</f>
        <v/>
      </c>
      <c r="CB31" t="str">
        <f>IF(Book1!CF1&gt;0,Book1!CF3&amp;", " &amp; CC31,IF(CC31 =0,"",CC31) )</f>
        <v/>
      </c>
      <c r="CC31" t="str">
        <f>IF(Book1!CG1&gt;0,Book1!CG3&amp;", " &amp; CD31,IF(CD31 =0,"",CD31) )</f>
        <v/>
      </c>
      <c r="CD31" t="str">
        <f>IF(Book1!CH1&gt;0,Book1!CH3&amp;", " &amp; CE31,IF(CE31 =0,"",CE31) )</f>
        <v/>
      </c>
      <c r="CE31" t="str">
        <f>IF(Book1!CI1&gt;0,Book1!CI3&amp;", " &amp; CF31,IF(CF31 =0,"",CF31) )</f>
        <v/>
      </c>
      <c r="CF31" t="str">
        <f>IF(Book1!CJ1&gt;0,Book1!CJ3&amp;", " &amp; CG31,IF(CG31 =0,"",CG31) )</f>
        <v/>
      </c>
      <c r="CG31" t="str">
        <f>IF(Book1!CK1&gt;0,Book1!CK3&amp;", " &amp; CH31,IF(CH31 =0,"",CH31) )</f>
        <v/>
      </c>
      <c r="CH31" t="str">
        <f>IF(Book1!CL1&gt;0,Book1!CL3&amp;", " &amp; CI31,IF(CI31 =0,"",CI31) )</f>
        <v/>
      </c>
      <c r="CI31" t="str">
        <f>IF(Book1!CM1&gt;0,Book1!CM3&amp;", " &amp; CJ31,IF(CJ31 =0,"",CJ31) )</f>
        <v/>
      </c>
      <c r="CJ31" t="str">
        <f>IF(Book1!CN1&gt;0,Book1!CN3&amp;", " &amp; CK31,IF(CK31 =0,"",CK31) )</f>
        <v/>
      </c>
      <c r="CK31" t="str">
        <f>IF(Book1!CO1&gt;0,Book1!CO3&amp;", " &amp; CL31,IF(CL31 =0,"",CL31) )</f>
        <v/>
      </c>
      <c r="CL31" t="str">
        <f>IF(Book1!CP1&gt;0,Book1!CP3&amp;", " &amp; CM31,IF(CM31 =0,"",CM31) )</f>
        <v/>
      </c>
      <c r="CM31" t="str">
        <f>IF(Book1!CQ1&gt;0,Book1!CQ3&amp;", " &amp; CN31,IF(CN31 =0,"",CN31) )</f>
        <v/>
      </c>
      <c r="CN31" t="str">
        <f>IF(Book1!CR1&gt;0,Book1!CR3&amp;", " &amp; CO31,IF(CO31 =0,"",CO31) )</f>
        <v/>
      </c>
      <c r="CO31" t="str">
        <f>IF(Book1!CS1&gt;0,Book1!CS3&amp;", " &amp; CP31,IF(CP31 =0,"",CP31) )</f>
        <v/>
      </c>
      <c r="CP31" t="str">
        <f>IF(Book1!CT1&gt;0,Book1!CT3&amp;", " &amp; CQ31,IF(CQ31 =0,"",CQ31) )</f>
        <v/>
      </c>
      <c r="CQ31" t="str">
        <f>IF(Book1!CU1&gt;0,Book1!CU3&amp;", " &amp; CR31,IF(CR31 =0,"",CR31) )</f>
        <v/>
      </c>
      <c r="CR31" t="str">
        <f>IF(Book1!CV1&gt;0,Book1!CV3&amp;", " &amp; CS31,IF(CS31 =0,"",CS31) )</f>
        <v/>
      </c>
      <c r="CS31" t="str">
        <f>IF(Book1!CW1&gt;0,Book1!CW3&amp;", " &amp; CT31,IF(CT31 =0,"",CT31) )</f>
        <v/>
      </c>
      <c r="CT31" t="str">
        <f>IF(Book1!CX1&gt;0,Book1!CX3&amp;", " &amp; CU31,IF(CU31 =0,"",CU31) )</f>
        <v/>
      </c>
      <c r="CU31" t="str">
        <f>IF(Book1!CY1&gt;0,Book1!CY3&amp;", " &amp; CV31,IF(CV31 =0,"",CV31) )</f>
        <v/>
      </c>
      <c r="CV31" t="str">
        <f>IF(Book1!CZ1&gt;0,Book1!CZ3&amp;", " &amp; CW31,IF(CW31 =0,"",CW31) )</f>
        <v/>
      </c>
      <c r="CW31" t="str">
        <f>IF(Book1!DA1&gt;0,Book1!DA3&amp;", " &amp; CX31,IF(CX31 =0,"",CX31) )</f>
        <v/>
      </c>
      <c r="CX31" t="str">
        <f>IF(Book1!DB1&gt;0,Book1!DB3&amp;", " &amp; CY31,IF(CY31 =0,"",CY31) )</f>
        <v/>
      </c>
      <c r="CY31" t="str">
        <f>IF(Book1!DC1&gt;0,Book1!DC3&amp;", " &amp; CZ31,IF(CZ31 =0,"",CZ31) )</f>
        <v/>
      </c>
      <c r="CZ31" t="str">
        <f>IF(Book1!DD1&gt;0,Book1!DD3&amp;", " &amp; DA31,IF(DA31 =0,"",DA31) )</f>
        <v/>
      </c>
      <c r="DA31" t="str">
        <f>IF(Book1!DE1&gt;0,Book1!DE3&amp;", " &amp; DB31,IF(DB31 =0,"",DB31) )</f>
        <v/>
      </c>
      <c r="DB31" t="str">
        <f>IF(Book1!DF1&gt;0,Book1!DF3&amp;", " &amp; DC31,IF(DC31 =0,"",DC31) )</f>
        <v/>
      </c>
      <c r="DC31" t="str">
        <f>IF(Book1!DG1&gt;0,Book1!DG3&amp;", " &amp; DD31,IF(DD31 =0,"",DD31) )</f>
        <v/>
      </c>
      <c r="DD31" t="str">
        <f>IF(Book1!DH1&gt;0,Book1!DH3&amp;", " &amp; DE31,IF(DE31 =0,"",DE31) )</f>
        <v/>
      </c>
      <c r="DE31" t="str">
        <f>IF(Book1!DI1&gt;0,Book1!DI3&amp;", " &amp; DF31,IF(DF31 =0,"",DF31) )</f>
        <v/>
      </c>
      <c r="DF31" t="str">
        <f>IF(Book1!DJ1&gt;0,Book1!DJ3&amp;", " &amp; DG31,IF(DG31 =0,"",DG31) )</f>
        <v/>
      </c>
      <c r="DG31" t="str">
        <f>IF(Book1!DK1&gt;0,Book1!DK3&amp;", " &amp; DH31,IF(DH31 =0,"",DH31) )</f>
        <v/>
      </c>
      <c r="DH31" t="str">
        <f>IF(Book1!DL1&gt;0,Book1!DL3&amp;", " &amp; DI31,IF(DI31 =0,"",DI31) )</f>
        <v/>
      </c>
      <c r="DI31" t="str">
        <f>IF(Book1!DM1&gt;0,Book1!DM3&amp;", " &amp; DJ31,IF(DJ31 =0,"",DJ31) )</f>
        <v/>
      </c>
      <c r="DJ31" t="str">
        <f>IF(Book1!DN1&gt;0,Book1!DN3&amp;", " &amp; DK31,IF(DK31 =0,"",DK31) )</f>
        <v/>
      </c>
      <c r="DK31" t="str">
        <f>IF(Book1!DO1&gt;0,Book1!DO3&amp;", " &amp; DL31,IF(DL31 =0,"",DL31) )</f>
        <v/>
      </c>
      <c r="DL31" t="str">
        <f>IF(Book1!DP1&gt;0,Book1!DP3&amp;", " &amp; DM31,IF(DM31 =0,"",DM31) )</f>
        <v/>
      </c>
      <c r="DM31" t="str">
        <f>IF(Book1!DQ1&gt;0,Book1!DQ3&amp;", " &amp; DN31,IF(DN31 =0,"",DN31) )</f>
        <v/>
      </c>
      <c r="DN31" t="str">
        <f>IF(Book1!DR1&gt;0,Book1!DR3&amp;", " &amp; DO31,IF(DO31 =0,"",DO31) )</f>
        <v/>
      </c>
      <c r="DO31" t="str">
        <f>IF(Book1!DS1&gt;0,Book1!DS3&amp;", " &amp; DP31,IF(DP31 =0,"",DP31) )</f>
        <v/>
      </c>
      <c r="DP31" t="str">
        <f>IF(Book1!DT1&gt;0,Book1!DT3&amp;", " &amp; DQ31,IF(DQ31 =0,"",DQ31) )</f>
        <v/>
      </c>
      <c r="DQ31" t="str">
        <f>IF(Book1!DU1&gt;0,Book1!DU3&amp;", " &amp; DR31,IF(DR31 =0,"",DR31) )</f>
        <v/>
      </c>
      <c r="DR31" t="str">
        <f>IF(Book1!DV1&gt;0,Book1!DV3&amp;", " &amp; DS31,IF(DS31 =0,"",DS31) )</f>
        <v/>
      </c>
      <c r="DS31" t="str">
        <f>IF(Book1!DW1&gt;0,Book1!DW3&amp;", " &amp; DT31,IF(DT31 =0,"",DT31) )</f>
        <v/>
      </c>
      <c r="DT31" t="str">
        <f>IF(Book1!DX1&gt;0,Book1!DX3&amp;", " &amp; DU31,IF(DU31 =0,"",DU31) )</f>
        <v/>
      </c>
      <c r="DU31" t="str">
        <f>IF(Book1!DY1&gt;0,Book1!DY3&amp;", " &amp; DV31,IF(DV31 =0,"",DV31) )</f>
        <v/>
      </c>
      <c r="DV31" t="str">
        <f>IF(Book1!DZ1&gt;0,Book1!DZ3&amp;", " &amp; DW31,IF(DW31 =0,"",DW31) )</f>
        <v/>
      </c>
      <c r="DW31" t="str">
        <f>IF(Book1!EA1&gt;0,Book1!EA3&amp;", " &amp; DX31,IF(DX31 =0,"",DX31) )</f>
        <v/>
      </c>
      <c r="DX31" t="str">
        <f>IF(Book1!EB1&gt;0,Book1!EB3&amp;", " &amp; DY31,IF(DY31 =0,"",DY31) )</f>
        <v/>
      </c>
      <c r="DY31" t="str">
        <f>IF(Book1!EC1&gt;0,Book1!EC3&amp;", " &amp; DZ31,IF(DZ31 =0,"",DZ31) )</f>
        <v/>
      </c>
      <c r="DZ31" t="str">
        <f>IF(Book1!ED1&gt;0,Book1!ED3&amp;", " &amp; EA31,IF(EA31 =0,"",EA31) )</f>
        <v/>
      </c>
      <c r="EA31" t="str">
        <f>IF(Book1!EE1&gt;0,Book1!EE3&amp;", " &amp; EB31,IF(EB31 =0,"",EB31) )</f>
        <v/>
      </c>
      <c r="EB31" t="str">
        <f>IF(Book1!EF1&gt;0,Book1!EF3&amp;", " &amp; EC31,IF(EC31 =0,"",EC31) )</f>
        <v/>
      </c>
      <c r="EC31" t="str">
        <f>IF(Book1!EG1&gt;0,Book1!EG3&amp;", " &amp; ED31,IF(ED31 =0,"",ED31) )</f>
        <v/>
      </c>
      <c r="ED31" t="str">
        <f>IF(Book1!EH1&gt;0,Book1!EH3&amp;", " &amp; EE31,IF(EE31 =0,"",EE31) )</f>
        <v/>
      </c>
      <c r="EE31" t="str">
        <f>IF(Book1!EI1&gt;0,Book1!EI3&amp;", " &amp; EF31,IF(EF31 =0,"",EF31) )</f>
        <v/>
      </c>
      <c r="EF31" t="str">
        <f>IF(Book1!EJ1&gt;0,Book1!EJ3&amp;", " &amp; EG31,IF(EG31 =0,"",EG31) )</f>
        <v/>
      </c>
      <c r="EG31" t="str">
        <f>IF(Book1!EK1&gt;0,Book1!EK3&amp;", " &amp; EH31,IF(EH31 =0,"",EH31) )</f>
        <v/>
      </c>
      <c r="EH31" t="str">
        <f>IF(Book1!EL1&gt;0,Book1!EL3&amp;", " &amp; EI31,IF(EI31 =0,"",EI31) )</f>
        <v/>
      </c>
      <c r="EI31" t="str">
        <f>IF(Book1!EM1&gt;0,Book1!EM3&amp;", " &amp; EJ31,IF(EJ31 =0,"",EJ31) )</f>
        <v/>
      </c>
      <c r="EJ31" t="str">
        <f>IF(Book1!EN1&gt;0,Book1!EN3&amp;", " &amp; EK31,IF(EK31 =0,"",EK31) )</f>
        <v/>
      </c>
      <c r="EK31" t="str">
        <f>IF(Book1!EO1&gt;0,Book1!EO3&amp;", " &amp; EL31,IF(EL31 =0,"",EL31) )</f>
        <v/>
      </c>
      <c r="EL31" t="str">
        <f>IF(Book1!EP1&gt;0,Book1!EP3&amp;", " &amp; EM31,IF(EM31 =0,"",EM31) )</f>
        <v/>
      </c>
      <c r="EM31" t="str">
        <f>IF(Book1!EQ1&gt;0,Book1!EQ3&amp;", " &amp; EN31,IF(EN31 =0,"",EN31) )</f>
        <v/>
      </c>
      <c r="EN31" t="str">
        <f>IF(Book1!ER1&gt;0,Book1!ER3&amp;", " &amp; EO31,IF(EO31 =0,"",EO31) )</f>
        <v/>
      </c>
      <c r="EO31" t="str">
        <f>IF(Book1!ES1&gt;0,Book1!ES3&amp;", " &amp; EP31,IF(EP31 =0,"",EP31) )</f>
        <v/>
      </c>
      <c r="EP31" t="str">
        <f>IF(Book1!ET1&gt;0,Book1!ET3&amp;", " &amp; EQ31,IF(EQ31 =0,"",EQ31) )</f>
        <v/>
      </c>
      <c r="EQ31" t="str">
        <f>IF(Book1!EU1&gt;0,Book1!EU3&amp;", " &amp; ER31,IF(ER31 =0,"",ER31) )</f>
        <v/>
      </c>
      <c r="ER31" t="str">
        <f>IF(Book1!EV1&gt;0,Book1!EV3&amp;", " &amp; ES31,IF(ES31 =0,"",ES31) )</f>
        <v/>
      </c>
      <c r="ES31" t="str">
        <f>IF(Book1!EW1&gt;0,Book1!EW3&amp;", " &amp; ET31,IF(ET31 =0,"",ET31) )</f>
        <v/>
      </c>
      <c r="ET31" t="str">
        <f>IF(Book1!EX1&gt;0,Book1!EX3&amp;", " &amp; EU31,IF(EU31 =0,"",EU31) )</f>
        <v/>
      </c>
      <c r="EU31" t="str">
        <f>IF(Book1!EY1&gt;0,Book1!EY3&amp;", " &amp; EV31,IF(EV31 =0,"",EV31) )</f>
        <v/>
      </c>
      <c r="EV31" t="str">
        <f>IF(Book1!EZ1&gt;0,Book1!EZ3&amp;", " &amp; EW31,IF(EW31 =0,"",EW31) )</f>
        <v/>
      </c>
      <c r="EW31" t="str">
        <f>IF(Book1!FA1&gt;0,Book1!FA3&amp;", " &amp; EX31,IF(EX31 =0,"",EX31) )</f>
        <v/>
      </c>
      <c r="EX31" t="str">
        <f>IF(Book1!FB1&gt;0,Book1!FB3&amp;", " &amp; EY31,IF(EY31 =0,"",EY31) )</f>
        <v/>
      </c>
      <c r="EY31" t="str">
        <f>IF(Book1!FC1&gt;0,Book1!FC3&amp;", " &amp; EZ31,IF(EZ31 =0,"",EZ31) )</f>
        <v/>
      </c>
      <c r="EZ31" t="str">
        <f>IF(Book1!FD1&gt;0,Book1!FD3&amp;", " &amp; FA31,IF(FA31 =0,"",FA31) )</f>
        <v/>
      </c>
      <c r="FA31" t="str">
        <f>IF(Book1!FE1&gt;0,Book1!FE3&amp;", " &amp; FB31,IF(FB31 =0,"",FB31) )</f>
        <v/>
      </c>
      <c r="FB31" t="str">
        <f>IF(Book1!FF1&gt;0,Book1!FF3&amp;", " &amp; FC31,IF(FC31 =0,"",FC31) )</f>
        <v/>
      </c>
      <c r="FC31" t="str">
        <f>IF(Book1!FG1&gt;0,Book1!FG3&amp;", " &amp; FD31,IF(FD31 =0,"",FD31) )</f>
        <v/>
      </c>
      <c r="FD31" t="str">
        <f>IF(Book1!FH1&gt;0,Book1!FH3&amp;", " &amp; FE31,IF(FE31 =0,"",FE31) )</f>
        <v/>
      </c>
      <c r="FE31" t="str">
        <f>IF(Book1!FI1&gt;0,Book1!FI3&amp;", " &amp; FF31,IF(FF31 =0,"",FF31) )</f>
        <v/>
      </c>
      <c r="FF31" t="str">
        <f>IF(Book1!FJ1&gt;0,Book1!FJ3&amp;", " &amp; FG31,IF(FG31 =0,"",FG31) )</f>
        <v/>
      </c>
      <c r="FG31" t="str">
        <f>IF(Book1!FK1&gt;0,Book1!FK3&amp;", " &amp; FH31,IF(FH31 =0,"",FH31) )</f>
        <v/>
      </c>
      <c r="FH31" t="str">
        <f>IF(Book1!FL1&gt;0,Book1!FL3&amp;", " &amp; FI31,IF(FI31 =0,"",FI31) )</f>
        <v/>
      </c>
      <c r="FI31" t="str">
        <f>IF(Book1!FM1&gt;0,Book1!FM3&amp;", " &amp; FJ31,IF(FJ31 =0,"",FJ31) )</f>
        <v/>
      </c>
      <c r="FJ31" t="str">
        <f>IF(Book1!FN1&gt;0,Book1!FN3&amp;", " &amp; FK31,IF(FK31 =0,"",FK31) )</f>
        <v/>
      </c>
      <c r="FK31" t="str">
        <f>IF(Book1!FO1&gt;0,Book1!FO3&amp;", " &amp; FL31,IF(FL31 =0,"",FL31) )</f>
        <v/>
      </c>
      <c r="FL31" t="str">
        <f>IF(Book1!FP1&gt;0,Book1!FP3&amp;", " &amp; FM31,IF(FM31 =0,"",FM31) )</f>
        <v/>
      </c>
      <c r="FM31" t="str">
        <f>IF(Book1!FQ1&gt;0,Book1!FQ3&amp;", " &amp; FN31,IF(FN31 =0,"",FN31) )</f>
        <v/>
      </c>
      <c r="FN31" t="str">
        <f>IF(Book1!FR1&gt;0,Book1!FR3&amp;", " &amp; FO31,IF(FO31 =0,"",FO31) )</f>
        <v/>
      </c>
      <c r="FO31" t="str">
        <f>IF(Book1!FS1&gt;0,Book1!FS3&amp;", " &amp; FP31,IF(FP31 =0,"",FP31) )</f>
        <v/>
      </c>
      <c r="FP31" t="str">
        <f>IF(Book1!FT1&gt;0,Book1!FT3&amp;", " &amp; FQ31,IF(FQ31 =0,"",FQ31) )</f>
        <v/>
      </c>
      <c r="FQ31" t="str">
        <f>IF(Book1!FU1&gt;0,Book1!FU3&amp;", " &amp; FR31,IF(FR31 =0,"",FR31) )</f>
        <v/>
      </c>
      <c r="FR31" t="str">
        <f>IF(Book1!FV1&gt;0,Book1!FV3&amp;", " &amp; FS31,IF(FS31 =0,"",FS31) )</f>
        <v/>
      </c>
      <c r="FS31" t="str">
        <f>IF(Book1!FW1&gt;0,Book1!FW3&amp;", " &amp; FT31,IF(FT31 =0,"",FT31) )</f>
        <v/>
      </c>
      <c r="FT31" t="str">
        <f>IF(Book1!FX1&gt;0,Book1!FX3&amp;", " &amp; FU31,IF(FU31 =0,"",FU31) )</f>
        <v/>
      </c>
      <c r="FU31" t="str">
        <f>IF(Book1!FY1&gt;0,Book1!FY3&amp;", " &amp; FV31,IF(FV31 =0,"",FV31) )</f>
        <v/>
      </c>
      <c r="FV31" t="str">
        <f>IF(Book1!FZ1&gt;0,Book1!FZ3&amp;", " &amp; FW31,IF(FW31 =0,"",FW31) )</f>
        <v/>
      </c>
      <c r="FW31" t="str">
        <f>IF(Book1!GA1&gt;0,Book1!GA3&amp;", " &amp; FX31,IF(FX31 =0,"",FX31) )</f>
        <v/>
      </c>
    </row>
    <row r="32" spans="1:179" hidden="1" x14ac:dyDescent="0.25"/>
    <row r="37" spans="13:14" x14ac:dyDescent="0.25">
      <c r="M37">
        <v>0</v>
      </c>
      <c r="N37" t="str">
        <f>IF(Book1!C3&gt;0,M37&amp;", " &amp; N38,IF(N38 =0,"",N38) )</f>
        <v xml:space="preserve">19, 20, 21, 22, 23, 24, 25, 26, 27, 28, 29, 30, 31, 32, 33, 34, 35, </v>
      </c>
    </row>
    <row r="38" spans="13:14" x14ac:dyDescent="0.25">
      <c r="M38">
        <v>1</v>
      </c>
      <c r="N38" t="str">
        <f>IF(Book1!C4&gt;0,M38&amp;", " &amp; N39,IF(N39 =0,"",N39) )</f>
        <v xml:space="preserve">19, 20, 21, 22, 23, 24, 25, 26, 27, 28, 29, 30, 31, 32, 33, 34, 35, </v>
      </c>
    </row>
    <row r="39" spans="13:14" x14ac:dyDescent="0.25">
      <c r="M39">
        <v>2</v>
      </c>
      <c r="N39" t="str">
        <f>IF(Book1!C5&gt;0,M39&amp;", " &amp; N40,IF(N40 =0,"",N40) )</f>
        <v xml:space="preserve">19, 20, 21, 22, 23, 24, 25, 26, 27, 28, 29, 30, 31, 32, 33, 34, 35, </v>
      </c>
    </row>
    <row r="40" spans="13:14" x14ac:dyDescent="0.25">
      <c r="M40">
        <v>3</v>
      </c>
      <c r="N40" t="str">
        <f>IF(Book1!C6&gt;0,M40&amp;", " &amp; N41,IF(N41 =0,"",N41) )</f>
        <v xml:space="preserve">19, 20, 21, 22, 23, 24, 25, 26, 27, 28, 29, 30, 31, 32, 33, 34, 35, </v>
      </c>
    </row>
    <row r="41" spans="13:14" x14ac:dyDescent="0.25">
      <c r="M41">
        <v>4</v>
      </c>
      <c r="N41" t="str">
        <f>IF(Book1!C7&gt;0,M41&amp;", " &amp; N42,IF(N42 =0,"",N42) )</f>
        <v xml:space="preserve">19, 20, 21, 22, 23, 24, 25, 26, 27, 28, 29, 30, 31, 32, 33, 34, 35, </v>
      </c>
    </row>
    <row r="42" spans="13:14" x14ac:dyDescent="0.25">
      <c r="M42">
        <v>5</v>
      </c>
      <c r="N42" t="str">
        <f>IF(Book1!C8&gt;0,M42&amp;", " &amp; N43,IF(N43 =0,"",N43) )</f>
        <v xml:space="preserve">19, 20, 21, 22, 23, 24, 25, 26, 27, 28, 29, 30, 31, 32, 33, 34, 35, </v>
      </c>
    </row>
    <row r="43" spans="13:14" x14ac:dyDescent="0.25">
      <c r="M43">
        <v>6</v>
      </c>
      <c r="N43" t="str">
        <f>IF(Book1!C9&gt;0,M43&amp;", " &amp; N44,IF(N44 =0,"",N44) )</f>
        <v xml:space="preserve">19, 20, 21, 22, 23, 24, 25, 26, 27, 28, 29, 30, 31, 32, 33, 34, 35, </v>
      </c>
    </row>
    <row r="44" spans="13:14" x14ac:dyDescent="0.25">
      <c r="M44">
        <v>7</v>
      </c>
      <c r="N44" t="str">
        <f>IF(Book1!C10&gt;0,M44&amp;", " &amp; N45,IF(N45 =0,"",N45) )</f>
        <v xml:space="preserve">19, 20, 21, 22, 23, 24, 25, 26, 27, 28, 29, 30, 31, 32, 33, 34, 35, </v>
      </c>
    </row>
    <row r="45" spans="13:14" x14ac:dyDescent="0.25">
      <c r="M45">
        <v>8</v>
      </c>
      <c r="N45" t="str">
        <f>IF(Book1!C11&gt;0,M45&amp;", " &amp; N46,IF(N46 =0,"",N46) )</f>
        <v xml:space="preserve">19, 20, 21, 22, 23, 24, 25, 26, 27, 28, 29, 30, 31, 32, 33, 34, 35, </v>
      </c>
    </row>
    <row r="46" spans="13:14" x14ac:dyDescent="0.25">
      <c r="M46">
        <v>9</v>
      </c>
      <c r="N46" t="str">
        <f>IF(Book1!C12&gt;0,M46&amp;", " &amp; N47,IF(N47 =0,"",N47) )</f>
        <v xml:space="preserve">19, 20, 21, 22, 23, 24, 25, 26, 27, 28, 29, 30, 31, 32, 33, 34, 35, </v>
      </c>
    </row>
    <row r="47" spans="13:14" x14ac:dyDescent="0.25">
      <c r="M47">
        <v>10</v>
      </c>
      <c r="N47" t="str">
        <f>IF(Book1!C13&gt;0,M47&amp;", " &amp; N48,IF(N48 =0,"",N48) )</f>
        <v xml:space="preserve">19, 20, 21, 22, 23, 24, 25, 26, 27, 28, 29, 30, 31, 32, 33, 34, 35, </v>
      </c>
    </row>
    <row r="48" spans="13:14" x14ac:dyDescent="0.25">
      <c r="M48">
        <v>11</v>
      </c>
      <c r="N48" t="str">
        <f>IF(Book1!C14&gt;0,M48&amp;", " &amp; N49,IF(N49 =0,"",N49) )</f>
        <v xml:space="preserve">19, 20, 21, 22, 23, 24, 25, 26, 27, 28, 29, 30, 31, 32, 33, 34, 35, </v>
      </c>
    </row>
    <row r="49" spans="13:14" x14ac:dyDescent="0.25">
      <c r="M49">
        <v>12</v>
      </c>
      <c r="N49" t="str">
        <f>IF(Book1!C15&gt;0,M49&amp;", " &amp; N50,IF(N50 =0,"",N50) )</f>
        <v xml:space="preserve">19, 20, 21, 22, 23, 24, 25, 26, 27, 28, 29, 30, 31, 32, 33, 34, 35, </v>
      </c>
    </row>
    <row r="50" spans="13:14" x14ac:dyDescent="0.25">
      <c r="M50">
        <v>13</v>
      </c>
      <c r="N50" t="str">
        <f>IF(Book1!C16&gt;0,M50&amp;", " &amp; N51,IF(N51 =0,"",N51) )</f>
        <v xml:space="preserve">19, 20, 21, 22, 23, 24, 25, 26, 27, 28, 29, 30, 31, 32, 33, 34, 35, </v>
      </c>
    </row>
    <row r="51" spans="13:14" x14ac:dyDescent="0.25">
      <c r="M51">
        <v>14</v>
      </c>
      <c r="N51" t="str">
        <f>IF(Book1!C17&gt;0,M51&amp;", " &amp; N52,IF(N52 =0,"",N52) )</f>
        <v xml:space="preserve">19, 20, 21, 22, 23, 24, 25, 26, 27, 28, 29, 30, 31, 32, 33, 34, 35, </v>
      </c>
    </row>
    <row r="52" spans="13:14" x14ac:dyDescent="0.25">
      <c r="M52">
        <v>15</v>
      </c>
      <c r="N52" t="str">
        <f>IF(Book1!C18&gt;0,M52&amp;", " &amp; N53,IF(N53 =0,"",N53) )</f>
        <v xml:space="preserve">19, 20, 21, 22, 23, 24, 25, 26, 27, 28, 29, 30, 31, 32, 33, 34, 35, </v>
      </c>
    </row>
    <row r="53" spans="13:14" x14ac:dyDescent="0.25">
      <c r="M53">
        <v>16</v>
      </c>
      <c r="N53" t="str">
        <f>IF(Book1!C19&gt;0,M53&amp;", " &amp; N54,IF(N54 =0,"",N54) )</f>
        <v xml:space="preserve">19, 20, 21, 22, 23, 24, 25, 26, 27, 28, 29, 30, 31, 32, 33, 34, 35, </v>
      </c>
    </row>
    <row r="54" spans="13:14" x14ac:dyDescent="0.25">
      <c r="M54">
        <v>17</v>
      </c>
      <c r="N54" t="str">
        <f>IF(Book1!C20&gt;0,M54&amp;", " &amp; N55,IF(N55 =0,"",N55) )</f>
        <v xml:space="preserve">19, 20, 21, 22, 23, 24, 25, 26, 27, 28, 29, 30, 31, 32, 33, 34, 35, </v>
      </c>
    </row>
    <row r="55" spans="13:14" x14ac:dyDescent="0.25">
      <c r="M55">
        <v>18</v>
      </c>
      <c r="N55" t="str">
        <f>IF(Book1!C21&gt;0,M55&amp;", " &amp; N56,IF(N56 =0,"",N56) )</f>
        <v xml:space="preserve">19, 20, 21, 22, 23, 24, 25, 26, 27, 28, 29, 30, 31, 32, 33, 34, 35, </v>
      </c>
    </row>
    <row r="56" spans="13:14" x14ac:dyDescent="0.25">
      <c r="M56">
        <v>19</v>
      </c>
      <c r="N56" t="str">
        <f>IF(Book1!C22&gt;0,M56&amp;", " &amp; N57,IF(N57 =0,"",N57) )</f>
        <v xml:space="preserve">19, 20, 21, 22, 23, 24, 25, 26, 27, 28, 29, 30, 31, 32, 33, 34, 35, </v>
      </c>
    </row>
    <row r="57" spans="13:14" x14ac:dyDescent="0.25">
      <c r="M57">
        <v>20</v>
      </c>
      <c r="N57" t="str">
        <f>IF(Book1!C23&gt;0,M57&amp;", " &amp; N58,IF(N58 =0,"",N58) )</f>
        <v xml:space="preserve">20, 21, 22, 23, 24, 25, 26, 27, 28, 29, 30, 31, 32, 33, 34, 35, </v>
      </c>
    </row>
    <row r="58" spans="13:14" x14ac:dyDescent="0.25">
      <c r="M58">
        <v>21</v>
      </c>
      <c r="N58" t="str">
        <f>IF(Book1!C24&gt;0,M58&amp;", " &amp; N59,IF(N59 =0,"",N59) )</f>
        <v xml:space="preserve">21, 22, 23, 24, 25, 26, 27, 28, 29, 30, 31, 32, 33, 34, 35, </v>
      </c>
    </row>
    <row r="59" spans="13:14" x14ac:dyDescent="0.25">
      <c r="M59">
        <v>22</v>
      </c>
      <c r="N59" t="str">
        <f>IF(Book1!C25&gt;0,M59&amp;", " &amp; N60,IF(N60 =0,"",N60) )</f>
        <v xml:space="preserve">22, 23, 24, 25, 26, 27, 28, 29, 30, 31, 32, 33, 34, 35, </v>
      </c>
    </row>
    <row r="60" spans="13:14" x14ac:dyDescent="0.25">
      <c r="M60">
        <v>23</v>
      </c>
      <c r="N60" t="str">
        <f>IF(Book1!C26&gt;0,M60&amp;", " &amp; N61,IF(N61 =0,"",N61) )</f>
        <v xml:space="preserve">23, 24, 25, 26, 27, 28, 29, 30, 31, 32, 33, 34, 35, </v>
      </c>
    </row>
    <row r="61" spans="13:14" x14ac:dyDescent="0.25">
      <c r="M61">
        <v>24</v>
      </c>
      <c r="N61" t="str">
        <f>IF(Book1!C27&gt;0,M61&amp;", " &amp; N62,IF(N62 =0,"",N62) )</f>
        <v xml:space="preserve">24, 25, 26, 27, 28, 29, 30, 31, 32, 33, 34, 35, </v>
      </c>
    </row>
    <row r="62" spans="13:14" x14ac:dyDescent="0.25">
      <c r="M62">
        <v>25</v>
      </c>
      <c r="N62" t="str">
        <f>IF(Book1!C28&gt;0,M62&amp;", " &amp; N63,IF(N63 =0,"",N63) )</f>
        <v xml:space="preserve">25, 26, 27, 28, 29, 30, 31, 32, 33, 34, 35, </v>
      </c>
    </row>
    <row r="63" spans="13:14" x14ac:dyDescent="0.25">
      <c r="M63">
        <v>26</v>
      </c>
      <c r="N63" t="str">
        <f>IF(Book1!C29&gt;0,M63&amp;", " &amp; N64,IF(N64 =0,"",N64) )</f>
        <v xml:space="preserve">26, 27, 28, 29, 30, 31, 32, 33, 34, 35, </v>
      </c>
    </row>
    <row r="64" spans="13:14" x14ac:dyDescent="0.25">
      <c r="M64">
        <v>27</v>
      </c>
      <c r="N64" t="str">
        <f>IF(Book1!C30&gt;0,M64&amp;", " &amp; N65,IF(N65 =0,"",N65) )</f>
        <v xml:space="preserve">27, 28, 29, 30, 31, 32, 33, 34, 35, </v>
      </c>
    </row>
    <row r="65" spans="13:14" x14ac:dyDescent="0.25">
      <c r="M65">
        <v>28</v>
      </c>
      <c r="N65" t="str">
        <f>IF(Book1!C31&gt;0,M65&amp;", " &amp; N66,IF(N66 =0,"",N66) )</f>
        <v xml:space="preserve">28, 29, 30, 31, 32, 33, 34, 35, </v>
      </c>
    </row>
    <row r="66" spans="13:14" x14ac:dyDescent="0.25">
      <c r="M66">
        <v>29</v>
      </c>
      <c r="N66" t="str">
        <f>IF(Book1!C32&gt;0,M66&amp;", " &amp; N67,IF(N67 =0,"",N67) )</f>
        <v xml:space="preserve">29, 30, 31, 32, 33, 34, 35, </v>
      </c>
    </row>
    <row r="67" spans="13:14" x14ac:dyDescent="0.25">
      <c r="M67">
        <v>30</v>
      </c>
      <c r="N67" t="str">
        <f>IF(Book1!C33&gt;0,M67&amp;", " &amp; N68,IF(N68 =0,"",N68) )</f>
        <v xml:space="preserve">30, 31, 32, 33, 34, 35, </v>
      </c>
    </row>
    <row r="68" spans="13:14" x14ac:dyDescent="0.25">
      <c r="M68">
        <v>31</v>
      </c>
      <c r="N68" t="str">
        <f>IF(Book1!C34&gt;0,M68&amp;", " &amp; N69,IF(N69 =0,"",N69) )</f>
        <v xml:space="preserve">31, 32, 33, 34, 35, </v>
      </c>
    </row>
    <row r="69" spans="13:14" x14ac:dyDescent="0.25">
      <c r="M69">
        <v>32</v>
      </c>
      <c r="N69" t="str">
        <f>IF(Book1!C35&gt;0,M69&amp;", " &amp; N70,IF(N70 =0,"",N70) )</f>
        <v xml:space="preserve">32, 33, 34, 35, </v>
      </c>
    </row>
    <row r="70" spans="13:14" x14ac:dyDescent="0.25">
      <c r="M70">
        <v>33</v>
      </c>
      <c r="N70" t="str">
        <f>IF(Book1!C36&gt;0,M70&amp;", " &amp; N71,IF(N71 =0,"",N71) )</f>
        <v xml:space="preserve">33, 34, 35, </v>
      </c>
    </row>
    <row r="71" spans="13:14" x14ac:dyDescent="0.25">
      <c r="M71">
        <v>34</v>
      </c>
      <c r="N71" t="str">
        <f>IF(Book1!C37&gt;0,M71&amp;", " &amp; N72,IF(N72 =0,"",N72) )</f>
        <v xml:space="preserve">34, 35, </v>
      </c>
    </row>
    <row r="72" spans="13:14" x14ac:dyDescent="0.25">
      <c r="M72">
        <v>35</v>
      </c>
      <c r="N72" t="str">
        <f>IF(Book1!C38&gt;0,M72&amp;", " &amp; N73,IF(N73 =0,"",N73) )</f>
        <v xml:space="preserve">35, </v>
      </c>
    </row>
    <row r="73" spans="13:14" x14ac:dyDescent="0.25">
      <c r="M73">
        <v>36</v>
      </c>
      <c r="N73" t="str">
        <f>IF(Book1!C39&gt;0,M73&amp;", " &amp; N74,IF(N74 =0,"",N74) )</f>
        <v/>
      </c>
    </row>
    <row r="74" spans="13:14" x14ac:dyDescent="0.25">
      <c r="M74">
        <v>37</v>
      </c>
      <c r="N74" t="str">
        <f>IF(Book1!C40&gt;0,M74&amp;", " &amp; N75,IF(N75 =0,"",N75) )</f>
        <v/>
      </c>
    </row>
    <row r="75" spans="13:14" x14ac:dyDescent="0.25">
      <c r="M75">
        <v>38</v>
      </c>
      <c r="N75" t="str">
        <f>IF(Book1!C41&gt;0,M75&amp;", " &amp; N76,IF(N76 =0,"",N76) )</f>
        <v/>
      </c>
    </row>
    <row r="76" spans="13:14" x14ac:dyDescent="0.25">
      <c r="M76">
        <v>39</v>
      </c>
      <c r="N76" t="str">
        <f>IF(Book1!C42&gt;0,M76&amp;", " &amp; N77,IF(N77 =0,"",N77) )</f>
        <v/>
      </c>
    </row>
    <row r="77" spans="13:14" x14ac:dyDescent="0.25">
      <c r="M77">
        <v>40</v>
      </c>
      <c r="N77" t="str">
        <f>IF(Book1!C43&gt;0,M77&amp;", " &amp; N78,IF(N78 =0,"",N78) )</f>
        <v/>
      </c>
    </row>
    <row r="78" spans="13:14" x14ac:dyDescent="0.25">
      <c r="M78">
        <v>41</v>
      </c>
      <c r="N78" t="str">
        <f>IF(Book1!C44&gt;0,M78&amp;", " &amp; N79,IF(N79 =0,"",N79) )</f>
        <v/>
      </c>
    </row>
    <row r="79" spans="13:14" x14ac:dyDescent="0.25">
      <c r="M79">
        <v>42</v>
      </c>
      <c r="N79" t="str">
        <f>IF(Book1!C45&gt;0,M79&amp;", " &amp; N80,IF(N80 =0,"",N80) )</f>
        <v/>
      </c>
    </row>
    <row r="80" spans="13:14" x14ac:dyDescent="0.25">
      <c r="M80">
        <v>43</v>
      </c>
      <c r="N80" t="str">
        <f>IF(Book1!C46&gt;0,M80&amp;", " &amp; N81,IF(N81 =0,"",N81) )</f>
        <v/>
      </c>
    </row>
    <row r="81" spans="13:14" x14ac:dyDescent="0.25">
      <c r="M81">
        <v>44</v>
      </c>
      <c r="N81" t="str">
        <f>IF(Book1!C47&gt;0,M81&amp;", " &amp; N82,IF(N82 =0,"",N82) )</f>
        <v/>
      </c>
    </row>
    <row r="82" spans="13:14" x14ac:dyDescent="0.25">
      <c r="M82">
        <v>45</v>
      </c>
      <c r="N82" t="str">
        <f>IF(Book1!C48&gt;0,M82&amp;", " &amp; N83,IF(N83 =0,"",N83) )</f>
        <v/>
      </c>
    </row>
    <row r="83" spans="13:14" x14ac:dyDescent="0.25">
      <c r="M83">
        <v>46</v>
      </c>
      <c r="N83" t="str">
        <f>IF(Book1!C49&gt;0,M83&amp;", " &amp; N84,IF(N84 =0,"",N84) )</f>
        <v/>
      </c>
    </row>
    <row r="84" spans="13:14" x14ac:dyDescent="0.25">
      <c r="M84">
        <v>47</v>
      </c>
      <c r="N84" t="str">
        <f>IF(Book1!C50&gt;0,M84&amp;", " &amp; N85,IF(N85 =0,"",N85) )</f>
        <v/>
      </c>
    </row>
    <row r="85" spans="13:14" x14ac:dyDescent="0.25">
      <c r="M85">
        <v>48</v>
      </c>
      <c r="N85" t="str">
        <f>IF(Book1!C51&gt;0,M85&amp;", " &amp; N86,IF(N86 =0,"",N86) )</f>
        <v/>
      </c>
    </row>
    <row r="86" spans="13:14" x14ac:dyDescent="0.25">
      <c r="M86">
        <v>49</v>
      </c>
      <c r="N86" t="str">
        <f>IF(Book1!C52&gt;0,M86&amp;", " &amp; N87,IF(N87 =0,"",N87) )</f>
        <v/>
      </c>
    </row>
    <row r="87" spans="13:14" x14ac:dyDescent="0.25">
      <c r="M87">
        <v>50</v>
      </c>
      <c r="N87" t="str">
        <f>IF(Book1!C53&gt;0,M87&amp;", " &amp; N88,IF(N88 =0,"",N88) )</f>
        <v/>
      </c>
    </row>
    <row r="88" spans="13:14" x14ac:dyDescent="0.25">
      <c r="M88">
        <v>51</v>
      </c>
      <c r="N88" t="str">
        <f>IF(Book1!C54&gt;0,M88&amp;", " &amp; N89,IF(N89 =0,"",N89) )</f>
        <v/>
      </c>
    </row>
    <row r="89" spans="13:14" x14ac:dyDescent="0.25">
      <c r="M89">
        <v>52</v>
      </c>
      <c r="N89" t="str">
        <f>IF(Book1!C55&gt;0,M89&amp;", " &amp; N90,IF(N90 =0,"",N90) )</f>
        <v/>
      </c>
    </row>
    <row r="90" spans="13:14" x14ac:dyDescent="0.25">
      <c r="M90">
        <v>53</v>
      </c>
      <c r="N90" t="str">
        <f>IF(Book1!C56&gt;0,M90&amp;", " &amp; N91,IF(N91 =0,"",N91) )</f>
        <v/>
      </c>
    </row>
    <row r="91" spans="13:14" x14ac:dyDescent="0.25">
      <c r="M91">
        <v>54</v>
      </c>
      <c r="N91" t="str">
        <f>IF(Book1!C57&gt;0,M91&amp;", " &amp; N92,IF(N92 =0,"",N92) )</f>
        <v/>
      </c>
    </row>
    <row r="92" spans="13:14" x14ac:dyDescent="0.25">
      <c r="M92">
        <v>55</v>
      </c>
      <c r="N92" t="str">
        <f>IF(Book1!C58&gt;0,M92&amp;", " &amp; N93,IF(N93 =0,"",N93) )</f>
        <v/>
      </c>
    </row>
    <row r="93" spans="13:14" x14ac:dyDescent="0.25">
      <c r="M93">
        <v>56</v>
      </c>
      <c r="N93" t="str">
        <f>IF(Book1!C59&gt;0,M93&amp;", " &amp; N94,IF(N94 =0,"",N94) )</f>
        <v/>
      </c>
    </row>
    <row r="94" spans="13:14" x14ac:dyDescent="0.25">
      <c r="M94">
        <v>57</v>
      </c>
      <c r="N94" t="str">
        <f>IF(Book1!C60&gt;0,M94&amp;", " &amp; N95,IF(N95 =0,"",N95) )</f>
        <v/>
      </c>
    </row>
    <row r="95" spans="13:14" x14ac:dyDescent="0.25">
      <c r="M95">
        <v>58</v>
      </c>
      <c r="N95" t="str">
        <f>IF(Book1!C61&gt;0,M95&amp;", " &amp; N96,IF(N96 =0,"",N96) )</f>
        <v/>
      </c>
    </row>
    <row r="96" spans="13:14" x14ac:dyDescent="0.25">
      <c r="M96">
        <v>59</v>
      </c>
      <c r="N96" t="str">
        <f>IF(Book1!C62&gt;0,M96&amp;", " &amp; N97,IF(N97 =0,"",N97) )</f>
        <v/>
      </c>
    </row>
    <row r="97" spans="13:14" x14ac:dyDescent="0.25">
      <c r="M97">
        <v>60</v>
      </c>
      <c r="N97" t="str">
        <f>IF(Book1!C63&gt;0,M97&amp;", " &amp; N98,IF(N98 =0,"",N98) )</f>
        <v/>
      </c>
    </row>
    <row r="98" spans="13:14" x14ac:dyDescent="0.25">
      <c r="M98">
        <v>61</v>
      </c>
      <c r="N98" t="str">
        <f>IF(Book1!C64&gt;0,M98&amp;", " &amp; N99,IF(N99 =0,"",N99) )</f>
        <v/>
      </c>
    </row>
    <row r="99" spans="13:14" x14ac:dyDescent="0.25">
      <c r="M99">
        <v>62</v>
      </c>
      <c r="N99" t="str">
        <f>IF(Book1!C65&gt;0,M99&amp;", " &amp; N100,IF(N100 =0,"",N100) )</f>
        <v/>
      </c>
    </row>
    <row r="100" spans="13:14" x14ac:dyDescent="0.25">
      <c r="M100">
        <v>63</v>
      </c>
      <c r="N100" t="str">
        <f>IF(Book1!C66&gt;0,M100&amp;", " &amp; N101,IF(N101 =0,"",N101) )</f>
        <v/>
      </c>
    </row>
    <row r="101" spans="13:14" x14ac:dyDescent="0.25">
      <c r="M101">
        <v>64</v>
      </c>
      <c r="N101" t="str">
        <f>IF(Book1!C67&gt;0,M101&amp;", " &amp; N102,IF(N102 =0,"",N102) )</f>
        <v/>
      </c>
    </row>
    <row r="102" spans="13:14" x14ac:dyDescent="0.25">
      <c r="M102">
        <v>65</v>
      </c>
      <c r="N102" t="str">
        <f>IF(Book1!C68&gt;0,M102&amp;", " &amp; N103,IF(N103 =0,"",N103) )</f>
        <v/>
      </c>
    </row>
    <row r="103" spans="13:14" x14ac:dyDescent="0.25">
      <c r="M103">
        <v>66</v>
      </c>
      <c r="N103" t="str">
        <f>IF(Book1!C69&gt;0,M103&amp;", " &amp; N104,IF(N104 =0,"",N104) )</f>
        <v/>
      </c>
    </row>
    <row r="104" spans="13:14" x14ac:dyDescent="0.25">
      <c r="M104">
        <v>67</v>
      </c>
      <c r="N104" t="str">
        <f>IF(Book1!C70&gt;0,M104&amp;", " &amp; N105,IF(N105 =0,"",N105) )</f>
        <v/>
      </c>
    </row>
    <row r="105" spans="13:14" x14ac:dyDescent="0.25">
      <c r="M105">
        <v>68</v>
      </c>
      <c r="N105" t="str">
        <f>IF(Book1!C71&gt;0,M105&amp;", " &amp; N106,IF(N106 =0,"",N106) )</f>
        <v/>
      </c>
    </row>
    <row r="106" spans="13:14" x14ac:dyDescent="0.25">
      <c r="M106">
        <v>69</v>
      </c>
      <c r="N106" t="str">
        <f>IF(Book1!C72&gt;0,M106&amp;", " &amp; N107,IF(N107 =0,"",N107) )</f>
        <v/>
      </c>
    </row>
    <row r="107" spans="13:14" x14ac:dyDescent="0.25">
      <c r="M107">
        <v>70</v>
      </c>
      <c r="N107" t="str">
        <f>IF(Book1!C73&gt;0,M107&amp;", " &amp; N108,IF(N108 =0,"",N108) )</f>
        <v/>
      </c>
    </row>
    <row r="108" spans="13:14" x14ac:dyDescent="0.25">
      <c r="M108">
        <v>71</v>
      </c>
      <c r="N108" t="str">
        <f>IF(Book1!C74&gt;0,M108&amp;", " &amp; N109,IF(N109 =0,"",N109) )</f>
        <v/>
      </c>
    </row>
    <row r="109" spans="13:14" x14ac:dyDescent="0.25">
      <c r="M109">
        <v>72</v>
      </c>
      <c r="N109" t="str">
        <f>IF(Book1!C75&gt;0,M109&amp;", " &amp; N110,IF(N110 =0,"",N110) )</f>
        <v/>
      </c>
    </row>
    <row r="110" spans="13:14" x14ac:dyDescent="0.25">
      <c r="M110">
        <v>73</v>
      </c>
      <c r="N110" t="str">
        <f>IF(Book1!C76&gt;0,M110&amp;", " &amp; N111,IF(N111 =0,"",N111) )</f>
        <v/>
      </c>
    </row>
    <row r="111" spans="13:14" x14ac:dyDescent="0.25">
      <c r="M111">
        <v>74</v>
      </c>
      <c r="N111" t="str">
        <f>IF(Book1!C77&gt;0,M111&amp;", " &amp; N112,IF(N112 =0,"",N112) )</f>
        <v/>
      </c>
    </row>
    <row r="112" spans="13:14" x14ac:dyDescent="0.25">
      <c r="M112">
        <v>75</v>
      </c>
      <c r="N112" t="str">
        <f>IF(Book1!C78&gt;0,M112&amp;", " &amp; N113,IF(N113 =0,"",N113) )</f>
        <v/>
      </c>
    </row>
    <row r="113" spans="13:14" x14ac:dyDescent="0.25">
      <c r="M113">
        <v>76</v>
      </c>
      <c r="N113" t="str">
        <f>IF(Book1!C79&gt;0,M113&amp;", " &amp; N114,IF(N114 =0,"",N114) )</f>
        <v/>
      </c>
    </row>
    <row r="114" spans="13:14" x14ac:dyDescent="0.25">
      <c r="M114">
        <v>77</v>
      </c>
      <c r="N114" t="str">
        <f>IF(Book1!C80&gt;0,M114&amp;", " &amp; N115,IF(N115 =0,"",N115) )</f>
        <v/>
      </c>
    </row>
    <row r="115" spans="13:14" x14ac:dyDescent="0.25">
      <c r="M115">
        <v>78</v>
      </c>
      <c r="N115" t="str">
        <f>IF(Book1!C81&gt;0,M115&amp;", " &amp; N116,IF(N116 =0,"",N116) )</f>
        <v/>
      </c>
    </row>
    <row r="116" spans="13:14" x14ac:dyDescent="0.25">
      <c r="M116">
        <v>79</v>
      </c>
      <c r="N116" t="str">
        <f>IF(Book1!C82&gt;0,M116&amp;", " &amp; N117,IF(N117 =0,"",N117) )</f>
        <v/>
      </c>
    </row>
    <row r="117" spans="13:14" x14ac:dyDescent="0.25">
      <c r="M117">
        <v>80</v>
      </c>
      <c r="N117" t="str">
        <f>IF(Book1!C83&gt;0,M117&amp;", " &amp; N118,IF(N118 =0,"",N118) )</f>
        <v/>
      </c>
    </row>
    <row r="118" spans="13:14" x14ac:dyDescent="0.25">
      <c r="M118">
        <v>81</v>
      </c>
      <c r="N118" t="str">
        <f>IF(Book1!C84&gt;0,M118&amp;", " &amp; N119,IF(N119 =0,"",N119) )</f>
        <v/>
      </c>
    </row>
    <row r="119" spans="13:14" x14ac:dyDescent="0.25">
      <c r="M119">
        <v>82</v>
      </c>
      <c r="N119" t="str">
        <f>IF(Book1!C85&gt;0,M119&amp;", " &amp; N120,IF(N120 =0,"",N120) )</f>
        <v/>
      </c>
    </row>
    <row r="120" spans="13:14" x14ac:dyDescent="0.25">
      <c r="M120">
        <v>83</v>
      </c>
      <c r="N120" t="str">
        <f>IF(Book1!C86&gt;0,M120&amp;", " &amp; N121,IF(N121 =0,"",N121) )</f>
        <v/>
      </c>
    </row>
    <row r="121" spans="13:14" x14ac:dyDescent="0.25">
      <c r="M121">
        <v>84</v>
      </c>
      <c r="N121" t="str">
        <f>IF(Book1!C87&gt;0,M121&amp;", " &amp; N122,IF(N122 =0,"",N122) )</f>
        <v/>
      </c>
    </row>
    <row r="122" spans="13:14" x14ac:dyDescent="0.25">
      <c r="M122">
        <v>85</v>
      </c>
      <c r="N122" t="str">
        <f>IF(Book1!C88&gt;0,M122&amp;", " &amp; N123,IF(N123 =0,"",N123) )</f>
        <v/>
      </c>
    </row>
    <row r="123" spans="13:14" x14ac:dyDescent="0.25">
      <c r="M123">
        <v>86</v>
      </c>
      <c r="N123" t="str">
        <f>IF(Book1!C89&gt;0,M123&amp;", " &amp; N124,IF(N124 =0,"",N124) )</f>
        <v/>
      </c>
    </row>
    <row r="124" spans="13:14" x14ac:dyDescent="0.25">
      <c r="M124">
        <v>87</v>
      </c>
      <c r="N124" t="str">
        <f>IF(Book1!C90&gt;0,M124&amp;", " &amp; N125,IF(N125 =0,"",N125) )</f>
        <v/>
      </c>
    </row>
    <row r="125" spans="13:14" x14ac:dyDescent="0.25">
      <c r="M125">
        <v>88</v>
      </c>
      <c r="N125" t="str">
        <f>IF(Book1!C91&gt;0,M125&amp;", " &amp; N126,IF(N126 =0,"",N126) )</f>
        <v/>
      </c>
    </row>
    <row r="126" spans="13:14" x14ac:dyDescent="0.25">
      <c r="M126">
        <v>89</v>
      </c>
      <c r="N126" t="str">
        <f>IF(Book1!C92&gt;0,M126&amp;", " &amp; N127,IF(N127 =0,"",N127) )</f>
        <v/>
      </c>
    </row>
    <row r="127" spans="13:14" x14ac:dyDescent="0.25">
      <c r="M127">
        <v>90</v>
      </c>
      <c r="N127" t="str">
        <f>IF(Book1!C93&gt;0,M127&amp;", " &amp; N128,IF(N128 =0,"",N128) )</f>
        <v/>
      </c>
    </row>
    <row r="128" spans="13:14" x14ac:dyDescent="0.25">
      <c r="M128">
        <v>91</v>
      </c>
      <c r="N128" t="str">
        <f>IF(Book1!C94&gt;0,M128&amp;", " &amp; N129,IF(N129 =0,"",N129) )</f>
        <v/>
      </c>
    </row>
    <row r="129" spans="13:14" x14ac:dyDescent="0.25">
      <c r="M129">
        <v>92</v>
      </c>
      <c r="N129" t="str">
        <f>IF(Book1!C95&gt;0,M129&amp;", " &amp; N130,IF(N130 =0,"",N130) )</f>
        <v/>
      </c>
    </row>
    <row r="130" spans="13:14" x14ac:dyDescent="0.25">
      <c r="M130">
        <v>93</v>
      </c>
      <c r="N130" t="str">
        <f>IF(Book1!C96&gt;0,M130&amp;", " &amp; N131,IF(N131 =0,"",N131) )</f>
        <v/>
      </c>
    </row>
    <row r="131" spans="13:14" x14ac:dyDescent="0.25">
      <c r="M131">
        <v>94</v>
      </c>
      <c r="N131" t="str">
        <f>IF(Book1!C97&gt;0,M131&amp;", " &amp; N132,IF(N132 =0,"",N132) )</f>
        <v/>
      </c>
    </row>
    <row r="132" spans="13:14" x14ac:dyDescent="0.25">
      <c r="M132">
        <v>95</v>
      </c>
      <c r="N132" t="str">
        <f>IF(Book1!C98&gt;0,M132&amp;", " &amp; N133,IF(N133 =0,"",N133) )</f>
        <v/>
      </c>
    </row>
    <row r="133" spans="13:14" x14ac:dyDescent="0.25">
      <c r="M133">
        <v>96</v>
      </c>
      <c r="N133" t="str">
        <f>IF(Book1!C99&gt;0,M133&amp;", " &amp; N134,IF(N134 =0,"",N134) )</f>
        <v/>
      </c>
    </row>
    <row r="134" spans="13:14" x14ac:dyDescent="0.25">
      <c r="M134">
        <v>97</v>
      </c>
      <c r="N134" t="str">
        <f>IF(Book1!C100&gt;0,M134&amp;", " &amp; N135,IF(N135 =0,"",N135) )</f>
        <v/>
      </c>
    </row>
    <row r="135" spans="13:14" x14ac:dyDescent="0.25">
      <c r="M135">
        <v>98</v>
      </c>
      <c r="N135" t="str">
        <f>IF(Book1!C101&gt;0,M135&amp;", " &amp; N136,IF(N136 =0,"",N136) )</f>
        <v/>
      </c>
    </row>
    <row r="136" spans="13:14" x14ac:dyDescent="0.25">
      <c r="M136">
        <v>99</v>
      </c>
      <c r="N136" t="str">
        <f>IF(Book1!C102&gt;0,M136&amp;", " &amp; N137,IF(N137 =0,"",N137) )</f>
        <v/>
      </c>
    </row>
    <row r="137" spans="13:14" x14ac:dyDescent="0.25">
      <c r="M137">
        <v>100</v>
      </c>
      <c r="N137" t="str">
        <f>IF(Book1!C103&gt;0,M137&amp;", " &amp; N138,IF(N138 =0,"",N138) )</f>
        <v/>
      </c>
    </row>
    <row r="138" spans="13:14" x14ac:dyDescent="0.25">
      <c r="M138">
        <v>101</v>
      </c>
      <c r="N138" t="str">
        <f>IF(Book1!C104&gt;0,M138&amp;", " &amp; N139,IF(N139 =0,"",N139) )</f>
        <v/>
      </c>
    </row>
    <row r="139" spans="13:14" x14ac:dyDescent="0.25">
      <c r="M139">
        <v>102</v>
      </c>
      <c r="N139" t="str">
        <f>IF(Book1!C105&gt;0,M139&amp;", " &amp; N140,IF(N140 =0,"",N140) )</f>
        <v/>
      </c>
    </row>
    <row r="140" spans="13:14" x14ac:dyDescent="0.25">
      <c r="M140">
        <v>103</v>
      </c>
      <c r="N140" t="str">
        <f>IF(Book1!C106&gt;0,M140&amp;", " &amp; N141,IF(N141 =0,"",N141) )</f>
        <v/>
      </c>
    </row>
    <row r="141" spans="13:14" x14ac:dyDescent="0.25">
      <c r="M141">
        <v>104</v>
      </c>
      <c r="N141" t="str">
        <f>IF(Book1!C107&gt;0,M141&amp;", " &amp; N142,IF(N142 =0,"",N142) )</f>
        <v/>
      </c>
    </row>
    <row r="142" spans="13:14" x14ac:dyDescent="0.25">
      <c r="M142">
        <v>105</v>
      </c>
      <c r="N142" t="str">
        <f>IF(Book1!C108&gt;0,M142&amp;", " &amp; N143,IF(N143 =0,"",N143) )</f>
        <v/>
      </c>
    </row>
    <row r="143" spans="13:14" x14ac:dyDescent="0.25">
      <c r="M143">
        <v>106</v>
      </c>
      <c r="N143" t="str">
        <f>IF(Book1!C109&gt;0,M143&amp;", " &amp; N144,IF(N144 =0,"",N144) )</f>
        <v/>
      </c>
    </row>
    <row r="144" spans="13:14" x14ac:dyDescent="0.25">
      <c r="M144">
        <v>107</v>
      </c>
      <c r="N144" t="str">
        <f>IF(Book1!C110&gt;0,M144&amp;", " &amp; N145,IF(N145 =0,"",N145) )</f>
        <v/>
      </c>
    </row>
    <row r="145" spans="13:14" x14ac:dyDescent="0.25">
      <c r="M145">
        <v>108</v>
      </c>
      <c r="N145" t="str">
        <f>IF(Book1!C111&gt;0,M145&amp;", " &amp; N146,IF(N146 =0,"",N146) )</f>
        <v/>
      </c>
    </row>
    <row r="146" spans="13:14" x14ac:dyDescent="0.25">
      <c r="M146">
        <v>109</v>
      </c>
      <c r="N146" t="str">
        <f>IF(Book1!C112&gt;0,M146&amp;", " &amp; N147,IF(N147 =0,"",N147) )</f>
        <v/>
      </c>
    </row>
    <row r="147" spans="13:14" x14ac:dyDescent="0.25">
      <c r="M147">
        <v>110</v>
      </c>
      <c r="N147" t="str">
        <f>IF(Book1!C113&gt;0,M147&amp;", " &amp; N148,IF(N148 =0,"",N148) )</f>
        <v/>
      </c>
    </row>
    <row r="148" spans="13:14" x14ac:dyDescent="0.25">
      <c r="M148">
        <v>111</v>
      </c>
      <c r="N148" t="str">
        <f>IF(Book1!C114&gt;0,M148&amp;", " &amp; N149,IF(N149 =0,"",N149) )</f>
        <v/>
      </c>
    </row>
    <row r="149" spans="13:14" x14ac:dyDescent="0.25">
      <c r="M149">
        <v>112</v>
      </c>
      <c r="N149" t="str">
        <f>IF(Book1!C115&gt;0,M149&amp;", " &amp; N150,IF(N150 =0,"",N150) )</f>
        <v/>
      </c>
    </row>
    <row r="150" spans="13:14" x14ac:dyDescent="0.25">
      <c r="M150">
        <v>113</v>
      </c>
      <c r="N150" t="str">
        <f>IF(Book1!C116&gt;0,M150&amp;", " &amp; N151,IF(N151 =0,"",N151) )</f>
        <v/>
      </c>
    </row>
    <row r="151" spans="13:14" x14ac:dyDescent="0.25">
      <c r="M151">
        <v>114</v>
      </c>
      <c r="N151" t="str">
        <f>IF(Book1!C117&gt;0,M151&amp;", " &amp; N152,IF(N152 =0,"",N152) )</f>
        <v/>
      </c>
    </row>
    <row r="152" spans="13:14" x14ac:dyDescent="0.25">
      <c r="M152">
        <v>115</v>
      </c>
      <c r="N152" t="str">
        <f>IF(Book1!C118&gt;0,M152&amp;", " &amp; N153,IF(N153 =0,"",N153) )</f>
        <v/>
      </c>
    </row>
    <row r="153" spans="13:14" x14ac:dyDescent="0.25">
      <c r="M153">
        <v>116</v>
      </c>
      <c r="N153" t="str">
        <f>IF(Book1!C119&gt;0,M153&amp;", " &amp; N154,IF(N154 =0,"",N154) )</f>
        <v/>
      </c>
    </row>
    <row r="154" spans="13:14" x14ac:dyDescent="0.25">
      <c r="M154">
        <v>117</v>
      </c>
      <c r="N154" t="str">
        <f>IF(Book1!C120&gt;0,M154&amp;", " &amp; N155,IF(N155 =0,"",N155) )</f>
        <v/>
      </c>
    </row>
    <row r="155" spans="13:14" x14ac:dyDescent="0.25">
      <c r="M155">
        <v>118</v>
      </c>
      <c r="N155" t="str">
        <f>IF(Book1!C121&gt;0,M155&amp;", " &amp; N156,IF(N156 =0,"",N156) )</f>
        <v/>
      </c>
    </row>
    <row r="156" spans="13:14" x14ac:dyDescent="0.25">
      <c r="M156">
        <v>119</v>
      </c>
      <c r="N156" t="str">
        <f>IF(Book1!C122&gt;0,M156&amp;", " &amp; N157,IF(N157 =0,"",N157) )</f>
        <v/>
      </c>
    </row>
    <row r="157" spans="13:14" x14ac:dyDescent="0.25">
      <c r="M157">
        <v>120</v>
      </c>
      <c r="N157" t="str">
        <f>IF(Book1!C123&gt;0,M157&amp;", " &amp; N158,IF(N158 =0,"",N158) )</f>
        <v/>
      </c>
    </row>
    <row r="158" spans="13:14" x14ac:dyDescent="0.25">
      <c r="M158">
        <v>121</v>
      </c>
      <c r="N158" t="str">
        <f>IF(Book1!C124&gt;0,M158&amp;", " &amp; N159,IF(N159 =0,"",N159) )</f>
        <v/>
      </c>
    </row>
    <row r="159" spans="13:14" x14ac:dyDescent="0.25">
      <c r="M159">
        <v>122</v>
      </c>
      <c r="N159" t="str">
        <f>IF(Book1!C125&gt;0,M159&amp;", " &amp; N160,IF(N160 =0,"",N160) )</f>
        <v/>
      </c>
    </row>
    <row r="160" spans="13:14" x14ac:dyDescent="0.25">
      <c r="M160">
        <v>123</v>
      </c>
      <c r="N160" t="str">
        <f>IF(Book1!C126&gt;0,M160&amp;", " &amp; N161,IF(N161 =0,"",N161) )</f>
        <v/>
      </c>
    </row>
    <row r="161" spans="13:14" x14ac:dyDescent="0.25">
      <c r="M161">
        <v>124</v>
      </c>
      <c r="N161" t="str">
        <f>IF(Book1!C127&gt;0,M161&amp;", " &amp; N162,IF(N162 =0,"",N162) )</f>
        <v/>
      </c>
    </row>
    <row r="162" spans="13:14" x14ac:dyDescent="0.25">
      <c r="M162">
        <v>125</v>
      </c>
      <c r="N162" t="str">
        <f>IF(Book1!C128&gt;0,M162&amp;", " &amp; N163,IF(N163 =0,"",N163) )</f>
        <v/>
      </c>
    </row>
    <row r="163" spans="13:14" x14ac:dyDescent="0.25">
      <c r="M163">
        <v>126</v>
      </c>
      <c r="N163" t="str">
        <f>IF(Book1!C129&gt;0,M163&amp;", " &amp; N164,IF(N164 =0,"",N164) )</f>
        <v/>
      </c>
    </row>
    <row r="164" spans="13:14" x14ac:dyDescent="0.25">
      <c r="M164">
        <v>127</v>
      </c>
      <c r="N164" t="str">
        <f>IF(Book1!C130&gt;0,M164&amp;", " &amp; N165,IF(N165 =0,"",N165) )</f>
        <v/>
      </c>
    </row>
    <row r="165" spans="13:14" x14ac:dyDescent="0.25">
      <c r="M165">
        <v>128</v>
      </c>
      <c r="N165" t="str">
        <f>IF(Book1!C131&gt;0,M165&amp;", " &amp; N166,IF(N166 =0,"",N166) )</f>
        <v/>
      </c>
    </row>
    <row r="166" spans="13:14" x14ac:dyDescent="0.25">
      <c r="M166">
        <v>129</v>
      </c>
      <c r="N166" t="str">
        <f>IF(Book1!C132&gt;0,M166&amp;", " &amp; N167,IF(N167 =0,"",N167) )</f>
        <v/>
      </c>
    </row>
    <row r="167" spans="13:14" x14ac:dyDescent="0.25">
      <c r="M167">
        <v>130</v>
      </c>
      <c r="N167" t="str">
        <f>IF(Book1!C133&gt;0,M167&amp;", " &amp; N168,IF(N168 =0,"",N168) )</f>
        <v/>
      </c>
    </row>
    <row r="168" spans="13:14" x14ac:dyDescent="0.25">
      <c r="M168">
        <v>131</v>
      </c>
      <c r="N168" t="str">
        <f>IF(Book1!C134&gt;0,M168&amp;", " &amp; N169,IF(N169 =0,"",N169) )</f>
        <v/>
      </c>
    </row>
    <row r="169" spans="13:14" x14ac:dyDescent="0.25">
      <c r="M169">
        <v>132</v>
      </c>
      <c r="N169" t="str">
        <f>IF(Book1!C135&gt;0,M169&amp;", " &amp; N170,IF(N170 =0,"",N170) )</f>
        <v/>
      </c>
    </row>
    <row r="170" spans="13:14" x14ac:dyDescent="0.25">
      <c r="M170">
        <v>133</v>
      </c>
      <c r="N170" t="str">
        <f>IF(Book1!C136&gt;0,M170&amp;", " &amp; N171,IF(N171 =0,"",N171) )</f>
        <v/>
      </c>
    </row>
    <row r="171" spans="13:14" x14ac:dyDescent="0.25">
      <c r="M171">
        <v>134</v>
      </c>
      <c r="N171" t="str">
        <f>IF(Book1!C137&gt;0,M171&amp;", " &amp; N172,IF(N172 =0,"",N172) )</f>
        <v/>
      </c>
    </row>
    <row r="172" spans="13:14" x14ac:dyDescent="0.25">
      <c r="M172">
        <v>135</v>
      </c>
      <c r="N172" t="str">
        <f>IF(Book1!C138&gt;0,M172&amp;", " &amp; N173,IF(N173 =0,"",N173) )</f>
        <v/>
      </c>
    </row>
    <row r="173" spans="13:14" x14ac:dyDescent="0.25">
      <c r="M173">
        <v>136</v>
      </c>
      <c r="N173" t="str">
        <f>IF(Book1!C139&gt;0,M173&amp;", " &amp; N174,IF(N174 =0,"",N174) )</f>
        <v/>
      </c>
    </row>
    <row r="174" spans="13:14" x14ac:dyDescent="0.25">
      <c r="M174">
        <v>137</v>
      </c>
      <c r="N174" t="str">
        <f>IF(Book1!C140&gt;0,M174&amp;", " &amp; N175,IF(N175 =0,"",N175) )</f>
        <v/>
      </c>
    </row>
    <row r="175" spans="13:14" x14ac:dyDescent="0.25">
      <c r="M175">
        <v>138</v>
      </c>
      <c r="N175" t="str">
        <f>IF(Book1!C141&gt;0,M175&amp;", " &amp; N176,IF(N176 =0,"",N176) )</f>
        <v/>
      </c>
    </row>
    <row r="176" spans="13:14" x14ac:dyDescent="0.25">
      <c r="M176">
        <v>139</v>
      </c>
      <c r="N176" t="str">
        <f>IF(Book1!C142&gt;0,M176&amp;", " &amp; N177,IF(N177 =0,"",N177) )</f>
        <v/>
      </c>
    </row>
    <row r="177" spans="13:14" x14ac:dyDescent="0.25">
      <c r="M177">
        <v>140</v>
      </c>
      <c r="N177" t="str">
        <f>IF(Book1!C143&gt;0,M177&amp;", " &amp; N178,IF(N178 =0,"",N178) )</f>
        <v/>
      </c>
    </row>
    <row r="178" spans="13:14" x14ac:dyDescent="0.25">
      <c r="M178">
        <v>141</v>
      </c>
      <c r="N178" t="str">
        <f>IF(Book1!C144&gt;0,M178&amp;", " &amp; N179,IF(N179 =0,"",N179) )</f>
        <v/>
      </c>
    </row>
    <row r="179" spans="13:14" x14ac:dyDescent="0.25">
      <c r="M179">
        <v>142</v>
      </c>
      <c r="N179" t="str">
        <f>IF(Book1!C145&gt;0,M179&amp;", " &amp; N180,IF(N180 =0,"",N180) )</f>
        <v/>
      </c>
    </row>
    <row r="180" spans="13:14" x14ac:dyDescent="0.25">
      <c r="M180">
        <v>143</v>
      </c>
      <c r="N180" t="str">
        <f>IF(Book1!C146&gt;0,M180&amp;", " &amp; N181,IF(N181 =0,"",N181) )</f>
        <v/>
      </c>
    </row>
    <row r="181" spans="13:14" x14ac:dyDescent="0.25">
      <c r="M181">
        <v>144</v>
      </c>
      <c r="N181" t="str">
        <f>IF(Book1!C147&gt;0,M181&amp;", " &amp; N182,IF(N182 =0,"",N182) )</f>
        <v/>
      </c>
    </row>
    <row r="182" spans="13:14" x14ac:dyDescent="0.25">
      <c r="M182">
        <v>145</v>
      </c>
      <c r="N182" t="str">
        <f>IF(Book1!C148&gt;0,M182&amp;", " &amp; N183,IF(N183 =0,"",N183) )</f>
        <v/>
      </c>
    </row>
    <row r="183" spans="13:14" x14ac:dyDescent="0.25">
      <c r="M183">
        <v>146</v>
      </c>
      <c r="N183" t="str">
        <f>IF(Book1!C149&gt;0,M183&amp;", " &amp; N184,IF(N184 =0,"",N184) )</f>
        <v/>
      </c>
    </row>
    <row r="184" spans="13:14" x14ac:dyDescent="0.25">
      <c r="M184">
        <v>147</v>
      </c>
      <c r="N184" t="str">
        <f>IF(Book1!C150&gt;0,M184&amp;", " &amp; N185,IF(N185 =0,"",N185) )</f>
        <v/>
      </c>
    </row>
    <row r="185" spans="13:14" x14ac:dyDescent="0.25">
      <c r="M185">
        <v>148</v>
      </c>
      <c r="N185" t="str">
        <f>IF(Book1!C151&gt;0,M185&amp;", " &amp; N186,IF(N186 =0,"",N186) )</f>
        <v/>
      </c>
    </row>
    <row r="186" spans="13:14" x14ac:dyDescent="0.25">
      <c r="M186">
        <v>149</v>
      </c>
      <c r="N186" t="str">
        <f>IF(Book1!C152&gt;0,M186&amp;", " &amp; N187,IF(N187 =0,"",N187) )</f>
        <v/>
      </c>
    </row>
    <row r="187" spans="13:14" x14ac:dyDescent="0.25">
      <c r="M187">
        <v>150</v>
      </c>
      <c r="N187" t="str">
        <f>IF(Book1!C153&gt;0,M187&amp;", " &amp; N188,IF(N188 =0,"",N188) )</f>
        <v/>
      </c>
    </row>
    <row r="188" spans="13:14" x14ac:dyDescent="0.25">
      <c r="M188">
        <v>151</v>
      </c>
      <c r="N188" t="str">
        <f>IF(Book1!C154&gt;0,M188&amp;", " &amp; N189,IF(N189 =0,"",N189) )</f>
        <v/>
      </c>
    </row>
    <row r="189" spans="13:14" x14ac:dyDescent="0.25">
      <c r="M189">
        <v>152</v>
      </c>
      <c r="N189" t="str">
        <f>IF(Book1!C155&gt;0,M189&amp;", " &amp; N190,IF(N190 =0,"",N190) )</f>
        <v/>
      </c>
    </row>
    <row r="190" spans="13:14" x14ac:dyDescent="0.25">
      <c r="M190">
        <v>153</v>
      </c>
      <c r="N190" t="str">
        <f>IF(Book1!C156&gt;0,M190&amp;", " &amp; N191,IF(N191 =0,"",N191) )</f>
        <v/>
      </c>
    </row>
    <row r="191" spans="13:14" x14ac:dyDescent="0.25">
      <c r="M191">
        <v>154</v>
      </c>
      <c r="N191" t="str">
        <f>IF(Book1!C157&gt;0,M191&amp;", " &amp; N192,IF(N192 =0,"",N192) )</f>
        <v/>
      </c>
    </row>
    <row r="192" spans="13:14" x14ac:dyDescent="0.25">
      <c r="M192">
        <v>155</v>
      </c>
      <c r="N192" t="str">
        <f>IF(Book1!C158&gt;0,M192&amp;", " &amp; N193,IF(N193 =0,"",N193) )</f>
        <v/>
      </c>
    </row>
    <row r="193" spans="13:14" x14ac:dyDescent="0.25">
      <c r="M193">
        <v>156</v>
      </c>
      <c r="N193" t="str">
        <f>IF(Book1!C159&gt;0,M193&amp;", " &amp; N194,IF(N194 =0,"",N194) )</f>
        <v/>
      </c>
    </row>
    <row r="194" spans="13:14" x14ac:dyDescent="0.25">
      <c r="M194">
        <v>157</v>
      </c>
      <c r="N194" t="str">
        <f>IF(Book1!C160&gt;0,M194&amp;", " &amp; N195,IF(N195 =0,"",N195) )</f>
        <v/>
      </c>
    </row>
    <row r="195" spans="13:14" x14ac:dyDescent="0.25">
      <c r="M195">
        <v>158</v>
      </c>
      <c r="N195" t="str">
        <f>IF(Book1!C161&gt;0,M195&amp;", " &amp; N196,IF(N196 =0,"",N196) )</f>
        <v/>
      </c>
    </row>
    <row r="196" spans="13:14" x14ac:dyDescent="0.25">
      <c r="M196">
        <v>159</v>
      </c>
      <c r="N196" t="str">
        <f>IF(Book1!C162&gt;0,M196&amp;", " &amp; N197,IF(N197 =0,"",N197) )</f>
        <v/>
      </c>
    </row>
    <row r="197" spans="13:14" x14ac:dyDescent="0.25">
      <c r="M197">
        <v>160</v>
      </c>
      <c r="N197" t="str">
        <f>IF(Book1!C163&gt;0,M197&amp;", " &amp; N198,IF(N198 =0,"",N198) )</f>
        <v/>
      </c>
    </row>
    <row r="198" spans="13:14" x14ac:dyDescent="0.25">
      <c r="M198">
        <v>161</v>
      </c>
      <c r="N198" t="str">
        <f>IF(Book1!C164&gt;0,M198&amp;", " &amp; N199,IF(N199 =0,"",N199) )</f>
        <v/>
      </c>
    </row>
    <row r="199" spans="13:14" x14ac:dyDescent="0.25">
      <c r="M199">
        <v>162</v>
      </c>
      <c r="N199" t="str">
        <f>IF(Book1!C165&gt;0,M199&amp;", " &amp; N200,IF(N200 =0,"",N200) )</f>
        <v/>
      </c>
    </row>
    <row r="200" spans="13:14" x14ac:dyDescent="0.25">
      <c r="M200">
        <v>163</v>
      </c>
      <c r="N200" t="str">
        <f>IF(Book1!C166&gt;0,M200&amp;", " &amp; N201,IF(N201 =0,"",N201) )</f>
        <v/>
      </c>
    </row>
    <row r="201" spans="13:14" x14ac:dyDescent="0.25">
      <c r="M201">
        <v>164</v>
      </c>
      <c r="N201" t="str">
        <f>IF(Book1!C167&gt;0,M201&amp;", " &amp; N202,IF(N202 =0,"",N202) )</f>
        <v/>
      </c>
    </row>
    <row r="202" spans="13:14" x14ac:dyDescent="0.25">
      <c r="M202">
        <v>165</v>
      </c>
      <c r="N202" t="str">
        <f>IF(Book1!C168&gt;0,M202&amp;", " &amp; N203,IF(N203 =0,"",N203) )</f>
        <v/>
      </c>
    </row>
    <row r="203" spans="13:14" x14ac:dyDescent="0.25">
      <c r="M203">
        <v>166</v>
      </c>
      <c r="N203" t="str">
        <f>IF(Book1!C169&gt;0,M203&amp;", " &amp; N204,IF(N204 =0,"",N204) )</f>
        <v/>
      </c>
    </row>
    <row r="204" spans="13:14" x14ac:dyDescent="0.25">
      <c r="M204">
        <v>167</v>
      </c>
      <c r="N204" t="str">
        <f>IF(Book1!C170&gt;0,M204&amp;", " &amp; N205,IF(N205 =0,"",N205) )</f>
        <v/>
      </c>
    </row>
    <row r="205" spans="13:14" x14ac:dyDescent="0.25">
      <c r="M205">
        <v>168</v>
      </c>
      <c r="N205" t="str">
        <f>IF(Book1!C171&gt;0,M205&amp;", " &amp; N206,IF(N206 =0,"",N206) )</f>
        <v/>
      </c>
    </row>
    <row r="206" spans="13:14" x14ac:dyDescent="0.25">
      <c r="M206">
        <v>169</v>
      </c>
      <c r="N206" t="str">
        <f>IF(Book1!C172&gt;0,M206&amp;", " &amp; N207,IF(N207 =0,"",N207) )</f>
        <v/>
      </c>
    </row>
    <row r="207" spans="13:14" x14ac:dyDescent="0.25">
      <c r="M207">
        <v>170</v>
      </c>
      <c r="N207" t="str">
        <f>IF(Book1!C173&gt;0,M207&amp;", " &amp; N208,IF(N208 =0,"",N208) )</f>
        <v/>
      </c>
    </row>
    <row r="208" spans="13:14" x14ac:dyDescent="0.25">
      <c r="M208">
        <v>171</v>
      </c>
      <c r="N208" t="str">
        <f>IF(Book1!C174&gt;0,M208&amp;", " &amp; N209,IF(N209 =0,"",N209) )</f>
        <v/>
      </c>
    </row>
    <row r="209" spans="13:14" x14ac:dyDescent="0.25">
      <c r="M209">
        <v>172</v>
      </c>
      <c r="N209" t="str">
        <f>IF(Book1!C175&gt;0,M209&amp;", " &amp; N210,IF(N210 =0,"",N210) )</f>
        <v/>
      </c>
    </row>
    <row r="210" spans="13:14" x14ac:dyDescent="0.25">
      <c r="M210">
        <v>173</v>
      </c>
      <c r="N210" t="str">
        <f>IF(Book1!C176&gt;0,M210&amp;", " &amp; N211,IF(N211 =0,"",N211) )</f>
        <v/>
      </c>
    </row>
    <row r="211" spans="13:14" x14ac:dyDescent="0.25">
      <c r="M211">
        <v>174</v>
      </c>
      <c r="N211" t="str">
        <f>IF(Book1!C177&gt;0,M211&amp;", " &amp; N212,IF(N212 =0,"",N212) )</f>
        <v/>
      </c>
    </row>
    <row r="212" spans="13:14" x14ac:dyDescent="0.25">
      <c r="M212">
        <v>175</v>
      </c>
      <c r="N212" t="str">
        <f>IF(Book1!C178&gt;0,M212&amp;", " &amp; N213,IF(N213 =0,"",N213) )</f>
        <v/>
      </c>
    </row>
    <row r="213" spans="13:14" x14ac:dyDescent="0.25">
      <c r="M213">
        <v>176</v>
      </c>
      <c r="N213" t="str">
        <f>IF(Book1!C179&gt;0,M213&amp;", " &amp; N214,IF(N214 =0,"",N214) )</f>
        <v/>
      </c>
    </row>
    <row r="214" spans="13:14" x14ac:dyDescent="0.25">
      <c r="M214">
        <v>177</v>
      </c>
      <c r="N214" t="str">
        <f>IF(Book1!C180&gt;0,M214&amp;", " &amp; N215,IF(N215 =0,"",N215) )</f>
        <v/>
      </c>
    </row>
    <row r="215" spans="13:14" x14ac:dyDescent="0.25">
      <c r="M215">
        <v>178</v>
      </c>
      <c r="N215" t="str">
        <f>IF(Book1!C181&gt;0,M215&amp;", " &amp; N216,IF(N216 =0,"",N216) )</f>
        <v/>
      </c>
    </row>
    <row r="216" spans="13:14" x14ac:dyDescent="0.25">
      <c r="M216">
        <v>179</v>
      </c>
      <c r="N216" t="str">
        <f>IF(Book1!C182&gt;0,M216&amp;", " &amp; N217,IF(N217 =0,"",N217) )</f>
        <v/>
      </c>
    </row>
    <row r="217" spans="13:14" x14ac:dyDescent="0.25">
      <c r="M217">
        <v>180</v>
      </c>
      <c r="N217" t="str">
        <f>IF(Book1!C183&gt;0,M217&amp;", " &amp; N218,IF(N218 =0,"",N218) )</f>
        <v/>
      </c>
    </row>
    <row r="218" spans="13:14" x14ac:dyDescent="0.25">
      <c r="M218">
        <v>181</v>
      </c>
      <c r="N218" t="str">
        <f>IF(Book1!C184&gt;0,M218&amp;", " &amp; N219,IF(N219 =0,"",N219) )</f>
        <v/>
      </c>
    </row>
    <row r="219" spans="13:14" x14ac:dyDescent="0.25">
      <c r="M219">
        <v>182</v>
      </c>
      <c r="N219" t="str">
        <f>IF(Book1!C185&gt;0,M219&amp;", " &amp; N220,IF(N220 =0,"",N220) )</f>
        <v/>
      </c>
    </row>
    <row r="220" spans="13:14" x14ac:dyDescent="0.25">
      <c r="M220">
        <v>183</v>
      </c>
      <c r="N220" t="str">
        <f>IF(Book1!C186&gt;0,M220&amp;", " &amp; N221,IF(N221 =0,"",N221) )</f>
        <v/>
      </c>
    </row>
    <row r="221" spans="13:14" x14ac:dyDescent="0.25">
      <c r="M221">
        <v>184</v>
      </c>
      <c r="N221" t="str">
        <f>IF(Book1!C187&gt;0,M221&amp;", " &amp; N222,IF(N222 =0,"",N222) )</f>
        <v/>
      </c>
    </row>
    <row r="222" spans="13:14" x14ac:dyDescent="0.25">
      <c r="M222">
        <v>185</v>
      </c>
      <c r="N222" t="str">
        <f>IF(Book1!C188&gt;0,M222&amp;", " &amp; N223,IF(N223 =0,"",N223) )</f>
        <v/>
      </c>
    </row>
    <row r="223" spans="13:14" x14ac:dyDescent="0.25">
      <c r="M223">
        <v>186</v>
      </c>
      <c r="N223" t="str">
        <f>IF(Book1!C189&gt;0,M223&amp;", " &amp; N224,IF(N224 =0,"",N224) )</f>
        <v/>
      </c>
    </row>
    <row r="224" spans="13:14" x14ac:dyDescent="0.25">
      <c r="M224">
        <v>187</v>
      </c>
      <c r="N224" t="str">
        <f>IF(Book1!C190&gt;0,M224&amp;", " &amp; N225,IF(N225 =0,"",N225) )</f>
        <v/>
      </c>
    </row>
    <row r="225" spans="13:14" x14ac:dyDescent="0.25">
      <c r="M225">
        <v>188</v>
      </c>
      <c r="N225" t="str">
        <f>IF(Book1!C191&gt;0,M225&amp;", " &amp; N226,IF(N226 =0,"",N226) )</f>
        <v/>
      </c>
    </row>
    <row r="226" spans="13:14" x14ac:dyDescent="0.25">
      <c r="M226">
        <v>189</v>
      </c>
      <c r="N226" t="str">
        <f>IF(Book1!C192&gt;0,M226&amp;", " &amp; N227,IF(N227 =0,"",N227) )</f>
        <v/>
      </c>
    </row>
    <row r="227" spans="13:14" x14ac:dyDescent="0.25">
      <c r="M227">
        <v>190</v>
      </c>
      <c r="N227" t="str">
        <f>IF(Book1!C193&gt;0,M227&amp;", " &amp; N228,IF(N228 =0,"",N228) )</f>
        <v/>
      </c>
    </row>
    <row r="228" spans="13:14" x14ac:dyDescent="0.25">
      <c r="M228">
        <v>191</v>
      </c>
      <c r="N228" t="str">
        <f>IF(Book1!C194&gt;0,M228&amp;", " &amp; N229,IF(N229 =0,"",N229) )</f>
        <v/>
      </c>
    </row>
    <row r="229" spans="13:14" x14ac:dyDescent="0.25">
      <c r="M229">
        <v>192</v>
      </c>
      <c r="N229" t="str">
        <f>IF(Book1!C195&gt;0,M229&amp;", " &amp; N230,IF(N230 =0,"",N230) )</f>
        <v/>
      </c>
    </row>
    <row r="230" spans="13:14" x14ac:dyDescent="0.25">
      <c r="M230">
        <v>193</v>
      </c>
      <c r="N230" t="str">
        <f>IF(Book1!C196&gt;0,M230&amp;", " &amp; N231,IF(N231 =0,"",N231) )</f>
        <v/>
      </c>
    </row>
    <row r="231" spans="13:14" x14ac:dyDescent="0.25">
      <c r="M231">
        <v>194</v>
      </c>
      <c r="N231" t="str">
        <f>IF(Book1!C197&gt;0,M231&amp;", " &amp; N232,IF(N232 =0,"",N232) )</f>
        <v/>
      </c>
    </row>
    <row r="232" spans="13:14" x14ac:dyDescent="0.25">
      <c r="M232">
        <v>195</v>
      </c>
      <c r="N232" t="str">
        <f>IF(Book1!C198&gt;0,M232&amp;", " &amp; N233,IF(N233 =0,"",N233) )</f>
        <v/>
      </c>
    </row>
    <row r="233" spans="13:14" x14ac:dyDescent="0.25">
      <c r="M233">
        <v>196</v>
      </c>
      <c r="N233" t="str">
        <f>IF(Book1!C199&gt;0,M233&amp;", " &amp; N234,IF(N234 =0,"",N234) )</f>
        <v/>
      </c>
    </row>
    <row r="234" spans="13:14" x14ac:dyDescent="0.25">
      <c r="M234">
        <v>197</v>
      </c>
      <c r="N234" t="str">
        <f>IF(Book1!C200&gt;0,M234&amp;", " &amp; N235,IF(N235 =0,"",N235) )</f>
        <v/>
      </c>
    </row>
    <row r="235" spans="13:14" x14ac:dyDescent="0.25">
      <c r="M235">
        <v>198</v>
      </c>
      <c r="N235" t="str">
        <f>IF(Book1!C201&gt;0,M235&amp;", " &amp; N236,IF(N236 =0,"",N236) )</f>
        <v/>
      </c>
    </row>
    <row r="236" spans="13:14" x14ac:dyDescent="0.25">
      <c r="M236">
        <v>199</v>
      </c>
      <c r="N236" t="str">
        <f>IF(Book1!C202&gt;0,M236&amp;", " &amp; N237,IF(N237 =0,"",N237) )</f>
        <v/>
      </c>
    </row>
    <row r="237" spans="13:14" x14ac:dyDescent="0.25">
      <c r="M237">
        <v>200</v>
      </c>
      <c r="N237" t="str">
        <f>IF(Book1!C203&gt;0,M237&amp;", " &amp; N238,IF(N238 =0,"",N238) )</f>
        <v/>
      </c>
    </row>
    <row r="238" spans="13:14" x14ac:dyDescent="0.25">
      <c r="M238">
        <v>201</v>
      </c>
      <c r="N238" t="str">
        <f>IF(Book1!C204&gt;0,M238&amp;", " &amp; N239,IF(N239 =0,"",N239) )</f>
        <v/>
      </c>
    </row>
    <row r="239" spans="13:14" x14ac:dyDescent="0.25">
      <c r="M239">
        <v>202</v>
      </c>
      <c r="N239" t="str">
        <f>IF(Book1!C205&gt;0,M239&amp;", " &amp; N240,IF(N240 =0,"",N240) )</f>
        <v/>
      </c>
    </row>
    <row r="240" spans="13:14" x14ac:dyDescent="0.25">
      <c r="M240">
        <v>203</v>
      </c>
      <c r="N240" t="str">
        <f>IF(Book1!C206&gt;0,M240&amp;", " &amp; N241,IF(N241 =0,"",N241) )</f>
        <v/>
      </c>
    </row>
    <row r="241" spans="13:14" x14ac:dyDescent="0.25">
      <c r="M241">
        <v>204</v>
      </c>
      <c r="N241" t="str">
        <f>IF(Book1!C207&gt;0,M241&amp;", " &amp; N242,IF(N242 =0,"",N242) )</f>
        <v/>
      </c>
    </row>
    <row r="242" spans="13:14" x14ac:dyDescent="0.25">
      <c r="M242">
        <v>205</v>
      </c>
      <c r="N242" t="str">
        <f>IF(Book1!C208&gt;0,M242&amp;", " &amp; N243,IF(N243 =0,"",N243) )</f>
        <v/>
      </c>
    </row>
    <row r="243" spans="13:14" x14ac:dyDescent="0.25">
      <c r="M243">
        <v>206</v>
      </c>
      <c r="N243" t="str">
        <f>IF(Book1!C209&gt;0,M243&amp;", " &amp; N244,IF(N244 =0,"",N244) )</f>
        <v/>
      </c>
    </row>
    <row r="244" spans="13:14" x14ac:dyDescent="0.25">
      <c r="M244">
        <v>207</v>
      </c>
      <c r="N244" t="str">
        <f>IF(Book1!C210&gt;0,M244&amp;", " &amp; N245,IF(N245 =0,"",N245) )</f>
        <v/>
      </c>
    </row>
    <row r="245" spans="13:14" x14ac:dyDescent="0.25">
      <c r="M245">
        <v>208</v>
      </c>
      <c r="N245" t="str">
        <f>IF(Book1!C211&gt;0,M245&amp;", " &amp; N246,IF(N246 =0,"",N246) )</f>
        <v/>
      </c>
    </row>
    <row r="246" spans="13:14" x14ac:dyDescent="0.25">
      <c r="M246">
        <v>209</v>
      </c>
      <c r="N246" t="str">
        <f>IF(Book1!C212&gt;0,M246&amp;", " &amp; N247,IF(N247 =0,"",N247) )</f>
        <v/>
      </c>
    </row>
    <row r="247" spans="13:14" x14ac:dyDescent="0.25">
      <c r="M247">
        <v>210</v>
      </c>
      <c r="N247" t="str">
        <f>IF(Book1!C213&gt;0,M247&amp;", " &amp; N248,IF(N248 =0,"",N248) )</f>
        <v/>
      </c>
    </row>
    <row r="248" spans="13:14" x14ac:dyDescent="0.25">
      <c r="M248">
        <v>211</v>
      </c>
      <c r="N248" t="str">
        <f>IF(Book1!C214&gt;0,M248&amp;", " &amp; N249,IF(N249 =0,"",N249) )</f>
        <v/>
      </c>
    </row>
    <row r="249" spans="13:14" x14ac:dyDescent="0.25">
      <c r="M249">
        <v>212</v>
      </c>
      <c r="N249" t="str">
        <f>IF(Book1!C215&gt;0,M249&amp;", " &amp; N250,IF(N250 =0,"",N250) )</f>
        <v/>
      </c>
    </row>
    <row r="250" spans="13:14" x14ac:dyDescent="0.25">
      <c r="M250">
        <v>213</v>
      </c>
      <c r="N250" t="str">
        <f>IF(Book1!C216&gt;0,M250&amp;", " &amp; N251,IF(N251 =0,"",N251) )</f>
        <v/>
      </c>
    </row>
    <row r="251" spans="13:14" x14ac:dyDescent="0.25">
      <c r="M251">
        <v>214</v>
      </c>
      <c r="N251" t="str">
        <f>IF(Book1!C217&gt;0,M251&amp;", " &amp; N252,IF(N252 =0,"",N252) )</f>
        <v/>
      </c>
    </row>
    <row r="252" spans="13:14" x14ac:dyDescent="0.25">
      <c r="M252">
        <v>215</v>
      </c>
      <c r="N252" t="str">
        <f>IF(Book1!C218&gt;0,M252&amp;", " &amp; N253,IF(N253 =0,"",N253) )</f>
        <v/>
      </c>
    </row>
    <row r="253" spans="13:14" x14ac:dyDescent="0.25">
      <c r="M253">
        <v>216</v>
      </c>
      <c r="N253" t="str">
        <f>IF(Book1!C219&gt;0,M253&amp;", " &amp; N254,IF(N254 =0,"",N254) )</f>
        <v/>
      </c>
    </row>
    <row r="254" spans="13:14" x14ac:dyDescent="0.25">
      <c r="M254">
        <v>217</v>
      </c>
      <c r="N254" t="str">
        <f>IF(Book1!C220&gt;0,M254&amp;", " &amp; N255,IF(N255 =0,"",N255) )</f>
        <v/>
      </c>
    </row>
    <row r="255" spans="13:14" x14ac:dyDescent="0.25">
      <c r="M255">
        <v>218</v>
      </c>
      <c r="N255" t="str">
        <f>IF(Book1!C221&gt;0,M255&amp;", " &amp; N256,IF(N256 =0,"",N256) )</f>
        <v/>
      </c>
    </row>
    <row r="256" spans="13:14" x14ac:dyDescent="0.25">
      <c r="M256">
        <v>219</v>
      </c>
      <c r="N256" t="str">
        <f>IF(Book1!C222&gt;0,M256&amp;", " &amp; N257,IF(N257 =0,"",N257) )</f>
        <v/>
      </c>
    </row>
    <row r="257" spans="13:14" x14ac:dyDescent="0.25">
      <c r="M257">
        <v>220</v>
      </c>
      <c r="N257" t="str">
        <f>IF(Book1!C223&gt;0,M257&amp;", " &amp; N258,IF(N258 =0,"",N258) )</f>
        <v/>
      </c>
    </row>
    <row r="258" spans="13:14" x14ac:dyDescent="0.25">
      <c r="M258">
        <v>221</v>
      </c>
      <c r="N258" t="str">
        <f>IF(Book1!C224&gt;0,M258&amp;", " &amp; N259,IF(N259 =0,"",N259) )</f>
        <v/>
      </c>
    </row>
    <row r="259" spans="13:14" x14ac:dyDescent="0.25">
      <c r="M259">
        <v>222</v>
      </c>
      <c r="N259" t="str">
        <f>IF(Book1!C225&gt;0,M259&amp;", " &amp; N260,IF(N260 =0,"",N260) )</f>
        <v/>
      </c>
    </row>
    <row r="260" spans="13:14" x14ac:dyDescent="0.25">
      <c r="M260">
        <v>223</v>
      </c>
      <c r="N260" t="str">
        <f>IF(Book1!C226&gt;0,M260&amp;", " &amp; N261,IF(N261 =0,"",N261) )</f>
        <v/>
      </c>
    </row>
    <row r="261" spans="13:14" x14ac:dyDescent="0.25">
      <c r="M261">
        <v>224</v>
      </c>
      <c r="N261" t="str">
        <f>IF(Book1!C227&gt;0,M261&amp;", " &amp; N262,IF(N262 =0,"",N262) )</f>
        <v/>
      </c>
    </row>
    <row r="262" spans="13:14" x14ac:dyDescent="0.25">
      <c r="M262">
        <v>225</v>
      </c>
      <c r="N262" t="str">
        <f>IF(Book1!C228&gt;0,M262&amp;", " &amp; N263,IF(N263 =0,"",N263) )</f>
        <v/>
      </c>
    </row>
    <row r="263" spans="13:14" x14ac:dyDescent="0.25">
      <c r="M263">
        <v>226</v>
      </c>
      <c r="N263" t="str">
        <f>IF(Book1!C229&gt;0,M263&amp;", " &amp; N264,IF(N264 =0,"",N264) )</f>
        <v/>
      </c>
    </row>
    <row r="264" spans="13:14" x14ac:dyDescent="0.25">
      <c r="M264">
        <v>227</v>
      </c>
      <c r="N264" t="str">
        <f>IF(Book1!C230&gt;0,M264&amp;", " &amp; N265,IF(N265 =0,"",N265) )</f>
        <v/>
      </c>
    </row>
    <row r="265" spans="13:14" x14ac:dyDescent="0.25">
      <c r="M265">
        <v>228</v>
      </c>
      <c r="N265" t="str">
        <f>IF(Book1!C231&gt;0,M265&amp;", " &amp; N266,IF(N266 =0,"",N266) )</f>
        <v/>
      </c>
    </row>
    <row r="266" spans="13:14" x14ac:dyDescent="0.25">
      <c r="M266">
        <v>229</v>
      </c>
      <c r="N266" t="str">
        <f>IF(Book1!C232&gt;0,M266&amp;", " &amp; N267,IF(N267 =0,"",N267) )</f>
        <v/>
      </c>
    </row>
    <row r="267" spans="13:14" x14ac:dyDescent="0.25">
      <c r="M267">
        <v>230</v>
      </c>
      <c r="N267" t="str">
        <f>IF(Book1!C233&gt;0,M267&amp;", " &amp; N268,IF(N268 =0,"",N268) )</f>
        <v/>
      </c>
    </row>
    <row r="268" spans="13:14" x14ac:dyDescent="0.25">
      <c r="M268">
        <v>231</v>
      </c>
      <c r="N268" t="str">
        <f>IF(Book1!C234&gt;0,M268&amp;", " &amp; N269,IF(N269 =0,"",N269) )</f>
        <v/>
      </c>
    </row>
    <row r="269" spans="13:14" x14ac:dyDescent="0.25">
      <c r="M269">
        <v>232</v>
      </c>
      <c r="N269" t="str">
        <f>IF(Book1!C235&gt;0,M269&amp;", " &amp; N270,IF(N270 =0,"",N270) )</f>
        <v/>
      </c>
    </row>
    <row r="270" spans="13:14" x14ac:dyDescent="0.25">
      <c r="M270">
        <v>233</v>
      </c>
      <c r="N270" t="str">
        <f>IF(Book1!C236&gt;0,M270&amp;", " &amp; N271,IF(N271 =0,"",N271) )</f>
        <v/>
      </c>
    </row>
    <row r="271" spans="13:14" x14ac:dyDescent="0.25">
      <c r="M271">
        <v>234</v>
      </c>
      <c r="N271" t="str">
        <f>IF(Book1!C237&gt;0,M271&amp;", " &amp; N272,IF(N272 =0,"",N272) )</f>
        <v/>
      </c>
    </row>
    <row r="272" spans="13:14" x14ac:dyDescent="0.25">
      <c r="M272">
        <v>235</v>
      </c>
      <c r="N272" t="str">
        <f>IF(Book1!C238&gt;0,M272&amp;", " &amp; N273,IF(N273 =0,"",N273) )</f>
        <v/>
      </c>
    </row>
    <row r="273" spans="13:14" x14ac:dyDescent="0.25">
      <c r="M273">
        <v>236</v>
      </c>
      <c r="N273" t="str">
        <f>IF(Book1!C239&gt;0,M273&amp;", " &amp; N274,IF(N274 =0,"",N274) )</f>
        <v/>
      </c>
    </row>
    <row r="274" spans="13:14" x14ac:dyDescent="0.25">
      <c r="M274">
        <v>237</v>
      </c>
      <c r="N274" t="str">
        <f>IF(Book1!C240&gt;0,M274&amp;", " &amp; N275,IF(N275 =0,"",N275) )</f>
        <v/>
      </c>
    </row>
    <row r="275" spans="13:14" x14ac:dyDescent="0.25">
      <c r="M275">
        <v>238</v>
      </c>
      <c r="N275" t="str">
        <f>IF(Book1!C241&gt;0,M275&amp;", " &amp; N276,IF(N276 =0,"",N276) )</f>
        <v/>
      </c>
    </row>
    <row r="276" spans="13:14" x14ac:dyDescent="0.25">
      <c r="M276">
        <v>239</v>
      </c>
      <c r="N276" t="str">
        <f>IF(Book1!C242&gt;0,M276&amp;", " &amp; N277,IF(N277 =0,"",N277) )</f>
        <v/>
      </c>
    </row>
    <row r="277" spans="13:14" x14ac:dyDescent="0.25">
      <c r="M277">
        <v>240</v>
      </c>
      <c r="N277" t="str">
        <f>IF(Book1!C243&gt;0,M277&amp;", " &amp; N278,IF(N278 =0,"",N278) )</f>
        <v/>
      </c>
    </row>
    <row r="278" spans="13:14" x14ac:dyDescent="0.25">
      <c r="M278">
        <v>241</v>
      </c>
      <c r="N278" t="str">
        <f>IF(Book1!C244&gt;0,M278&amp;", " &amp; N279,IF(N279 =0,"",N279) )</f>
        <v/>
      </c>
    </row>
    <row r="279" spans="13:14" x14ac:dyDescent="0.25">
      <c r="M279">
        <v>242</v>
      </c>
      <c r="N279" t="str">
        <f>IF(Book1!C245&gt;0,M279&amp;", " &amp; N280,IF(N280 =0,"",N280) )</f>
        <v/>
      </c>
    </row>
    <row r="280" spans="13:14" x14ac:dyDescent="0.25">
      <c r="M280">
        <v>243</v>
      </c>
      <c r="N280" t="str">
        <f>IF(Book1!C246&gt;0,M280&amp;", " &amp; N281,IF(N281 =0,"",N281) )</f>
        <v/>
      </c>
    </row>
    <row r="281" spans="13:14" x14ac:dyDescent="0.25">
      <c r="M281">
        <v>244</v>
      </c>
      <c r="N281" t="str">
        <f>IF(Book1!C247&gt;0,M281&amp;", " &amp; N282,IF(N282 =0,"",N282) )</f>
        <v/>
      </c>
    </row>
    <row r="282" spans="13:14" x14ac:dyDescent="0.25">
      <c r="M282">
        <v>245</v>
      </c>
      <c r="N282" t="str">
        <f>IF(Book1!C248&gt;0,M282&amp;", " &amp; N283,IF(N283 =0,"",N283) )</f>
        <v/>
      </c>
    </row>
    <row r="283" spans="13:14" x14ac:dyDescent="0.25">
      <c r="M283">
        <v>246</v>
      </c>
      <c r="N283" t="str">
        <f>IF(Book1!C249&gt;0,M283&amp;", " &amp; N284,IF(N284 =0,"",N284) )</f>
        <v/>
      </c>
    </row>
    <row r="284" spans="13:14" x14ac:dyDescent="0.25">
      <c r="M284">
        <v>247</v>
      </c>
      <c r="N284" t="str">
        <f>IF(Book1!C250&gt;0,M284&amp;", " &amp; N285,IF(N285 =0,"",N285) )</f>
        <v/>
      </c>
    </row>
    <row r="285" spans="13:14" x14ac:dyDescent="0.25">
      <c r="M285">
        <v>248</v>
      </c>
      <c r="N285" t="str">
        <f>IF(Book1!C251&gt;0,M285&amp;", " &amp; N286,IF(N286 =0,"",N286) )</f>
        <v/>
      </c>
    </row>
    <row r="286" spans="13:14" x14ac:dyDescent="0.25">
      <c r="M286">
        <v>249</v>
      </c>
      <c r="N286" t="str">
        <f>IF(Book1!C252&gt;0,M286&amp;", " &amp; N287,IF(N287 =0,"",N287) )</f>
        <v/>
      </c>
    </row>
    <row r="287" spans="13:14" x14ac:dyDescent="0.25">
      <c r="M287">
        <v>250</v>
      </c>
      <c r="N287" t="str">
        <f>IF(Book1!C253&gt;0,M287&amp;", " &amp; N288,IF(N288 =0,"",N288) )</f>
        <v/>
      </c>
    </row>
    <row r="288" spans="13:14" x14ac:dyDescent="0.25">
      <c r="M288">
        <v>251</v>
      </c>
      <c r="N288" t="str">
        <f>IF(Book1!C254&gt;0,M288&amp;", " &amp; N289,IF(N289 =0,"",N289) )</f>
        <v/>
      </c>
    </row>
    <row r="289" spans="13:14" x14ac:dyDescent="0.25">
      <c r="M289">
        <v>252</v>
      </c>
      <c r="N289" t="str">
        <f>IF(Book1!C255&gt;0,M289&amp;", " &amp; N290,IF(N290 =0,"",N290) )</f>
        <v/>
      </c>
    </row>
    <row r="290" spans="13:14" x14ac:dyDescent="0.25">
      <c r="M290">
        <v>253</v>
      </c>
      <c r="N290" t="str">
        <f>IF(Book1!C256&gt;0,M290&amp;", " &amp; N291,IF(N291 =0,"",N291) )</f>
        <v/>
      </c>
    </row>
    <row r="291" spans="13:14" x14ac:dyDescent="0.25">
      <c r="M291">
        <v>254</v>
      </c>
      <c r="N291" t="str">
        <f>IF(Book1!C257&gt;0,M291&amp;", " &amp; N292,IF(N292 =0,"",N292) )</f>
        <v/>
      </c>
    </row>
    <row r="292" spans="13:14" x14ac:dyDescent="0.25">
      <c r="M292">
        <v>255</v>
      </c>
      <c r="N292" t="str">
        <f>IF(Book1!C258&gt;0,M292&amp;", " &amp; N293,IF(N293 =0,"",N293) )</f>
        <v/>
      </c>
    </row>
    <row r="293" spans="13:14" x14ac:dyDescent="0.25">
      <c r="M293">
        <v>256</v>
      </c>
      <c r="N293" t="str">
        <f>IF(Book1!C259&gt;0,M293&amp;", " &amp; N294,IF(N294 =0,"",N294) )</f>
        <v/>
      </c>
    </row>
    <row r="294" spans="13:14" x14ac:dyDescent="0.25">
      <c r="M294">
        <v>257</v>
      </c>
      <c r="N294" t="str">
        <f>IF(Book1!C260&gt;0,M294&amp;", " &amp; N295,IF(N295 =0,"",N295) )</f>
        <v/>
      </c>
    </row>
    <row r="295" spans="13:14" x14ac:dyDescent="0.25">
      <c r="M295">
        <v>258</v>
      </c>
      <c r="N295" t="str">
        <f>IF(Book1!C261&gt;0,M295&amp;", " &amp; N296,IF(N296 =0,"",N296) )</f>
        <v/>
      </c>
    </row>
    <row r="296" spans="13:14" x14ac:dyDescent="0.25">
      <c r="M296">
        <v>259</v>
      </c>
      <c r="N296" t="str">
        <f>IF(Book1!C262&gt;0,M296&amp;", " &amp; N297,IF(N297 =0,"",N297) )</f>
        <v/>
      </c>
    </row>
    <row r="297" spans="13:14" x14ac:dyDescent="0.25">
      <c r="M297">
        <v>260</v>
      </c>
      <c r="N297" t="str">
        <f>IF(Book1!C263&gt;0,M297&amp;", " &amp; N298,IF(N298 =0,"",N298) )</f>
        <v/>
      </c>
    </row>
    <row r="298" spans="13:14" x14ac:dyDescent="0.25">
      <c r="M298">
        <v>261</v>
      </c>
      <c r="N298" t="str">
        <f>IF(Book1!C264&gt;0,M298&amp;", " &amp; N299,IF(N299 =0,"",N299) )</f>
        <v/>
      </c>
    </row>
    <row r="299" spans="13:14" x14ac:dyDescent="0.25">
      <c r="M299">
        <v>262</v>
      </c>
      <c r="N299" t="str">
        <f>IF(Book1!C265&gt;0,M299&amp;", " &amp; N300,IF(N300 =0,"",N300) )</f>
        <v/>
      </c>
    </row>
    <row r="300" spans="13:14" x14ac:dyDescent="0.25">
      <c r="M300">
        <v>263</v>
      </c>
      <c r="N300" t="str">
        <f>IF(Book1!C266&gt;0,M300&amp;", " &amp; N301,IF(N301 =0,"",N301) )</f>
        <v/>
      </c>
    </row>
    <row r="301" spans="13:14" x14ac:dyDescent="0.25">
      <c r="M301">
        <v>264</v>
      </c>
      <c r="N301" t="str">
        <f>IF(Book1!C267&gt;0,M301&amp;", " &amp; N302,IF(N302 =0,"",N302) )</f>
        <v/>
      </c>
    </row>
    <row r="302" spans="13:14" x14ac:dyDescent="0.25">
      <c r="M302">
        <v>265</v>
      </c>
      <c r="N302" t="str">
        <f>IF(Book1!C268&gt;0,M302&amp;", " &amp; N303,IF(N303 =0,"",N303) )</f>
        <v/>
      </c>
    </row>
    <row r="303" spans="13:14" x14ac:dyDescent="0.25">
      <c r="M303">
        <v>266</v>
      </c>
      <c r="N303" t="str">
        <f>IF(Book1!C269&gt;0,M303&amp;", " &amp; N304,IF(N304 =0,"",N304) )</f>
        <v/>
      </c>
    </row>
    <row r="304" spans="13:14" x14ac:dyDescent="0.25">
      <c r="M304">
        <v>267</v>
      </c>
      <c r="N304" t="str">
        <f>IF(Book1!C270&gt;0,M304&amp;", " &amp; N305,IF(N305 =0,"",N305) )</f>
        <v/>
      </c>
    </row>
    <row r="305" spans="13:14" x14ac:dyDescent="0.25">
      <c r="M305">
        <v>268</v>
      </c>
      <c r="N305" t="str">
        <f>IF(Book1!C271&gt;0,M305&amp;", " &amp; N306,IF(N306 =0,"",N306) )</f>
        <v/>
      </c>
    </row>
    <row r="306" spans="13:14" x14ac:dyDescent="0.25">
      <c r="M306">
        <v>269</v>
      </c>
      <c r="N306" t="str">
        <f>IF(Book1!C272&gt;0,M306&amp;", " &amp; N307,IF(N307 =0,"",N307) )</f>
        <v/>
      </c>
    </row>
    <row r="307" spans="13:14" x14ac:dyDescent="0.25">
      <c r="M307">
        <v>270</v>
      </c>
      <c r="N307" t="str">
        <f>IF(Book1!C273&gt;0,M307&amp;", " &amp; N308,IF(N308 =0,"",N308) )</f>
        <v/>
      </c>
    </row>
    <row r="308" spans="13:14" x14ac:dyDescent="0.25">
      <c r="M308">
        <v>271</v>
      </c>
      <c r="N308" t="str">
        <f>IF(Book1!C274&gt;0,M308&amp;", " &amp; N309,IF(N309 =0,"",N309) )</f>
        <v/>
      </c>
    </row>
    <row r="309" spans="13:14" x14ac:dyDescent="0.25">
      <c r="M309">
        <v>272</v>
      </c>
      <c r="N309" t="str">
        <f>IF(Book1!C275&gt;0,M309&amp;", " &amp; N310,IF(N310 =0,"",N310) )</f>
        <v/>
      </c>
    </row>
    <row r="310" spans="13:14" x14ac:dyDescent="0.25">
      <c r="M310">
        <v>273</v>
      </c>
      <c r="N310" t="str">
        <f>IF(Book1!C276&gt;0,M310&amp;", " &amp; N311,IF(N311 =0,"",N311) )</f>
        <v/>
      </c>
    </row>
    <row r="311" spans="13:14" x14ac:dyDescent="0.25">
      <c r="M311">
        <v>274</v>
      </c>
      <c r="N311" t="str">
        <f>IF(Book1!C277&gt;0,M311&amp;", " &amp; N312,IF(N312 =0,"",N312) )</f>
        <v/>
      </c>
    </row>
    <row r="312" spans="13:14" x14ac:dyDescent="0.25">
      <c r="M312">
        <v>275</v>
      </c>
      <c r="N312" t="str">
        <f>IF(Book1!C278&gt;0,M312&amp;", " &amp; N313,IF(N313 =0,"",N313) )</f>
        <v/>
      </c>
    </row>
    <row r="313" spans="13:14" x14ac:dyDescent="0.25">
      <c r="M313">
        <v>276</v>
      </c>
      <c r="N313" t="str">
        <f>IF(Book1!C279&gt;0,M313&amp;", " &amp; N314,IF(N314 =0,"",N314) )</f>
        <v/>
      </c>
    </row>
    <row r="314" spans="13:14" x14ac:dyDescent="0.25">
      <c r="M314">
        <v>277</v>
      </c>
      <c r="N314" t="str">
        <f>IF(Book1!C280&gt;0,M314&amp;", " &amp; N315,IF(N315 =0,"",N315) )</f>
        <v/>
      </c>
    </row>
    <row r="315" spans="13:14" x14ac:dyDescent="0.25">
      <c r="M315">
        <v>278</v>
      </c>
      <c r="N315" t="str">
        <f>IF(Book1!C281&gt;0,M315&amp;", " &amp; N316,IF(N316 =0,"",N316) )</f>
        <v/>
      </c>
    </row>
    <row r="316" spans="13:14" x14ac:dyDescent="0.25">
      <c r="M316">
        <v>279</v>
      </c>
      <c r="N316" t="str">
        <f>IF(Book1!C282&gt;0,M316&amp;", " &amp; N317,IF(N317 =0,"",N317) )</f>
        <v/>
      </c>
    </row>
    <row r="317" spans="13:14" x14ac:dyDescent="0.25">
      <c r="M317">
        <v>280</v>
      </c>
      <c r="N317" t="str">
        <f>IF(Book1!C283&gt;0,M317&amp;", " &amp; N318,IF(N318 =0,"",N318) )</f>
        <v/>
      </c>
    </row>
    <row r="318" spans="13:14" x14ac:dyDescent="0.25">
      <c r="M318">
        <v>281</v>
      </c>
      <c r="N318" t="str">
        <f>IF(Book1!C284&gt;0,M318&amp;", " &amp; N319,IF(N319 =0,"",N319) )</f>
        <v/>
      </c>
    </row>
    <row r="319" spans="13:14" x14ac:dyDescent="0.25">
      <c r="M319">
        <v>282</v>
      </c>
      <c r="N319" t="str">
        <f>IF(Book1!C285&gt;0,M319&amp;", " &amp; N320,IF(N320 =0,"",N320) )</f>
        <v/>
      </c>
    </row>
    <row r="320" spans="13:14" x14ac:dyDescent="0.25">
      <c r="M320">
        <v>283</v>
      </c>
      <c r="N320" t="str">
        <f>IF(Book1!C286&gt;0,M320&amp;", " &amp; N321,IF(N321 =0,"",N321) )</f>
        <v/>
      </c>
    </row>
    <row r="321" spans="13:14" x14ac:dyDescent="0.25">
      <c r="M321">
        <v>284</v>
      </c>
      <c r="N321" t="str">
        <f>IF(Book1!C287&gt;0,M321&amp;", " &amp; N322,IF(N322 =0,"",N322) )</f>
        <v/>
      </c>
    </row>
    <row r="322" spans="13:14" x14ac:dyDescent="0.25">
      <c r="M322">
        <v>285</v>
      </c>
      <c r="N322" t="str">
        <f>IF(Book1!C288&gt;0,M322&amp;", " &amp; N323,IF(N323 =0,"",N323) )</f>
        <v/>
      </c>
    </row>
    <row r="323" spans="13:14" x14ac:dyDescent="0.25">
      <c r="M323">
        <v>286</v>
      </c>
      <c r="N323" t="str">
        <f>IF(Book1!C289&gt;0,M323&amp;", " &amp; N324,IF(N324 =0,"",N324) )</f>
        <v/>
      </c>
    </row>
    <row r="324" spans="13:14" x14ac:dyDescent="0.25">
      <c r="M324">
        <v>287</v>
      </c>
      <c r="N324" t="str">
        <f>IF(Book1!C290&gt;0,M324&amp;", " &amp; N325,IF(N325 =0,"",N325) )</f>
        <v/>
      </c>
    </row>
    <row r="325" spans="13:14" x14ac:dyDescent="0.25">
      <c r="M325">
        <v>288</v>
      </c>
      <c r="N325" t="str">
        <f>IF(Book1!C291&gt;0,M325&amp;", " &amp; N326,IF(N326 =0,"",N326) )</f>
        <v/>
      </c>
    </row>
    <row r="326" spans="13:14" x14ac:dyDescent="0.25">
      <c r="M326">
        <v>289</v>
      </c>
      <c r="N326" t="str">
        <f>IF(Book1!C292&gt;0,M326&amp;", " &amp; N327,IF(N327 =0,"",N327) )</f>
        <v/>
      </c>
    </row>
    <row r="327" spans="13:14" x14ac:dyDescent="0.25">
      <c r="M327">
        <v>290</v>
      </c>
      <c r="N327" t="str">
        <f>IF(Book1!C293&gt;0,M327&amp;", " &amp; N328,IF(N328 =0,"",N328) )</f>
        <v/>
      </c>
    </row>
    <row r="328" spans="13:14" x14ac:dyDescent="0.25">
      <c r="M328">
        <v>291</v>
      </c>
      <c r="N328" t="str">
        <f>IF(Book1!C294&gt;0,M328&amp;", " &amp; N329,IF(N329 =0,"",N329) )</f>
        <v/>
      </c>
    </row>
    <row r="329" spans="13:14" x14ac:dyDescent="0.25">
      <c r="M329">
        <v>292</v>
      </c>
      <c r="N329" t="str">
        <f>IF(Book1!C295&gt;0,M329&amp;", " &amp; N330,IF(N330 =0,"",N330) )</f>
        <v/>
      </c>
    </row>
    <row r="330" spans="13:14" x14ac:dyDescent="0.25">
      <c r="M330">
        <v>293</v>
      </c>
      <c r="N330" t="str">
        <f>IF(Book1!C296&gt;0,M330&amp;", " &amp; N331,IF(N331 =0,"",N331) )</f>
        <v/>
      </c>
    </row>
    <row r="331" spans="13:14" x14ac:dyDescent="0.25">
      <c r="M331">
        <v>294</v>
      </c>
      <c r="N331" t="str">
        <f>IF(Book1!C297&gt;0,M331&amp;", " &amp; N332,IF(N332 =0,"",N332) )</f>
        <v/>
      </c>
    </row>
    <row r="332" spans="13:14" x14ac:dyDescent="0.25">
      <c r="M332">
        <v>295</v>
      </c>
      <c r="N332" t="str">
        <f>IF(Book1!C298&gt;0,M332&amp;", " &amp; N333,IF(N333 =0,"",N333) )</f>
        <v/>
      </c>
    </row>
    <row r="333" spans="13:14" x14ac:dyDescent="0.25">
      <c r="M333">
        <v>296</v>
      </c>
      <c r="N333" t="str">
        <f>IF(Book1!C299&gt;0,M333&amp;", " &amp; N334,IF(N334 =0,"",N334) )</f>
        <v/>
      </c>
    </row>
    <row r="334" spans="13:14" x14ac:dyDescent="0.25">
      <c r="M334">
        <v>297</v>
      </c>
      <c r="N334" t="str">
        <f>IF(Book1!C300&gt;0,M334&amp;", " &amp; N335,IF(N335 =0,"",N335) )</f>
        <v/>
      </c>
    </row>
    <row r="335" spans="13:14" x14ac:dyDescent="0.25">
      <c r="M335">
        <v>298</v>
      </c>
      <c r="N335" t="str">
        <f>IF(Book1!C301&gt;0,M335&amp;", " &amp; N336,IF(N336 =0,"",N336) )</f>
        <v/>
      </c>
    </row>
    <row r="336" spans="13:14" x14ac:dyDescent="0.25">
      <c r="M336">
        <v>299</v>
      </c>
      <c r="N336" t="str">
        <f>IF(Book1!C302&gt;0,M336&amp;", " &amp; N337,IF(N337 =0,"",N337) )</f>
        <v/>
      </c>
    </row>
    <row r="337" spans="13:14" x14ac:dyDescent="0.25">
      <c r="M337">
        <v>300</v>
      </c>
      <c r="N337" t="str">
        <f>IF(Book1!C303&gt;0,M337&amp;", " &amp; N338,IF(N338 =0,"",N338) )</f>
        <v/>
      </c>
    </row>
    <row r="338" spans="13:14" x14ac:dyDescent="0.25">
      <c r="M338">
        <v>301</v>
      </c>
      <c r="N338" t="str">
        <f>IF(Book1!C304&gt;0,M338&amp;", " &amp; N339,IF(N339 =0,"",N339) )</f>
        <v/>
      </c>
    </row>
    <row r="339" spans="13:14" x14ac:dyDescent="0.25">
      <c r="M339">
        <v>302</v>
      </c>
      <c r="N339" t="str">
        <f>IF(Book1!C305&gt;0,M339&amp;", " &amp; N340,IF(N340 =0,"",N340) )</f>
        <v/>
      </c>
    </row>
    <row r="340" spans="13:14" x14ac:dyDescent="0.25">
      <c r="M340">
        <v>303</v>
      </c>
      <c r="N340" t="str">
        <f>IF(Book1!C306&gt;0,M340&amp;", " &amp; N341,IF(N341 =0,"",N341) )</f>
        <v/>
      </c>
    </row>
    <row r="341" spans="13:14" x14ac:dyDescent="0.25">
      <c r="M341">
        <v>304</v>
      </c>
      <c r="N341" t="str">
        <f>IF(Book1!C307&gt;0,M341&amp;", " &amp; N342,IF(N342 =0,"",N342) )</f>
        <v/>
      </c>
    </row>
    <row r="342" spans="13:14" x14ac:dyDescent="0.25">
      <c r="M342">
        <v>305</v>
      </c>
      <c r="N342" t="str">
        <f>IF(Book1!C308&gt;0,M342&amp;", " &amp; N343,IF(N343 =0,"",N343) )</f>
        <v/>
      </c>
    </row>
    <row r="343" spans="13:14" x14ac:dyDescent="0.25">
      <c r="M343">
        <v>306</v>
      </c>
      <c r="N343" t="str">
        <f>IF(Book1!C309&gt;0,M343&amp;", " &amp; N344,IF(N344 =0,"",N344) )</f>
        <v/>
      </c>
    </row>
    <row r="344" spans="13:14" x14ac:dyDescent="0.25">
      <c r="M344">
        <v>307</v>
      </c>
      <c r="N344" t="str">
        <f>IF(Book1!C310&gt;0,M344&amp;", " &amp; N345,IF(N345 =0,"",N345) )</f>
        <v/>
      </c>
    </row>
    <row r="345" spans="13:14" x14ac:dyDescent="0.25">
      <c r="M345">
        <v>308</v>
      </c>
      <c r="N345" t="str">
        <f>IF(Book1!C311&gt;0,M345&amp;", " &amp; N346,IF(N346 =0,"",N346) )</f>
        <v/>
      </c>
    </row>
    <row r="346" spans="13:14" x14ac:dyDescent="0.25">
      <c r="M346">
        <v>309</v>
      </c>
      <c r="N346" t="str">
        <f>IF(Book1!C312&gt;0,M346&amp;", " &amp; N347,IF(N347 =0,"",N347) )</f>
        <v/>
      </c>
    </row>
    <row r="347" spans="13:14" x14ac:dyDescent="0.25">
      <c r="M347">
        <v>310</v>
      </c>
      <c r="N347" t="str">
        <f>IF(Book1!C313&gt;0,M347&amp;", " &amp; N348,IF(N348 =0,"",N348) )</f>
        <v/>
      </c>
    </row>
    <row r="348" spans="13:14" x14ac:dyDescent="0.25">
      <c r="M348">
        <v>311</v>
      </c>
      <c r="N348" t="str">
        <f>IF(Book1!C314&gt;0,M348&amp;", " &amp; N349,IF(N349 =0,"",N349) )</f>
        <v/>
      </c>
    </row>
    <row r="349" spans="13:14" x14ac:dyDescent="0.25">
      <c r="M349">
        <v>312</v>
      </c>
      <c r="N349" t="str">
        <f>IF(Book1!C315&gt;0,M349&amp;", " &amp; N350,IF(N350 =0,"",N350) )</f>
        <v/>
      </c>
    </row>
    <row r="350" spans="13:14" x14ac:dyDescent="0.25">
      <c r="M350">
        <v>313</v>
      </c>
      <c r="N350" t="str">
        <f>IF(Book1!C316&gt;0,M350&amp;", " &amp; N351,IF(N351 =0,"",N351) )</f>
        <v/>
      </c>
    </row>
    <row r="351" spans="13:14" x14ac:dyDescent="0.25">
      <c r="M351">
        <v>314</v>
      </c>
      <c r="N351" t="str">
        <f>IF(Book1!C317&gt;0,M351&amp;", " &amp; N352,IF(N352 =0,"",N352) )</f>
        <v/>
      </c>
    </row>
    <row r="352" spans="13:14" x14ac:dyDescent="0.25">
      <c r="M352">
        <v>315</v>
      </c>
      <c r="N352" t="str">
        <f>IF(Book1!C318&gt;0,M352&amp;", " &amp; N353,IF(N353 =0,"",N353) )</f>
        <v/>
      </c>
    </row>
    <row r="353" spans="13:14" x14ac:dyDescent="0.25">
      <c r="M353">
        <v>316</v>
      </c>
      <c r="N353" t="str">
        <f>IF(Book1!C319&gt;0,M353&amp;", " &amp; N354,IF(N354 =0,"",N354) )</f>
        <v/>
      </c>
    </row>
    <row r="354" spans="13:14" x14ac:dyDescent="0.25">
      <c r="M354">
        <v>317</v>
      </c>
      <c r="N354" t="str">
        <f>IF(Book1!C320&gt;0,M354&amp;", " &amp; N355,IF(N355 =0,"",N355) )</f>
        <v/>
      </c>
    </row>
    <row r="355" spans="13:14" x14ac:dyDescent="0.25">
      <c r="M355">
        <v>318</v>
      </c>
      <c r="N355" t="str">
        <f>IF(Book1!C321&gt;0,M355&amp;", " &amp; N356,IF(N356 =0,"",N356) )</f>
        <v/>
      </c>
    </row>
    <row r="356" spans="13:14" x14ac:dyDescent="0.25">
      <c r="M356">
        <v>319</v>
      </c>
      <c r="N356" t="str">
        <f>IF(Book1!C322&gt;0,M356&amp;", " &amp; N357,IF(N357 =0,"",N357) )</f>
        <v/>
      </c>
    </row>
    <row r="357" spans="13:14" x14ac:dyDescent="0.25">
      <c r="M357">
        <v>320</v>
      </c>
      <c r="N357" t="str">
        <f>IF(Book1!C323&gt;0,M357&amp;", " &amp; N358,IF(N358 =0,"",N358) )</f>
        <v/>
      </c>
    </row>
    <row r="358" spans="13:14" x14ac:dyDescent="0.25">
      <c r="M358">
        <v>321</v>
      </c>
      <c r="N358" t="str">
        <f>IF(Book1!C324&gt;0,M358&amp;", " &amp; N359,IF(N359 =0,"",N359) )</f>
        <v/>
      </c>
    </row>
    <row r="359" spans="13:14" x14ac:dyDescent="0.25">
      <c r="M359">
        <v>322</v>
      </c>
      <c r="N359" t="str">
        <f>IF(Book1!C325&gt;0,M359&amp;", " &amp; N360,IF(N360 =0,"",N360) )</f>
        <v/>
      </c>
    </row>
    <row r="360" spans="13:14" x14ac:dyDescent="0.25">
      <c r="M360">
        <v>323</v>
      </c>
      <c r="N360" t="str">
        <f>IF(Book1!C326&gt;0,M360&amp;", " &amp; N361,IF(N361 =0,"",N361) )</f>
        <v/>
      </c>
    </row>
    <row r="361" spans="13:14" x14ac:dyDescent="0.25">
      <c r="M361">
        <v>324</v>
      </c>
      <c r="N361" t="str">
        <f>IF(Book1!C327&gt;0,M361&amp;", " &amp; N362,IF(N362 =0,"",N362) )</f>
        <v/>
      </c>
    </row>
    <row r="362" spans="13:14" x14ac:dyDescent="0.25">
      <c r="M362">
        <v>325</v>
      </c>
      <c r="N362" t="str">
        <f>IF(Book1!C328&gt;0,M362&amp;", " &amp; N363,IF(N363 =0,"",N363) )</f>
        <v/>
      </c>
    </row>
    <row r="363" spans="13:14" x14ac:dyDescent="0.25">
      <c r="M363">
        <v>326</v>
      </c>
      <c r="N363" t="str">
        <f>IF(Book1!C329&gt;0,M363&amp;", " &amp; N364,IF(N364 =0,"",N364) )</f>
        <v/>
      </c>
    </row>
    <row r="364" spans="13:14" x14ac:dyDescent="0.25">
      <c r="M364">
        <v>327</v>
      </c>
      <c r="N364" t="str">
        <f>IF(Book1!C330&gt;0,M364&amp;", " &amp; N365,IF(N365 =0,"",N365) )</f>
        <v/>
      </c>
    </row>
    <row r="365" spans="13:14" x14ac:dyDescent="0.25">
      <c r="M365">
        <v>328</v>
      </c>
      <c r="N365" t="str">
        <f>IF(Book1!C331&gt;0,M365&amp;", " &amp; N366,IF(N366 =0,"",N366) )</f>
        <v/>
      </c>
    </row>
    <row r="366" spans="13:14" x14ac:dyDescent="0.25">
      <c r="M366">
        <v>329</v>
      </c>
      <c r="N366" t="str">
        <f>IF(Book1!C332&gt;0,M366&amp;", " &amp; N367,IF(N367 =0,"",N367) )</f>
        <v/>
      </c>
    </row>
    <row r="367" spans="13:14" x14ac:dyDescent="0.25">
      <c r="M367">
        <v>330</v>
      </c>
      <c r="N367" t="str">
        <f>IF(Book1!C333&gt;0,M367&amp;", " &amp; N368,IF(N368 =0,"",N368) )</f>
        <v/>
      </c>
    </row>
    <row r="368" spans="13:14" x14ac:dyDescent="0.25">
      <c r="M368">
        <v>331</v>
      </c>
      <c r="N368" t="str">
        <f>IF(Book1!C334&gt;0,M368&amp;", " &amp; N369,IF(N369 =0,"",N369) )</f>
        <v/>
      </c>
    </row>
    <row r="369" spans="13:14" x14ac:dyDescent="0.25">
      <c r="M369">
        <v>332</v>
      </c>
      <c r="N369" t="str">
        <f>IF(Book1!C335&gt;0,M369&amp;", " &amp; N370,IF(N370 =0,"",N370) )</f>
        <v/>
      </c>
    </row>
    <row r="370" spans="13:14" x14ac:dyDescent="0.25">
      <c r="M370">
        <v>333</v>
      </c>
      <c r="N370" t="str">
        <f>IF(Book1!C336&gt;0,M370&amp;", " &amp; N371,IF(N371 =0,"",N371) )</f>
        <v/>
      </c>
    </row>
    <row r="371" spans="13:14" x14ac:dyDescent="0.25">
      <c r="M371">
        <v>334</v>
      </c>
      <c r="N371" t="str">
        <f>IF(Book1!C337&gt;0,M371&amp;", " &amp; N372,IF(N372 =0,"",N372) )</f>
        <v/>
      </c>
    </row>
    <row r="372" spans="13:14" x14ac:dyDescent="0.25">
      <c r="M372">
        <v>335</v>
      </c>
      <c r="N372" t="str">
        <f>IF(Book1!C338&gt;0,M372&amp;", " &amp; N373,IF(N373 =0,"",N373) )</f>
        <v/>
      </c>
    </row>
    <row r="373" spans="13:14" x14ac:dyDescent="0.25">
      <c r="M373">
        <v>336</v>
      </c>
      <c r="N373" t="str">
        <f>IF(Book1!C339&gt;0,M373&amp;", " &amp; N374,IF(N374 =0,"",N374) )</f>
        <v/>
      </c>
    </row>
    <row r="374" spans="13:14" x14ac:dyDescent="0.25">
      <c r="M374">
        <v>337</v>
      </c>
      <c r="N374" t="str">
        <f>IF(Book1!C340&gt;0,M374&amp;", " &amp; N375,IF(N375 =0,"",N375) )</f>
        <v/>
      </c>
    </row>
    <row r="375" spans="13:14" x14ac:dyDescent="0.25">
      <c r="M375">
        <v>338</v>
      </c>
      <c r="N375" t="str">
        <f>IF(Book1!C341&gt;0,M375&amp;", " &amp; N376,IF(N376 =0,"",N376) )</f>
        <v/>
      </c>
    </row>
    <row r="376" spans="13:14" x14ac:dyDescent="0.25">
      <c r="M376">
        <v>339</v>
      </c>
      <c r="N376" t="str">
        <f>IF(Book1!C342&gt;0,M376&amp;", " &amp; N377,IF(N377 =0,"",N377) )</f>
        <v/>
      </c>
    </row>
    <row r="377" spans="13:14" x14ac:dyDescent="0.25">
      <c r="M377">
        <v>340</v>
      </c>
      <c r="N377" t="str">
        <f>IF(Book1!C343&gt;0,M377&amp;", " &amp; N378,IF(N378 =0,"",N378) )</f>
        <v/>
      </c>
    </row>
    <row r="378" spans="13:14" x14ac:dyDescent="0.25">
      <c r="M378">
        <v>341</v>
      </c>
      <c r="N378" t="str">
        <f>IF(Book1!C344&gt;0,M378&amp;", " &amp; N379,IF(N379 =0,"",N379) )</f>
        <v/>
      </c>
    </row>
    <row r="379" spans="13:14" x14ac:dyDescent="0.25">
      <c r="M379">
        <v>342</v>
      </c>
      <c r="N379" t="str">
        <f>IF(Book1!C345&gt;0,M379&amp;", " &amp; N380,IF(N380 =0,"",N380) )</f>
        <v/>
      </c>
    </row>
    <row r="380" spans="13:14" x14ac:dyDescent="0.25">
      <c r="M380">
        <v>343</v>
      </c>
      <c r="N380" t="str">
        <f>IF(Book1!C346&gt;0,M380&amp;", " &amp; N381,IF(N381 =0,"",N381) )</f>
        <v/>
      </c>
    </row>
    <row r="381" spans="13:14" x14ac:dyDescent="0.25">
      <c r="M381">
        <v>344</v>
      </c>
      <c r="N381" t="str">
        <f>IF(Book1!C347&gt;0,M381&amp;", " &amp; N382,IF(N382 =0,"",N382) )</f>
        <v/>
      </c>
    </row>
    <row r="382" spans="13:14" x14ac:dyDescent="0.25">
      <c r="M382">
        <v>345</v>
      </c>
      <c r="N382" t="str">
        <f>IF(Book1!C348&gt;0,M382&amp;", " &amp; N383,IF(N383 =0,"",N383) )</f>
        <v/>
      </c>
    </row>
    <row r="383" spans="13:14" x14ac:dyDescent="0.25">
      <c r="M383">
        <v>346</v>
      </c>
      <c r="N383" t="str">
        <f>IF(Book1!C349&gt;0,M383&amp;", " &amp; N384,IF(N384 =0,"",N384) )</f>
        <v/>
      </c>
    </row>
    <row r="384" spans="13:14" x14ac:dyDescent="0.25">
      <c r="M384">
        <v>347</v>
      </c>
      <c r="N384" t="str">
        <f>IF(Book1!C350&gt;0,M384&amp;", " &amp; N385,IF(N385 =0,"",N385) )</f>
        <v/>
      </c>
    </row>
    <row r="385" spans="13:14" x14ac:dyDescent="0.25">
      <c r="M385">
        <v>348</v>
      </c>
      <c r="N385" t="str">
        <f>IF(Book1!C351&gt;0,M385&amp;", " &amp; N386,IF(N386 =0,"",N386) )</f>
        <v/>
      </c>
    </row>
    <row r="386" spans="13:14" x14ac:dyDescent="0.25">
      <c r="M386">
        <v>349</v>
      </c>
      <c r="N386" t="str">
        <f>IF(Book1!C352&gt;0,M386&amp;", " &amp; N387,IF(N387 =0,"",N387) )</f>
        <v/>
      </c>
    </row>
    <row r="387" spans="13:14" x14ac:dyDescent="0.25">
      <c r="M387">
        <v>350</v>
      </c>
      <c r="N387" t="str">
        <f>IF(Book1!C353&gt;0,M387&amp;", " &amp; N388,IF(N388 =0,"",N388) )</f>
        <v/>
      </c>
    </row>
    <row r="388" spans="13:14" x14ac:dyDescent="0.25">
      <c r="M388">
        <v>351</v>
      </c>
      <c r="N388" t="str">
        <f>IF(Book1!C354&gt;0,M388&amp;", " &amp; N389,IF(N389 =0,"",N389) )</f>
        <v/>
      </c>
    </row>
    <row r="389" spans="13:14" x14ac:dyDescent="0.25">
      <c r="M389">
        <v>352</v>
      </c>
      <c r="N389" t="str">
        <f>IF(Book1!C355&gt;0,M389&amp;", " &amp; N390,IF(N390 =0,"",N390) )</f>
        <v/>
      </c>
    </row>
    <row r="390" spans="13:14" x14ac:dyDescent="0.25">
      <c r="M390">
        <v>353</v>
      </c>
      <c r="N390" t="str">
        <f>IF(Book1!C356&gt;0,M390&amp;", " &amp; N391,IF(N391 =0,"",N391) )</f>
        <v/>
      </c>
    </row>
    <row r="391" spans="13:14" x14ac:dyDescent="0.25">
      <c r="M391">
        <v>354</v>
      </c>
      <c r="N391" t="str">
        <f>IF(Book1!C357&gt;0,M391&amp;", " &amp; N392,IF(N392 =0,"",N392) )</f>
        <v/>
      </c>
    </row>
    <row r="392" spans="13:14" x14ac:dyDescent="0.25">
      <c r="M392">
        <v>355</v>
      </c>
      <c r="N392" t="str">
        <f>IF(Book1!C358&gt;0,M392&amp;", " &amp; N393,IF(N393 =0,"",N393) )</f>
        <v/>
      </c>
    </row>
    <row r="393" spans="13:14" x14ac:dyDescent="0.25">
      <c r="M393">
        <v>356</v>
      </c>
      <c r="N393" t="str">
        <f>IF(Book1!C359&gt;0,M393&amp;", " &amp; N394,IF(N394 =0,"",N394) )</f>
        <v/>
      </c>
    </row>
    <row r="394" spans="13:14" x14ac:dyDescent="0.25">
      <c r="M394">
        <v>357</v>
      </c>
      <c r="N394" t="str">
        <f>IF(Book1!C360&gt;0,M394&amp;", " &amp; N395,IF(N395 =0,"",N395) )</f>
        <v/>
      </c>
    </row>
    <row r="395" spans="13:14" x14ac:dyDescent="0.25">
      <c r="M395">
        <v>358</v>
      </c>
      <c r="N395" t="str">
        <f>IF(Book1!C361&gt;0,M395&amp;", " &amp; N396,IF(N396 =0,"",N396) )</f>
        <v/>
      </c>
    </row>
    <row r="396" spans="13:14" x14ac:dyDescent="0.25">
      <c r="M396">
        <v>359</v>
      </c>
      <c r="N396" t="str">
        <f>IF(Book1!C362&gt;0,M396&amp;", " &amp; N397,IF(N397 =0,"",N397) )</f>
        <v/>
      </c>
    </row>
    <row r="397" spans="13:14" x14ac:dyDescent="0.25">
      <c r="M397">
        <v>360</v>
      </c>
      <c r="N397" t="str">
        <f>IF(Book1!C363&gt;0,M397&amp;", " &amp; N398,IF(N398 =0,"",N398) )</f>
        <v/>
      </c>
    </row>
    <row r="398" spans="13:14" x14ac:dyDescent="0.25">
      <c r="M398">
        <v>361</v>
      </c>
      <c r="N398" t="str">
        <f>IF(Book1!C364&gt;0,M398&amp;", " &amp; N399,IF(N399 =0,"",N399) )</f>
        <v/>
      </c>
    </row>
    <row r="399" spans="13:14" x14ac:dyDescent="0.25">
      <c r="M399">
        <v>362</v>
      </c>
      <c r="N399" t="str">
        <f>IF(Book1!C365&gt;0,M399&amp;", " &amp; N400,IF(N400 =0,"",N400) )</f>
        <v/>
      </c>
    </row>
    <row r="400" spans="13:14" x14ac:dyDescent="0.25">
      <c r="M400">
        <v>363</v>
      </c>
      <c r="N400" t="str">
        <f>IF(Book1!C366&gt;0,M400&amp;", " &amp; N401,IF(N401 =0,"",N401) )</f>
        <v/>
      </c>
    </row>
    <row r="401" spans="13:14" x14ac:dyDescent="0.25">
      <c r="M401">
        <v>364</v>
      </c>
      <c r="N401" t="str">
        <f>IF(Book1!C367&gt;0,M401&amp;", " &amp; N402,IF(N402 =0,"",N402) )</f>
        <v/>
      </c>
    </row>
    <row r="402" spans="13:14" x14ac:dyDescent="0.25">
      <c r="M402">
        <v>365</v>
      </c>
      <c r="N402" t="str">
        <f>IF(Book1!C368&gt;0,M402&amp;", " &amp; N403,IF(N403 =0,"",N403) )</f>
        <v/>
      </c>
    </row>
    <row r="403" spans="13:14" x14ac:dyDescent="0.25">
      <c r="M403">
        <v>366</v>
      </c>
      <c r="N403" t="str">
        <f>IF(Book1!C369&gt;0,M403&amp;", " &amp; N404,IF(N404 =0,"",N404) )</f>
        <v/>
      </c>
    </row>
    <row r="404" spans="13:14" x14ac:dyDescent="0.25">
      <c r="M404">
        <v>367</v>
      </c>
      <c r="N404" t="str">
        <f>IF(Book1!C370&gt;0,M404&amp;", " &amp; N405,IF(N405 =0,"",N405) )</f>
        <v/>
      </c>
    </row>
    <row r="405" spans="13:14" x14ac:dyDescent="0.25">
      <c r="M405">
        <v>368</v>
      </c>
      <c r="N405" t="str">
        <f>IF(Book1!C371&gt;0,M405&amp;", " &amp; N406,IF(N406 =0,"",N406) )</f>
        <v/>
      </c>
    </row>
    <row r="406" spans="13:14" x14ac:dyDescent="0.25">
      <c r="M406">
        <v>369</v>
      </c>
      <c r="N406" t="str">
        <f>IF(Book1!C372&gt;0,M406&amp;", " &amp; N407,IF(N407 =0,"",N407) )</f>
        <v/>
      </c>
    </row>
    <row r="407" spans="13:14" x14ac:dyDescent="0.25">
      <c r="M407">
        <v>370</v>
      </c>
      <c r="N407" t="str">
        <f>IF(Book1!C373&gt;0,M407&amp;", " &amp; N408,IF(N408 =0,"",N408) )</f>
        <v/>
      </c>
    </row>
    <row r="408" spans="13:14" x14ac:dyDescent="0.25">
      <c r="M408">
        <v>371</v>
      </c>
      <c r="N408" t="str">
        <f>IF(Book1!C374&gt;0,M408&amp;", " &amp; N409,IF(N409 =0,"",N409) )</f>
        <v/>
      </c>
    </row>
    <row r="409" spans="13:14" x14ac:dyDescent="0.25">
      <c r="M409">
        <v>372</v>
      </c>
      <c r="N409" t="str">
        <f>IF(Book1!C375&gt;0,M409&amp;", " &amp; N410,IF(N410 =0,"",N410) )</f>
        <v/>
      </c>
    </row>
    <row r="410" spans="13:14" x14ac:dyDescent="0.25">
      <c r="M410">
        <v>373</v>
      </c>
      <c r="N410" t="str">
        <f>IF(Book1!C376&gt;0,M410&amp;", " &amp; N411,IF(N411 =0,"",N411) )</f>
        <v/>
      </c>
    </row>
    <row r="411" spans="13:14" x14ac:dyDescent="0.25">
      <c r="M411">
        <v>374</v>
      </c>
      <c r="N411" t="str">
        <f>IF(Book1!C377&gt;0,M411&amp;", " &amp; N412,IF(N412 =0,"",N412) )</f>
        <v/>
      </c>
    </row>
    <row r="412" spans="13:14" x14ac:dyDescent="0.25">
      <c r="M412">
        <v>375</v>
      </c>
      <c r="N412" t="str">
        <f>IF(Book1!C378&gt;0,M412&amp;", " &amp; N413,IF(N413 =0,"",N413) )</f>
        <v/>
      </c>
    </row>
    <row r="413" spans="13:14" x14ac:dyDescent="0.25">
      <c r="M413">
        <v>376</v>
      </c>
      <c r="N413" t="str">
        <f>IF(Book1!C379&gt;0,M413&amp;", " &amp; N414,IF(N414 =0,"",N414) )</f>
        <v/>
      </c>
    </row>
    <row r="414" spans="13:14" x14ac:dyDescent="0.25">
      <c r="M414">
        <v>377</v>
      </c>
      <c r="N414" t="str">
        <f>IF(Book1!C380&gt;0,M414&amp;", " &amp; N415,IF(N415 =0,"",N415) )</f>
        <v/>
      </c>
    </row>
    <row r="415" spans="13:14" x14ac:dyDescent="0.25">
      <c r="M415">
        <v>378</v>
      </c>
      <c r="N415" t="str">
        <f>IF(Book1!C381&gt;0,M415&amp;", " &amp; N416,IF(N416 =0,"",N416) )</f>
        <v/>
      </c>
    </row>
    <row r="416" spans="13:14" x14ac:dyDescent="0.25">
      <c r="M416">
        <v>379</v>
      </c>
      <c r="N416" t="str">
        <f>IF(Book1!C382&gt;0,M416&amp;", " &amp; N417,IF(N417 =0,"",N417) )</f>
        <v/>
      </c>
    </row>
    <row r="417" spans="13:14" x14ac:dyDescent="0.25">
      <c r="M417">
        <v>380</v>
      </c>
      <c r="N417" t="str">
        <f>IF(Book1!C383&gt;0,M417&amp;", " &amp; N418,IF(N418 =0,"",N418) )</f>
        <v/>
      </c>
    </row>
    <row r="418" spans="13:14" x14ac:dyDescent="0.25">
      <c r="M418">
        <v>381</v>
      </c>
      <c r="N418" t="str">
        <f>IF(Book1!C384&gt;0,M418&amp;", " &amp; N419,IF(N419 =0,"",N419) )</f>
        <v/>
      </c>
    </row>
    <row r="419" spans="13:14" x14ac:dyDescent="0.25">
      <c r="M419">
        <v>382</v>
      </c>
      <c r="N419" t="str">
        <f>IF(Book1!C385&gt;0,M419&amp;", " &amp; N420,IF(N420 =0,"",N420) )</f>
        <v/>
      </c>
    </row>
    <row r="420" spans="13:14" x14ac:dyDescent="0.25">
      <c r="M420">
        <v>383</v>
      </c>
      <c r="N420" t="str">
        <f>IF(Book1!C386&gt;0,M420&amp;", " &amp; N421,IF(N421 =0,"",N421) )</f>
        <v/>
      </c>
    </row>
    <row r="421" spans="13:14" x14ac:dyDescent="0.25">
      <c r="M421">
        <v>384</v>
      </c>
      <c r="N421" t="str">
        <f>IF(Book1!C387&gt;0,M421&amp;", " &amp; N422,IF(N422 =0,"",N422) )</f>
        <v/>
      </c>
    </row>
    <row r="422" spans="13:14" x14ac:dyDescent="0.25">
      <c r="M422">
        <v>385</v>
      </c>
      <c r="N422" t="str">
        <f>IF(Book1!C388&gt;0,M422&amp;", " &amp; N423,IF(N423 =0,"",N423) )</f>
        <v/>
      </c>
    </row>
    <row r="423" spans="13:14" x14ac:dyDescent="0.25">
      <c r="M423">
        <v>386</v>
      </c>
      <c r="N423" t="str">
        <f>IF(Book1!C389&gt;0,M423&amp;", " &amp; N424,IF(N424 =0,"",N424) )</f>
        <v/>
      </c>
    </row>
    <row r="424" spans="13:14" x14ac:dyDescent="0.25">
      <c r="M424">
        <v>387</v>
      </c>
      <c r="N424" t="str">
        <f>IF(Book1!C390&gt;0,M424&amp;", " &amp; N425,IF(N425 =0,"",N425) )</f>
        <v/>
      </c>
    </row>
    <row r="425" spans="13:14" x14ac:dyDescent="0.25">
      <c r="M425">
        <v>388</v>
      </c>
      <c r="N425" t="str">
        <f>IF(Book1!C391&gt;0,M425&amp;", " &amp; N426,IF(N426 =0,"",N426) )</f>
        <v/>
      </c>
    </row>
    <row r="426" spans="13:14" x14ac:dyDescent="0.25">
      <c r="M426">
        <v>389</v>
      </c>
      <c r="N426" t="str">
        <f>IF(Book1!C392&gt;0,M426&amp;", " &amp; N427,IF(N427 =0,"",N427) )</f>
        <v/>
      </c>
    </row>
    <row r="427" spans="13:14" x14ac:dyDescent="0.25">
      <c r="M427">
        <v>390</v>
      </c>
      <c r="N427" t="str">
        <f>IF(Book1!C393&gt;0,M427&amp;", " &amp; N428,IF(N428 =0,"",N428) )</f>
        <v/>
      </c>
    </row>
    <row r="428" spans="13:14" x14ac:dyDescent="0.25">
      <c r="M428">
        <v>391</v>
      </c>
      <c r="N428" t="str">
        <f>IF(Book1!C394&gt;0,M428&amp;", " &amp; N429,IF(N429 =0,"",N429) )</f>
        <v/>
      </c>
    </row>
    <row r="429" spans="13:14" x14ac:dyDescent="0.25">
      <c r="M429">
        <v>392</v>
      </c>
      <c r="N429" t="str">
        <f>IF(Book1!C395&gt;0,M429&amp;", " &amp; N430,IF(N430 =0,"",N430) )</f>
        <v/>
      </c>
    </row>
    <row r="430" spans="13:14" x14ac:dyDescent="0.25">
      <c r="M430">
        <v>393</v>
      </c>
      <c r="N430" t="str">
        <f>IF(Book1!C396&gt;0,M430&amp;", " &amp; N431,IF(N431 =0,"",N431) )</f>
        <v/>
      </c>
    </row>
    <row r="431" spans="13:14" x14ac:dyDescent="0.25">
      <c r="M431">
        <v>394</v>
      </c>
      <c r="N431" t="str">
        <f>IF(Book1!C397&gt;0,M431&amp;", " &amp; N432,IF(N432 =0,"",N432) )</f>
        <v/>
      </c>
    </row>
    <row r="432" spans="13:14" x14ac:dyDescent="0.25">
      <c r="M432">
        <v>395</v>
      </c>
      <c r="N432" t="str">
        <f>IF(Book1!C398&gt;0,M432&amp;", " &amp; N433,IF(N433 =0,"",N433) )</f>
        <v/>
      </c>
    </row>
    <row r="433" spans="13:14" x14ac:dyDescent="0.25">
      <c r="M433">
        <v>396</v>
      </c>
      <c r="N433" t="str">
        <f>IF(Book1!C399&gt;0,M433&amp;", " &amp; N434,IF(N434 =0,"",N434) )</f>
        <v/>
      </c>
    </row>
    <row r="434" spans="13:14" x14ac:dyDescent="0.25">
      <c r="M434">
        <v>397</v>
      </c>
      <c r="N434" t="str">
        <f>IF(Book1!C400&gt;0,M434&amp;", " &amp; N435,IF(N435 =0,"",N435) )</f>
        <v/>
      </c>
    </row>
    <row r="435" spans="13:14" x14ac:dyDescent="0.25">
      <c r="M435">
        <v>398</v>
      </c>
      <c r="N435" t="str">
        <f>IF(Book1!C401&gt;0,M435&amp;", " &amp; N436,IF(N436 =0,"",N436) )</f>
        <v/>
      </c>
    </row>
    <row r="436" spans="13:14" x14ac:dyDescent="0.25">
      <c r="M436">
        <v>399</v>
      </c>
      <c r="N436" t="str">
        <f>IF(Book1!C402&gt;0,M436&amp;", " &amp; N437,IF(N437 =0,"",N437) )</f>
        <v/>
      </c>
    </row>
    <row r="437" spans="13:14" x14ac:dyDescent="0.25">
      <c r="M437">
        <v>400</v>
      </c>
      <c r="N437" t="str">
        <f>IF(Book1!C403&gt;0,M437&amp;", " &amp; N438,IF(N438 =0,"",N438) )</f>
        <v/>
      </c>
    </row>
    <row r="438" spans="13:14" x14ac:dyDescent="0.25">
      <c r="M438">
        <v>401</v>
      </c>
      <c r="N438" t="str">
        <f>IF(Book1!C404&gt;0,M438&amp;", " &amp; N439,IF(N439 =0,"",N439) )</f>
        <v/>
      </c>
    </row>
    <row r="439" spans="13:14" x14ac:dyDescent="0.25">
      <c r="M439">
        <v>402</v>
      </c>
      <c r="N439" t="str">
        <f>IF(Book1!C405&gt;0,M439&amp;", " &amp; N440,IF(N440 =0,"",N440) )</f>
        <v/>
      </c>
    </row>
    <row r="440" spans="13:14" x14ac:dyDescent="0.25">
      <c r="M440">
        <v>403</v>
      </c>
      <c r="N440" t="str">
        <f>IF(Book1!C406&gt;0,M440&amp;", " &amp; N441,IF(N441 =0,"",N441) )</f>
        <v/>
      </c>
    </row>
    <row r="441" spans="13:14" x14ac:dyDescent="0.25">
      <c r="M441">
        <v>404</v>
      </c>
      <c r="N441" t="str">
        <f>IF(Book1!C407&gt;0,M441&amp;", " &amp; N442,IF(N442 =0,"",N442) )</f>
        <v/>
      </c>
    </row>
    <row r="442" spans="13:14" x14ac:dyDescent="0.25">
      <c r="M442">
        <v>405</v>
      </c>
      <c r="N442" t="str">
        <f>IF(Book1!C408&gt;0,M442&amp;", " &amp; N443,IF(N443 =0,"",N443) )</f>
        <v/>
      </c>
    </row>
    <row r="443" spans="13:14" x14ac:dyDescent="0.25">
      <c r="M443">
        <v>406</v>
      </c>
      <c r="N443" t="str">
        <f>IF(Book1!C409&gt;0,M443&amp;", " &amp; N444,IF(N444 =0,"",N444) )</f>
        <v/>
      </c>
    </row>
    <row r="444" spans="13:14" x14ac:dyDescent="0.25">
      <c r="M444">
        <v>407</v>
      </c>
      <c r="N444" t="str">
        <f>IF(Book1!C410&gt;0,M444&amp;", " &amp; N445,IF(N445 =0,"",N445) )</f>
        <v/>
      </c>
    </row>
    <row r="445" spans="13:14" x14ac:dyDescent="0.25">
      <c r="M445">
        <v>408</v>
      </c>
      <c r="N445" t="str">
        <f>IF(Book1!C411&gt;0,M445&amp;", " &amp; N446,IF(N446 =0,"",N446) )</f>
        <v/>
      </c>
    </row>
    <row r="446" spans="13:14" x14ac:dyDescent="0.25">
      <c r="M446">
        <v>409</v>
      </c>
      <c r="N446" t="str">
        <f>IF(Book1!C412&gt;0,M446&amp;", " &amp; N447,IF(N447 =0,"",N447) )</f>
        <v/>
      </c>
    </row>
    <row r="447" spans="13:14" x14ac:dyDescent="0.25">
      <c r="M447">
        <v>410</v>
      </c>
      <c r="N447" t="str">
        <f>IF(Book1!C413&gt;0,M447&amp;", " &amp; N448,IF(N448 =0,"",N448) )</f>
        <v/>
      </c>
    </row>
    <row r="448" spans="13:14" x14ac:dyDescent="0.25">
      <c r="M448">
        <v>411</v>
      </c>
      <c r="N448" t="str">
        <f>IF(Book1!C414&gt;0,M448&amp;", " &amp; N449,IF(N449 =0,"",N449) )</f>
        <v/>
      </c>
    </row>
    <row r="449" spans="13:14" x14ac:dyDescent="0.25">
      <c r="M449">
        <v>412</v>
      </c>
      <c r="N449" t="str">
        <f>IF(Book1!C415&gt;0,M449&amp;", " &amp; N450,IF(N450 =0,"",N450) )</f>
        <v/>
      </c>
    </row>
    <row r="450" spans="13:14" x14ac:dyDescent="0.25">
      <c r="M450">
        <v>413</v>
      </c>
      <c r="N450" t="str">
        <f>IF(Book1!C416&gt;0,M450&amp;", " &amp; N451,IF(N451 =0,"",N451) )</f>
        <v/>
      </c>
    </row>
    <row r="451" spans="13:14" x14ac:dyDescent="0.25">
      <c r="M451">
        <v>414</v>
      </c>
      <c r="N451" t="str">
        <f>IF(Book1!C417&gt;0,M451&amp;", " &amp; N452,IF(N452 =0,"",N452) )</f>
        <v/>
      </c>
    </row>
    <row r="452" spans="13:14" x14ac:dyDescent="0.25">
      <c r="M452">
        <v>415</v>
      </c>
      <c r="N452" t="str">
        <f>IF(Book1!C418&gt;0,M452&amp;", " &amp; N453,IF(N453 =0,"",N453) )</f>
        <v/>
      </c>
    </row>
    <row r="453" spans="13:14" x14ac:dyDescent="0.25">
      <c r="M453">
        <v>416</v>
      </c>
      <c r="N453" t="str">
        <f>IF(Book1!C419&gt;0,M453&amp;", " &amp; N454,IF(N454 =0,"",N454) )</f>
        <v/>
      </c>
    </row>
    <row r="454" spans="13:14" x14ac:dyDescent="0.25">
      <c r="M454">
        <v>417</v>
      </c>
      <c r="N454" t="str">
        <f>IF(Book1!C420&gt;0,M454&amp;", " &amp; N455,IF(N455 =0,"",N455) )</f>
        <v/>
      </c>
    </row>
    <row r="455" spans="13:14" x14ac:dyDescent="0.25">
      <c r="M455">
        <v>418</v>
      </c>
      <c r="N455" t="str">
        <f>IF(Book1!C421&gt;0,M455&amp;", " &amp; N456,IF(N456 =0,"",N456) )</f>
        <v/>
      </c>
    </row>
    <row r="456" spans="13:14" x14ac:dyDescent="0.25">
      <c r="M456">
        <v>419</v>
      </c>
      <c r="N456" t="str">
        <f>IF(Book1!C422&gt;0,M456&amp;", " &amp; N457,IF(N457 =0,"",N457) )</f>
        <v/>
      </c>
    </row>
    <row r="457" spans="13:14" x14ac:dyDescent="0.25">
      <c r="M457">
        <v>420</v>
      </c>
      <c r="N457" t="str">
        <f>IF(Book1!C423&gt;0,M457&amp;", " &amp; N458,IF(N458 =0,"",N458) )</f>
        <v/>
      </c>
    </row>
    <row r="458" spans="13:14" x14ac:dyDescent="0.25">
      <c r="M458">
        <v>421</v>
      </c>
      <c r="N458" t="str">
        <f>IF(Book1!C424&gt;0,M458&amp;", " &amp; N459,IF(N459 =0,"",N459) )</f>
        <v/>
      </c>
    </row>
    <row r="459" spans="13:14" x14ac:dyDescent="0.25">
      <c r="M459">
        <v>422</v>
      </c>
      <c r="N459" t="str">
        <f>IF(Book1!C425&gt;0,M459&amp;", " &amp; N460,IF(N460 =0,"",N460) )</f>
        <v/>
      </c>
    </row>
    <row r="460" spans="13:14" x14ac:dyDescent="0.25">
      <c r="M460">
        <v>423</v>
      </c>
      <c r="N460" t="str">
        <f>IF(Book1!C426&gt;0,M460&amp;", " &amp; N461,IF(N461 =0,"",N461) )</f>
        <v/>
      </c>
    </row>
    <row r="461" spans="13:14" x14ac:dyDescent="0.25">
      <c r="M461">
        <v>424</v>
      </c>
      <c r="N461" t="str">
        <f>IF(Book1!C427&gt;0,M461&amp;", " &amp; N462,IF(N462 =0,"",N462) )</f>
        <v/>
      </c>
    </row>
    <row r="462" spans="13:14" x14ac:dyDescent="0.25">
      <c r="M462">
        <v>425</v>
      </c>
      <c r="N462" t="str">
        <f>IF(Book1!C428&gt;0,M462&amp;", " &amp; N463,IF(N463 =0,"",N463) )</f>
        <v/>
      </c>
    </row>
    <row r="463" spans="13:14" x14ac:dyDescent="0.25">
      <c r="M463">
        <v>426</v>
      </c>
      <c r="N463" t="str">
        <f>IF(Book1!C429&gt;0,M463&amp;", " &amp; N464,IF(N464 =0,"",N464) )</f>
        <v/>
      </c>
    </row>
    <row r="464" spans="13:14" x14ac:dyDescent="0.25">
      <c r="M464">
        <v>427</v>
      </c>
      <c r="N464" t="str">
        <f>IF(Book1!C430&gt;0,M464&amp;", " &amp; N465,IF(N465 =0,"",N465) )</f>
        <v/>
      </c>
    </row>
    <row r="465" spans="13:14" x14ac:dyDescent="0.25">
      <c r="M465">
        <v>428</v>
      </c>
      <c r="N465" t="str">
        <f>IF(Book1!C431&gt;0,M465&amp;", " &amp; N466,IF(N466 =0,"",N466) )</f>
        <v/>
      </c>
    </row>
    <row r="466" spans="13:14" x14ac:dyDescent="0.25">
      <c r="M466">
        <v>429</v>
      </c>
      <c r="N466" t="str">
        <f>IF(Book1!C432&gt;0,M466&amp;", " &amp; N467,IF(N467 =0,"",N467) )</f>
        <v/>
      </c>
    </row>
    <row r="467" spans="13:14" x14ac:dyDescent="0.25">
      <c r="M467">
        <v>430</v>
      </c>
      <c r="N467" t="str">
        <f>IF(Book1!C433&gt;0,M467&amp;", " &amp; N468,IF(N468 =0,"",N468) )</f>
        <v/>
      </c>
    </row>
    <row r="468" spans="13:14" x14ac:dyDescent="0.25">
      <c r="M468">
        <v>431</v>
      </c>
      <c r="N468" t="str">
        <f>IF(Book1!C434&gt;0,M468&amp;", " &amp; N469,IF(N469 =0,"",N469) )</f>
        <v/>
      </c>
    </row>
    <row r="469" spans="13:14" x14ac:dyDescent="0.25">
      <c r="M469">
        <v>432</v>
      </c>
      <c r="N469" t="str">
        <f>IF(Book1!C435&gt;0,M469&amp;", " &amp; N470,IF(N470 =0,"",N470) )</f>
        <v/>
      </c>
    </row>
    <row r="470" spans="13:14" x14ac:dyDescent="0.25">
      <c r="M470">
        <v>433</v>
      </c>
      <c r="N470" t="str">
        <f>IF(Book1!C436&gt;0,M470&amp;", " &amp; N471,IF(N471 =0,"",N471) )</f>
        <v/>
      </c>
    </row>
    <row r="471" spans="13:14" x14ac:dyDescent="0.25">
      <c r="M471">
        <v>434</v>
      </c>
      <c r="N471" t="str">
        <f>IF(Book1!C437&gt;0,M471&amp;", " &amp; N472,IF(N472 =0,"",N472) )</f>
        <v/>
      </c>
    </row>
    <row r="472" spans="13:14" x14ac:dyDescent="0.25">
      <c r="M472">
        <v>435</v>
      </c>
      <c r="N472" t="str">
        <f>IF(Book1!C438&gt;0,M472&amp;", " &amp; N473,IF(N473 =0,"",N473) )</f>
        <v/>
      </c>
    </row>
    <row r="473" spans="13:14" x14ac:dyDescent="0.25">
      <c r="M473">
        <v>436</v>
      </c>
      <c r="N473" t="str">
        <f>IF(Book1!C439&gt;0,M473&amp;", " &amp; N474,IF(N474 =0,"",N474) )</f>
        <v/>
      </c>
    </row>
    <row r="474" spans="13:14" x14ac:dyDescent="0.25">
      <c r="M474">
        <v>437</v>
      </c>
      <c r="N474" t="str">
        <f>IF(Book1!C440&gt;0,M474&amp;", " &amp; N475,IF(N475 =0,"",N475) )</f>
        <v/>
      </c>
    </row>
    <row r="475" spans="13:14" x14ac:dyDescent="0.25">
      <c r="M475">
        <v>438</v>
      </c>
      <c r="N475" t="str">
        <f>IF(Book1!C441&gt;0,M475&amp;", " &amp; N476,IF(N476 =0,"",N476) )</f>
        <v/>
      </c>
    </row>
    <row r="476" spans="13:14" x14ac:dyDescent="0.25">
      <c r="M476">
        <v>439</v>
      </c>
      <c r="N476" t="str">
        <f>IF(Book1!C442&gt;0,M476&amp;", " &amp; N477,IF(N477 =0,"",N477) )</f>
        <v/>
      </c>
    </row>
    <row r="477" spans="13:14" x14ac:dyDescent="0.25">
      <c r="M477">
        <v>440</v>
      </c>
      <c r="N477" t="str">
        <f>IF(Book1!C443&gt;0,M477&amp;", " &amp; N478,IF(N478 =0,"",N478) )</f>
        <v/>
      </c>
    </row>
    <row r="478" spans="13:14" x14ac:dyDescent="0.25">
      <c r="M478">
        <v>441</v>
      </c>
      <c r="N478" t="str">
        <f>IF(Book1!C444&gt;0,M478&amp;", " &amp; N479,IF(N479 =0,"",N479) )</f>
        <v/>
      </c>
    </row>
    <row r="479" spans="13:14" x14ac:dyDescent="0.25">
      <c r="M479">
        <v>442</v>
      </c>
      <c r="N479" t="str">
        <f>IF(Book1!C445&gt;0,M479&amp;", " &amp; N480,IF(N480 =0,"",N480) )</f>
        <v/>
      </c>
    </row>
    <row r="480" spans="13:14" x14ac:dyDescent="0.25">
      <c r="M480">
        <v>443</v>
      </c>
      <c r="N480" t="str">
        <f>IF(Book1!C446&gt;0,M480&amp;", " &amp; N481,IF(N481 =0,"",N481) )</f>
        <v/>
      </c>
    </row>
    <row r="481" spans="13:14" x14ac:dyDescent="0.25">
      <c r="M481">
        <v>444</v>
      </c>
      <c r="N481" t="str">
        <f>IF(Book1!C447&gt;0,M481&amp;", " &amp; N482,IF(N482 =0,"",N482) )</f>
        <v/>
      </c>
    </row>
    <row r="482" spans="13:14" x14ac:dyDescent="0.25">
      <c r="M482">
        <v>445</v>
      </c>
      <c r="N482" t="str">
        <f>IF(Book1!C448&gt;0,M482&amp;", " &amp; N483,IF(N483 =0,"",N483) )</f>
        <v/>
      </c>
    </row>
    <row r="483" spans="13:14" x14ac:dyDescent="0.25">
      <c r="M483">
        <v>446</v>
      </c>
      <c r="N483" t="str">
        <f>IF(Book1!C449&gt;0,M483&amp;", " &amp; N484,IF(N484 =0,"",N484) )</f>
        <v/>
      </c>
    </row>
    <row r="484" spans="13:14" x14ac:dyDescent="0.25">
      <c r="M484">
        <v>447</v>
      </c>
      <c r="N484" t="str">
        <f>IF(Book1!C450&gt;0,M484&amp;", " &amp; N485,IF(N485 =0,"",N485) )</f>
        <v/>
      </c>
    </row>
    <row r="485" spans="13:14" x14ac:dyDescent="0.25">
      <c r="M485">
        <v>448</v>
      </c>
      <c r="N485" t="str">
        <f>IF(Book1!C451&gt;0,M485&amp;", " &amp; N486,IF(N486 =0,"",N486) )</f>
        <v/>
      </c>
    </row>
    <row r="486" spans="13:14" x14ac:dyDescent="0.25">
      <c r="M486">
        <v>449</v>
      </c>
      <c r="N486" t="str">
        <f>IF(Book1!C452&gt;0,M486&amp;", " &amp; N487,IF(N487 =0,"",N487) )</f>
        <v/>
      </c>
    </row>
    <row r="487" spans="13:14" x14ac:dyDescent="0.25">
      <c r="M487">
        <v>450</v>
      </c>
      <c r="N487" t="str">
        <f>IF(Book1!C453&gt;0,M487&amp;", " &amp; N488,IF(N488 =0,"",N488) )</f>
        <v/>
      </c>
    </row>
    <row r="488" spans="13:14" x14ac:dyDescent="0.25">
      <c r="M488">
        <v>451</v>
      </c>
      <c r="N488" t="str">
        <f>IF(Book1!C454&gt;0,M488&amp;", " &amp; N489,IF(N489 =0,"",N489) )</f>
        <v/>
      </c>
    </row>
    <row r="489" spans="13:14" x14ac:dyDescent="0.25">
      <c r="M489">
        <v>452</v>
      </c>
      <c r="N489" t="str">
        <f>IF(Book1!C455&gt;0,M489&amp;", " &amp; N490,IF(N490 =0,"",N490) )</f>
        <v/>
      </c>
    </row>
    <row r="490" spans="13:14" x14ac:dyDescent="0.25">
      <c r="M490">
        <v>453</v>
      </c>
      <c r="N490" t="str">
        <f>IF(Book1!C456&gt;0,M490&amp;", " &amp; N491,IF(N491 =0,"",N491) )</f>
        <v/>
      </c>
    </row>
    <row r="491" spans="13:14" x14ac:dyDescent="0.25">
      <c r="M491">
        <v>454</v>
      </c>
      <c r="N491" t="str">
        <f>IF(Book1!C457&gt;0,M491&amp;", " &amp; N492,IF(N492 =0,"",N492) )</f>
        <v/>
      </c>
    </row>
    <row r="492" spans="13:14" x14ac:dyDescent="0.25">
      <c r="M492">
        <v>455</v>
      </c>
      <c r="N492" t="str">
        <f>IF(Book1!C458&gt;0,M492&amp;", " &amp; N493,IF(N493 =0,"",N493) )</f>
        <v/>
      </c>
    </row>
    <row r="493" spans="13:14" x14ac:dyDescent="0.25">
      <c r="M493">
        <v>456</v>
      </c>
      <c r="N493" t="str">
        <f>IF(Book1!C459&gt;0,M493&amp;", " &amp; N494,IF(N494 =0,"",N494) )</f>
        <v/>
      </c>
    </row>
    <row r="494" spans="13:14" x14ac:dyDescent="0.25">
      <c r="M494">
        <v>457</v>
      </c>
      <c r="N494" t="str">
        <f>IF(Book1!C460&gt;0,M494&amp;", " &amp; N495,IF(N495 =0,"",N495) )</f>
        <v/>
      </c>
    </row>
    <row r="495" spans="13:14" x14ac:dyDescent="0.25">
      <c r="M495">
        <v>458</v>
      </c>
      <c r="N495" t="str">
        <f>IF(Book1!C461&gt;0,M495&amp;", " &amp; N496,IF(N496 =0,"",N496) )</f>
        <v/>
      </c>
    </row>
    <row r="496" spans="13:14" x14ac:dyDescent="0.25">
      <c r="M496">
        <v>459</v>
      </c>
      <c r="N496" t="str">
        <f>IF(Book1!C462&gt;0,M496&amp;", " &amp; N497,IF(N497 =0,"",N497) )</f>
        <v/>
      </c>
    </row>
    <row r="497" spans="13:14" x14ac:dyDescent="0.25">
      <c r="M497">
        <v>460</v>
      </c>
      <c r="N497" t="str">
        <f>IF(Book1!C463&gt;0,M497&amp;", " &amp; N498,IF(N498 =0,"",N498) )</f>
        <v/>
      </c>
    </row>
    <row r="498" spans="13:14" x14ac:dyDescent="0.25">
      <c r="M498">
        <v>461</v>
      </c>
      <c r="N498" t="str">
        <f>IF(Book1!C464&gt;0,M498&amp;", " &amp; N499,IF(N499 =0,"",N499) )</f>
        <v/>
      </c>
    </row>
    <row r="499" spans="13:14" x14ac:dyDescent="0.25">
      <c r="M499">
        <v>462</v>
      </c>
      <c r="N499" t="str">
        <f>IF(Book1!C465&gt;0,M499&amp;", " &amp; N500,IF(N500 =0,"",N500) )</f>
        <v/>
      </c>
    </row>
    <row r="500" spans="13:14" x14ac:dyDescent="0.25">
      <c r="M500">
        <v>463</v>
      </c>
      <c r="N500" t="str">
        <f>IF(Book1!C466&gt;0,M500&amp;", " &amp; N501,IF(N501 =0,"",N501) )</f>
        <v/>
      </c>
    </row>
    <row r="501" spans="13:14" x14ac:dyDescent="0.25">
      <c r="M501">
        <v>464</v>
      </c>
      <c r="N501" t="str">
        <f>IF(Book1!C467&gt;0,M501&amp;", " &amp; N502,IF(N502 =0,"",N502) )</f>
        <v/>
      </c>
    </row>
    <row r="502" spans="13:14" x14ac:dyDescent="0.25">
      <c r="M502">
        <v>465</v>
      </c>
      <c r="N502" t="str">
        <f>IF(Book1!C468&gt;0,M502&amp;", " &amp; N503,IF(N503 =0,"",N503) )</f>
        <v/>
      </c>
    </row>
    <row r="503" spans="13:14" x14ac:dyDescent="0.25">
      <c r="M503">
        <v>466</v>
      </c>
      <c r="N503" t="str">
        <f>IF(Book1!C469&gt;0,M503&amp;", " &amp; N504,IF(N504 =0,"",N504) )</f>
        <v/>
      </c>
    </row>
    <row r="504" spans="13:14" x14ac:dyDescent="0.25">
      <c r="M504">
        <v>467</v>
      </c>
      <c r="N504" t="str">
        <f>IF(Book1!C470&gt;0,M504&amp;", " &amp; N505,IF(N505 =0,"",N505) )</f>
        <v/>
      </c>
    </row>
    <row r="505" spans="13:14" x14ac:dyDescent="0.25">
      <c r="M505">
        <v>468</v>
      </c>
      <c r="N505" t="str">
        <f>IF(Book1!C471&gt;0,M505&amp;", " &amp; N506,IF(N506 =0,"",N506) )</f>
        <v/>
      </c>
    </row>
    <row r="506" spans="13:14" x14ac:dyDescent="0.25">
      <c r="M506">
        <v>469</v>
      </c>
      <c r="N506" t="str">
        <f>IF(Book1!C472&gt;0,M506&amp;", " &amp; N507,IF(N507 =0,"",N507) )</f>
        <v/>
      </c>
    </row>
    <row r="507" spans="13:14" x14ac:dyDescent="0.25">
      <c r="M507">
        <v>470</v>
      </c>
      <c r="N507" t="str">
        <f>IF(Book1!C473&gt;0,M507&amp;", " &amp; N508,IF(N508 =0,"",N508) )</f>
        <v/>
      </c>
    </row>
    <row r="508" spans="13:14" x14ac:dyDescent="0.25">
      <c r="M508">
        <v>471</v>
      </c>
      <c r="N508" t="str">
        <f>IF(Book1!C474&gt;0,M508&amp;", " &amp; N509,IF(N509 =0,"",N509) )</f>
        <v/>
      </c>
    </row>
    <row r="509" spans="13:14" x14ac:dyDescent="0.25">
      <c r="M509">
        <v>472</v>
      </c>
      <c r="N509" t="str">
        <f>IF(Book1!C475&gt;0,M509&amp;", " &amp; N510,IF(N510 =0,"",N510) )</f>
        <v/>
      </c>
    </row>
    <row r="510" spans="13:14" x14ac:dyDescent="0.25">
      <c r="M510">
        <v>473</v>
      </c>
      <c r="N510" t="str">
        <f>IF(Book1!C476&gt;0,M510&amp;", " &amp; N511,IF(N511 =0,"",N511) )</f>
        <v/>
      </c>
    </row>
    <row r="511" spans="13:14" x14ac:dyDescent="0.25">
      <c r="M511">
        <v>474</v>
      </c>
      <c r="N511" t="str">
        <f>IF(Book1!C477&gt;0,M511&amp;", " &amp; N512,IF(N512 =0,"",N512) )</f>
        <v/>
      </c>
    </row>
    <row r="512" spans="13:14" x14ac:dyDescent="0.25">
      <c r="M512">
        <v>475</v>
      </c>
      <c r="N512" t="str">
        <f>IF(Book1!C478&gt;0,M512&amp;", " &amp; N513,IF(N513 =0,"",N513) )</f>
        <v/>
      </c>
    </row>
    <row r="513" spans="13:14" x14ac:dyDescent="0.25">
      <c r="M513">
        <v>476</v>
      </c>
      <c r="N513" t="str">
        <f>IF(Book1!C479&gt;0,M513&amp;", " &amp; N514,IF(N514 =0,"",N514) )</f>
        <v/>
      </c>
    </row>
    <row r="514" spans="13:14" x14ac:dyDescent="0.25">
      <c r="M514">
        <v>477</v>
      </c>
      <c r="N514" t="str">
        <f>IF(Book1!C480&gt;0,M514&amp;", " &amp; N515,IF(N515 =0,"",N515) )</f>
        <v/>
      </c>
    </row>
    <row r="515" spans="13:14" x14ac:dyDescent="0.25">
      <c r="M515">
        <v>478</v>
      </c>
      <c r="N515" t="str">
        <f>IF(Book1!C481&gt;0,M515&amp;", " &amp; N516,IF(N516 =0,"",N516) )</f>
        <v/>
      </c>
    </row>
    <row r="516" spans="13:14" x14ac:dyDescent="0.25">
      <c r="M516">
        <v>479</v>
      </c>
      <c r="N516" t="str">
        <f>IF(Book1!C482&gt;0,M516&amp;", " &amp; N517,IF(N517 =0,"",N517) )</f>
        <v/>
      </c>
    </row>
    <row r="517" spans="13:14" x14ac:dyDescent="0.25">
      <c r="M517">
        <v>480</v>
      </c>
      <c r="N517" t="str">
        <f>IF(Book1!C483&gt;0,M517&amp;", " &amp; N518,IF(N518 =0,"",N518) )</f>
        <v/>
      </c>
    </row>
    <row r="518" spans="13:14" x14ac:dyDescent="0.25">
      <c r="M518">
        <v>481</v>
      </c>
      <c r="N518" t="str">
        <f>IF(Book1!C484&gt;0,M518&amp;", " &amp; N519,IF(N519 =0,"",N519) )</f>
        <v/>
      </c>
    </row>
    <row r="519" spans="13:14" x14ac:dyDescent="0.25">
      <c r="M519">
        <v>482</v>
      </c>
      <c r="N519" t="str">
        <f>IF(Book1!C485&gt;0,M519&amp;", " &amp; N520,IF(N520 =0,"",N520) )</f>
        <v/>
      </c>
    </row>
    <row r="520" spans="13:14" x14ac:dyDescent="0.25">
      <c r="M520">
        <v>483</v>
      </c>
      <c r="N520" t="str">
        <f>IF(Book1!C486&gt;0,M520&amp;", " &amp; N521,IF(N521 =0,"",N521) )</f>
        <v/>
      </c>
    </row>
    <row r="521" spans="13:14" x14ac:dyDescent="0.25">
      <c r="M521">
        <v>484</v>
      </c>
      <c r="N521" t="str">
        <f>IF(Book1!C487&gt;0,M521&amp;", " &amp; N522,IF(N522 =0,"",N522) )</f>
        <v/>
      </c>
    </row>
    <row r="522" spans="13:14" x14ac:dyDescent="0.25">
      <c r="M522">
        <v>485</v>
      </c>
      <c r="N522" t="str">
        <f>IF(Book1!C488&gt;0,M522&amp;", " &amp; N523,IF(N523 =0,"",N523) )</f>
        <v/>
      </c>
    </row>
    <row r="523" spans="13:14" x14ac:dyDescent="0.25">
      <c r="M523">
        <v>486</v>
      </c>
      <c r="N523" t="str">
        <f>IF(Book1!C489&gt;0,M523&amp;", " &amp; N524,IF(N524 =0,"",N524) )</f>
        <v/>
      </c>
    </row>
    <row r="524" spans="13:14" x14ac:dyDescent="0.25">
      <c r="M524">
        <v>487</v>
      </c>
      <c r="N524" t="str">
        <f>IF(Book1!C490&gt;0,M524&amp;", " &amp; N525,IF(N525 =0,"",N525) )</f>
        <v/>
      </c>
    </row>
    <row r="525" spans="13:14" x14ac:dyDescent="0.25">
      <c r="M525">
        <v>488</v>
      </c>
      <c r="N525" t="str">
        <f>IF(Book1!C491&gt;0,M525&amp;", " &amp; N526,IF(N526 =0,"",N526) )</f>
        <v/>
      </c>
    </row>
    <row r="526" spans="13:14" x14ac:dyDescent="0.25">
      <c r="M526">
        <v>489</v>
      </c>
      <c r="N526" t="str">
        <f>IF(Book1!C492&gt;0,M526&amp;", " &amp; N527,IF(N527 =0,"",N527) )</f>
        <v/>
      </c>
    </row>
    <row r="527" spans="13:14" x14ac:dyDescent="0.25">
      <c r="M527">
        <v>490</v>
      </c>
      <c r="N527" t="str">
        <f>IF(Book1!C493&gt;0,M527&amp;", " &amp; N528,IF(N528 =0,"",N528) )</f>
        <v/>
      </c>
    </row>
    <row r="528" spans="13:14" x14ac:dyDescent="0.25">
      <c r="M528">
        <v>491</v>
      </c>
      <c r="N528" t="str">
        <f>IF(Book1!C494&gt;0,M528&amp;", " &amp; N529,IF(N529 =0,"",N529) )</f>
        <v/>
      </c>
    </row>
    <row r="529" spans="13:14" x14ac:dyDescent="0.25">
      <c r="M529">
        <v>492</v>
      </c>
      <c r="N529" t="str">
        <f>IF(Book1!C495&gt;0,M529&amp;", " &amp; N530,IF(N530 =0,"",N530) )</f>
        <v/>
      </c>
    </row>
    <row r="530" spans="13:14" x14ac:dyDescent="0.25">
      <c r="M530">
        <v>493</v>
      </c>
      <c r="N530" t="str">
        <f>IF(Book1!C496&gt;0,M530&amp;", " &amp; N531,IF(N531 =0,"",N531) )</f>
        <v/>
      </c>
    </row>
    <row r="531" spans="13:14" x14ac:dyDescent="0.25">
      <c r="M531">
        <v>494</v>
      </c>
      <c r="N531" t="str">
        <f>IF(Book1!C497&gt;0,M531&amp;", " &amp; N532,IF(N532 =0,"",N532) )</f>
        <v/>
      </c>
    </row>
    <row r="532" spans="13:14" x14ac:dyDescent="0.25">
      <c r="M532">
        <v>495</v>
      </c>
      <c r="N532" t="str">
        <f>IF(Book1!C498&gt;0,M532&amp;", " &amp; N533,IF(N533 =0,"",N533) )</f>
        <v/>
      </c>
    </row>
    <row r="533" spans="13:14" x14ac:dyDescent="0.25">
      <c r="M533">
        <v>496</v>
      </c>
      <c r="N533" t="str">
        <f>IF(Book1!C499&gt;0,M533&amp;", " &amp; N534,IF(N534 =0,"",N534) )</f>
        <v/>
      </c>
    </row>
    <row r="534" spans="13:14" x14ac:dyDescent="0.25">
      <c r="M534">
        <v>497</v>
      </c>
      <c r="N534" t="str">
        <f>IF(Book1!C500&gt;0,M534&amp;", " &amp; N535,IF(N535 =0,"",N535) )</f>
        <v/>
      </c>
    </row>
    <row r="535" spans="13:14" x14ac:dyDescent="0.25">
      <c r="M535">
        <v>498</v>
      </c>
      <c r="N535" t="str">
        <f>IF(Book1!C501&gt;0,M535&amp;", " &amp; N536,IF(N536 =0,"",N536) )</f>
        <v/>
      </c>
    </row>
    <row r="536" spans="13:14" x14ac:dyDescent="0.25">
      <c r="M536">
        <v>499</v>
      </c>
      <c r="N536" t="str">
        <f>IF(Book1!C502&gt;0,M536&amp;", " &amp; N537,IF(N537 =0,"",N537) )</f>
        <v/>
      </c>
    </row>
    <row r="537" spans="13:14" x14ac:dyDescent="0.25">
      <c r="M537">
        <v>500</v>
      </c>
      <c r="N537" t="str">
        <f>IF(Book1!C503&gt;0,M537&amp;", " &amp; N538,IF(N538 =0,"",N538) )</f>
        <v/>
      </c>
    </row>
    <row r="538" spans="13:14" x14ac:dyDescent="0.25">
      <c r="M538">
        <v>501</v>
      </c>
      <c r="N538" t="str">
        <f>IF(Book1!C504&gt;0,M538&amp;", " &amp; N539,IF(N539 =0,"",N539) )</f>
        <v/>
      </c>
    </row>
    <row r="539" spans="13:14" x14ac:dyDescent="0.25">
      <c r="M539">
        <v>502</v>
      </c>
      <c r="N539" t="str">
        <f>IF(Book1!C505&gt;0,M539&amp;", " &amp; N540,IF(N540 =0,"",N540) )</f>
        <v/>
      </c>
    </row>
    <row r="540" spans="13:14" x14ac:dyDescent="0.25">
      <c r="M540">
        <v>503</v>
      </c>
      <c r="N540" t="str">
        <f>IF(Book1!C506&gt;0,M540&amp;", " &amp; N541,IF(N541 =0,"",N541) )</f>
        <v/>
      </c>
    </row>
    <row r="541" spans="13:14" x14ac:dyDescent="0.25">
      <c r="M541">
        <v>504</v>
      </c>
      <c r="N541" t="str">
        <f>IF(Book1!C507&gt;0,M541&amp;", " &amp; N542,IF(N542 =0,"",N542) )</f>
        <v/>
      </c>
    </row>
    <row r="542" spans="13:14" x14ac:dyDescent="0.25">
      <c r="M542">
        <v>505</v>
      </c>
      <c r="N542" t="str">
        <f>IF(Book1!C508&gt;0,M542&amp;", " &amp; N543,IF(N543 =0,"",N543) )</f>
        <v/>
      </c>
    </row>
    <row r="543" spans="13:14" x14ac:dyDescent="0.25">
      <c r="M543">
        <v>506</v>
      </c>
      <c r="N543" t="str">
        <f>IF(Book1!C509&gt;0,M543&amp;", " &amp; N544,IF(N544 =0,"",N544) )</f>
        <v/>
      </c>
    </row>
    <row r="544" spans="13:14" x14ac:dyDescent="0.25">
      <c r="M544">
        <v>507</v>
      </c>
      <c r="N544" t="str">
        <f>IF(Book1!C510&gt;0,M544&amp;", " &amp; N545,IF(N545 =0,"",N545) )</f>
        <v/>
      </c>
    </row>
    <row r="545" spans="13:14" x14ac:dyDescent="0.25">
      <c r="M545">
        <v>508</v>
      </c>
      <c r="N545" t="str">
        <f>IF(Book1!C511&gt;0,M545&amp;", " &amp; N546,IF(N546 =0,"",N546) )</f>
        <v/>
      </c>
    </row>
    <row r="546" spans="13:14" x14ac:dyDescent="0.25">
      <c r="M546">
        <v>509</v>
      </c>
      <c r="N546" t="str">
        <f>IF(Book1!C512&gt;0,M546&amp;", " &amp; N547,IF(N547 =0,"",N547) )</f>
        <v/>
      </c>
    </row>
    <row r="547" spans="13:14" x14ac:dyDescent="0.25">
      <c r="M547">
        <v>510</v>
      </c>
      <c r="N547" t="str">
        <f>IF(Book1!C513&gt;0,M547&amp;", " &amp; N548,IF(N548 =0,"",N548) )</f>
        <v/>
      </c>
    </row>
    <row r="548" spans="13:14" x14ac:dyDescent="0.25">
      <c r="M548">
        <v>511</v>
      </c>
      <c r="N548" t="str">
        <f>IF(Book1!C514&gt;0,M548&amp;", " &amp; N549,IF(N549 =0,"",N549) )</f>
        <v/>
      </c>
    </row>
    <row r="549" spans="13:14" x14ac:dyDescent="0.25">
      <c r="M549">
        <v>512</v>
      </c>
      <c r="N549" t="str">
        <f>IF(Book1!C515&gt;0,M549&amp;", " &amp; N550,IF(N550 =0,"",N550) )</f>
        <v/>
      </c>
    </row>
    <row r="550" spans="13:14" x14ac:dyDescent="0.25">
      <c r="M550">
        <v>513</v>
      </c>
      <c r="N550" t="str">
        <f>IF(Book1!C516&gt;0,M550&amp;", " &amp; N551,IF(N551 =0,"",N551) )</f>
        <v/>
      </c>
    </row>
    <row r="551" spans="13:14" x14ac:dyDescent="0.25">
      <c r="M551">
        <v>514</v>
      </c>
      <c r="N551" t="str">
        <f>IF(Book1!C517&gt;0,M551&amp;", " &amp; N552,IF(N552 =0,"",N552) )</f>
        <v/>
      </c>
    </row>
    <row r="552" spans="13:14" x14ac:dyDescent="0.25">
      <c r="M552">
        <v>515</v>
      </c>
      <c r="N552" t="str">
        <f>IF(Book1!C518&gt;0,M552&amp;", " &amp; N553,IF(N553 =0,"",N553) )</f>
        <v/>
      </c>
    </row>
    <row r="553" spans="13:14" x14ac:dyDescent="0.25">
      <c r="M553">
        <v>516</v>
      </c>
      <c r="N553" t="str">
        <f>IF(Book1!C519&gt;0,M553&amp;", " &amp; N554,IF(N554 =0,"",N554) )</f>
        <v/>
      </c>
    </row>
    <row r="554" spans="13:14" x14ac:dyDescent="0.25">
      <c r="M554">
        <v>517</v>
      </c>
      <c r="N554" t="str">
        <f>IF(Book1!C520&gt;0,M554&amp;", " &amp; N555,IF(N555 =0,"",N555) )</f>
        <v/>
      </c>
    </row>
    <row r="555" spans="13:14" x14ac:dyDescent="0.25">
      <c r="M555">
        <v>518</v>
      </c>
      <c r="N555" t="str">
        <f>IF(Book1!C521&gt;0,M555&amp;", " &amp; N556,IF(N556 =0,"",N556) )</f>
        <v/>
      </c>
    </row>
    <row r="556" spans="13:14" x14ac:dyDescent="0.25">
      <c r="M556">
        <v>519</v>
      </c>
      <c r="N556" t="str">
        <f>IF(Book1!C522&gt;0,M556&amp;", " &amp; N557,IF(N557 =0,"",N557) )</f>
        <v/>
      </c>
    </row>
    <row r="557" spans="13:14" x14ac:dyDescent="0.25">
      <c r="M557">
        <v>520</v>
      </c>
      <c r="N557" t="str">
        <f>IF(Book1!C523&gt;0,M557&amp;", " &amp; N558,IF(N558 =0,"",N558) )</f>
        <v/>
      </c>
    </row>
    <row r="558" spans="13:14" x14ac:dyDescent="0.25">
      <c r="M558">
        <v>521</v>
      </c>
      <c r="N558" t="str">
        <f>IF(Book1!C524&gt;0,M558&amp;", " &amp; N559,IF(N559 =0,"",N559) )</f>
        <v/>
      </c>
    </row>
    <row r="559" spans="13:14" x14ac:dyDescent="0.25">
      <c r="M559">
        <v>522</v>
      </c>
      <c r="N559" t="str">
        <f>IF(Book1!C525&gt;0,M559&amp;", " &amp; N560,IF(N560 =0,"",N560) )</f>
        <v/>
      </c>
    </row>
    <row r="560" spans="13:14" x14ac:dyDescent="0.25">
      <c r="M560">
        <v>523</v>
      </c>
      <c r="N560" t="str">
        <f>IF(Book1!C526&gt;0,M560&amp;", " &amp; N561,IF(N561 =0,"",N561) )</f>
        <v/>
      </c>
    </row>
    <row r="561" spans="13:14" x14ac:dyDescent="0.25">
      <c r="M561">
        <v>524</v>
      </c>
      <c r="N561" t="str">
        <f>IF(Book1!C527&gt;0,M561&amp;", " &amp; N562,IF(N562 =0,"",N562) )</f>
        <v/>
      </c>
    </row>
    <row r="562" spans="13:14" x14ac:dyDescent="0.25">
      <c r="M562">
        <v>525</v>
      </c>
      <c r="N562" t="str">
        <f>IF(Book1!C528&gt;0,M562&amp;", " &amp; N563,IF(N563 =0,"",N563) )</f>
        <v/>
      </c>
    </row>
    <row r="563" spans="13:14" x14ac:dyDescent="0.25">
      <c r="M563">
        <v>526</v>
      </c>
      <c r="N563" t="str">
        <f>IF(Book1!C529&gt;0,M563&amp;", " &amp; N564,IF(N564 =0,"",N564) )</f>
        <v/>
      </c>
    </row>
    <row r="564" spans="13:14" x14ac:dyDescent="0.25">
      <c r="M564">
        <v>527</v>
      </c>
      <c r="N564" t="str">
        <f>IF(Book1!C530&gt;0,M564&amp;", " &amp; N565,IF(N565 =0,"",N565) )</f>
        <v/>
      </c>
    </row>
    <row r="565" spans="13:14" x14ac:dyDescent="0.25">
      <c r="M565">
        <v>528</v>
      </c>
      <c r="N565" t="str">
        <f>IF(Book1!C531&gt;0,M565&amp;", " &amp; N566,IF(N566 =0,"",N566) )</f>
        <v/>
      </c>
    </row>
    <row r="566" spans="13:14" x14ac:dyDescent="0.25">
      <c r="M566">
        <v>529</v>
      </c>
      <c r="N566" t="str">
        <f>IF(Book1!C532&gt;0,M566&amp;", " &amp; N567,IF(N567 =0,"",N567) )</f>
        <v/>
      </c>
    </row>
    <row r="567" spans="13:14" x14ac:dyDescent="0.25">
      <c r="M567">
        <v>530</v>
      </c>
      <c r="N567" t="str">
        <f>IF(Book1!C533&gt;0,M567&amp;", " &amp; N568,IF(N568 =0,"",N568) )</f>
        <v/>
      </c>
    </row>
    <row r="568" spans="13:14" x14ac:dyDescent="0.25">
      <c r="M568">
        <v>531</v>
      </c>
      <c r="N568" t="str">
        <f>IF(Book1!C534&gt;0,M568&amp;", " &amp; N569,IF(N569 =0,"",N569) )</f>
        <v/>
      </c>
    </row>
    <row r="569" spans="13:14" x14ac:dyDescent="0.25">
      <c r="M569">
        <v>532</v>
      </c>
      <c r="N569" t="str">
        <f>IF(Book1!C535&gt;0,M569&amp;", " &amp; N570,IF(N570 =0,"",N570) )</f>
        <v/>
      </c>
    </row>
    <row r="570" spans="13:14" x14ac:dyDescent="0.25">
      <c r="M570">
        <v>533</v>
      </c>
      <c r="N570" t="str">
        <f>IF(Book1!C536&gt;0,M570&amp;", " &amp; N571,IF(N571 =0,"",N571) )</f>
        <v/>
      </c>
    </row>
    <row r="571" spans="13:14" x14ac:dyDescent="0.25">
      <c r="M571">
        <v>534</v>
      </c>
      <c r="N571" t="str">
        <f>IF(Book1!C537&gt;0,M571&amp;", " &amp; N572,IF(N572 =0,"",N572) )</f>
        <v/>
      </c>
    </row>
    <row r="572" spans="13:14" x14ac:dyDescent="0.25">
      <c r="M572">
        <v>535</v>
      </c>
      <c r="N572" t="str">
        <f>IF(Book1!C538&gt;0,M572&amp;", " &amp; N573,IF(N573 =0,"",N573) )</f>
        <v/>
      </c>
    </row>
    <row r="573" spans="13:14" x14ac:dyDescent="0.25">
      <c r="M573">
        <v>536</v>
      </c>
      <c r="N573" t="str">
        <f>IF(Book1!C539&gt;0,M573&amp;", " &amp; N574,IF(N574 =0,"",N574) )</f>
        <v/>
      </c>
    </row>
    <row r="574" spans="13:14" x14ac:dyDescent="0.25">
      <c r="M574">
        <v>537</v>
      </c>
      <c r="N574" t="str">
        <f>IF(Book1!C540&gt;0,M574&amp;", " &amp; N575,IF(N575 =0,"",N575) )</f>
        <v/>
      </c>
    </row>
    <row r="575" spans="13:14" x14ac:dyDescent="0.25">
      <c r="M575">
        <v>538</v>
      </c>
      <c r="N575" t="str">
        <f>IF(Book1!C541&gt;0,M575&amp;", " &amp; N576,IF(N576 =0,"",N576) )</f>
        <v/>
      </c>
    </row>
    <row r="576" spans="13:14" x14ac:dyDescent="0.25">
      <c r="M576">
        <v>539</v>
      </c>
      <c r="N576" t="str">
        <f>IF(Book1!C542&gt;0,M576&amp;", " &amp; N577,IF(N577 =0,"",N577) )</f>
        <v/>
      </c>
    </row>
    <row r="577" spans="13:14" x14ac:dyDescent="0.25">
      <c r="M577">
        <v>540</v>
      </c>
      <c r="N577" t="str">
        <f>IF(Book1!C543&gt;0,M577&amp;", " &amp; N578,IF(N578 =0,"",N578) )</f>
        <v/>
      </c>
    </row>
    <row r="578" spans="13:14" x14ac:dyDescent="0.25">
      <c r="M578">
        <v>541</v>
      </c>
      <c r="N578" t="str">
        <f>IF(Book1!C544&gt;0,M578&amp;", " &amp; N579,IF(N579 =0,"",N579) )</f>
        <v/>
      </c>
    </row>
    <row r="579" spans="13:14" x14ac:dyDescent="0.25">
      <c r="M579">
        <v>542</v>
      </c>
      <c r="N579" t="str">
        <f>IF(Book1!C545&gt;0,M579&amp;", " &amp; N580,IF(N580 =0,"",N580) )</f>
        <v/>
      </c>
    </row>
    <row r="580" spans="13:14" x14ac:dyDescent="0.25">
      <c r="M580">
        <v>543</v>
      </c>
      <c r="N580" t="str">
        <f>IF(Book1!C546&gt;0,M580&amp;", " &amp; N581,IF(N581 =0,"",N581) )</f>
        <v/>
      </c>
    </row>
    <row r="581" spans="13:14" x14ac:dyDescent="0.25">
      <c r="M581">
        <v>544</v>
      </c>
      <c r="N581" t="str">
        <f>IF(Book1!C547&gt;0,M581&amp;", " &amp; N582,IF(N582 =0,"",N582) )</f>
        <v/>
      </c>
    </row>
    <row r="582" spans="13:14" x14ac:dyDescent="0.25">
      <c r="M582">
        <v>545</v>
      </c>
      <c r="N582" t="str">
        <f>IF(Book1!C548&gt;0,M582&amp;", " &amp; N583,IF(N583 =0,"",N583) )</f>
        <v/>
      </c>
    </row>
    <row r="583" spans="13:14" x14ac:dyDescent="0.25">
      <c r="M583">
        <v>546</v>
      </c>
      <c r="N583" t="str">
        <f>IF(Book1!C549&gt;0,M583&amp;", " &amp; N584,IF(N584 =0,"",N584) )</f>
        <v/>
      </c>
    </row>
    <row r="584" spans="13:14" x14ac:dyDescent="0.25">
      <c r="M584">
        <v>547</v>
      </c>
      <c r="N584" t="str">
        <f>IF(Book1!C550&gt;0,M584&amp;", " &amp; N585,IF(N585 =0,"",N585) )</f>
        <v/>
      </c>
    </row>
    <row r="585" spans="13:14" x14ac:dyDescent="0.25">
      <c r="M585">
        <v>548</v>
      </c>
      <c r="N585" t="str">
        <f>IF(Book1!C551&gt;0,M585&amp;", " &amp; N586,IF(N586 =0,"",N586) )</f>
        <v/>
      </c>
    </row>
    <row r="586" spans="13:14" x14ac:dyDescent="0.25">
      <c r="M586">
        <v>549</v>
      </c>
      <c r="N586" t="str">
        <f>IF(Book1!C552&gt;0,M586&amp;", " &amp; N587,IF(N587 =0,"",N587) )</f>
        <v/>
      </c>
    </row>
    <row r="587" spans="13:14" x14ac:dyDescent="0.25">
      <c r="M587">
        <v>550</v>
      </c>
      <c r="N587" t="str">
        <f>IF(Book1!C553&gt;0,M587&amp;", " &amp; N588,IF(N588 =0,"",N588) )</f>
        <v/>
      </c>
    </row>
    <row r="588" spans="13:14" x14ac:dyDescent="0.25">
      <c r="M588">
        <v>551</v>
      </c>
      <c r="N588" t="str">
        <f>IF(Book1!C554&gt;0,M588&amp;", " &amp; N589,IF(N589 =0,"",N589) )</f>
        <v/>
      </c>
    </row>
    <row r="589" spans="13:14" x14ac:dyDescent="0.25">
      <c r="M589">
        <v>552</v>
      </c>
      <c r="N589" t="str">
        <f>IF(Book1!C555&gt;0,M589&amp;", " &amp; N590,IF(N590 =0,"",N590) )</f>
        <v/>
      </c>
    </row>
    <row r="590" spans="13:14" x14ac:dyDescent="0.25">
      <c r="M590">
        <v>553</v>
      </c>
      <c r="N590" t="str">
        <f>IF(Book1!C556&gt;0,M590&amp;", " &amp; N591,IF(N591 =0,"",N591) )</f>
        <v/>
      </c>
    </row>
    <row r="591" spans="13:14" x14ac:dyDescent="0.25">
      <c r="M591">
        <v>554</v>
      </c>
      <c r="N591" t="str">
        <f>IF(Book1!C557&gt;0,M591&amp;", " &amp; N592,IF(N592 =0,"",N592) )</f>
        <v/>
      </c>
    </row>
    <row r="592" spans="13:14" x14ac:dyDescent="0.25">
      <c r="M592">
        <v>555</v>
      </c>
      <c r="N592" t="str">
        <f>IF(Book1!C558&gt;0,M592&amp;", " &amp; N593,IF(N593 =0,"",N593) )</f>
        <v/>
      </c>
    </row>
    <row r="593" spans="13:14" x14ac:dyDescent="0.25">
      <c r="M593">
        <v>556</v>
      </c>
      <c r="N593" t="str">
        <f>IF(Book1!C559&gt;0,M593&amp;", " &amp; N594,IF(N594 =0,"",N594) )</f>
        <v/>
      </c>
    </row>
    <row r="594" spans="13:14" x14ac:dyDescent="0.25">
      <c r="M594">
        <v>557</v>
      </c>
      <c r="N594" t="str">
        <f>IF(Book1!C560&gt;0,M594&amp;", " &amp; N595,IF(N595 =0,"",N595) )</f>
        <v/>
      </c>
    </row>
    <row r="595" spans="13:14" x14ac:dyDescent="0.25">
      <c r="M595">
        <v>558</v>
      </c>
      <c r="N595" t="str">
        <f>IF(Book1!C561&gt;0,M595&amp;", " &amp; N596,IF(N596 =0,"",N596) )</f>
        <v/>
      </c>
    </row>
    <row r="596" spans="13:14" x14ac:dyDescent="0.25">
      <c r="M596">
        <v>559</v>
      </c>
      <c r="N596" t="str">
        <f>IF(Book1!C562&gt;0,M596&amp;", " &amp; N597,IF(N597 =0,"",N597) )</f>
        <v/>
      </c>
    </row>
    <row r="597" spans="13:14" x14ac:dyDescent="0.25">
      <c r="M597">
        <v>560</v>
      </c>
      <c r="N597" t="str">
        <f>IF(Book1!C563&gt;0,M597&amp;", " &amp; N598,IF(N598 =0,"",N598) )</f>
        <v/>
      </c>
    </row>
    <row r="598" spans="13:14" x14ac:dyDescent="0.25">
      <c r="M598">
        <v>561</v>
      </c>
      <c r="N598" t="str">
        <f>IF(Book1!C564&gt;0,M598&amp;", " &amp; N599,IF(N599 =0,"",N599) )</f>
        <v/>
      </c>
    </row>
    <row r="599" spans="13:14" x14ac:dyDescent="0.25">
      <c r="M599">
        <v>562</v>
      </c>
      <c r="N599" t="str">
        <f>IF(Book1!C565&gt;0,M599&amp;", " &amp; N600,IF(N600 =0,"",N600) )</f>
        <v/>
      </c>
    </row>
    <row r="600" spans="13:14" x14ac:dyDescent="0.25">
      <c r="M600">
        <v>563</v>
      </c>
      <c r="N600" t="str">
        <f>IF(Book1!C566&gt;0,M600&amp;", " &amp; N601,IF(N601 =0,"",N601) )</f>
        <v/>
      </c>
    </row>
    <row r="601" spans="13:14" x14ac:dyDescent="0.25">
      <c r="M601">
        <v>564</v>
      </c>
      <c r="N601" t="str">
        <f>IF(Book1!C567&gt;0,M601&amp;", " &amp; N602,IF(N602 =0,"",N602) )</f>
        <v/>
      </c>
    </row>
    <row r="602" spans="13:14" x14ac:dyDescent="0.25">
      <c r="M602">
        <v>565</v>
      </c>
      <c r="N602" t="str">
        <f>IF(Book1!C568&gt;0,M602&amp;", " &amp; N603,IF(N603 =0,"",N603) )</f>
        <v/>
      </c>
    </row>
    <row r="603" spans="13:14" x14ac:dyDescent="0.25">
      <c r="M603">
        <v>566</v>
      </c>
      <c r="N603" t="str">
        <f>IF(Book1!C569&gt;0,M603&amp;", " &amp; N604,IF(N604 =0,"",N604) )</f>
        <v/>
      </c>
    </row>
    <row r="604" spans="13:14" x14ac:dyDescent="0.25">
      <c r="M604">
        <v>567</v>
      </c>
      <c r="N604" t="str">
        <f>IF(Book1!C570&gt;0,M604&amp;", " &amp; N605,IF(N605 =0,"",N605) )</f>
        <v/>
      </c>
    </row>
    <row r="605" spans="13:14" x14ac:dyDescent="0.25">
      <c r="M605">
        <v>568</v>
      </c>
      <c r="N605" t="str">
        <f>IF(Book1!C571&gt;0,M605&amp;", " &amp; N606,IF(N606 =0,"",N606) )</f>
        <v/>
      </c>
    </row>
    <row r="606" spans="13:14" x14ac:dyDescent="0.25">
      <c r="M606">
        <v>569</v>
      </c>
      <c r="N606" t="str">
        <f>IF(Book1!C572&gt;0,M606&amp;", " &amp; N607,IF(N607 =0,"",N607) )</f>
        <v/>
      </c>
    </row>
    <row r="607" spans="13:14" x14ac:dyDescent="0.25">
      <c r="M607">
        <v>570</v>
      </c>
      <c r="N607" t="str">
        <f>IF(Book1!C573&gt;0,M607&amp;", " &amp; N608,IF(N608 =0,"",N608) )</f>
        <v/>
      </c>
    </row>
    <row r="608" spans="13:14" x14ac:dyDescent="0.25">
      <c r="M608">
        <v>571</v>
      </c>
      <c r="N608" t="str">
        <f>IF(Book1!C574&gt;0,M608&amp;", " &amp; N609,IF(N609 =0,"",N609) )</f>
        <v/>
      </c>
    </row>
    <row r="609" spans="13:14" x14ac:dyDescent="0.25">
      <c r="M609">
        <v>572</v>
      </c>
      <c r="N609" t="str">
        <f>IF(Book1!C575&gt;0,M609&amp;", " &amp; N610,IF(N610 =0,"",N610) )</f>
        <v/>
      </c>
    </row>
    <row r="610" spans="13:14" x14ac:dyDescent="0.25">
      <c r="M610">
        <v>573</v>
      </c>
      <c r="N610" t="str">
        <f>IF(Book1!C576&gt;0,M610&amp;", " &amp; N611,IF(N611 =0,"",N611) )</f>
        <v/>
      </c>
    </row>
    <row r="611" spans="13:14" x14ac:dyDescent="0.25">
      <c r="M611">
        <v>574</v>
      </c>
      <c r="N611" t="str">
        <f>IF(Book1!C577&gt;0,M611&amp;", " &amp; N612,IF(N612 =0,"",N612) )</f>
        <v/>
      </c>
    </row>
    <row r="612" spans="13:14" x14ac:dyDescent="0.25">
      <c r="M612">
        <v>575</v>
      </c>
      <c r="N612" t="str">
        <f>IF(Book1!C578&gt;0,M612&amp;", " &amp; N613,IF(N613 =0,"",N613) )</f>
        <v/>
      </c>
    </row>
    <row r="613" spans="13:14" x14ac:dyDescent="0.25">
      <c r="M613">
        <v>576</v>
      </c>
      <c r="N613" t="str">
        <f>IF(Book1!C579&gt;0,M613&amp;", " &amp; N614,IF(N614 =0,"",N614) )</f>
        <v/>
      </c>
    </row>
    <row r="614" spans="13:14" x14ac:dyDescent="0.25">
      <c r="M614">
        <v>577</v>
      </c>
      <c r="N614" t="str">
        <f>IF(Book1!C580&gt;0,M614&amp;", " &amp; N615,IF(N615 =0,"",N615) )</f>
        <v/>
      </c>
    </row>
    <row r="615" spans="13:14" x14ac:dyDescent="0.25">
      <c r="M615">
        <v>578</v>
      </c>
      <c r="N615" t="str">
        <f>IF(Book1!C581&gt;0,M615&amp;", " &amp; N616,IF(N616 =0,"",N616) )</f>
        <v/>
      </c>
    </row>
    <row r="616" spans="13:14" x14ac:dyDescent="0.25">
      <c r="M616">
        <v>579</v>
      </c>
      <c r="N616" t="str">
        <f>IF(Book1!C582&gt;0,M616&amp;", " &amp; N617,IF(N617 =0,"",N617) )</f>
        <v/>
      </c>
    </row>
    <row r="617" spans="13:14" x14ac:dyDescent="0.25">
      <c r="M617">
        <v>580</v>
      </c>
      <c r="N617" t="str">
        <f>IF(Book1!C583&gt;0,M617&amp;", " &amp; N618,IF(N618 =0,"",N618) )</f>
        <v/>
      </c>
    </row>
    <row r="618" spans="13:14" x14ac:dyDescent="0.25">
      <c r="M618">
        <v>581</v>
      </c>
      <c r="N618" t="str">
        <f>IF(Book1!C584&gt;0,M618&amp;", " &amp; N619,IF(N619 =0,"",N619) )</f>
        <v/>
      </c>
    </row>
    <row r="619" spans="13:14" x14ac:dyDescent="0.25">
      <c r="M619">
        <v>582</v>
      </c>
      <c r="N619" t="str">
        <f>IF(Book1!C585&gt;0,M619&amp;", " &amp; N620,IF(N620 =0,"",N620) )</f>
        <v/>
      </c>
    </row>
    <row r="620" spans="13:14" x14ac:dyDescent="0.25">
      <c r="M620">
        <v>583</v>
      </c>
      <c r="N620" t="str">
        <f>IF(Book1!C586&gt;0,M620&amp;", " &amp; N621,IF(N621 =0,"",N621) )</f>
        <v/>
      </c>
    </row>
    <row r="621" spans="13:14" x14ac:dyDescent="0.25">
      <c r="M621">
        <v>584</v>
      </c>
      <c r="N621" t="str">
        <f>IF(Book1!C587&gt;0,M621&amp;", " &amp; N622,IF(N622 =0,"",N622) )</f>
        <v/>
      </c>
    </row>
    <row r="622" spans="13:14" x14ac:dyDescent="0.25">
      <c r="M622">
        <v>585</v>
      </c>
      <c r="N622" t="str">
        <f>IF(Book1!C588&gt;0,M622&amp;", " &amp; N623,IF(N623 =0,"",N623) )</f>
        <v/>
      </c>
    </row>
    <row r="623" spans="13:14" x14ac:dyDescent="0.25">
      <c r="M623">
        <v>586</v>
      </c>
      <c r="N623" t="str">
        <f>IF(Book1!C589&gt;0,M623&amp;", " &amp; N624,IF(N624 =0,"",N624) )</f>
        <v/>
      </c>
    </row>
    <row r="624" spans="13:14" x14ac:dyDescent="0.25">
      <c r="M624">
        <v>587</v>
      </c>
      <c r="N624" t="str">
        <f>IF(Book1!C590&gt;0,M624&amp;", " &amp; N625,IF(N625 =0,"",N625) )</f>
        <v/>
      </c>
    </row>
    <row r="625" spans="13:14" x14ac:dyDescent="0.25">
      <c r="M625">
        <v>588</v>
      </c>
      <c r="N625" t="str">
        <f>IF(Book1!C591&gt;0,M625&amp;", " &amp; N626,IF(N626 =0,"",N626) )</f>
        <v/>
      </c>
    </row>
    <row r="626" spans="13:14" x14ac:dyDescent="0.25">
      <c r="M626">
        <v>589</v>
      </c>
      <c r="N626" t="str">
        <f>IF(Book1!C592&gt;0,M626&amp;", " &amp; N627,IF(N627 =0,"",N627) )</f>
        <v/>
      </c>
    </row>
    <row r="627" spans="13:14" x14ac:dyDescent="0.25">
      <c r="M627">
        <v>590</v>
      </c>
      <c r="N627" t="str">
        <f>IF(Book1!C593&gt;0,M627&amp;", " &amp; N628,IF(N628 =0,"",N628) )</f>
        <v/>
      </c>
    </row>
    <row r="628" spans="13:14" x14ac:dyDescent="0.25">
      <c r="M628">
        <v>591</v>
      </c>
      <c r="N628" t="str">
        <f>IF(Book1!C594&gt;0,M628&amp;", " &amp; N629,IF(N629 =0,"",N629) )</f>
        <v/>
      </c>
    </row>
    <row r="629" spans="13:14" x14ac:dyDescent="0.25">
      <c r="M629">
        <v>592</v>
      </c>
      <c r="N629" t="str">
        <f>IF(Book1!C595&gt;0,M629&amp;", " &amp; N630,IF(N630 =0,"",N630) )</f>
        <v/>
      </c>
    </row>
    <row r="630" spans="13:14" x14ac:dyDescent="0.25">
      <c r="M630">
        <v>593</v>
      </c>
      <c r="N630" t="str">
        <f>IF(Book1!C596&gt;0,M630&amp;", " &amp; N631,IF(N631 =0,"",N631) )</f>
        <v/>
      </c>
    </row>
    <row r="631" spans="13:14" x14ac:dyDescent="0.25">
      <c r="M631">
        <v>594</v>
      </c>
      <c r="N631" t="str">
        <f>IF(Book1!C597&gt;0,M631&amp;", " &amp; N632,IF(N632 =0,"",N632) )</f>
        <v/>
      </c>
    </row>
    <row r="632" spans="13:14" x14ac:dyDescent="0.25">
      <c r="M632">
        <v>595</v>
      </c>
      <c r="N632" t="str">
        <f>IF(Book1!C598&gt;0,M632&amp;", " &amp; N633,IF(N633 =0,"",N633) )</f>
        <v/>
      </c>
    </row>
    <row r="633" spans="13:14" x14ac:dyDescent="0.25">
      <c r="M633">
        <v>596</v>
      </c>
      <c r="N633" t="str">
        <f>IF(Book1!C599&gt;0,M633&amp;", " &amp; N634,IF(N634 =0,"",N634) )</f>
        <v/>
      </c>
    </row>
    <row r="634" spans="13:14" x14ac:dyDescent="0.25">
      <c r="M634">
        <v>597</v>
      </c>
      <c r="N634" t="str">
        <f>IF(Book1!C600&gt;0,M634&amp;", " &amp; N635,IF(N635 =0,"",N635) )</f>
        <v/>
      </c>
    </row>
    <row r="635" spans="13:14" x14ac:dyDescent="0.25">
      <c r="M635">
        <v>598</v>
      </c>
      <c r="N635" t="str">
        <f>IF(Book1!C601&gt;0,M635&amp;", " &amp; N636,IF(N636 =0,"",N636) )</f>
        <v/>
      </c>
    </row>
    <row r="636" spans="13:14" x14ac:dyDescent="0.25">
      <c r="M636">
        <v>599</v>
      </c>
      <c r="N636" t="str">
        <f>IF(Book1!C602&gt;0,M636&amp;", " &amp; N637,IF(N637 =0,"",N637) )</f>
        <v/>
      </c>
    </row>
    <row r="637" spans="13:14" x14ac:dyDescent="0.25">
      <c r="M637">
        <v>600</v>
      </c>
      <c r="N637" t="str">
        <f>IF(Book1!C603&gt;0,M637&amp;", " &amp; N638,IF(N638 =0,"",N638) )</f>
        <v/>
      </c>
    </row>
    <row r="638" spans="13:14" x14ac:dyDescent="0.25">
      <c r="M638">
        <v>601</v>
      </c>
      <c r="N638" t="str">
        <f>IF(Book1!C604&gt;0,M638&amp;", " &amp; N639,IF(N639 =0,"",N639) )</f>
        <v/>
      </c>
    </row>
    <row r="639" spans="13:14" x14ac:dyDescent="0.25">
      <c r="M639">
        <v>602</v>
      </c>
      <c r="N639" t="str">
        <f>IF(Book1!C605&gt;0,M639&amp;", " &amp; N640,IF(N640 =0,"",N640) )</f>
        <v/>
      </c>
    </row>
    <row r="640" spans="13:14" x14ac:dyDescent="0.25">
      <c r="M640">
        <v>603</v>
      </c>
      <c r="N640" t="str">
        <f>IF(Book1!C606&gt;0,M640&amp;", " &amp; N641,IF(N641 =0,"",N641) )</f>
        <v/>
      </c>
    </row>
    <row r="641" spans="13:14" x14ac:dyDescent="0.25">
      <c r="M641">
        <v>604</v>
      </c>
      <c r="N641" t="str">
        <f>IF(Book1!C607&gt;0,M641&amp;", " &amp; N642,IF(N642 =0,"",N642) )</f>
        <v/>
      </c>
    </row>
    <row r="642" spans="13:14" x14ac:dyDescent="0.25">
      <c r="M642">
        <v>605</v>
      </c>
      <c r="N642" t="str">
        <f>IF(Book1!C608&gt;0,M642&amp;", " &amp; N643,IF(N643 =0,"",N643) )</f>
        <v/>
      </c>
    </row>
    <row r="643" spans="13:14" x14ac:dyDescent="0.25">
      <c r="M643">
        <v>606</v>
      </c>
      <c r="N643" t="str">
        <f>IF(Book1!C609&gt;0,M643&amp;", " &amp; N644,IF(N644 =0,"",N644) )</f>
        <v/>
      </c>
    </row>
    <row r="644" spans="13:14" x14ac:dyDescent="0.25">
      <c r="M644">
        <v>607</v>
      </c>
      <c r="N644" t="str">
        <f>IF(Book1!C610&gt;0,M644&amp;", " &amp; N645,IF(N645 =0,"",N645) )</f>
        <v/>
      </c>
    </row>
    <row r="645" spans="13:14" x14ac:dyDescent="0.25">
      <c r="M645">
        <v>608</v>
      </c>
      <c r="N645" t="str">
        <f>IF(Book1!C611&gt;0,M645&amp;", " &amp; N646,IF(N646 =0,"",N646) )</f>
        <v/>
      </c>
    </row>
    <row r="646" spans="13:14" x14ac:dyDescent="0.25">
      <c r="M646">
        <v>609</v>
      </c>
      <c r="N646" t="str">
        <f>IF(Book1!C612&gt;0,M646&amp;", " &amp; N647,IF(N647 =0,"",N647) )</f>
        <v/>
      </c>
    </row>
    <row r="647" spans="13:14" x14ac:dyDescent="0.25">
      <c r="M647">
        <v>610</v>
      </c>
      <c r="N647" t="str">
        <f>IF(Book1!C613&gt;0,M647&amp;", " &amp; N648,IF(N648 =0,"",N648) )</f>
        <v/>
      </c>
    </row>
    <row r="648" spans="13:14" x14ac:dyDescent="0.25">
      <c r="M648">
        <v>611</v>
      </c>
      <c r="N648" t="str">
        <f>IF(Book1!C614&gt;0,M648&amp;", " &amp; N649,IF(N649 =0,"",N649) )</f>
        <v/>
      </c>
    </row>
    <row r="649" spans="13:14" x14ac:dyDescent="0.25">
      <c r="M649">
        <v>612</v>
      </c>
      <c r="N649" t="str">
        <f>IF(Book1!C615&gt;0,M649&amp;", " &amp; N650,IF(N650 =0,"",N650) )</f>
        <v/>
      </c>
    </row>
    <row r="650" spans="13:14" x14ac:dyDescent="0.25">
      <c r="M650">
        <v>613</v>
      </c>
      <c r="N650" t="str">
        <f>IF(Book1!C616&gt;0,M650&amp;", " &amp; N651,IF(N651 =0,"",N651) )</f>
        <v/>
      </c>
    </row>
    <row r="651" spans="13:14" x14ac:dyDescent="0.25">
      <c r="M651">
        <v>614</v>
      </c>
      <c r="N651" t="str">
        <f>IF(Book1!C617&gt;0,M651&amp;", " &amp; N652,IF(N652 =0,"",N652) )</f>
        <v/>
      </c>
    </row>
    <row r="652" spans="13:14" x14ac:dyDescent="0.25">
      <c r="M652">
        <v>615</v>
      </c>
      <c r="N652" t="str">
        <f>IF(Book1!C618&gt;0,M652&amp;", " &amp; N653,IF(N653 =0,"",N653) )</f>
        <v/>
      </c>
    </row>
    <row r="653" spans="13:14" x14ac:dyDescent="0.25">
      <c r="M653">
        <v>616</v>
      </c>
      <c r="N653" t="str">
        <f>IF(Book1!C619&gt;0,M653&amp;", " &amp; N654,IF(N654 =0,"",N654) )</f>
        <v/>
      </c>
    </row>
    <row r="654" spans="13:14" x14ac:dyDescent="0.25">
      <c r="M654">
        <v>617</v>
      </c>
      <c r="N654" t="str">
        <f>IF(Book1!C620&gt;0,M654&amp;", " &amp; N655,IF(N655 =0,"",N655) )</f>
        <v/>
      </c>
    </row>
    <row r="655" spans="13:14" x14ac:dyDescent="0.25">
      <c r="M655">
        <v>618</v>
      </c>
      <c r="N655" t="str">
        <f>IF(Book1!C621&gt;0,M655&amp;", " &amp; N656,IF(N656 =0,"",N656) )</f>
        <v/>
      </c>
    </row>
    <row r="656" spans="13:14" x14ac:dyDescent="0.25">
      <c r="M656">
        <v>619</v>
      </c>
      <c r="N656" t="str">
        <f>IF(Book1!C622&gt;0,M656&amp;", " &amp; N657,IF(N657 =0,"",N657) )</f>
        <v/>
      </c>
    </row>
    <row r="657" spans="13:14" x14ac:dyDescent="0.25">
      <c r="M657">
        <v>620</v>
      </c>
      <c r="N657" t="str">
        <f>IF(Book1!C623&gt;0,M657&amp;", " &amp; N658,IF(N658 =0,"",N658) )</f>
        <v/>
      </c>
    </row>
    <row r="658" spans="13:14" x14ac:dyDescent="0.25">
      <c r="M658">
        <v>621</v>
      </c>
      <c r="N658" t="str">
        <f>IF(Book1!C624&gt;0,M658&amp;", " &amp; N659,IF(N659 =0,"",N659) )</f>
        <v/>
      </c>
    </row>
    <row r="659" spans="13:14" x14ac:dyDescent="0.25">
      <c r="M659">
        <v>622</v>
      </c>
      <c r="N659" t="str">
        <f>IF(Book1!C625&gt;0,M659&amp;", " &amp; N660,IF(N660 =0,"",N660) )</f>
        <v/>
      </c>
    </row>
    <row r="660" spans="13:14" x14ac:dyDescent="0.25">
      <c r="M660">
        <v>623</v>
      </c>
      <c r="N660" t="str">
        <f>IF(Book1!C626&gt;0,M660&amp;", " &amp; N661,IF(N661 =0,"",N661) )</f>
        <v/>
      </c>
    </row>
    <row r="661" spans="13:14" x14ac:dyDescent="0.25">
      <c r="M661">
        <v>624</v>
      </c>
      <c r="N661" t="str">
        <f>IF(Book1!C627&gt;0,M661&amp;", " &amp; N662,IF(N662 =0,"",N662) )</f>
        <v/>
      </c>
    </row>
    <row r="662" spans="13:14" x14ac:dyDescent="0.25">
      <c r="M662">
        <v>625</v>
      </c>
      <c r="N662" t="str">
        <f>IF(Book1!C628&gt;0,M662&amp;", " &amp; N663,IF(N663 =0,"",N663) )</f>
        <v/>
      </c>
    </row>
    <row r="663" spans="13:14" x14ac:dyDescent="0.25">
      <c r="M663">
        <v>626</v>
      </c>
      <c r="N663" t="str">
        <f>IF(Book1!C629&gt;0,M663&amp;", " &amp; N664,IF(N664 =0,"",N664) )</f>
        <v/>
      </c>
    </row>
    <row r="664" spans="13:14" x14ac:dyDescent="0.25">
      <c r="M664">
        <v>627</v>
      </c>
      <c r="N664" t="str">
        <f>IF(Book1!C630&gt;0,M664&amp;", " &amp; N665,IF(N665 =0,"",N665) )</f>
        <v/>
      </c>
    </row>
    <row r="665" spans="13:14" x14ac:dyDescent="0.25">
      <c r="M665">
        <v>628</v>
      </c>
      <c r="N665" t="str">
        <f>IF(Book1!C631&gt;0,M665&amp;", " &amp; N666,IF(N666 =0,"",N666) )</f>
        <v/>
      </c>
    </row>
    <row r="666" spans="13:14" x14ac:dyDescent="0.25">
      <c r="M666">
        <v>629</v>
      </c>
      <c r="N666" t="str">
        <f>IF(Book1!C632&gt;0,M666&amp;", " &amp; N667,IF(N667 =0,"",N667) )</f>
        <v/>
      </c>
    </row>
    <row r="667" spans="13:14" x14ac:dyDescent="0.25">
      <c r="M667">
        <v>630</v>
      </c>
      <c r="N667" t="str">
        <f>IF(Book1!C633&gt;0,M667&amp;", " &amp; N668,IF(N668 =0,"",N668) )</f>
        <v/>
      </c>
    </row>
    <row r="668" spans="13:14" x14ac:dyDescent="0.25">
      <c r="M668">
        <v>631</v>
      </c>
      <c r="N668" t="str">
        <f>IF(Book1!C634&gt;0,M668&amp;", " &amp; N669,IF(N669 =0,"",N669) )</f>
        <v/>
      </c>
    </row>
    <row r="669" spans="13:14" x14ac:dyDescent="0.25">
      <c r="M669">
        <v>632</v>
      </c>
      <c r="N669" t="str">
        <f>IF(Book1!C635&gt;0,M669&amp;", " &amp; N670,IF(N670 =0,"",N670) )</f>
        <v/>
      </c>
    </row>
    <row r="670" spans="13:14" x14ac:dyDescent="0.25">
      <c r="M670">
        <v>633</v>
      </c>
      <c r="N670" t="str">
        <f>IF(Book1!C636&gt;0,M670&amp;", " &amp; N671,IF(N671 =0,"",N671) )</f>
        <v/>
      </c>
    </row>
    <row r="671" spans="13:14" x14ac:dyDescent="0.25">
      <c r="M671">
        <v>634</v>
      </c>
      <c r="N671" t="str">
        <f>IF(Book1!C637&gt;0,M671&amp;", " &amp; N672,IF(N672 =0,"",N672) )</f>
        <v/>
      </c>
    </row>
    <row r="672" spans="13:14" x14ac:dyDescent="0.25">
      <c r="M672">
        <v>635</v>
      </c>
      <c r="N672" t="str">
        <f>IF(Book1!C638&gt;0,M672&amp;", " &amp; N673,IF(N673 =0,"",N673) )</f>
        <v/>
      </c>
    </row>
    <row r="673" spans="13:14" x14ac:dyDescent="0.25">
      <c r="M673">
        <v>636</v>
      </c>
      <c r="N673" t="str">
        <f>IF(Book1!C639&gt;0,M673&amp;", " &amp; N674,IF(N674 =0,"",N674) )</f>
        <v/>
      </c>
    </row>
    <row r="674" spans="13:14" x14ac:dyDescent="0.25">
      <c r="M674">
        <v>637</v>
      </c>
      <c r="N674" t="str">
        <f>IF(Book1!C640&gt;0,M674&amp;", " &amp; N675,IF(N675 =0,"",N675) )</f>
        <v/>
      </c>
    </row>
    <row r="675" spans="13:14" x14ac:dyDescent="0.25">
      <c r="M675">
        <v>638</v>
      </c>
      <c r="N675" t="str">
        <f>IF(Book1!C641&gt;0,M675&amp;", " &amp; N676,IF(N676 =0,"",N676) )</f>
        <v/>
      </c>
    </row>
    <row r="676" spans="13:14" x14ac:dyDescent="0.25">
      <c r="M676">
        <v>639</v>
      </c>
      <c r="N676" t="str">
        <f>IF(Book1!C642&gt;0,M676&amp;", " &amp; N677,IF(N677 =0,"",N677) )</f>
        <v/>
      </c>
    </row>
    <row r="677" spans="13:14" x14ac:dyDescent="0.25">
      <c r="M677">
        <v>640</v>
      </c>
      <c r="N677" t="str">
        <f>IF(Book1!C643&gt;0,M677&amp;", " &amp; N678,IF(N678 =0,"",N678) )</f>
        <v/>
      </c>
    </row>
    <row r="678" spans="13:14" x14ac:dyDescent="0.25">
      <c r="M678">
        <v>641</v>
      </c>
      <c r="N678" t="str">
        <f>IF(Book1!C644&gt;0,M678&amp;", " &amp; N679,IF(N679 =0,"",N679) )</f>
        <v/>
      </c>
    </row>
    <row r="679" spans="13:14" x14ac:dyDescent="0.25">
      <c r="M679">
        <v>642</v>
      </c>
      <c r="N679" t="str">
        <f>IF(Book1!C645&gt;0,M679&amp;", " &amp; N680,IF(N680 =0,"",N680) )</f>
        <v/>
      </c>
    </row>
    <row r="680" spans="13:14" x14ac:dyDescent="0.25">
      <c r="M680">
        <v>643</v>
      </c>
      <c r="N680" t="str">
        <f>IF(Book1!C646&gt;0,M680&amp;", " &amp; N681,IF(N681 =0,"",N681) )</f>
        <v/>
      </c>
    </row>
    <row r="681" spans="13:14" x14ac:dyDescent="0.25">
      <c r="M681">
        <v>644</v>
      </c>
      <c r="N681" t="str">
        <f>IF(Book1!C647&gt;0,M681&amp;", " &amp; N682,IF(N682 =0,"",N682) )</f>
        <v/>
      </c>
    </row>
    <row r="682" spans="13:14" x14ac:dyDescent="0.25">
      <c r="M682">
        <v>645</v>
      </c>
      <c r="N682" t="str">
        <f>IF(Book1!C648&gt;0,M682&amp;", " &amp; N683,IF(N683 =0,"",N683) )</f>
        <v/>
      </c>
    </row>
    <row r="683" spans="13:14" x14ac:dyDescent="0.25">
      <c r="M683">
        <v>646</v>
      </c>
      <c r="N683" t="str">
        <f>IF(Book1!C649&gt;0,M683&amp;", " &amp; N684,IF(N684 =0,"",N684) )</f>
        <v/>
      </c>
    </row>
    <row r="684" spans="13:14" x14ac:dyDescent="0.25">
      <c r="M684">
        <v>647</v>
      </c>
      <c r="N684" t="str">
        <f>IF(Book1!C650&gt;0,M684&amp;", " &amp; N685,IF(N685 =0,"",N685) )</f>
        <v/>
      </c>
    </row>
    <row r="685" spans="13:14" x14ac:dyDescent="0.25">
      <c r="M685">
        <v>648</v>
      </c>
      <c r="N685" t="str">
        <f>IF(Book1!C651&gt;0,M685&amp;", " &amp; N686,IF(N686 =0,"",N686) )</f>
        <v/>
      </c>
    </row>
    <row r="686" spans="13:14" x14ac:dyDescent="0.25">
      <c r="M686">
        <v>649</v>
      </c>
      <c r="N686" t="str">
        <f>IF(Book1!C652&gt;0,M686&amp;", " &amp; N687,IF(N687 =0,"",N687) )</f>
        <v/>
      </c>
    </row>
    <row r="687" spans="13:14" x14ac:dyDescent="0.25">
      <c r="M687">
        <v>650</v>
      </c>
      <c r="N687" t="str">
        <f>IF(Book1!C653&gt;0,M687&amp;", " &amp; N688,IF(N688 =0,"",N688) )</f>
        <v/>
      </c>
    </row>
    <row r="688" spans="13:14" x14ac:dyDescent="0.25">
      <c r="M688">
        <v>651</v>
      </c>
      <c r="N688" t="str">
        <f>IF(Book1!C654&gt;0,M688&amp;", " &amp; N689,IF(N689 =0,"",N689) )</f>
        <v/>
      </c>
    </row>
    <row r="689" spans="13:14" x14ac:dyDescent="0.25">
      <c r="M689">
        <v>652</v>
      </c>
      <c r="N689" t="str">
        <f>IF(Book1!C655&gt;0,M689&amp;", " &amp; N690,IF(N690 =0,"",N690) )</f>
        <v/>
      </c>
    </row>
    <row r="690" spans="13:14" x14ac:dyDescent="0.25">
      <c r="M690">
        <v>653</v>
      </c>
      <c r="N690" t="str">
        <f>IF(Book1!C656&gt;0,M690&amp;", " &amp; N691,IF(N691 =0,"",N691) )</f>
        <v/>
      </c>
    </row>
    <row r="691" spans="13:14" x14ac:dyDescent="0.25">
      <c r="M691">
        <v>654</v>
      </c>
      <c r="N691" t="str">
        <f>IF(Book1!C657&gt;0,M691&amp;", " &amp; N692,IF(N692 =0,"",N692) )</f>
        <v/>
      </c>
    </row>
    <row r="692" spans="13:14" x14ac:dyDescent="0.25">
      <c r="M692">
        <v>655</v>
      </c>
      <c r="N692" t="str">
        <f>IF(Book1!C658&gt;0,M692&amp;", " &amp; N693,IF(N693 =0,"",N693) )</f>
        <v/>
      </c>
    </row>
    <row r="693" spans="13:14" x14ac:dyDescent="0.25">
      <c r="M693">
        <v>656</v>
      </c>
      <c r="N693" t="str">
        <f>IF(Book1!C659&gt;0,M693&amp;", " &amp; N694,IF(N694 =0,"",N694) )</f>
        <v/>
      </c>
    </row>
    <row r="694" spans="13:14" x14ac:dyDescent="0.25">
      <c r="M694">
        <v>657</v>
      </c>
      <c r="N694" t="str">
        <f>IF(Book1!C660&gt;0,M694&amp;", " &amp; N695,IF(N695 =0,"",N695) )</f>
        <v/>
      </c>
    </row>
    <row r="695" spans="13:14" x14ac:dyDescent="0.25">
      <c r="M695">
        <v>658</v>
      </c>
      <c r="N695" t="str">
        <f>IF(Book1!C661&gt;0,M695&amp;", " &amp; N696,IF(N696 =0,"",N696) )</f>
        <v/>
      </c>
    </row>
    <row r="696" spans="13:14" x14ac:dyDescent="0.25">
      <c r="M696">
        <v>659</v>
      </c>
      <c r="N696" t="str">
        <f>IF(Book1!C662&gt;0,M696&amp;", " &amp; N697,IF(N697 =0,"",N697) )</f>
        <v/>
      </c>
    </row>
    <row r="697" spans="13:14" x14ac:dyDescent="0.25">
      <c r="M697">
        <v>660</v>
      </c>
      <c r="N697" t="str">
        <f>IF(Book1!C663&gt;0,M697&amp;", " &amp; N698,IF(N698 =0,"",N698) )</f>
        <v/>
      </c>
    </row>
    <row r="698" spans="13:14" x14ac:dyDescent="0.25">
      <c r="M698">
        <v>661</v>
      </c>
      <c r="N698" t="str">
        <f>IF(Book1!C664&gt;0,M698&amp;", " &amp; N699,IF(N699 =0,"",N699) )</f>
        <v/>
      </c>
    </row>
    <row r="699" spans="13:14" x14ac:dyDescent="0.25">
      <c r="M699">
        <v>662</v>
      </c>
      <c r="N699" t="str">
        <f>IF(Book1!C665&gt;0,M699&amp;", " &amp; N700,IF(N700 =0,"",N700) )</f>
        <v/>
      </c>
    </row>
    <row r="700" spans="13:14" x14ac:dyDescent="0.25">
      <c r="M700">
        <v>663</v>
      </c>
      <c r="N700" t="str">
        <f>IF(Book1!C666&gt;0,M700&amp;", " &amp; N701,IF(N701 =0,"",N701) )</f>
        <v/>
      </c>
    </row>
    <row r="701" spans="13:14" x14ac:dyDescent="0.25">
      <c r="M701">
        <v>664</v>
      </c>
      <c r="N701" t="str">
        <f>IF(Book1!C667&gt;0,M701&amp;", " &amp; N702,IF(N702 =0,"",N702) )</f>
        <v/>
      </c>
    </row>
    <row r="702" spans="13:14" x14ac:dyDescent="0.25">
      <c r="M702">
        <v>665</v>
      </c>
      <c r="N702" t="str">
        <f>IF(Book1!C668&gt;0,M702&amp;", " &amp; N703,IF(N703 =0,"",N703) )</f>
        <v/>
      </c>
    </row>
    <row r="703" spans="13:14" x14ac:dyDescent="0.25">
      <c r="M703">
        <v>666</v>
      </c>
      <c r="N703" t="str">
        <f>IF(Book1!C669&gt;0,M703&amp;", " &amp; N704,IF(N704 =0,"",N704) )</f>
        <v/>
      </c>
    </row>
    <row r="704" spans="13:14" x14ac:dyDescent="0.25">
      <c r="M704">
        <v>667</v>
      </c>
      <c r="N704" t="str">
        <f>IF(Book1!C670&gt;0,M704&amp;", " &amp; N705,IF(N705 =0,"",N705) )</f>
        <v/>
      </c>
    </row>
    <row r="705" spans="13:14" x14ac:dyDescent="0.25">
      <c r="M705">
        <v>668</v>
      </c>
      <c r="N705" t="str">
        <f>IF(Book1!C671&gt;0,M705&amp;", " &amp; N706,IF(N706 =0,"",N706) )</f>
        <v/>
      </c>
    </row>
    <row r="706" spans="13:14" x14ac:dyDescent="0.25">
      <c r="M706">
        <v>669</v>
      </c>
      <c r="N706" t="str">
        <f>IF(Book1!C672&gt;0,M706&amp;", " &amp; N707,IF(N707 =0,"",N707) )</f>
        <v/>
      </c>
    </row>
    <row r="707" spans="13:14" x14ac:dyDescent="0.25">
      <c r="M707">
        <v>670</v>
      </c>
      <c r="N707" t="str">
        <f>IF(Book1!C673&gt;0,M707&amp;", " &amp; N708,IF(N708 =0,"",N708) )</f>
        <v/>
      </c>
    </row>
    <row r="708" spans="13:14" x14ac:dyDescent="0.25">
      <c r="M708">
        <v>671</v>
      </c>
      <c r="N708" t="str">
        <f>IF(Book1!C674&gt;0,M708&amp;", " &amp; N709,IF(N709 =0,"",N709) )</f>
        <v/>
      </c>
    </row>
    <row r="709" spans="13:14" x14ac:dyDescent="0.25">
      <c r="M709">
        <v>672</v>
      </c>
      <c r="N709" t="str">
        <f>IF(Book1!C675&gt;0,M709&amp;", " &amp; N710,IF(N710 =0,"",N710) )</f>
        <v/>
      </c>
    </row>
    <row r="710" spans="13:14" x14ac:dyDescent="0.25">
      <c r="M710">
        <v>673</v>
      </c>
      <c r="N710" t="str">
        <f>IF(Book1!C676&gt;0,M710&amp;", " &amp; N711,IF(N711 =0,"",N711) )</f>
        <v/>
      </c>
    </row>
    <row r="711" spans="13:14" x14ac:dyDescent="0.25">
      <c r="M711">
        <v>674</v>
      </c>
      <c r="N711" t="str">
        <f>IF(Book1!C677&gt;0,M711&amp;", " &amp; N712,IF(N712 =0,"",N712) )</f>
        <v/>
      </c>
    </row>
    <row r="712" spans="13:14" x14ac:dyDescent="0.25">
      <c r="M712">
        <v>675</v>
      </c>
      <c r="N712" t="str">
        <f>IF(Book1!C678&gt;0,M712&amp;", " &amp; N713,IF(N713 =0,"",N713) )</f>
        <v/>
      </c>
    </row>
    <row r="713" spans="13:14" x14ac:dyDescent="0.25">
      <c r="M713">
        <v>676</v>
      </c>
      <c r="N713" t="str">
        <f>IF(Book1!C679&gt;0,M713&amp;", " &amp; N714,IF(N714 =0,"",N714) )</f>
        <v/>
      </c>
    </row>
    <row r="714" spans="13:14" x14ac:dyDescent="0.25">
      <c r="M714">
        <v>677</v>
      </c>
      <c r="N714" t="str">
        <f>IF(Book1!C680&gt;0,M714&amp;", " &amp; N715,IF(N715 =0,"",N715) )</f>
        <v/>
      </c>
    </row>
    <row r="715" spans="13:14" x14ac:dyDescent="0.25">
      <c r="M715">
        <v>678</v>
      </c>
      <c r="N715" t="str">
        <f>IF(Book1!C681&gt;0,M715&amp;", " &amp; N716,IF(N716 =0,"",N716) )</f>
        <v/>
      </c>
    </row>
    <row r="716" spans="13:14" x14ac:dyDescent="0.25">
      <c r="M716">
        <v>679</v>
      </c>
      <c r="N716" t="str">
        <f>IF(Book1!C682&gt;0,M716&amp;", " &amp; N717,IF(N717 =0,"",N717) )</f>
        <v/>
      </c>
    </row>
    <row r="717" spans="13:14" x14ac:dyDescent="0.25">
      <c r="M717">
        <v>680</v>
      </c>
      <c r="N717" t="str">
        <f>IF(Book1!C683&gt;0,M717&amp;", " &amp; N718,IF(N718 =0,"",N718) )</f>
        <v/>
      </c>
    </row>
    <row r="718" spans="13:14" x14ac:dyDescent="0.25">
      <c r="M718">
        <v>681</v>
      </c>
      <c r="N718" t="str">
        <f>IF(Book1!C684&gt;0,M718&amp;", " &amp; N719,IF(N719 =0,"",N719) )</f>
        <v/>
      </c>
    </row>
    <row r="719" spans="13:14" x14ac:dyDescent="0.25">
      <c r="M719">
        <v>682</v>
      </c>
      <c r="N719" t="str">
        <f>IF(Book1!C685&gt;0,M719&amp;", " &amp; N720,IF(N720 =0,"",N720) )</f>
        <v/>
      </c>
    </row>
    <row r="720" spans="13:14" x14ac:dyDescent="0.25">
      <c r="M720">
        <v>683</v>
      </c>
      <c r="N720" t="str">
        <f>IF(Book1!C686&gt;0,M720&amp;", " &amp; N721,IF(N721 =0,"",N721) )</f>
        <v/>
      </c>
    </row>
    <row r="721" spans="13:14" x14ac:dyDescent="0.25">
      <c r="M721">
        <v>684</v>
      </c>
      <c r="N721" t="str">
        <f>IF(Book1!C687&gt;0,M721&amp;", " &amp; N722,IF(N722 =0,"",N722) )</f>
        <v/>
      </c>
    </row>
    <row r="722" spans="13:14" x14ac:dyDescent="0.25">
      <c r="M722">
        <v>685</v>
      </c>
      <c r="N722" t="str">
        <f>IF(Book1!C688&gt;0,M722&amp;", " &amp; N723,IF(N723 =0,"",N723) )</f>
        <v/>
      </c>
    </row>
    <row r="723" spans="13:14" x14ac:dyDescent="0.25">
      <c r="M723">
        <v>686</v>
      </c>
      <c r="N723" t="str">
        <f>IF(Book1!C689&gt;0,M723&amp;", " &amp; N724,IF(N724 =0,"",N724) )</f>
        <v/>
      </c>
    </row>
    <row r="724" spans="13:14" x14ac:dyDescent="0.25">
      <c r="M724">
        <v>687</v>
      </c>
      <c r="N724" t="str">
        <f>IF(Book1!C690&gt;0,M724&amp;", " &amp; N725,IF(N725 =0,"",N725) )</f>
        <v/>
      </c>
    </row>
    <row r="725" spans="13:14" x14ac:dyDescent="0.25">
      <c r="M725">
        <v>688</v>
      </c>
      <c r="N725" t="str">
        <f>IF(Book1!C691&gt;0,M725&amp;", " &amp; N726,IF(N726 =0,"",N726) )</f>
        <v/>
      </c>
    </row>
    <row r="726" spans="13:14" x14ac:dyDescent="0.25">
      <c r="M726">
        <v>689</v>
      </c>
      <c r="N726" t="str">
        <f>IF(Book1!C692&gt;0,M726&amp;", " &amp; N727,IF(N727 =0,"",N727) )</f>
        <v/>
      </c>
    </row>
    <row r="727" spans="13:14" x14ac:dyDescent="0.25">
      <c r="M727">
        <v>690</v>
      </c>
      <c r="N727" t="str">
        <f>IF(Book1!C693&gt;0,M727&amp;", " &amp; N728,IF(N728 =0,"",N728) )</f>
        <v/>
      </c>
    </row>
    <row r="728" spans="13:14" x14ac:dyDescent="0.25">
      <c r="M728">
        <v>691</v>
      </c>
      <c r="N728" t="str">
        <f>IF(Book1!C694&gt;0,M728&amp;", " &amp; N729,IF(N729 =0,"",N729) )</f>
        <v/>
      </c>
    </row>
    <row r="729" spans="13:14" x14ac:dyDescent="0.25">
      <c r="M729">
        <v>692</v>
      </c>
      <c r="N729" t="str">
        <f>IF(Book1!C695&gt;0,M729&amp;", " &amp; N730,IF(N730 =0,"",N730) )</f>
        <v/>
      </c>
    </row>
    <row r="730" spans="13:14" x14ac:dyDescent="0.25">
      <c r="M730">
        <v>693</v>
      </c>
      <c r="N730" t="str">
        <f>IF(Book1!C696&gt;0,M730&amp;", " &amp; N731,IF(N731 =0,"",N731) )</f>
        <v/>
      </c>
    </row>
    <row r="731" spans="13:14" x14ac:dyDescent="0.25">
      <c r="M731">
        <v>694</v>
      </c>
      <c r="N731" t="str">
        <f>IF(Book1!C697&gt;0,M731&amp;", " &amp; N732,IF(N732 =0,"",N732) )</f>
        <v/>
      </c>
    </row>
    <row r="732" spans="13:14" x14ac:dyDescent="0.25">
      <c r="M732">
        <v>695</v>
      </c>
      <c r="N732" t="str">
        <f>IF(Book1!C698&gt;0,M732&amp;", " &amp; N733,IF(N733 =0,"",N733) )</f>
        <v/>
      </c>
    </row>
    <row r="733" spans="13:14" x14ac:dyDescent="0.25">
      <c r="M733">
        <v>696</v>
      </c>
      <c r="N733" t="str">
        <f>IF(Book1!C699&gt;0,M733&amp;", " &amp; N734,IF(N734 =0,"",N734) )</f>
        <v/>
      </c>
    </row>
    <row r="734" spans="13:14" x14ac:dyDescent="0.25">
      <c r="M734">
        <v>697</v>
      </c>
      <c r="N734" t="str">
        <f>IF(Book1!C700&gt;0,M734&amp;", " &amp; N735,IF(N735 =0,"",N735) )</f>
        <v/>
      </c>
    </row>
    <row r="735" spans="13:14" x14ac:dyDescent="0.25">
      <c r="M735">
        <v>698</v>
      </c>
      <c r="N735" t="str">
        <f>IF(Book1!C701&gt;0,M735&amp;", " &amp; N736,IF(N736 =0,"",N736) )</f>
        <v/>
      </c>
    </row>
    <row r="736" spans="13:14" x14ac:dyDescent="0.25">
      <c r="M736">
        <v>699</v>
      </c>
      <c r="N736" t="str">
        <f>IF(Book1!C702&gt;0,M736&amp;", " &amp; N737,IF(N737 =0,"",N737) )</f>
        <v/>
      </c>
    </row>
    <row r="737" spans="13:14" x14ac:dyDescent="0.25">
      <c r="M737">
        <v>700</v>
      </c>
      <c r="N737" t="str">
        <f>IF(Book1!C703&gt;0,M737&amp;", " &amp; N738,IF(N738 =0,"",N738) )</f>
        <v/>
      </c>
    </row>
    <row r="738" spans="13:14" x14ac:dyDescent="0.25">
      <c r="M738">
        <v>701</v>
      </c>
      <c r="N738" t="str">
        <f>IF(Book1!C704&gt;0,M738&amp;", " &amp; N739,IF(N739 =0,"",N739) )</f>
        <v/>
      </c>
    </row>
    <row r="739" spans="13:14" x14ac:dyDescent="0.25">
      <c r="M739">
        <v>702</v>
      </c>
      <c r="N739" t="str">
        <f>IF(Book1!C705&gt;0,M739&amp;", " &amp; N740,IF(N740 =0,"",N740) )</f>
        <v/>
      </c>
    </row>
    <row r="740" spans="13:14" x14ac:dyDescent="0.25">
      <c r="M740">
        <v>703</v>
      </c>
      <c r="N740" t="str">
        <f>IF(Book1!C706&gt;0,M740&amp;", " &amp; N741,IF(N741 =0,"",N741) )</f>
        <v/>
      </c>
    </row>
    <row r="741" spans="13:14" x14ac:dyDescent="0.25">
      <c r="M741">
        <v>704</v>
      </c>
      <c r="N741" t="str">
        <f>IF(Book1!C707&gt;0,M741&amp;", " &amp; N742,IF(N742 =0,"",N742) )</f>
        <v/>
      </c>
    </row>
    <row r="742" spans="13:14" x14ac:dyDescent="0.25">
      <c r="M742">
        <v>705</v>
      </c>
      <c r="N742" t="str">
        <f>IF(Book1!C708&gt;0,M742&amp;", " &amp; N743,IF(N743 =0,"",N743) )</f>
        <v/>
      </c>
    </row>
    <row r="743" spans="13:14" x14ac:dyDescent="0.25">
      <c r="M743">
        <v>706</v>
      </c>
      <c r="N743" t="str">
        <f>IF(Book1!C709&gt;0,M743&amp;", " &amp; N744,IF(N744 =0,"",N744) )</f>
        <v/>
      </c>
    </row>
    <row r="744" spans="13:14" x14ac:dyDescent="0.25">
      <c r="M744">
        <v>707</v>
      </c>
      <c r="N744" t="str">
        <f>IF(Book1!C710&gt;0,M744&amp;", " &amp; N745,IF(N745 =0,"",N745) )</f>
        <v/>
      </c>
    </row>
    <row r="745" spans="13:14" x14ac:dyDescent="0.25">
      <c r="M745">
        <v>708</v>
      </c>
      <c r="N745" t="str">
        <f>IF(Book1!C711&gt;0,M745&amp;", " &amp; N746,IF(N746 =0,"",N746) )</f>
        <v/>
      </c>
    </row>
    <row r="746" spans="13:14" x14ac:dyDescent="0.25">
      <c r="M746">
        <v>709</v>
      </c>
      <c r="N746" t="str">
        <f>IF(Book1!C712&gt;0,M746&amp;", " &amp; N747,IF(N747 =0,"",N747) )</f>
        <v/>
      </c>
    </row>
    <row r="747" spans="13:14" x14ac:dyDescent="0.25">
      <c r="M747">
        <v>710</v>
      </c>
      <c r="N747" t="str">
        <f>IF(Book1!C713&gt;0,M747&amp;", " &amp; N748,IF(N748 =0,"",N748) )</f>
        <v/>
      </c>
    </row>
    <row r="748" spans="13:14" x14ac:dyDescent="0.25">
      <c r="M748">
        <v>711</v>
      </c>
      <c r="N748" t="str">
        <f>IF(Book1!C714&gt;0,M748&amp;", " &amp; N749,IF(N749 =0,"",N749) )</f>
        <v/>
      </c>
    </row>
    <row r="749" spans="13:14" x14ac:dyDescent="0.25">
      <c r="M749">
        <v>712</v>
      </c>
      <c r="N749" t="str">
        <f>IF(Book1!C715&gt;0,M749&amp;", " &amp; N750,IF(N750 =0,"",N750) )</f>
        <v/>
      </c>
    </row>
    <row r="750" spans="13:14" x14ac:dyDescent="0.25">
      <c r="M750">
        <v>713</v>
      </c>
      <c r="N750" t="str">
        <f>IF(Book1!C716&gt;0,M750&amp;", " &amp; N751,IF(N751 =0,"",N751) )</f>
        <v/>
      </c>
    </row>
    <row r="751" spans="13:14" x14ac:dyDescent="0.25">
      <c r="M751">
        <v>714</v>
      </c>
      <c r="N751" t="str">
        <f>IF(Book1!C717&gt;0,M751&amp;", " &amp; N752,IF(N752 =0,"",N752) )</f>
        <v/>
      </c>
    </row>
    <row r="752" spans="13:14" x14ac:dyDescent="0.25">
      <c r="M752">
        <v>715</v>
      </c>
      <c r="N752" t="str">
        <f>IF(Book1!C718&gt;0,M752&amp;", " &amp; N753,IF(N753 =0,"",N753) )</f>
        <v/>
      </c>
    </row>
    <row r="753" spans="13:14" x14ac:dyDescent="0.25">
      <c r="M753">
        <v>716</v>
      </c>
      <c r="N753" t="str">
        <f>IF(Book1!C719&gt;0,M753&amp;", " &amp; N754,IF(N754 =0,"",N754) )</f>
        <v/>
      </c>
    </row>
    <row r="754" spans="13:14" x14ac:dyDescent="0.25">
      <c r="M754">
        <v>717</v>
      </c>
      <c r="N754" t="str">
        <f>IF(Book1!C720&gt;0,M754&amp;", " &amp; N755,IF(N755 =0,"",N755) )</f>
        <v/>
      </c>
    </row>
    <row r="755" spans="13:14" x14ac:dyDescent="0.25">
      <c r="M755">
        <v>718</v>
      </c>
      <c r="N755" t="str">
        <f>IF(Book1!C721&gt;0,M755&amp;", " &amp; N756,IF(N756 =0,"",N756) )</f>
        <v/>
      </c>
    </row>
    <row r="756" spans="13:14" x14ac:dyDescent="0.25">
      <c r="M756">
        <v>719</v>
      </c>
      <c r="N756" t="str">
        <f>IF(Book1!C722&gt;0,M756&amp;", " &amp; N757,IF(N757 =0,"",N757) )</f>
        <v/>
      </c>
    </row>
    <row r="757" spans="13:14" x14ac:dyDescent="0.25">
      <c r="M757">
        <v>720</v>
      </c>
      <c r="N757" t="str">
        <f>IF(Book1!C723&gt;0,M757&amp;", " &amp; N758,IF(N758 =0,"",N758) )</f>
        <v/>
      </c>
    </row>
    <row r="758" spans="13:14" x14ac:dyDescent="0.25">
      <c r="M758">
        <v>721</v>
      </c>
      <c r="N758" t="str">
        <f>IF(Book1!C724&gt;0,M758&amp;", " &amp; N759,IF(N759 =0,"",N759) )</f>
        <v/>
      </c>
    </row>
    <row r="759" spans="13:14" x14ac:dyDescent="0.25">
      <c r="M759">
        <v>722</v>
      </c>
      <c r="N759" t="str">
        <f>IF(Book1!C725&gt;0,M759&amp;", " &amp; N760,IF(N760 =0,"",N760) )</f>
        <v/>
      </c>
    </row>
    <row r="760" spans="13:14" x14ac:dyDescent="0.25">
      <c r="M760">
        <v>723</v>
      </c>
      <c r="N760" t="str">
        <f>IF(Book1!C726&gt;0,M760&amp;", " &amp; N761,IF(N761 =0,"",N761) )</f>
        <v/>
      </c>
    </row>
    <row r="761" spans="13:14" x14ac:dyDescent="0.25">
      <c r="M761">
        <v>724</v>
      </c>
      <c r="N761" t="str">
        <f>IF(Book1!C727&gt;0,M761&amp;", " &amp; N762,IF(N762 =0,"",N762) )</f>
        <v/>
      </c>
    </row>
    <row r="762" spans="13:14" x14ac:dyDescent="0.25">
      <c r="M762">
        <v>725</v>
      </c>
      <c r="N762" t="str">
        <f>IF(Book1!C728&gt;0,M762&amp;", " &amp; N763,IF(N763 =0,"",N763) )</f>
        <v/>
      </c>
    </row>
    <row r="763" spans="13:14" x14ac:dyDescent="0.25">
      <c r="M763">
        <v>726</v>
      </c>
      <c r="N763" t="str">
        <f>IF(Book1!C729&gt;0,M763&amp;", " &amp; N764,IF(N764 =0,"",N764) )</f>
        <v/>
      </c>
    </row>
    <row r="764" spans="13:14" x14ac:dyDescent="0.25">
      <c r="M764">
        <v>727</v>
      </c>
      <c r="N764" t="str">
        <f>IF(Book1!C730&gt;0,M764&amp;", " &amp; N765,IF(N765 =0,"",N765) )</f>
        <v/>
      </c>
    </row>
    <row r="765" spans="13:14" x14ac:dyDescent="0.25">
      <c r="M765">
        <v>728</v>
      </c>
      <c r="N765" t="str">
        <f>IF(Book1!C731&gt;0,M765&amp;", " &amp; N766,IF(N766 =0,"",N766) )</f>
        <v/>
      </c>
    </row>
    <row r="766" spans="13:14" x14ac:dyDescent="0.25">
      <c r="M766">
        <v>729</v>
      </c>
      <c r="N766" t="str">
        <f>IF(Book1!C732&gt;0,M766&amp;", " &amp; N767,IF(N767 =0,"",N767) )</f>
        <v/>
      </c>
    </row>
    <row r="767" spans="13:14" x14ac:dyDescent="0.25">
      <c r="M767">
        <v>730</v>
      </c>
      <c r="N767" t="str">
        <f>IF(Book1!C733&gt;0,M767&amp;", " &amp; N768,IF(N768 =0,"",N768) )</f>
        <v/>
      </c>
    </row>
    <row r="768" spans="13:14" x14ac:dyDescent="0.25">
      <c r="M768">
        <v>731</v>
      </c>
      <c r="N768" t="str">
        <f>IF(Book1!C734&gt;0,M768&amp;", " &amp; N769,IF(N769 =0,"",N769) )</f>
        <v/>
      </c>
    </row>
    <row r="769" spans="13:14" x14ac:dyDescent="0.25">
      <c r="M769">
        <v>732</v>
      </c>
      <c r="N769" t="str">
        <f>IF(Book1!C735&gt;0,M769&amp;", " &amp; N770,IF(N770 =0,"",N770) )</f>
        <v/>
      </c>
    </row>
    <row r="770" spans="13:14" x14ac:dyDescent="0.25">
      <c r="M770">
        <v>733</v>
      </c>
      <c r="N770" t="str">
        <f>IF(Book1!C736&gt;0,M770&amp;", " &amp; N771,IF(N771 =0,"",N771) )</f>
        <v/>
      </c>
    </row>
    <row r="771" spans="13:14" x14ac:dyDescent="0.25">
      <c r="M771">
        <v>734</v>
      </c>
      <c r="N771" t="str">
        <f>IF(Book1!C737&gt;0,M771&amp;", " &amp; N772,IF(N772 =0,"",N772) )</f>
        <v/>
      </c>
    </row>
    <row r="772" spans="13:14" x14ac:dyDescent="0.25">
      <c r="M772">
        <v>735</v>
      </c>
      <c r="N772" t="str">
        <f>IF(Book1!C738&gt;0,M772&amp;", " &amp; N773,IF(N773 =0,"",N773) )</f>
        <v/>
      </c>
    </row>
    <row r="773" spans="13:14" x14ac:dyDescent="0.25">
      <c r="M773">
        <v>736</v>
      </c>
      <c r="N773" t="str">
        <f>IF(Book1!C739&gt;0,M773&amp;", " &amp; N774,IF(N774 =0,"",N774) )</f>
        <v/>
      </c>
    </row>
    <row r="774" spans="13:14" x14ac:dyDescent="0.25">
      <c r="M774">
        <v>737</v>
      </c>
      <c r="N774" t="str">
        <f>IF(Book1!C740&gt;0,M774&amp;", " &amp; N775,IF(N775 =0,"",N775) )</f>
        <v/>
      </c>
    </row>
    <row r="775" spans="13:14" x14ac:dyDescent="0.25">
      <c r="M775">
        <v>738</v>
      </c>
      <c r="N775" t="str">
        <f>IF(Book1!C741&gt;0,M775&amp;", " &amp; N776,IF(N776 =0,"",N776) )</f>
        <v/>
      </c>
    </row>
    <row r="776" spans="13:14" x14ac:dyDescent="0.25">
      <c r="M776">
        <v>739</v>
      </c>
      <c r="N776" t="str">
        <f>IF(Book1!C742&gt;0,M776&amp;", " &amp; N777,IF(N777 =0,"",N777) )</f>
        <v/>
      </c>
    </row>
    <row r="777" spans="13:14" x14ac:dyDescent="0.25">
      <c r="M777">
        <v>740</v>
      </c>
      <c r="N777" t="str">
        <f>IF(Book1!C743&gt;0,M777&amp;", " &amp; N778,IF(N778 =0,"",N778) )</f>
        <v/>
      </c>
    </row>
    <row r="778" spans="13:14" x14ac:dyDescent="0.25">
      <c r="M778">
        <v>741</v>
      </c>
      <c r="N778" t="str">
        <f>IF(Book1!C744&gt;0,M778&amp;", " &amp; N779,IF(N779 =0,"",N779) )</f>
        <v/>
      </c>
    </row>
    <row r="779" spans="13:14" x14ac:dyDescent="0.25">
      <c r="M779">
        <v>742</v>
      </c>
      <c r="N779" t="str">
        <f>IF(Book1!C745&gt;0,M779&amp;", " &amp; N780,IF(N780 =0,"",N780) )</f>
        <v/>
      </c>
    </row>
    <row r="780" spans="13:14" x14ac:dyDescent="0.25">
      <c r="M780">
        <v>743</v>
      </c>
      <c r="N780" t="str">
        <f>IF(Book1!C746&gt;0,M780&amp;", " &amp; N781,IF(N781 =0,"",N781) )</f>
        <v/>
      </c>
    </row>
    <row r="781" spans="13:14" x14ac:dyDescent="0.25">
      <c r="M781">
        <v>744</v>
      </c>
      <c r="N781" t="str">
        <f>IF(Book1!C747&gt;0,M781&amp;", " &amp; N782,IF(N782 =0,"",N782) )</f>
        <v/>
      </c>
    </row>
    <row r="782" spans="13:14" x14ac:dyDescent="0.25">
      <c r="M782">
        <v>745</v>
      </c>
      <c r="N782" t="str">
        <f>IF(Book1!C748&gt;0,M782&amp;", " &amp; N783,IF(N783 =0,"",N783) )</f>
        <v/>
      </c>
    </row>
    <row r="783" spans="13:14" x14ac:dyDescent="0.25">
      <c r="M783">
        <v>746</v>
      </c>
      <c r="N783" t="str">
        <f>IF(Book1!C749&gt;0,M783&amp;", " &amp; N784,IF(N784 =0,"",N784) )</f>
        <v/>
      </c>
    </row>
    <row r="784" spans="13:14" x14ac:dyDescent="0.25">
      <c r="M784">
        <v>747</v>
      </c>
      <c r="N784" t="str">
        <f>IF(Book1!C750&gt;0,M784&amp;", " &amp; N785,IF(N785 =0,"",N785) )</f>
        <v/>
      </c>
    </row>
    <row r="785" spans="13:14" x14ac:dyDescent="0.25">
      <c r="M785">
        <v>748</v>
      </c>
      <c r="N785" t="str">
        <f>IF(Book1!C751&gt;0,M785&amp;", " &amp; N786,IF(N786 =0,"",N786) )</f>
        <v/>
      </c>
    </row>
    <row r="786" spans="13:14" x14ac:dyDescent="0.25">
      <c r="M786">
        <v>749</v>
      </c>
      <c r="N786" t="str">
        <f>IF(Book1!C752&gt;0,M786&amp;", " &amp; N787,IF(N787 =0,"",N787) )</f>
        <v/>
      </c>
    </row>
    <row r="787" spans="13:14" x14ac:dyDescent="0.25">
      <c r="M787">
        <v>750</v>
      </c>
      <c r="N787" t="str">
        <f>IF(Book1!C753&gt;0,M787&amp;", " &amp; N788,IF(N788 =0,"",N788) )</f>
        <v/>
      </c>
    </row>
    <row r="788" spans="13:14" x14ac:dyDescent="0.25">
      <c r="M788">
        <v>751</v>
      </c>
      <c r="N788" t="str">
        <f>IF(Book1!C754&gt;0,M788&amp;", " &amp; N789,IF(N789 =0,"",N789) )</f>
        <v/>
      </c>
    </row>
    <row r="789" spans="13:14" x14ac:dyDescent="0.25">
      <c r="M789">
        <v>752</v>
      </c>
      <c r="N789" t="str">
        <f>IF(Book1!C755&gt;0,M789&amp;", " &amp; N790,IF(N790 =0,"",N790) )</f>
        <v/>
      </c>
    </row>
    <row r="790" spans="13:14" x14ac:dyDescent="0.25">
      <c r="M790">
        <v>753</v>
      </c>
      <c r="N790" t="str">
        <f>IF(Book1!C756&gt;0,M790&amp;", " &amp; N791,IF(N791 =0,"",N791) )</f>
        <v/>
      </c>
    </row>
    <row r="791" spans="13:14" x14ac:dyDescent="0.25">
      <c r="M791">
        <v>754</v>
      </c>
      <c r="N791" t="str">
        <f>IF(Book1!C757&gt;0,M791&amp;", " &amp; N792,IF(N792 =0,"",N792) )</f>
        <v/>
      </c>
    </row>
    <row r="792" spans="13:14" x14ac:dyDescent="0.25">
      <c r="M792">
        <v>755</v>
      </c>
      <c r="N792" t="str">
        <f>IF(Book1!C758&gt;0,M792&amp;", " &amp; N793,IF(N793 =0,"",N793) )</f>
        <v/>
      </c>
    </row>
    <row r="793" spans="13:14" x14ac:dyDescent="0.25">
      <c r="M793">
        <v>756</v>
      </c>
      <c r="N793" t="str">
        <f>IF(Book1!C759&gt;0,M793&amp;", " &amp; N794,IF(N794 =0,"",N794) )</f>
        <v/>
      </c>
    </row>
    <row r="794" spans="13:14" x14ac:dyDescent="0.25">
      <c r="M794">
        <v>757</v>
      </c>
      <c r="N794" t="str">
        <f>IF(Book1!C760&gt;0,M794&amp;", " &amp; N795,IF(N795 =0,"",N795) )</f>
        <v/>
      </c>
    </row>
    <row r="795" spans="13:14" x14ac:dyDescent="0.25">
      <c r="M795">
        <v>758</v>
      </c>
      <c r="N795" t="str">
        <f>IF(Book1!C761&gt;0,M795&amp;", " &amp; N796,IF(N796 =0,"",N796) )</f>
        <v/>
      </c>
    </row>
    <row r="796" spans="13:14" x14ac:dyDescent="0.25">
      <c r="M796">
        <v>759</v>
      </c>
      <c r="N796" t="str">
        <f>IF(Book1!C762&gt;0,M796&amp;", " &amp; N797,IF(N797 =0,"",N797) )</f>
        <v/>
      </c>
    </row>
    <row r="797" spans="13:14" x14ac:dyDescent="0.25">
      <c r="M797">
        <v>760</v>
      </c>
      <c r="N797" t="str">
        <f>IF(Book1!C763&gt;0,M797&amp;", " &amp; N798,IF(N798 =0,"",N798) )</f>
        <v/>
      </c>
    </row>
    <row r="798" spans="13:14" x14ac:dyDescent="0.25">
      <c r="M798">
        <v>761</v>
      </c>
      <c r="N798" t="str">
        <f>IF(Book1!C764&gt;0,M798&amp;", " &amp; N799,IF(N799 =0,"",N799) )</f>
        <v/>
      </c>
    </row>
    <row r="799" spans="13:14" x14ac:dyDescent="0.25">
      <c r="M799">
        <v>762</v>
      </c>
      <c r="N799" t="str">
        <f>IF(Book1!C765&gt;0,M799&amp;", " &amp; N800,IF(N800 =0,"",N800) )</f>
        <v/>
      </c>
    </row>
    <row r="800" spans="13:14" x14ac:dyDescent="0.25">
      <c r="M800">
        <v>763</v>
      </c>
      <c r="N800" t="str">
        <f>IF(Book1!C766&gt;0,M800&amp;", " &amp; N801,IF(N801 =0,"",N801) )</f>
        <v/>
      </c>
    </row>
    <row r="801" spans="13:14" x14ac:dyDescent="0.25">
      <c r="M801">
        <v>764</v>
      </c>
      <c r="N801" t="str">
        <f>IF(Book1!C767&gt;0,M801&amp;", " &amp; N802,IF(N802 =0,"",N802) )</f>
        <v/>
      </c>
    </row>
    <row r="802" spans="13:14" x14ac:dyDescent="0.25">
      <c r="M802">
        <v>765</v>
      </c>
      <c r="N802" t="str">
        <f>IF(Book1!C768&gt;0,M802&amp;", " &amp; N803,IF(N803 =0,"",N803) )</f>
        <v/>
      </c>
    </row>
    <row r="803" spans="13:14" x14ac:dyDescent="0.25">
      <c r="M803">
        <v>766</v>
      </c>
      <c r="N803" t="str">
        <f>IF(Book1!C769&gt;0,M803&amp;", " &amp; N804,IF(N804 =0,"",N804) )</f>
        <v/>
      </c>
    </row>
    <row r="804" spans="13:14" x14ac:dyDescent="0.25">
      <c r="M804">
        <v>767</v>
      </c>
      <c r="N804" t="str">
        <f>IF(Book1!C770&gt;0,M804&amp;", " &amp; N805,IF(N805 =0,"",N805) )</f>
        <v/>
      </c>
    </row>
    <row r="805" spans="13:14" x14ac:dyDescent="0.25">
      <c r="M805">
        <v>768</v>
      </c>
      <c r="N805" t="str">
        <f>IF(Book1!C771&gt;0,M805&amp;", " &amp; N806,IF(N806 =0,"",N806) )</f>
        <v/>
      </c>
    </row>
    <row r="806" spans="13:14" x14ac:dyDescent="0.25">
      <c r="M806">
        <v>769</v>
      </c>
      <c r="N806" t="str">
        <f>IF(Book1!C772&gt;0,M806&amp;", " &amp; N807,IF(N807 =0,"",N807) )</f>
        <v/>
      </c>
    </row>
    <row r="807" spans="13:14" x14ac:dyDescent="0.25">
      <c r="M807">
        <v>770</v>
      </c>
      <c r="N807" t="str">
        <f>IF(Book1!C773&gt;0,M807&amp;", " &amp; N808,IF(N808 =0,"",N808) )</f>
        <v/>
      </c>
    </row>
    <row r="808" spans="13:14" x14ac:dyDescent="0.25">
      <c r="M808">
        <v>771</v>
      </c>
      <c r="N808" t="str">
        <f>IF(Book1!C774&gt;0,M808&amp;", " &amp; N809,IF(N809 =0,"",N809) )</f>
        <v/>
      </c>
    </row>
    <row r="809" spans="13:14" x14ac:dyDescent="0.25">
      <c r="M809">
        <v>772</v>
      </c>
      <c r="N809" t="str">
        <f>IF(Book1!C775&gt;0,M809&amp;", " &amp; N810,IF(N810 =0,"",N810) )</f>
        <v/>
      </c>
    </row>
    <row r="810" spans="13:14" x14ac:dyDescent="0.25">
      <c r="M810">
        <v>773</v>
      </c>
      <c r="N810" t="str">
        <f>IF(Book1!C776&gt;0,M810&amp;", " &amp; N811,IF(N811 =0,"",N811) )</f>
        <v/>
      </c>
    </row>
    <row r="811" spans="13:14" x14ac:dyDescent="0.25">
      <c r="M811">
        <v>774</v>
      </c>
      <c r="N811" t="str">
        <f>IF(Book1!C777&gt;0,M811&amp;", " &amp; N812,IF(N812 =0,"",N812) )</f>
        <v/>
      </c>
    </row>
    <row r="812" spans="13:14" x14ac:dyDescent="0.25">
      <c r="M812">
        <v>775</v>
      </c>
      <c r="N812" t="str">
        <f>IF(Book1!C778&gt;0,M812&amp;", " &amp; N813,IF(N813 =0,"",N813) )</f>
        <v/>
      </c>
    </row>
    <row r="813" spans="13:14" x14ac:dyDescent="0.25">
      <c r="M813">
        <v>776</v>
      </c>
      <c r="N813" t="str">
        <f>IF(Book1!C779&gt;0,M813&amp;", " &amp; N814,IF(N814 =0,"",N814) )</f>
        <v/>
      </c>
    </row>
    <row r="814" spans="13:14" x14ac:dyDescent="0.25">
      <c r="M814">
        <v>777</v>
      </c>
      <c r="N814" t="str">
        <f>IF(Book1!C780&gt;0,M814&amp;", " &amp; N815,IF(N815 =0,"",N815) )</f>
        <v/>
      </c>
    </row>
    <row r="815" spans="13:14" x14ac:dyDescent="0.25">
      <c r="M815">
        <v>778</v>
      </c>
      <c r="N815" t="str">
        <f>IF(Book1!C781&gt;0,M815&amp;", " &amp; N816,IF(N816 =0,"",N816) )</f>
        <v/>
      </c>
    </row>
    <row r="816" spans="13:14" x14ac:dyDescent="0.25">
      <c r="M816">
        <v>779</v>
      </c>
      <c r="N816" t="str">
        <f>IF(Book1!C782&gt;0,M816&amp;", " &amp; N817,IF(N817 =0,"",N817) )</f>
        <v/>
      </c>
    </row>
    <row r="817" spans="13:14" x14ac:dyDescent="0.25">
      <c r="M817">
        <v>780</v>
      </c>
      <c r="N817" t="str">
        <f>IF(Book1!C783&gt;0,M817&amp;", " &amp; N818,IF(N818 =0,"",N818) )</f>
        <v/>
      </c>
    </row>
    <row r="818" spans="13:14" x14ac:dyDescent="0.25">
      <c r="M818">
        <v>781</v>
      </c>
      <c r="N818" t="str">
        <f>IF(Book1!C784&gt;0,M818&amp;", " &amp; N819,IF(N819 =0,"",N819) )</f>
        <v/>
      </c>
    </row>
    <row r="819" spans="13:14" x14ac:dyDescent="0.25">
      <c r="M819">
        <v>782</v>
      </c>
      <c r="N819" t="str">
        <f>IF(Book1!C785&gt;0,M819&amp;", " &amp; N820,IF(N820 =0,"",N820) )</f>
        <v/>
      </c>
    </row>
    <row r="820" spans="13:14" x14ac:dyDescent="0.25">
      <c r="M820">
        <v>783</v>
      </c>
      <c r="N820" t="str">
        <f>IF(Book1!C786&gt;0,M820&amp;", " &amp; N821,IF(N821 =0,"",N821) )</f>
        <v/>
      </c>
    </row>
    <row r="821" spans="13:14" x14ac:dyDescent="0.25">
      <c r="M821">
        <v>784</v>
      </c>
      <c r="N821" t="str">
        <f>IF(Book1!C787&gt;0,M821&amp;", " &amp; N822,IF(N822 =0,"",N822) )</f>
        <v/>
      </c>
    </row>
    <row r="822" spans="13:14" x14ac:dyDescent="0.25">
      <c r="M822">
        <v>785</v>
      </c>
      <c r="N822" t="str">
        <f>IF(Book1!C788&gt;0,M822&amp;", " &amp; N823,IF(N823 =0,"",N823) )</f>
        <v/>
      </c>
    </row>
    <row r="823" spans="13:14" x14ac:dyDescent="0.25">
      <c r="M823">
        <v>786</v>
      </c>
      <c r="N823" t="str">
        <f>IF(Book1!C789&gt;0,M823&amp;", " &amp; N824,IF(N824 =0,"",N824) )</f>
        <v/>
      </c>
    </row>
    <row r="824" spans="13:14" x14ac:dyDescent="0.25">
      <c r="M824">
        <v>787</v>
      </c>
      <c r="N824" t="str">
        <f>IF(Book1!C790&gt;0,M824&amp;", " &amp; N825,IF(N825 =0,"",N825) )</f>
        <v/>
      </c>
    </row>
    <row r="825" spans="13:14" x14ac:dyDescent="0.25">
      <c r="M825">
        <v>788</v>
      </c>
      <c r="N825" t="str">
        <f>IF(Book1!C791&gt;0,M825&amp;", " &amp; N826,IF(N826 =0,"",N826) )</f>
        <v/>
      </c>
    </row>
    <row r="826" spans="13:14" x14ac:dyDescent="0.25">
      <c r="M826">
        <v>789</v>
      </c>
      <c r="N826" t="str">
        <f>IF(Book1!C792&gt;0,M826&amp;", " &amp; N827,IF(N827 =0,"",N827) )</f>
        <v/>
      </c>
    </row>
    <row r="827" spans="13:14" x14ac:dyDescent="0.25">
      <c r="M827">
        <v>790</v>
      </c>
      <c r="N827" t="str">
        <f>IF(Book1!C793&gt;0,M827&amp;", " &amp; N828,IF(N828 =0,"",N828) )</f>
        <v/>
      </c>
    </row>
    <row r="828" spans="13:14" x14ac:dyDescent="0.25">
      <c r="M828">
        <v>791</v>
      </c>
      <c r="N828" t="str">
        <f>IF(Book1!C794&gt;0,M828&amp;", " &amp; N829,IF(N829 =0,"",N829) )</f>
        <v/>
      </c>
    </row>
    <row r="829" spans="13:14" x14ac:dyDescent="0.25">
      <c r="M829">
        <v>792</v>
      </c>
      <c r="N829" t="str">
        <f>IF(Book1!C795&gt;0,M829&amp;", " &amp; N830,IF(N830 =0,"",N830) )</f>
        <v/>
      </c>
    </row>
    <row r="830" spans="13:14" x14ac:dyDescent="0.25">
      <c r="M830">
        <v>793</v>
      </c>
      <c r="N830" t="str">
        <f>IF(Book1!C796&gt;0,M830&amp;", " &amp; N831,IF(N831 =0,"",N831) )</f>
        <v/>
      </c>
    </row>
    <row r="831" spans="13:14" x14ac:dyDescent="0.25">
      <c r="M831">
        <v>794</v>
      </c>
      <c r="N831" t="str">
        <f>IF(Book1!C797&gt;0,M831&amp;", " &amp; N832,IF(N832 =0,"",N832) )</f>
        <v/>
      </c>
    </row>
    <row r="832" spans="13:14" x14ac:dyDescent="0.25">
      <c r="M832">
        <v>795</v>
      </c>
      <c r="N832" t="str">
        <f>IF(Book1!C798&gt;0,M832&amp;", " &amp; N833,IF(N833 =0,"",N833) )</f>
        <v/>
      </c>
    </row>
    <row r="833" spans="13:14" x14ac:dyDescent="0.25">
      <c r="M833">
        <v>796</v>
      </c>
      <c r="N833" t="str">
        <f>IF(Book1!C799&gt;0,M833&amp;", " &amp; N834,IF(N834 =0,"",N834) )</f>
        <v/>
      </c>
    </row>
    <row r="834" spans="13:14" x14ac:dyDescent="0.25">
      <c r="M834">
        <v>797</v>
      </c>
      <c r="N834" t="str">
        <f>IF(Book1!C800&gt;0,M834&amp;", " &amp; N835,IF(N835 =0,"",N835) )</f>
        <v/>
      </c>
    </row>
    <row r="835" spans="13:14" x14ac:dyDescent="0.25">
      <c r="M835">
        <v>798</v>
      </c>
      <c r="N835" t="str">
        <f>IF(Book1!C801&gt;0,M835&amp;", " &amp; N836,IF(N836 =0,"",N836) )</f>
        <v/>
      </c>
    </row>
    <row r="836" spans="13:14" x14ac:dyDescent="0.25">
      <c r="M836">
        <v>799</v>
      </c>
      <c r="N836" t="str">
        <f>IF(Book1!C802&gt;0,M836&amp;", " &amp; N837,IF(N837 =0,"",N837) )</f>
        <v/>
      </c>
    </row>
    <row r="837" spans="13:14" x14ac:dyDescent="0.25">
      <c r="M837">
        <v>800</v>
      </c>
      <c r="N837" t="str">
        <f>IF(Book1!C803&gt;0,M837&amp;", " &amp; N838,IF(N838 =0,"",N838) )</f>
        <v/>
      </c>
    </row>
    <row r="838" spans="13:14" x14ac:dyDescent="0.25">
      <c r="M838">
        <v>801</v>
      </c>
      <c r="N838" t="str">
        <f>IF(Book1!C804&gt;0,M838&amp;", " &amp; N839,IF(N839 =0,"",N839) )</f>
        <v/>
      </c>
    </row>
    <row r="839" spans="13:14" x14ac:dyDescent="0.25">
      <c r="M839">
        <v>802</v>
      </c>
      <c r="N839" t="str">
        <f>IF(Book1!C805&gt;0,M839&amp;", " &amp; N840,IF(N840 =0,"",N840) )</f>
        <v/>
      </c>
    </row>
    <row r="840" spans="13:14" x14ac:dyDescent="0.25">
      <c r="M840">
        <v>803</v>
      </c>
      <c r="N840" t="str">
        <f>IF(Book1!C806&gt;0,M840&amp;", " &amp; N841,IF(N841 =0,"",N841) )</f>
        <v/>
      </c>
    </row>
    <row r="841" spans="13:14" x14ac:dyDescent="0.25">
      <c r="M841">
        <v>804</v>
      </c>
      <c r="N841" t="str">
        <f>IF(Book1!C807&gt;0,M841&amp;", " &amp; N842,IF(N842 =0,"",N842) )</f>
        <v/>
      </c>
    </row>
    <row r="842" spans="13:14" x14ac:dyDescent="0.25">
      <c r="M842">
        <v>805</v>
      </c>
      <c r="N842" t="str">
        <f>IF(Book1!C808&gt;0,M842&amp;", " &amp; N843,IF(N843 =0,"",N843) )</f>
        <v/>
      </c>
    </row>
    <row r="843" spans="13:14" x14ac:dyDescent="0.25">
      <c r="M843">
        <v>806</v>
      </c>
      <c r="N843" t="str">
        <f>IF(Book1!C809&gt;0,M843&amp;", " &amp; N844,IF(N844 =0,"",N844) )</f>
        <v/>
      </c>
    </row>
    <row r="844" spans="13:14" x14ac:dyDescent="0.25">
      <c r="M844">
        <v>807</v>
      </c>
      <c r="N844" t="str">
        <f>IF(Book1!C810&gt;0,M844&amp;", " &amp; N845,IF(N845 =0,"",N845) )</f>
        <v/>
      </c>
    </row>
    <row r="845" spans="13:14" x14ac:dyDescent="0.25">
      <c r="M845">
        <v>808</v>
      </c>
      <c r="N845" t="str">
        <f>IF(Book1!C811&gt;0,M845&amp;", " &amp; N846,IF(N846 =0,"",N846) )</f>
        <v/>
      </c>
    </row>
    <row r="846" spans="13:14" x14ac:dyDescent="0.25">
      <c r="M846">
        <v>809</v>
      </c>
      <c r="N846" t="str">
        <f>IF(Book1!C812&gt;0,M846&amp;", " &amp; N847,IF(N847 =0,"",N847) )</f>
        <v/>
      </c>
    </row>
    <row r="847" spans="13:14" x14ac:dyDescent="0.25">
      <c r="M847">
        <v>810</v>
      </c>
      <c r="N847" t="str">
        <f>IF(Book1!C813&gt;0,M847&amp;", " &amp; N848,IF(N848 =0,"",N848) )</f>
        <v/>
      </c>
    </row>
    <row r="848" spans="13:14" x14ac:dyDescent="0.25">
      <c r="M848">
        <v>811</v>
      </c>
      <c r="N848" t="str">
        <f>IF(Book1!C814&gt;0,M848&amp;", " &amp; N849,IF(N849 =0,"",N849) )</f>
        <v/>
      </c>
    </row>
    <row r="849" spans="13:14" x14ac:dyDescent="0.25">
      <c r="M849">
        <v>812</v>
      </c>
      <c r="N849" t="str">
        <f>IF(Book1!C815&gt;0,M849&amp;", " &amp; N850,IF(N850 =0,"",N850) )</f>
        <v/>
      </c>
    </row>
    <row r="850" spans="13:14" x14ac:dyDescent="0.25">
      <c r="M850">
        <v>813</v>
      </c>
      <c r="N850" t="str">
        <f>IF(Book1!C816&gt;0,M850&amp;", " &amp; N851,IF(N851 =0,"",N851) )</f>
        <v/>
      </c>
    </row>
    <row r="851" spans="13:14" x14ac:dyDescent="0.25">
      <c r="M851">
        <v>814</v>
      </c>
      <c r="N851" t="str">
        <f>IF(Book1!C817&gt;0,M851&amp;", " &amp; N852,IF(N852 =0,"",N852) )</f>
        <v/>
      </c>
    </row>
    <row r="852" spans="13:14" x14ac:dyDescent="0.25">
      <c r="M852">
        <v>815</v>
      </c>
      <c r="N852" t="str">
        <f>IF(Book1!C818&gt;0,M852&amp;", " &amp; N853,IF(N853 =0,"",N853) )</f>
        <v/>
      </c>
    </row>
    <row r="853" spans="13:14" x14ac:dyDescent="0.25">
      <c r="M853">
        <v>816</v>
      </c>
      <c r="N853" t="str">
        <f>IF(Book1!C819&gt;0,M853&amp;", " &amp; N854,IF(N854 =0,"",N854) )</f>
        <v/>
      </c>
    </row>
    <row r="854" spans="13:14" x14ac:dyDescent="0.25">
      <c r="M854">
        <v>817</v>
      </c>
      <c r="N854" t="str">
        <f>IF(Book1!C820&gt;0,M854&amp;", " &amp; N855,IF(N855 =0,"",N855) )</f>
        <v/>
      </c>
    </row>
    <row r="855" spans="13:14" x14ac:dyDescent="0.25">
      <c r="M855">
        <v>818</v>
      </c>
      <c r="N855" t="str">
        <f>IF(Book1!C821&gt;0,M855&amp;", " &amp; N856,IF(N856 =0,"",N856) )</f>
        <v/>
      </c>
    </row>
    <row r="856" spans="13:14" x14ac:dyDescent="0.25">
      <c r="M856">
        <v>819</v>
      </c>
      <c r="N856" t="str">
        <f>IF(Book1!C822&gt;0,M856&amp;", " &amp; N857,IF(N857 =0,"",N857) )</f>
        <v/>
      </c>
    </row>
    <row r="857" spans="13:14" x14ac:dyDescent="0.25">
      <c r="M857">
        <v>820</v>
      </c>
      <c r="N857" t="str">
        <f>IF(Book1!C823&gt;0,M857&amp;", " &amp; N858,IF(N858 =0,"",N858) )</f>
        <v/>
      </c>
    </row>
    <row r="858" spans="13:14" x14ac:dyDescent="0.25">
      <c r="M858">
        <v>821</v>
      </c>
      <c r="N858" t="str">
        <f>IF(Book1!C824&gt;0,M858&amp;", " &amp; N859,IF(N859 =0,"",N859) )</f>
        <v/>
      </c>
    </row>
    <row r="859" spans="13:14" x14ac:dyDescent="0.25">
      <c r="M859">
        <v>822</v>
      </c>
      <c r="N859" t="str">
        <f>IF(Book1!C825&gt;0,M859&amp;", " &amp; N860,IF(N860 =0,"",N860) )</f>
        <v/>
      </c>
    </row>
    <row r="860" spans="13:14" x14ac:dyDescent="0.25">
      <c r="M860">
        <v>823</v>
      </c>
      <c r="N860" t="str">
        <f>IF(Book1!C826&gt;0,M860&amp;", " &amp; N861,IF(N861 =0,"",N861) )</f>
        <v/>
      </c>
    </row>
    <row r="861" spans="13:14" x14ac:dyDescent="0.25">
      <c r="M861">
        <v>824</v>
      </c>
      <c r="N861" t="str">
        <f>IF(Book1!C827&gt;0,M861&amp;", " &amp; N862,IF(N862 =0,"",N862) )</f>
        <v/>
      </c>
    </row>
    <row r="862" spans="13:14" x14ac:dyDescent="0.25">
      <c r="M862">
        <v>825</v>
      </c>
      <c r="N862" t="str">
        <f>IF(Book1!C828&gt;0,M862&amp;", " &amp; N863,IF(N863 =0,"",N863) )</f>
        <v/>
      </c>
    </row>
    <row r="863" spans="13:14" x14ac:dyDescent="0.25">
      <c r="M863">
        <v>826</v>
      </c>
      <c r="N863" t="str">
        <f>IF(Book1!C829&gt;0,M863&amp;", " &amp; N864,IF(N864 =0,"",N864) )</f>
        <v/>
      </c>
    </row>
    <row r="864" spans="13:14" x14ac:dyDescent="0.25">
      <c r="M864">
        <v>827</v>
      </c>
      <c r="N864" t="str">
        <f>IF(Book1!C830&gt;0,M864&amp;", " &amp; N865,IF(N865 =0,"",N865) )</f>
        <v/>
      </c>
    </row>
    <row r="865" spans="13:14" x14ac:dyDescent="0.25">
      <c r="M865">
        <v>828</v>
      </c>
      <c r="N865" t="str">
        <f>IF(Book1!C831&gt;0,M865&amp;", " &amp; N866,IF(N866 =0,"",N866) )</f>
        <v/>
      </c>
    </row>
    <row r="866" spans="13:14" x14ac:dyDescent="0.25">
      <c r="M866">
        <v>829</v>
      </c>
      <c r="N866" t="str">
        <f>IF(Book1!C832&gt;0,M866&amp;", " &amp; N867,IF(N867 =0,"",N867) )</f>
        <v/>
      </c>
    </row>
    <row r="867" spans="13:14" x14ac:dyDescent="0.25">
      <c r="M867">
        <v>830</v>
      </c>
      <c r="N867" t="str">
        <f>IF(Book1!C833&gt;0,M867&amp;", " &amp; N868,IF(N868 =0,"",N868) )</f>
        <v/>
      </c>
    </row>
    <row r="868" spans="13:14" x14ac:dyDescent="0.25">
      <c r="M868">
        <v>831</v>
      </c>
      <c r="N868" t="str">
        <f>IF(Book1!C834&gt;0,M868&amp;", " &amp; N869,IF(N869 =0,"",N869) )</f>
        <v/>
      </c>
    </row>
    <row r="869" spans="13:14" x14ac:dyDescent="0.25">
      <c r="M869">
        <v>832</v>
      </c>
      <c r="N869" t="str">
        <f>IF(Book1!C835&gt;0,M869&amp;", " &amp; N870,IF(N870 =0,"",N870) )</f>
        <v/>
      </c>
    </row>
    <row r="870" spans="13:14" x14ac:dyDescent="0.25">
      <c r="M870">
        <v>833</v>
      </c>
      <c r="N870" t="str">
        <f>IF(Book1!C836&gt;0,M870&amp;", " &amp; N871,IF(N871 =0,"",N871) )</f>
        <v/>
      </c>
    </row>
    <row r="871" spans="13:14" x14ac:dyDescent="0.25">
      <c r="M871">
        <v>834</v>
      </c>
      <c r="N871" t="str">
        <f>IF(Book1!C837&gt;0,M871&amp;", " &amp; N872,IF(N872 =0,"",N872) )</f>
        <v/>
      </c>
    </row>
    <row r="872" spans="13:14" x14ac:dyDescent="0.25">
      <c r="M872">
        <v>835</v>
      </c>
      <c r="N872" t="str">
        <f>IF(Book1!C838&gt;0,M872&amp;", " &amp; N873,IF(N873 =0,"",N873) )</f>
        <v/>
      </c>
    </row>
    <row r="873" spans="13:14" x14ac:dyDescent="0.25">
      <c r="M873">
        <v>836</v>
      </c>
      <c r="N873" t="str">
        <f>IF(Book1!C839&gt;0,M873&amp;", " &amp; N874,IF(N874 =0,"",N874) )</f>
        <v/>
      </c>
    </row>
    <row r="874" spans="13:14" x14ac:dyDescent="0.25">
      <c r="M874">
        <v>837</v>
      </c>
      <c r="N874" t="str">
        <f>IF(Book1!C840&gt;0,M874&amp;", " &amp; N875,IF(N875 =0,"",N875) )</f>
        <v/>
      </c>
    </row>
    <row r="875" spans="13:14" x14ac:dyDescent="0.25">
      <c r="M875">
        <v>838</v>
      </c>
      <c r="N875" t="str">
        <f>IF(Book1!C841&gt;0,M875&amp;", " &amp; N876,IF(N876 =0,"",N876) )</f>
        <v/>
      </c>
    </row>
    <row r="876" spans="13:14" x14ac:dyDescent="0.25">
      <c r="M876">
        <v>839</v>
      </c>
      <c r="N876" t="str">
        <f>IF(Book1!C842&gt;0,M876&amp;", " &amp; N877,IF(N877 =0,"",N877) )</f>
        <v/>
      </c>
    </row>
    <row r="877" spans="13:14" x14ac:dyDescent="0.25">
      <c r="M877">
        <v>840</v>
      </c>
      <c r="N877" t="str">
        <f>IF(Book1!C843&gt;0,M877&amp;", " &amp; N878,IF(N878 =0,"",N878) )</f>
        <v/>
      </c>
    </row>
    <row r="878" spans="13:14" x14ac:dyDescent="0.25">
      <c r="M878">
        <v>841</v>
      </c>
      <c r="N878" t="str">
        <f>IF(Book1!C844&gt;0,M878&amp;", " &amp; N879,IF(N879 =0,"",N879) )</f>
        <v/>
      </c>
    </row>
    <row r="879" spans="13:14" x14ac:dyDescent="0.25">
      <c r="M879">
        <v>842</v>
      </c>
      <c r="N879" t="str">
        <f>IF(Book1!C845&gt;0,M879&amp;", " &amp; N880,IF(N880 =0,"",N880) )</f>
        <v/>
      </c>
    </row>
    <row r="880" spans="13:14" x14ac:dyDescent="0.25">
      <c r="M880">
        <v>843</v>
      </c>
      <c r="N880" t="str">
        <f>IF(Book1!C846&gt;0,M880&amp;", " &amp; N881,IF(N881 =0,"",N881) )</f>
        <v/>
      </c>
    </row>
    <row r="881" spans="13:14" x14ac:dyDescent="0.25">
      <c r="M881">
        <v>844</v>
      </c>
      <c r="N881" t="str">
        <f>IF(Book1!C847&gt;0,M881&amp;", " &amp; N882,IF(N882 =0,"",N882) )</f>
        <v/>
      </c>
    </row>
    <row r="882" spans="13:14" x14ac:dyDescent="0.25">
      <c r="M882">
        <v>845</v>
      </c>
      <c r="N882" t="str">
        <f>IF(Book1!C848&gt;0,M882&amp;", " &amp; N883,IF(N883 =0,"",N883) )</f>
        <v/>
      </c>
    </row>
    <row r="883" spans="13:14" x14ac:dyDescent="0.25">
      <c r="M883">
        <v>846</v>
      </c>
      <c r="N883" t="str">
        <f>IF(Book1!C849&gt;0,M883&amp;", " &amp; N884,IF(N884 =0,"",N884) )</f>
        <v/>
      </c>
    </row>
    <row r="884" spans="13:14" x14ac:dyDescent="0.25">
      <c r="M884">
        <v>847</v>
      </c>
      <c r="N884" t="str">
        <f>IF(Book1!C850&gt;0,M884&amp;", " &amp; N885,IF(N885 =0,"",N885) )</f>
        <v/>
      </c>
    </row>
    <row r="885" spans="13:14" x14ac:dyDescent="0.25">
      <c r="M885">
        <v>848</v>
      </c>
      <c r="N885" t="str">
        <f>IF(Book1!C851&gt;0,M885&amp;", " &amp; N886,IF(N886 =0,"",N886) )</f>
        <v/>
      </c>
    </row>
    <row r="886" spans="13:14" x14ac:dyDescent="0.25">
      <c r="M886">
        <v>849</v>
      </c>
      <c r="N886" t="str">
        <f>IF(Book1!C852&gt;0,M886&amp;", " &amp; N887,IF(N887 =0,"",N887) )</f>
        <v/>
      </c>
    </row>
    <row r="887" spans="13:14" x14ac:dyDescent="0.25">
      <c r="M887">
        <v>850</v>
      </c>
      <c r="N887" t="str">
        <f>IF(Book1!C853&gt;0,M887&amp;", " &amp; N888,IF(N888 =0,"",N888) )</f>
        <v/>
      </c>
    </row>
    <row r="888" spans="13:14" x14ac:dyDescent="0.25">
      <c r="M888">
        <v>851</v>
      </c>
      <c r="N888" t="str">
        <f>IF(Book1!C854&gt;0,M888&amp;", " &amp; N889,IF(N889 =0,"",N889) )</f>
        <v/>
      </c>
    </row>
    <row r="889" spans="13:14" x14ac:dyDescent="0.25">
      <c r="M889">
        <v>852</v>
      </c>
      <c r="N889" t="str">
        <f>IF(Book1!C855&gt;0,M889&amp;", " &amp; N890,IF(N890 =0,"",N890) )</f>
        <v/>
      </c>
    </row>
    <row r="890" spans="13:14" x14ac:dyDescent="0.25">
      <c r="M890">
        <v>853</v>
      </c>
      <c r="N890" t="str">
        <f>IF(Book1!C856&gt;0,M890&amp;", " &amp; N891,IF(N891 =0,"",N891) )</f>
        <v/>
      </c>
    </row>
    <row r="891" spans="13:14" x14ac:dyDescent="0.25">
      <c r="M891">
        <v>854</v>
      </c>
      <c r="N891" t="str">
        <f>IF(Book1!C857&gt;0,M891&amp;", " &amp; N892,IF(N892 =0,"",N892) )</f>
        <v/>
      </c>
    </row>
    <row r="892" spans="13:14" x14ac:dyDescent="0.25">
      <c r="M892">
        <v>855</v>
      </c>
      <c r="N892" t="str">
        <f>IF(Book1!C858&gt;0,M892&amp;", " &amp; N893,IF(N893 =0,"",N893) )</f>
        <v/>
      </c>
    </row>
    <row r="893" spans="13:14" x14ac:dyDescent="0.25">
      <c r="M893">
        <v>856</v>
      </c>
      <c r="N893" t="str">
        <f>IF(Book1!C859&gt;0,M893&amp;", " &amp; N894,IF(N894 =0,"",N894) )</f>
        <v/>
      </c>
    </row>
    <row r="894" spans="13:14" x14ac:dyDescent="0.25">
      <c r="M894">
        <v>857</v>
      </c>
      <c r="N894" t="str">
        <f>IF(Book1!C860&gt;0,M894&amp;", " &amp; N895,IF(N895 =0,"",N895) )</f>
        <v/>
      </c>
    </row>
    <row r="895" spans="13:14" x14ac:dyDescent="0.25">
      <c r="M895">
        <v>858</v>
      </c>
      <c r="N895" t="str">
        <f>IF(Book1!C861&gt;0,M895&amp;", " &amp; N896,IF(N896 =0,"",N896) )</f>
        <v/>
      </c>
    </row>
    <row r="896" spans="13:14" x14ac:dyDescent="0.25">
      <c r="M896">
        <v>859</v>
      </c>
      <c r="N896" t="str">
        <f>IF(Book1!C862&gt;0,M896&amp;", " &amp; N897,IF(N897 =0,"",N897) )</f>
        <v/>
      </c>
    </row>
    <row r="897" spans="13:14" x14ac:dyDescent="0.25">
      <c r="M897">
        <v>860</v>
      </c>
      <c r="N897" t="str">
        <f>IF(Book1!C863&gt;0,M897&amp;", " &amp; N898,IF(N898 =0,"",N898) )</f>
        <v/>
      </c>
    </row>
    <row r="898" spans="13:14" x14ac:dyDescent="0.25">
      <c r="M898">
        <v>861</v>
      </c>
      <c r="N898" t="str">
        <f>IF(Book1!C864&gt;0,M898&amp;", " &amp; N899,IF(N899 =0,"",N899) )</f>
        <v/>
      </c>
    </row>
    <row r="899" spans="13:14" x14ac:dyDescent="0.25">
      <c r="M899">
        <v>862</v>
      </c>
      <c r="N899" t="str">
        <f>IF(Book1!C865&gt;0,M899&amp;", " &amp; N900,IF(N900 =0,"",N900) )</f>
        <v/>
      </c>
    </row>
    <row r="900" spans="13:14" x14ac:dyDescent="0.25">
      <c r="M900">
        <v>863</v>
      </c>
      <c r="N900" t="str">
        <f>IF(Book1!C866&gt;0,M900&amp;", " &amp; N901,IF(N901 =0,"",N901) )</f>
        <v/>
      </c>
    </row>
    <row r="901" spans="13:14" x14ac:dyDescent="0.25">
      <c r="M901">
        <v>864</v>
      </c>
      <c r="N901" t="str">
        <f>IF(Book1!C867&gt;0,M901&amp;", " &amp; N902,IF(N902 =0,"",N902) )</f>
        <v/>
      </c>
    </row>
    <row r="902" spans="13:14" x14ac:dyDescent="0.25">
      <c r="M902">
        <v>865</v>
      </c>
      <c r="N902" t="str">
        <f>IF(Book1!C868&gt;0,M902&amp;", " &amp; N903,IF(N903 =0,"",N903) )</f>
        <v/>
      </c>
    </row>
    <row r="903" spans="13:14" x14ac:dyDescent="0.25">
      <c r="M903">
        <v>866</v>
      </c>
      <c r="N903" t="str">
        <f>IF(Book1!C869&gt;0,M903&amp;", " &amp; N904,IF(N904 =0,"",N904) )</f>
        <v/>
      </c>
    </row>
    <row r="904" spans="13:14" x14ac:dyDescent="0.25">
      <c r="M904">
        <v>867</v>
      </c>
      <c r="N904" t="str">
        <f>IF(Book1!C870&gt;0,M904&amp;", " &amp; N905,IF(N905 =0,"",N905) )</f>
        <v/>
      </c>
    </row>
    <row r="905" spans="13:14" x14ac:dyDescent="0.25">
      <c r="M905">
        <v>868</v>
      </c>
      <c r="N905" t="str">
        <f>IF(Book1!C871&gt;0,M905&amp;", " &amp; N906,IF(N906 =0,"",N906) )</f>
        <v/>
      </c>
    </row>
    <row r="906" spans="13:14" x14ac:dyDescent="0.25">
      <c r="M906">
        <v>869</v>
      </c>
      <c r="N906" t="str">
        <f>IF(Book1!C872&gt;0,M906&amp;", " &amp; N907,IF(N907 =0,"",N907) )</f>
        <v/>
      </c>
    </row>
    <row r="907" spans="13:14" x14ac:dyDescent="0.25">
      <c r="M907">
        <v>870</v>
      </c>
      <c r="N907" t="str">
        <f>IF(Book1!C873&gt;0,M907&amp;", " &amp; N908,IF(N908 =0,"",N908) )</f>
        <v/>
      </c>
    </row>
    <row r="908" spans="13:14" x14ac:dyDescent="0.25">
      <c r="M908">
        <v>871</v>
      </c>
      <c r="N908" t="str">
        <f>IF(Book1!C874&gt;0,M908&amp;", " &amp; N909,IF(N909 =0,"",N909) )</f>
        <v/>
      </c>
    </row>
    <row r="909" spans="13:14" x14ac:dyDescent="0.25">
      <c r="M909">
        <v>872</v>
      </c>
      <c r="N909" t="str">
        <f>IF(Book1!C875&gt;0,M909&amp;", " &amp; N910,IF(N910 =0,"",N910) )</f>
        <v/>
      </c>
    </row>
    <row r="910" spans="13:14" x14ac:dyDescent="0.25">
      <c r="M910">
        <v>873</v>
      </c>
      <c r="N910" t="str">
        <f>IF(Book1!C876&gt;0,M910&amp;", " &amp; N911,IF(N911 =0,"",N911) )</f>
        <v/>
      </c>
    </row>
    <row r="911" spans="13:14" x14ac:dyDescent="0.25">
      <c r="M911">
        <v>874</v>
      </c>
      <c r="N911" t="str">
        <f>IF(Book1!C877&gt;0,M911&amp;", " &amp; N912,IF(N912 =0,"",N912) )</f>
        <v/>
      </c>
    </row>
    <row r="912" spans="13:14" x14ac:dyDescent="0.25">
      <c r="M912">
        <v>875</v>
      </c>
      <c r="N912" t="str">
        <f>IF(Book1!C878&gt;0,M912&amp;", " &amp; N913,IF(N913 =0,"",N913) )</f>
        <v/>
      </c>
    </row>
    <row r="913" spans="13:14" x14ac:dyDescent="0.25">
      <c r="M913">
        <v>876</v>
      </c>
      <c r="N913" t="str">
        <f>IF(Book1!C879&gt;0,M913&amp;", " &amp; N914,IF(N914 =0,"",N914) )</f>
        <v/>
      </c>
    </row>
    <row r="914" spans="13:14" x14ac:dyDescent="0.25">
      <c r="M914">
        <v>877</v>
      </c>
      <c r="N914" t="str">
        <f>IF(Book1!C880&gt;0,M914&amp;", " &amp; N915,IF(N915 =0,"",N915) )</f>
        <v/>
      </c>
    </row>
    <row r="915" spans="13:14" x14ac:dyDescent="0.25">
      <c r="M915">
        <v>878</v>
      </c>
      <c r="N915" t="str">
        <f>IF(Book1!C881&gt;0,M915&amp;", " &amp; N916,IF(N916 =0,"",N916) )</f>
        <v/>
      </c>
    </row>
    <row r="916" spans="13:14" x14ac:dyDescent="0.25">
      <c r="M916">
        <v>879</v>
      </c>
      <c r="N916" t="str">
        <f>IF(Book1!C882&gt;0,M916&amp;", " &amp; N917,IF(N917 =0,"",N917) )</f>
        <v/>
      </c>
    </row>
    <row r="917" spans="13:14" x14ac:dyDescent="0.25">
      <c r="M917">
        <v>880</v>
      </c>
      <c r="N917" t="str">
        <f>IF(Book1!C883&gt;0,M917&amp;", " &amp; N918,IF(N918 =0,"",N918) )</f>
        <v/>
      </c>
    </row>
    <row r="918" spans="13:14" x14ac:dyDescent="0.25">
      <c r="M918">
        <v>881</v>
      </c>
      <c r="N918" t="str">
        <f>IF(Book1!C884&gt;0,M918&amp;", " &amp; N919,IF(N919 =0,"",N919) )</f>
        <v/>
      </c>
    </row>
    <row r="919" spans="13:14" x14ac:dyDescent="0.25">
      <c r="M919">
        <v>882</v>
      </c>
      <c r="N919" t="str">
        <f>IF(Book1!C885&gt;0,M919&amp;", " &amp; N920,IF(N920 =0,"",N920) )</f>
        <v/>
      </c>
    </row>
    <row r="920" spans="13:14" x14ac:dyDescent="0.25">
      <c r="M920">
        <v>883</v>
      </c>
      <c r="N920" t="str">
        <f>IF(Book1!C886&gt;0,M920&amp;", " &amp; N921,IF(N921 =0,"",N921) )</f>
        <v/>
      </c>
    </row>
    <row r="921" spans="13:14" x14ac:dyDescent="0.25">
      <c r="M921">
        <v>884</v>
      </c>
      <c r="N921" t="str">
        <f>IF(Book1!C887&gt;0,M921&amp;", " &amp; N922,IF(N922 =0,"",N922) )</f>
        <v/>
      </c>
    </row>
    <row r="922" spans="13:14" x14ac:dyDescent="0.25">
      <c r="M922">
        <v>885</v>
      </c>
      <c r="N922" t="str">
        <f>IF(Book1!C888&gt;0,M922&amp;", " &amp; N923,IF(N923 =0,"",N923) )</f>
        <v/>
      </c>
    </row>
    <row r="923" spans="13:14" x14ac:dyDescent="0.25">
      <c r="M923">
        <v>886</v>
      </c>
      <c r="N923" t="str">
        <f>IF(Book1!C889&gt;0,M923&amp;", " &amp; N924,IF(N924 =0,"",N924) )</f>
        <v/>
      </c>
    </row>
    <row r="924" spans="13:14" x14ac:dyDescent="0.25">
      <c r="M924">
        <v>887</v>
      </c>
      <c r="N924" t="str">
        <f>IF(Book1!C890&gt;0,M924&amp;", " &amp; N925,IF(N925 =0,"",N925) )</f>
        <v/>
      </c>
    </row>
    <row r="925" spans="13:14" x14ac:dyDescent="0.25">
      <c r="M925">
        <v>888</v>
      </c>
      <c r="N925" t="str">
        <f>IF(Book1!C891&gt;0,M925&amp;", " &amp; N926,IF(N926 =0,"",N926) )</f>
        <v/>
      </c>
    </row>
    <row r="926" spans="13:14" x14ac:dyDescent="0.25">
      <c r="M926">
        <v>889</v>
      </c>
      <c r="N926" t="str">
        <f>IF(Book1!C892&gt;0,M926&amp;", " &amp; N927,IF(N927 =0,"",N927) )</f>
        <v/>
      </c>
    </row>
    <row r="927" spans="13:14" x14ac:dyDescent="0.25">
      <c r="M927">
        <v>890</v>
      </c>
      <c r="N927" t="str">
        <f>IF(Book1!C893&gt;0,M927&amp;", " &amp; N928,IF(N928 =0,"",N928) )</f>
        <v/>
      </c>
    </row>
    <row r="928" spans="13:14" x14ac:dyDescent="0.25">
      <c r="M928">
        <v>891</v>
      </c>
      <c r="N928" t="str">
        <f>IF(Book1!C894&gt;0,M928&amp;", " &amp; N929,IF(N929 =0,"",N929) )</f>
        <v/>
      </c>
    </row>
    <row r="929" spans="13:14" x14ac:dyDescent="0.25">
      <c r="M929">
        <v>892</v>
      </c>
      <c r="N929" t="str">
        <f>IF(Book1!C895&gt;0,M929&amp;", " &amp; N930,IF(N930 =0,"",N930) )</f>
        <v/>
      </c>
    </row>
    <row r="930" spans="13:14" x14ac:dyDescent="0.25">
      <c r="M930">
        <v>893</v>
      </c>
      <c r="N930" t="str">
        <f>IF(Book1!C896&gt;0,M930&amp;", " &amp; N931,IF(N931 =0,"",N931) )</f>
        <v/>
      </c>
    </row>
    <row r="931" spans="13:14" x14ac:dyDescent="0.25">
      <c r="M931">
        <v>894</v>
      </c>
      <c r="N931" t="str">
        <f>IF(Book1!C897&gt;0,M931&amp;", " &amp; N932,IF(N932 =0,"",N932) )</f>
        <v/>
      </c>
    </row>
    <row r="932" spans="13:14" x14ac:dyDescent="0.25">
      <c r="M932">
        <v>895</v>
      </c>
      <c r="N932" t="str">
        <f>IF(Book1!C898&gt;0,M932&amp;", " &amp; N933,IF(N933 =0,"",N933) )</f>
        <v/>
      </c>
    </row>
    <row r="933" spans="13:14" x14ac:dyDescent="0.25">
      <c r="M933">
        <v>896</v>
      </c>
      <c r="N933" t="str">
        <f>IF(Book1!C899&gt;0,M933&amp;", " &amp; N934,IF(N934 =0,"",N934) )</f>
        <v/>
      </c>
    </row>
    <row r="934" spans="13:14" x14ac:dyDescent="0.25">
      <c r="M934">
        <v>897</v>
      </c>
      <c r="N934" t="str">
        <f>IF(Book1!C900&gt;0,M934&amp;", " &amp; N935,IF(N935 =0,"",N935) )</f>
        <v/>
      </c>
    </row>
    <row r="935" spans="13:14" x14ac:dyDescent="0.25">
      <c r="M935">
        <v>898</v>
      </c>
      <c r="N935" t="str">
        <f>IF(Book1!C901&gt;0,M935&amp;", " &amp; N936,IF(N936 =0,"",N936) )</f>
        <v/>
      </c>
    </row>
    <row r="936" spans="13:14" x14ac:dyDescent="0.25">
      <c r="M936">
        <v>899</v>
      </c>
      <c r="N936" t="str">
        <f>IF(Book1!C902&gt;0,M936&amp;", " &amp; N937,IF(N937 =0,"",N937) )</f>
        <v/>
      </c>
    </row>
    <row r="937" spans="13:14" x14ac:dyDescent="0.25">
      <c r="M937">
        <v>900</v>
      </c>
      <c r="N937" t="str">
        <f>IF(Book1!C903&gt;0,M937&amp;", " &amp; N938,IF(N938 =0,"",N938) )</f>
        <v/>
      </c>
    </row>
    <row r="938" spans="13:14" x14ac:dyDescent="0.25">
      <c r="M938">
        <v>901</v>
      </c>
      <c r="N938" t="str">
        <f>IF(Book1!C904&gt;0,M938&amp;", " &amp; N939,IF(N939 =0,"",N939) )</f>
        <v/>
      </c>
    </row>
    <row r="939" spans="13:14" x14ac:dyDescent="0.25">
      <c r="M939">
        <v>902</v>
      </c>
      <c r="N939" t="str">
        <f>IF(Book1!C905&gt;0,M939&amp;", " &amp; N940,IF(N940 =0,"",N940) )</f>
        <v/>
      </c>
    </row>
    <row r="940" spans="13:14" x14ac:dyDescent="0.25">
      <c r="M940">
        <v>903</v>
      </c>
      <c r="N940" t="str">
        <f>IF(Book1!C906&gt;0,M940&amp;", " &amp; N941,IF(N941 =0,"",N941) )</f>
        <v/>
      </c>
    </row>
    <row r="941" spans="13:14" x14ac:dyDescent="0.25">
      <c r="M941">
        <v>904</v>
      </c>
      <c r="N941" t="str">
        <f>IF(Book1!C907&gt;0,M941&amp;", " &amp; N942,IF(N942 =0,"",N942) )</f>
        <v/>
      </c>
    </row>
    <row r="942" spans="13:14" x14ac:dyDescent="0.25">
      <c r="M942">
        <v>905</v>
      </c>
      <c r="N942" t="str">
        <f>IF(Book1!C908&gt;0,M942&amp;", " &amp; N943,IF(N943 =0,"",N943) )</f>
        <v/>
      </c>
    </row>
    <row r="943" spans="13:14" x14ac:dyDescent="0.25">
      <c r="M943">
        <v>906</v>
      </c>
      <c r="N943" t="str">
        <f>IF(Book1!C909&gt;0,M943&amp;", " &amp; N944,IF(N944 =0,"",N944) )</f>
        <v/>
      </c>
    </row>
    <row r="944" spans="13:14" x14ac:dyDescent="0.25">
      <c r="M944">
        <v>907</v>
      </c>
      <c r="N944" t="str">
        <f>IF(Book1!C910&gt;0,M944&amp;", " &amp; N945,IF(N945 =0,"",N945) )</f>
        <v/>
      </c>
    </row>
    <row r="945" spans="13:14" x14ac:dyDescent="0.25">
      <c r="M945">
        <v>908</v>
      </c>
      <c r="N945" t="str">
        <f>IF(Book1!C911&gt;0,M945&amp;", " &amp; N946,IF(N946 =0,"",N946) )</f>
        <v/>
      </c>
    </row>
    <row r="946" spans="13:14" x14ac:dyDescent="0.25">
      <c r="M946">
        <v>909</v>
      </c>
      <c r="N946" t="str">
        <f>IF(Book1!C912&gt;0,M946&amp;", " &amp; N947,IF(N947 =0,"",N947) )</f>
        <v/>
      </c>
    </row>
    <row r="947" spans="13:14" x14ac:dyDescent="0.25">
      <c r="M947">
        <v>910</v>
      </c>
      <c r="N947" t="str">
        <f>IF(Book1!C913&gt;0,M947&amp;", " &amp; N948,IF(N948 =0,"",N948) )</f>
        <v/>
      </c>
    </row>
    <row r="948" spans="13:14" x14ac:dyDescent="0.25">
      <c r="M948">
        <v>911</v>
      </c>
      <c r="N948" t="str">
        <f>IF(Book1!C914&gt;0,M948&amp;", " &amp; N949,IF(N949 =0,"",N949) )</f>
        <v/>
      </c>
    </row>
    <row r="949" spans="13:14" x14ac:dyDescent="0.25">
      <c r="M949">
        <v>912</v>
      </c>
      <c r="N949" t="str">
        <f>IF(Book1!C915&gt;0,M949&amp;", " &amp; N950,IF(N950 =0,"",N950) )</f>
        <v/>
      </c>
    </row>
    <row r="950" spans="13:14" x14ac:dyDescent="0.25">
      <c r="M950">
        <v>913</v>
      </c>
      <c r="N950" t="str">
        <f>IF(Book1!C916&gt;0,M950&amp;", " &amp; N951,IF(N951 =0,"",N951) )</f>
        <v/>
      </c>
    </row>
    <row r="951" spans="13:14" x14ac:dyDescent="0.25">
      <c r="M951">
        <v>914</v>
      </c>
      <c r="N951" t="str">
        <f>IF(Book1!C917&gt;0,M951&amp;", " &amp; N952,IF(N952 =0,"",N952) )</f>
        <v/>
      </c>
    </row>
    <row r="952" spans="13:14" x14ac:dyDescent="0.25">
      <c r="M952">
        <v>915</v>
      </c>
      <c r="N952" t="str">
        <f>IF(Book1!C918&gt;0,M952&amp;", " &amp; N953,IF(N953 =0,"",N953) )</f>
        <v/>
      </c>
    </row>
    <row r="953" spans="13:14" x14ac:dyDescent="0.25">
      <c r="M953">
        <v>916</v>
      </c>
      <c r="N953" t="str">
        <f>IF(Book1!C919&gt;0,M953&amp;", " &amp; N954,IF(N954 =0,"",N954) )</f>
        <v/>
      </c>
    </row>
    <row r="954" spans="13:14" x14ac:dyDescent="0.25">
      <c r="M954">
        <v>917</v>
      </c>
      <c r="N954" t="str">
        <f>IF(Book1!C920&gt;0,M954&amp;", " &amp; N955,IF(N955 =0,"",N955) )</f>
        <v/>
      </c>
    </row>
    <row r="955" spans="13:14" x14ac:dyDescent="0.25">
      <c r="M955">
        <v>918</v>
      </c>
      <c r="N955" t="str">
        <f>IF(Book1!C921&gt;0,M955&amp;", " &amp; N956,IF(N956 =0,"",N956) )</f>
        <v/>
      </c>
    </row>
    <row r="956" spans="13:14" x14ac:dyDescent="0.25">
      <c r="M956">
        <v>919</v>
      </c>
      <c r="N956" t="str">
        <f>IF(Book1!C922&gt;0,M956&amp;", " &amp; N957,IF(N957 =0,"",N957) )</f>
        <v/>
      </c>
    </row>
    <row r="957" spans="13:14" x14ac:dyDescent="0.25">
      <c r="M957">
        <v>920</v>
      </c>
      <c r="N957" t="str">
        <f>IF(Book1!C923&gt;0,M957&amp;", " &amp; N958,IF(N958 =0,"",N958) )</f>
        <v/>
      </c>
    </row>
    <row r="958" spans="13:14" x14ac:dyDescent="0.25">
      <c r="M958">
        <v>921</v>
      </c>
      <c r="N958" t="str">
        <f>IF(Book1!C924&gt;0,M958&amp;", " &amp; N959,IF(N959 =0,"",N959) )</f>
        <v/>
      </c>
    </row>
    <row r="959" spans="13:14" x14ac:dyDescent="0.25">
      <c r="M959">
        <v>922</v>
      </c>
      <c r="N959" t="str">
        <f>IF(Book1!C925&gt;0,M959&amp;", " &amp; N960,IF(N960 =0,"",N960) )</f>
        <v/>
      </c>
    </row>
    <row r="960" spans="13:14" x14ac:dyDescent="0.25">
      <c r="M960">
        <v>923</v>
      </c>
      <c r="N960" t="str">
        <f>IF(Book1!C926&gt;0,M960&amp;", " &amp; N961,IF(N961 =0,"",N961) )</f>
        <v/>
      </c>
    </row>
    <row r="961" spans="13:14" x14ac:dyDescent="0.25">
      <c r="M961">
        <v>924</v>
      </c>
      <c r="N961" t="str">
        <f>IF(Book1!C927&gt;0,M961&amp;", " &amp; N962,IF(N962 =0,"",N962) )</f>
        <v/>
      </c>
    </row>
    <row r="962" spans="13:14" x14ac:dyDescent="0.25">
      <c r="M962">
        <v>925</v>
      </c>
      <c r="N962" t="str">
        <f>IF(Book1!C928&gt;0,M962&amp;", " &amp; N963,IF(N963 =0,"",N963) )</f>
        <v/>
      </c>
    </row>
    <row r="963" spans="13:14" x14ac:dyDescent="0.25">
      <c r="M963">
        <v>926</v>
      </c>
      <c r="N963" t="str">
        <f>IF(Book1!C929&gt;0,M963&amp;", " &amp; N964,IF(N964 =0,"",N964) )</f>
        <v/>
      </c>
    </row>
    <row r="964" spans="13:14" x14ac:dyDescent="0.25">
      <c r="M964">
        <v>927</v>
      </c>
      <c r="N964" t="str">
        <f>IF(Book1!C930&gt;0,M964&amp;", " &amp; N965,IF(N965 =0,"",N965) )</f>
        <v/>
      </c>
    </row>
    <row r="965" spans="13:14" x14ac:dyDescent="0.25">
      <c r="M965">
        <v>928</v>
      </c>
      <c r="N965" t="str">
        <f>IF(Book1!C931&gt;0,M965&amp;", " &amp; N966,IF(N966 =0,"",N966) )</f>
        <v/>
      </c>
    </row>
    <row r="966" spans="13:14" x14ac:dyDescent="0.25">
      <c r="M966">
        <v>929</v>
      </c>
      <c r="N966" t="str">
        <f>IF(Book1!C932&gt;0,M966&amp;", " &amp; N967,IF(N967 =0,"",N967) )</f>
        <v/>
      </c>
    </row>
    <row r="967" spans="13:14" x14ac:dyDescent="0.25">
      <c r="M967">
        <v>930</v>
      </c>
      <c r="N967" t="str">
        <f>IF(Book1!C933&gt;0,M967&amp;", " &amp; N968,IF(N968 =0,"",N968) )</f>
        <v/>
      </c>
    </row>
    <row r="968" spans="13:14" x14ac:dyDescent="0.25">
      <c r="M968">
        <v>931</v>
      </c>
      <c r="N968" t="str">
        <f>IF(Book1!C934&gt;0,M968&amp;", " &amp; N969,IF(N969 =0,"",N969) )</f>
        <v/>
      </c>
    </row>
    <row r="969" spans="13:14" x14ac:dyDescent="0.25">
      <c r="M969">
        <v>932</v>
      </c>
      <c r="N969" t="str">
        <f>IF(Book1!C935&gt;0,M969&amp;", " &amp; N970,IF(N970 =0,"",N970) )</f>
        <v/>
      </c>
    </row>
    <row r="970" spans="13:14" x14ac:dyDescent="0.25">
      <c r="M970">
        <v>933</v>
      </c>
      <c r="N970" t="str">
        <f>IF(Book1!C936&gt;0,M970&amp;", " &amp; N971,IF(N971 =0,"",N971) )</f>
        <v/>
      </c>
    </row>
    <row r="971" spans="13:14" x14ac:dyDescent="0.25">
      <c r="M971">
        <v>934</v>
      </c>
      <c r="N971" t="str">
        <f>IF(Book1!C937&gt;0,M971&amp;", " &amp; N972,IF(N972 =0,"",N972) )</f>
        <v/>
      </c>
    </row>
    <row r="972" spans="13:14" x14ac:dyDescent="0.25">
      <c r="M972">
        <v>935</v>
      </c>
      <c r="N972" t="str">
        <f>IF(Book1!C938&gt;0,M972&amp;", " &amp; N973,IF(N973 =0,"",N973) )</f>
        <v/>
      </c>
    </row>
    <row r="973" spans="13:14" x14ac:dyDescent="0.25">
      <c r="M973">
        <v>936</v>
      </c>
      <c r="N973" t="str">
        <f>IF(Book1!C939&gt;0,M973&amp;", " &amp; N974,IF(N974 =0,"",N974) )</f>
        <v/>
      </c>
    </row>
    <row r="974" spans="13:14" x14ac:dyDescent="0.25">
      <c r="M974">
        <v>937</v>
      </c>
      <c r="N974" t="str">
        <f>IF(Book1!C940&gt;0,M974&amp;", " &amp; N975,IF(N975 =0,"",N975) )</f>
        <v/>
      </c>
    </row>
    <row r="975" spans="13:14" x14ac:dyDescent="0.25">
      <c r="M975">
        <v>938</v>
      </c>
      <c r="N975" t="str">
        <f>IF(Book1!C941&gt;0,M975&amp;", " &amp; N976,IF(N976 =0,"",N976) )</f>
        <v/>
      </c>
    </row>
    <row r="976" spans="13:14" x14ac:dyDescent="0.25">
      <c r="M976">
        <v>939</v>
      </c>
      <c r="N976" t="str">
        <f>IF(Book1!C942&gt;0,M976&amp;", " &amp; N977,IF(N977 =0,"",N977) )</f>
        <v/>
      </c>
    </row>
    <row r="977" spans="13:14" x14ac:dyDescent="0.25">
      <c r="M977">
        <v>940</v>
      </c>
      <c r="N977" t="str">
        <f>IF(Book1!C943&gt;0,M977&amp;", " &amp; N978,IF(N978 =0,"",N978) )</f>
        <v/>
      </c>
    </row>
    <row r="978" spans="13:14" x14ac:dyDescent="0.25">
      <c r="M978">
        <v>941</v>
      </c>
      <c r="N978" t="str">
        <f>IF(Book1!C944&gt;0,M978&amp;", " &amp; N979,IF(N979 =0,"",N979) )</f>
        <v/>
      </c>
    </row>
    <row r="979" spans="13:14" x14ac:dyDescent="0.25">
      <c r="M979">
        <v>942</v>
      </c>
      <c r="N979" t="str">
        <f>IF(Book1!C945&gt;0,M979&amp;", " &amp; N980,IF(N980 =0,"",N980) )</f>
        <v/>
      </c>
    </row>
    <row r="980" spans="13:14" x14ac:dyDescent="0.25">
      <c r="M980">
        <v>943</v>
      </c>
      <c r="N980" t="str">
        <f>IF(Book1!C946&gt;0,M980&amp;", " &amp; N981,IF(N981 =0,"",N981) )</f>
        <v/>
      </c>
    </row>
    <row r="981" spans="13:14" x14ac:dyDescent="0.25">
      <c r="M981">
        <v>944</v>
      </c>
      <c r="N981" t="str">
        <f>IF(Book1!C947&gt;0,M981&amp;", " &amp; N982,IF(N982 =0,"",N982) )</f>
        <v/>
      </c>
    </row>
    <row r="982" spans="13:14" x14ac:dyDescent="0.25">
      <c r="M982">
        <v>945</v>
      </c>
      <c r="N982" t="str">
        <f>IF(Book1!C948&gt;0,M982&amp;", " &amp; N983,IF(N983 =0,"",N983) )</f>
        <v/>
      </c>
    </row>
    <row r="983" spans="13:14" x14ac:dyDescent="0.25">
      <c r="M983">
        <v>946</v>
      </c>
      <c r="N983" t="str">
        <f>IF(Book1!C949&gt;0,M983&amp;", " &amp; N984,IF(N984 =0,"",N984) )</f>
        <v/>
      </c>
    </row>
    <row r="984" spans="13:14" x14ac:dyDescent="0.25">
      <c r="M984">
        <v>947</v>
      </c>
      <c r="N984" t="str">
        <f>IF(Book1!C950&gt;0,M984&amp;", " &amp; N985,IF(N985 =0,"",N985) )</f>
        <v/>
      </c>
    </row>
    <row r="985" spans="13:14" x14ac:dyDescent="0.25">
      <c r="M985">
        <v>948</v>
      </c>
      <c r="N985" t="str">
        <f>IF(Book1!C951&gt;0,M985&amp;", " &amp; N986,IF(N986 =0,"",N986) )</f>
        <v/>
      </c>
    </row>
    <row r="986" spans="13:14" x14ac:dyDescent="0.25">
      <c r="M986">
        <v>949</v>
      </c>
      <c r="N986" t="str">
        <f>IF(Book1!C952&gt;0,M986&amp;", " &amp; N987,IF(N987 =0,"",N987) )</f>
        <v/>
      </c>
    </row>
    <row r="987" spans="13:14" x14ac:dyDescent="0.25">
      <c r="M987">
        <v>950</v>
      </c>
      <c r="N987" t="str">
        <f>IF(Book1!C953&gt;0,M987&amp;", " &amp; N988,IF(N988 =0,"",N988) )</f>
        <v/>
      </c>
    </row>
    <row r="988" spans="13:14" x14ac:dyDescent="0.25">
      <c r="M988">
        <v>951</v>
      </c>
      <c r="N988" t="str">
        <f>IF(Book1!C954&gt;0,M988&amp;", " &amp; N989,IF(N989 =0,"",N989) )</f>
        <v/>
      </c>
    </row>
    <row r="989" spans="13:14" x14ac:dyDescent="0.25">
      <c r="M989">
        <v>952</v>
      </c>
      <c r="N989" t="str">
        <f>IF(Book1!C955&gt;0,M989&amp;", " &amp; N990,IF(N990 =0,"",N990) )</f>
        <v/>
      </c>
    </row>
    <row r="990" spans="13:14" x14ac:dyDescent="0.25">
      <c r="M990">
        <v>953</v>
      </c>
      <c r="N990" t="str">
        <f>IF(Book1!C956&gt;0,M990&amp;", " &amp; N991,IF(N991 =0,"",N991) )</f>
        <v/>
      </c>
    </row>
    <row r="991" spans="13:14" x14ac:dyDescent="0.25">
      <c r="M991">
        <v>954</v>
      </c>
      <c r="N991" t="str">
        <f>IF(Book1!C957&gt;0,M991&amp;", " &amp; N992,IF(N992 =0,"",N992) )</f>
        <v/>
      </c>
    </row>
    <row r="992" spans="13:14" x14ac:dyDescent="0.25">
      <c r="M992">
        <v>955</v>
      </c>
      <c r="N992" t="str">
        <f>IF(Book1!C958&gt;0,M992&amp;", " &amp; N993,IF(N993 =0,"",N993) )</f>
        <v/>
      </c>
    </row>
    <row r="993" spans="13:14" x14ac:dyDescent="0.25">
      <c r="M993">
        <v>956</v>
      </c>
      <c r="N993" t="str">
        <f>IF(Book1!C959&gt;0,M993&amp;", " &amp; N994,IF(N994 =0,"",N994) )</f>
        <v/>
      </c>
    </row>
    <row r="994" spans="13:14" x14ac:dyDescent="0.25">
      <c r="M994">
        <v>957</v>
      </c>
      <c r="N994" t="str">
        <f>IF(Book1!C960&gt;0,M994&amp;", " &amp; N995,IF(N995 =0,"",N995) )</f>
        <v/>
      </c>
    </row>
    <row r="995" spans="13:14" x14ac:dyDescent="0.25">
      <c r="M995">
        <v>958</v>
      </c>
      <c r="N995" t="str">
        <f>IF(Book1!C961&gt;0,M995&amp;", " &amp; N996,IF(N996 =0,"",N996) )</f>
        <v/>
      </c>
    </row>
    <row r="996" spans="13:14" x14ac:dyDescent="0.25">
      <c r="M996">
        <v>959</v>
      </c>
      <c r="N996" t="str">
        <f>IF(Book1!C962&gt;0,M996&amp;", " &amp; N997,IF(N997 =0,"",N997) )</f>
        <v/>
      </c>
    </row>
    <row r="997" spans="13:14" x14ac:dyDescent="0.25">
      <c r="M997">
        <v>960</v>
      </c>
      <c r="N997" t="str">
        <f>IF(Book1!C963&gt;0,M997&amp;", " &amp; N998,IF(N998 =0,"",N998) )</f>
        <v/>
      </c>
    </row>
    <row r="998" spans="13:14" x14ac:dyDescent="0.25">
      <c r="M998">
        <v>961</v>
      </c>
      <c r="N998" t="str">
        <f>IF(Book1!C964&gt;0,M998&amp;", " &amp; N999,IF(N999 =0,"",N999) )</f>
        <v/>
      </c>
    </row>
    <row r="999" spans="13:14" x14ac:dyDescent="0.25">
      <c r="M999">
        <v>962</v>
      </c>
      <c r="N999" t="str">
        <f>IF(Book1!C965&gt;0,M999&amp;", " &amp; N1000,IF(N1000 =0,"",N1000) )</f>
        <v/>
      </c>
    </row>
    <row r="1000" spans="13:14" x14ac:dyDescent="0.25">
      <c r="M1000">
        <v>963</v>
      </c>
      <c r="N1000" t="str">
        <f>IF(Book1!C966&gt;0,M1000&amp;", " &amp; N1001,IF(N1001 =0,"",N1001) )</f>
        <v/>
      </c>
    </row>
    <row r="1001" spans="13:14" x14ac:dyDescent="0.25">
      <c r="M1001">
        <v>964</v>
      </c>
      <c r="N1001" t="str">
        <f>IF(Book1!C967&gt;0,M1001&amp;", " &amp; N1002,IF(N1002 =0,"",N1002) )</f>
        <v/>
      </c>
    </row>
    <row r="1002" spans="13:14" x14ac:dyDescent="0.25">
      <c r="M1002">
        <v>965</v>
      </c>
      <c r="N1002" t="str">
        <f>IF(Book1!C968&gt;0,M1002&amp;", " &amp; N1003,IF(N1003 =0,"",N1003) )</f>
        <v/>
      </c>
    </row>
    <row r="1003" spans="13:14" x14ac:dyDescent="0.25">
      <c r="M1003">
        <v>966</v>
      </c>
      <c r="N1003" t="str">
        <f>IF(Book1!C969&gt;0,M1003&amp;", " &amp; N1004,IF(N1004 =0,"",N1004) )</f>
        <v/>
      </c>
    </row>
    <row r="1004" spans="13:14" x14ac:dyDescent="0.25">
      <c r="M1004">
        <v>967</v>
      </c>
      <c r="N1004" t="str">
        <f>IF(Book1!C970&gt;0,M1004&amp;", " &amp; N1005,IF(N1005 =0,"",N1005) )</f>
        <v/>
      </c>
    </row>
    <row r="1005" spans="13:14" x14ac:dyDescent="0.25">
      <c r="M1005">
        <v>968</v>
      </c>
      <c r="N1005" t="str">
        <f>IF(Book1!C971&gt;0,M1005&amp;", " &amp; N1006,IF(N1006 =0,"",N1006) )</f>
        <v/>
      </c>
    </row>
    <row r="1006" spans="13:14" x14ac:dyDescent="0.25">
      <c r="M1006">
        <v>969</v>
      </c>
      <c r="N1006" t="str">
        <f>IF(Book1!C972&gt;0,M1006&amp;", " &amp; N1007,IF(N1007 =0,"",N1007) )</f>
        <v/>
      </c>
    </row>
    <row r="1007" spans="13:14" x14ac:dyDescent="0.25">
      <c r="M1007">
        <v>970</v>
      </c>
      <c r="N1007" t="str">
        <f>IF(Book1!C973&gt;0,M1007&amp;", " &amp; N1008,IF(N1008 =0,"",N1008) )</f>
        <v/>
      </c>
    </row>
    <row r="1008" spans="13:14" x14ac:dyDescent="0.25">
      <c r="M1008">
        <v>971</v>
      </c>
      <c r="N1008" t="str">
        <f>IF(Book1!C974&gt;0,M1008&amp;", " &amp; N1009,IF(N1009 =0,"",N1009) )</f>
        <v/>
      </c>
    </row>
    <row r="1009" spans="13:14" x14ac:dyDescent="0.25">
      <c r="M1009">
        <v>972</v>
      </c>
      <c r="N1009" t="str">
        <f>IF(Book1!C975&gt;0,M1009&amp;", " &amp; N1010,IF(N1010 =0,"",N1010) )</f>
        <v/>
      </c>
    </row>
    <row r="1010" spans="13:14" x14ac:dyDescent="0.25">
      <c r="M1010">
        <v>973</v>
      </c>
      <c r="N1010" t="str">
        <f>IF(Book1!C976&gt;0,M1010&amp;", " &amp; N1011,IF(N1011 =0,"",N1011) )</f>
        <v/>
      </c>
    </row>
    <row r="1011" spans="13:14" x14ac:dyDescent="0.25">
      <c r="M1011">
        <v>974</v>
      </c>
      <c r="N1011" t="str">
        <f>IF(Book1!C977&gt;0,M1011&amp;", " &amp; N1012,IF(N1012 =0,"",N1012) )</f>
        <v/>
      </c>
    </row>
    <row r="1012" spans="13:14" x14ac:dyDescent="0.25">
      <c r="M1012">
        <v>975</v>
      </c>
      <c r="N1012" t="str">
        <f>IF(Book1!C978&gt;0,M1012&amp;", " &amp; N1013,IF(N1013 =0,"",N1013) )</f>
        <v/>
      </c>
    </row>
    <row r="1013" spans="13:14" x14ac:dyDescent="0.25">
      <c r="M1013">
        <v>976</v>
      </c>
      <c r="N1013" t="str">
        <f>IF(Book1!C979&gt;0,M1013&amp;", " &amp; N1014,IF(N1014 =0,"",N1014) )</f>
        <v/>
      </c>
    </row>
    <row r="1014" spans="13:14" x14ac:dyDescent="0.25">
      <c r="M1014">
        <v>977</v>
      </c>
      <c r="N1014" t="str">
        <f>IF(Book1!C980&gt;0,M1014&amp;", " &amp; N1015,IF(N1015 =0,"",N1015) )</f>
        <v/>
      </c>
    </row>
    <row r="1015" spans="13:14" x14ac:dyDescent="0.25">
      <c r="M1015">
        <v>978</v>
      </c>
      <c r="N1015" t="str">
        <f>IF(Book1!C981&gt;0,M1015&amp;", " &amp; N1016,IF(N1016 =0,"",N1016) )</f>
        <v/>
      </c>
    </row>
    <row r="1016" spans="13:14" x14ac:dyDescent="0.25">
      <c r="M1016">
        <v>979</v>
      </c>
      <c r="N1016" t="str">
        <f>IF(Book1!C982&gt;0,M1016&amp;", " &amp; N1017,IF(N1017 =0,"",N1017) )</f>
        <v/>
      </c>
    </row>
    <row r="1017" spans="13:14" x14ac:dyDescent="0.25">
      <c r="M1017">
        <v>980</v>
      </c>
      <c r="N1017" t="str">
        <f>IF(Book1!C983&gt;0,M1017&amp;", " &amp; N1018,IF(N1018 =0,"",N1018) )</f>
        <v/>
      </c>
    </row>
    <row r="1018" spans="13:14" x14ac:dyDescent="0.25">
      <c r="M1018">
        <v>981</v>
      </c>
      <c r="N1018" t="str">
        <f>IF(Book1!C984&gt;0,M1018&amp;", " &amp; N1019,IF(N1019 =0,"",N1019) )</f>
        <v/>
      </c>
    </row>
    <row r="1019" spans="13:14" x14ac:dyDescent="0.25">
      <c r="M1019">
        <v>982</v>
      </c>
      <c r="N1019" t="str">
        <f>IF(Book1!C985&gt;0,M1019&amp;", " &amp; N1020,IF(N1020 =0,"",N1020) )</f>
        <v/>
      </c>
    </row>
    <row r="1020" spans="13:14" x14ac:dyDescent="0.25">
      <c r="M1020">
        <v>983</v>
      </c>
      <c r="N1020" t="str">
        <f>IF(Book1!C986&gt;0,M1020&amp;", " &amp; N1021,IF(N1021 =0,"",N1021) )</f>
        <v/>
      </c>
    </row>
    <row r="1021" spans="13:14" x14ac:dyDescent="0.25">
      <c r="M1021">
        <v>984</v>
      </c>
      <c r="N1021" t="str">
        <f>IF(Book1!C987&gt;0,M1021&amp;", " &amp; N1022,IF(N1022 =0,"",N1022) )</f>
        <v/>
      </c>
    </row>
    <row r="1022" spans="13:14" x14ac:dyDescent="0.25">
      <c r="M1022">
        <v>985</v>
      </c>
      <c r="N1022" t="str">
        <f>IF(Book1!C988&gt;0,M1022&amp;", " &amp; N1023,IF(N1023 =0,"",N1023) )</f>
        <v/>
      </c>
    </row>
    <row r="1023" spans="13:14" x14ac:dyDescent="0.25">
      <c r="M1023">
        <v>986</v>
      </c>
      <c r="N1023" t="str">
        <f>IF(Book1!C989&gt;0,M1023&amp;", " &amp; N1024,IF(N1024 =0,"",N1024) )</f>
        <v/>
      </c>
    </row>
    <row r="1024" spans="13:14" x14ac:dyDescent="0.25">
      <c r="M1024">
        <v>987</v>
      </c>
      <c r="N1024" t="str">
        <f>IF(Book1!C990&gt;0,M1024&amp;", " &amp; N1025,IF(N1025 =0,"",N1025) )</f>
        <v/>
      </c>
    </row>
    <row r="1025" spans="13:14" x14ac:dyDescent="0.25">
      <c r="M1025">
        <v>988</v>
      </c>
      <c r="N1025" t="str">
        <f>IF(Book1!C991&gt;0,M1025&amp;", " &amp; N1026,IF(N1026 =0,"",N1026) )</f>
        <v/>
      </c>
    </row>
    <row r="1026" spans="13:14" x14ac:dyDescent="0.25">
      <c r="M1026">
        <v>989</v>
      </c>
      <c r="N1026" t="str">
        <f>IF(Book1!C992&gt;0,M1026&amp;", " &amp; N1027,IF(N1027 =0,"",N1027) )</f>
        <v/>
      </c>
    </row>
    <row r="1027" spans="13:14" x14ac:dyDescent="0.25">
      <c r="M1027">
        <v>990</v>
      </c>
      <c r="N1027" t="str">
        <f>IF(Book1!C993&gt;0,M1027&amp;", " &amp; N1028,IF(N1028 =0,"",N1028) )</f>
        <v/>
      </c>
    </row>
    <row r="1028" spans="13:14" x14ac:dyDescent="0.25">
      <c r="M1028">
        <v>991</v>
      </c>
      <c r="N1028" t="str">
        <f>IF(Book1!C994&gt;0,M1028&amp;", " &amp; N1029,IF(N1029 =0,"",N1029) )</f>
        <v/>
      </c>
    </row>
    <row r="1029" spans="13:14" x14ac:dyDescent="0.25">
      <c r="M1029">
        <v>992</v>
      </c>
      <c r="N1029" t="str">
        <f>IF(Book1!C995&gt;0,M1029&amp;", " &amp; N1030,IF(N1030 =0,"",N1030) )</f>
        <v/>
      </c>
    </row>
    <row r="1030" spans="13:14" x14ac:dyDescent="0.25">
      <c r="M1030">
        <v>993</v>
      </c>
      <c r="N1030" t="str">
        <f>IF(Book1!C996&gt;0,M1030&amp;", " &amp; N1031,IF(N1031 =0,"",N1031) )</f>
        <v/>
      </c>
    </row>
    <row r="1031" spans="13:14" x14ac:dyDescent="0.25">
      <c r="M1031">
        <v>994</v>
      </c>
      <c r="N1031" t="str">
        <f>IF(Book1!C997&gt;0,M1031&amp;", " &amp; N1032,IF(N1032 =0,"",N1032) )</f>
        <v/>
      </c>
    </row>
    <row r="1032" spans="13:14" x14ac:dyDescent="0.25">
      <c r="M1032">
        <v>995</v>
      </c>
      <c r="N1032" t="str">
        <f>IF(Book1!C998&gt;0,M1032&amp;", " &amp; N1033,IF(N1033 =0,"",N1033) )</f>
        <v/>
      </c>
    </row>
    <row r="1033" spans="13:14" x14ac:dyDescent="0.25">
      <c r="M1033">
        <v>996</v>
      </c>
      <c r="N1033" t="str">
        <f>IF(Book1!C999&gt;0,M1033&amp;", " &amp; N1034,IF(N1034 =0,"",N1034) )</f>
        <v/>
      </c>
    </row>
    <row r="1034" spans="13:14" x14ac:dyDescent="0.25">
      <c r="M1034">
        <v>997</v>
      </c>
      <c r="N1034" t="str">
        <f>IF(Book1!C1000&gt;0,M1034&amp;", " &amp; N1035,IF(N1035 =0,"",N1035) )</f>
        <v/>
      </c>
    </row>
    <row r="1035" spans="13:14" x14ac:dyDescent="0.25">
      <c r="M1035">
        <v>998</v>
      </c>
      <c r="N1035" t="str">
        <f>IF(Book1!C1001&gt;0,M1035&amp;", " &amp; N1036,IF(N1036 =0,"",N1036) )</f>
        <v/>
      </c>
    </row>
    <row r="1036" spans="13:14" x14ac:dyDescent="0.25">
      <c r="M1036">
        <v>999</v>
      </c>
      <c r="N1036" t="str">
        <f>IF(Book1!C1002&gt;0,M1036&amp;", " &amp; N1037,IF(N1037 =0,"",N1037) )</f>
        <v/>
      </c>
    </row>
    <row r="1037" spans="13:14" x14ac:dyDescent="0.25">
      <c r="M1037">
        <v>1000</v>
      </c>
      <c r="N1037" t="str">
        <f>IF(Book1!C1003&gt;0,M1037&amp;", " &amp; N1038,IF(N1038 =0,"",N1038) )</f>
        <v/>
      </c>
    </row>
    <row r="1038" spans="13:14" x14ac:dyDescent="0.25">
      <c r="M1038">
        <v>1001</v>
      </c>
      <c r="N1038" t="str">
        <f>IF(Book1!C1004&gt;0,M1038&amp;", " &amp; N1039,IF(N1039 =0,"",N1039) )</f>
        <v/>
      </c>
    </row>
    <row r="1039" spans="13:14" x14ac:dyDescent="0.25">
      <c r="M1039">
        <v>1002</v>
      </c>
      <c r="N1039" t="str">
        <f>IF(Book1!C1005&gt;0,M1039&amp;", " &amp; N1040,IF(N1040 =0,"",N1040) )</f>
        <v/>
      </c>
    </row>
    <row r="1040" spans="13:14" x14ac:dyDescent="0.25">
      <c r="M1040">
        <v>1003</v>
      </c>
      <c r="N1040" t="str">
        <f>IF(Book1!C1006&gt;0,M1040&amp;", " &amp; N1041,IF(N1041 =0,"",N1041) )</f>
        <v/>
      </c>
    </row>
    <row r="1041" spans="13:14" x14ac:dyDescent="0.25">
      <c r="M1041">
        <v>1004</v>
      </c>
      <c r="N1041" t="str">
        <f>IF(Book1!C1007&gt;0,M1041&amp;", " &amp; N1042,IF(N1042 =0,"",N1042) )</f>
        <v/>
      </c>
    </row>
    <row r="1042" spans="13:14" x14ac:dyDescent="0.25">
      <c r="M1042">
        <v>1005</v>
      </c>
      <c r="N1042" t="str">
        <f>IF(Book1!C1008&gt;0,M1042&amp;", " &amp; N1043,IF(N1043 =0,"",N1043) )</f>
        <v/>
      </c>
    </row>
    <row r="1043" spans="13:14" x14ac:dyDescent="0.25">
      <c r="M1043">
        <v>1006</v>
      </c>
      <c r="N1043" t="str">
        <f>IF(Book1!C1009&gt;0,M1043&amp;", " &amp; N1044,IF(N1044 =0,"",N1044) )</f>
        <v/>
      </c>
    </row>
    <row r="1044" spans="13:14" x14ac:dyDescent="0.25">
      <c r="M1044">
        <v>1007</v>
      </c>
      <c r="N1044" t="str">
        <f>IF(Book1!C1010&gt;0,M1044&amp;", " &amp; N1045,IF(N1045 =0,"",N1045) )</f>
        <v/>
      </c>
    </row>
    <row r="1045" spans="13:14" x14ac:dyDescent="0.25">
      <c r="M1045">
        <v>1008</v>
      </c>
      <c r="N1045" t="str">
        <f>IF(Book1!C1011&gt;0,M1045&amp;", " &amp; N1046,IF(N1046 =0,"",N1046) )</f>
        <v/>
      </c>
    </row>
    <row r="1046" spans="13:14" x14ac:dyDescent="0.25">
      <c r="M1046">
        <v>1009</v>
      </c>
      <c r="N1046" t="str">
        <f>IF(Book1!C1012&gt;0,M1046&amp;", " &amp; N1047,IF(N1047 =0,"",N1047) )</f>
        <v/>
      </c>
    </row>
    <row r="1047" spans="13:14" x14ac:dyDescent="0.25">
      <c r="M1047">
        <v>1010</v>
      </c>
      <c r="N1047" t="str">
        <f>IF(Book1!C1013&gt;0,M1047&amp;", " &amp; N1048,IF(N1048 =0,"",N1048) )</f>
        <v/>
      </c>
    </row>
    <row r="1048" spans="13:14" x14ac:dyDescent="0.25">
      <c r="M1048">
        <v>1011</v>
      </c>
      <c r="N1048" t="str">
        <f>IF(Book1!C1014&gt;0,M1048&amp;", " &amp; N1049,IF(N1049 =0,"",N1049) )</f>
        <v/>
      </c>
    </row>
    <row r="1049" spans="13:14" x14ac:dyDescent="0.25">
      <c r="M1049">
        <v>1012</v>
      </c>
      <c r="N1049" t="str">
        <f>IF(Book1!C1015&gt;0,M1049&amp;", " &amp; N1050,IF(N1050 =0,"",N1050) )</f>
        <v/>
      </c>
    </row>
    <row r="1050" spans="13:14" x14ac:dyDescent="0.25">
      <c r="M1050">
        <v>1013</v>
      </c>
      <c r="N1050" t="str">
        <f>IF(Book1!C1016&gt;0,M1050&amp;", " &amp; N1051,IF(N1051 =0,"",N1051) )</f>
        <v/>
      </c>
    </row>
    <row r="1051" spans="13:14" x14ac:dyDescent="0.25">
      <c r="M1051">
        <v>1014</v>
      </c>
      <c r="N1051" t="str">
        <f>IF(Book1!C1017&gt;0,M1051&amp;", " &amp; N1052,IF(N1052 =0,"",N1052) )</f>
        <v/>
      </c>
    </row>
    <row r="1052" spans="13:14" x14ac:dyDescent="0.25">
      <c r="M1052">
        <v>1015</v>
      </c>
      <c r="N1052" t="str">
        <f>IF(Book1!C1018&gt;0,M1052&amp;", " &amp; N1053,IF(N1053 =0,"",N1053) )</f>
        <v/>
      </c>
    </row>
    <row r="1053" spans="13:14" x14ac:dyDescent="0.25">
      <c r="M1053">
        <v>1016</v>
      </c>
      <c r="N1053" t="str">
        <f>IF(Book1!C1019&gt;0,M1053&amp;", " &amp; N1054,IF(N1054 =0,"",N1054) )</f>
        <v/>
      </c>
    </row>
    <row r="1054" spans="13:14" x14ac:dyDescent="0.25">
      <c r="M1054">
        <v>1017</v>
      </c>
      <c r="N1054" t="str">
        <f>IF(Book1!C1020&gt;0,M1054&amp;", " &amp; N1055,IF(N1055 =0,"",N1055) )</f>
        <v/>
      </c>
    </row>
    <row r="1055" spans="13:14" x14ac:dyDescent="0.25">
      <c r="M1055">
        <v>1018</v>
      </c>
      <c r="N1055" t="str">
        <f>IF(Book1!C1021&gt;0,M1055&amp;", " &amp; N1056,IF(N1056 =0,"",N1056) )</f>
        <v/>
      </c>
    </row>
    <row r="1056" spans="13:14" x14ac:dyDescent="0.25">
      <c r="M1056">
        <v>1019</v>
      </c>
      <c r="N1056" t="str">
        <f>IF(Book1!C1022&gt;0,M1056&amp;", " &amp; N1057,IF(N1057 =0,"",N1057) )</f>
        <v/>
      </c>
    </row>
    <row r="1057" spans="13:14" x14ac:dyDescent="0.25">
      <c r="M1057">
        <v>1020</v>
      </c>
      <c r="N1057" t="str">
        <f>IF(Book1!C1023&gt;0,M1057&amp;", " &amp; N1058,IF(N1058 =0,"",N1058) )</f>
        <v/>
      </c>
    </row>
    <row r="1058" spans="13:14" x14ac:dyDescent="0.25">
      <c r="M1058">
        <v>1021</v>
      </c>
      <c r="N1058" t="str">
        <f>IF(Book1!C1024&gt;0,M1058&amp;", " &amp; N1059,IF(N1059 =0,"",N1059) )</f>
        <v/>
      </c>
    </row>
    <row r="1059" spans="13:14" x14ac:dyDescent="0.25">
      <c r="M1059">
        <v>1022</v>
      </c>
      <c r="N1059" t="str">
        <f>IF(Book1!C1025&gt;0,M1059&amp;", " &amp; N1060,IF(N1060 =0,"",N1060) )</f>
        <v/>
      </c>
    </row>
    <row r="1060" spans="13:14" x14ac:dyDescent="0.25">
      <c r="M1060">
        <v>1023</v>
      </c>
      <c r="N1060" t="str">
        <f>IF(Book1!C1026&gt;0,M1060&amp;", " &amp; N1061,IF(N1061 =0,"",N1061) )</f>
        <v/>
      </c>
    </row>
    <row r="1061" spans="13:14" x14ac:dyDescent="0.25">
      <c r="M1061">
        <v>1024</v>
      </c>
      <c r="N1061" t="str">
        <f>IF(Book1!C1027&gt;0,M1061&amp;", " &amp; N1062,IF(N1062 =0,"",N1062) )</f>
        <v/>
      </c>
    </row>
    <row r="1062" spans="13:14" x14ac:dyDescent="0.25">
      <c r="M1062">
        <v>1025</v>
      </c>
      <c r="N1062" t="str">
        <f>IF(Book1!C1028&gt;0,M1062&amp;", " &amp; N1063,IF(N1063 =0,"",N1063) )</f>
        <v/>
      </c>
    </row>
    <row r="1063" spans="13:14" x14ac:dyDescent="0.25">
      <c r="M1063">
        <v>1026</v>
      </c>
      <c r="N1063" t="str">
        <f>IF(Book1!C1029&gt;0,M1063&amp;", " &amp; N1064,IF(N1064 =0,"",N1064) )</f>
        <v/>
      </c>
    </row>
    <row r="1064" spans="13:14" x14ac:dyDescent="0.25">
      <c r="M1064">
        <v>1027</v>
      </c>
      <c r="N1064" t="str">
        <f>IF(Book1!C1030&gt;0,M1064&amp;", " &amp; N1065,IF(N1065 =0,"",N1065) )</f>
        <v/>
      </c>
    </row>
    <row r="1065" spans="13:14" x14ac:dyDescent="0.25">
      <c r="M1065">
        <v>1028</v>
      </c>
      <c r="N1065" t="str">
        <f>IF(Book1!C1031&gt;0,M1065&amp;", " &amp; N1066,IF(N1066 =0,"",N1066) )</f>
        <v/>
      </c>
    </row>
    <row r="1066" spans="13:14" x14ac:dyDescent="0.25">
      <c r="M1066">
        <v>1029</v>
      </c>
      <c r="N1066" t="str">
        <f>IF(Book1!C1032&gt;0,M1066&amp;", " &amp; N1067,IF(N1067 =0,"",N1067) )</f>
        <v/>
      </c>
    </row>
    <row r="1067" spans="13:14" x14ac:dyDescent="0.25">
      <c r="M1067">
        <v>1030</v>
      </c>
      <c r="N1067" t="str">
        <f>IF(Book1!C1033&gt;0,M1067&amp;", " &amp; N1068,IF(N1068 =0,"",N1068) )</f>
        <v/>
      </c>
    </row>
    <row r="1068" spans="13:14" x14ac:dyDescent="0.25">
      <c r="M1068">
        <v>1031</v>
      </c>
      <c r="N1068" t="str">
        <f>IF(Book1!C1034&gt;0,M1068&amp;", " &amp; N1069,IF(N1069 =0,"",N1069) )</f>
        <v/>
      </c>
    </row>
    <row r="1069" spans="13:14" x14ac:dyDescent="0.25">
      <c r="M1069">
        <v>1032</v>
      </c>
      <c r="N1069" t="str">
        <f>IF(Book1!C1035&gt;0,M1069&amp;", " &amp; N1070,IF(N1070 =0,"",N1070) )</f>
        <v/>
      </c>
    </row>
    <row r="1070" spans="13:14" x14ac:dyDescent="0.25">
      <c r="M1070">
        <v>1033</v>
      </c>
      <c r="N1070" t="str">
        <f>IF(Book1!C1036&gt;0,M1070&amp;", " &amp; N1071,IF(N1071 =0,"",N1071) )</f>
        <v/>
      </c>
    </row>
    <row r="1071" spans="13:14" x14ac:dyDescent="0.25">
      <c r="M1071">
        <v>1034</v>
      </c>
      <c r="N1071" t="str">
        <f>IF(Book1!C1037&gt;0,M1071&amp;", " &amp; N1072,IF(N1072 =0,"",N1072) )</f>
        <v/>
      </c>
    </row>
    <row r="1072" spans="13:14" x14ac:dyDescent="0.25">
      <c r="M1072">
        <v>1035</v>
      </c>
      <c r="N1072" t="str">
        <f>IF(Book1!C1038&gt;0,M1072&amp;", " &amp; N1073,IF(N1073 =0,"",N1073) )</f>
        <v/>
      </c>
    </row>
    <row r="1073" spans="13:14" x14ac:dyDescent="0.25">
      <c r="M1073">
        <v>1036</v>
      </c>
      <c r="N1073" t="str">
        <f>IF(Book1!C1039&gt;0,M1073&amp;", " &amp; N1074,IF(N1074 =0,"",N1074) )</f>
        <v/>
      </c>
    </row>
    <row r="1074" spans="13:14" x14ac:dyDescent="0.25">
      <c r="M1074">
        <v>1037</v>
      </c>
      <c r="N1074" t="str">
        <f>IF(Book1!C1040&gt;0,M1074&amp;", " &amp; N1075,IF(N1075 =0,"",N1075) )</f>
        <v/>
      </c>
    </row>
    <row r="1075" spans="13:14" x14ac:dyDescent="0.25">
      <c r="M1075">
        <v>1038</v>
      </c>
      <c r="N1075" t="str">
        <f>IF(Book1!C1041&gt;0,M1075&amp;", " &amp; N1076,IF(N1076 =0,"",N1076) )</f>
        <v/>
      </c>
    </row>
    <row r="1076" spans="13:14" x14ac:dyDescent="0.25">
      <c r="M1076">
        <v>1039</v>
      </c>
      <c r="N1076" t="str">
        <f>IF(Book1!C1042&gt;0,M1076&amp;", " &amp; N1077,IF(N1077 =0,"",N1077) )</f>
        <v/>
      </c>
    </row>
    <row r="1077" spans="13:14" x14ac:dyDescent="0.25">
      <c r="M1077">
        <v>1040</v>
      </c>
      <c r="N1077" t="str">
        <f>IF(Book1!C1043&gt;0,M1077&amp;", " &amp; N1078,IF(N1078 =0,"",N1078) )</f>
        <v/>
      </c>
    </row>
    <row r="1078" spans="13:14" x14ac:dyDescent="0.25">
      <c r="M1078">
        <v>1041</v>
      </c>
      <c r="N1078" t="str">
        <f>IF(Book1!C1044&gt;0,M1078&amp;", " &amp; N1079,IF(N1079 =0,"",N1079) )</f>
        <v/>
      </c>
    </row>
    <row r="1079" spans="13:14" x14ac:dyDescent="0.25">
      <c r="M1079">
        <v>1042</v>
      </c>
      <c r="N1079" t="str">
        <f>IF(Book1!C1045&gt;0,M1079&amp;", " &amp; N1080,IF(N1080 =0,"",N1080) )</f>
        <v/>
      </c>
    </row>
    <row r="1080" spans="13:14" x14ac:dyDescent="0.25">
      <c r="M1080">
        <v>1043</v>
      </c>
      <c r="N1080" t="str">
        <f>IF(Book1!C1046&gt;0,M1080&amp;", " &amp; N1081,IF(N1081 =0,"",N1081) )</f>
        <v/>
      </c>
    </row>
    <row r="1081" spans="13:14" x14ac:dyDescent="0.25">
      <c r="M1081">
        <v>1044</v>
      </c>
      <c r="N1081" t="str">
        <f>IF(Book1!C1047&gt;0,M1081&amp;", " &amp; N1082,IF(N1082 =0,"",N1082) )</f>
        <v/>
      </c>
    </row>
    <row r="1082" spans="13:14" x14ac:dyDescent="0.25">
      <c r="M1082">
        <v>1045</v>
      </c>
      <c r="N1082" t="str">
        <f>IF(Book1!C1048&gt;0,M1082&amp;", " &amp; N1083,IF(N1083 =0,"",N1083) )</f>
        <v/>
      </c>
    </row>
    <row r="1083" spans="13:14" x14ac:dyDescent="0.25">
      <c r="M1083">
        <v>1046</v>
      </c>
      <c r="N1083" t="str">
        <f>IF(Book1!C1049&gt;0,M1083&amp;", " &amp; N1084,IF(N1084 =0,"",N1084) )</f>
        <v/>
      </c>
    </row>
    <row r="1084" spans="13:14" x14ac:dyDescent="0.25">
      <c r="M1084">
        <v>1047</v>
      </c>
      <c r="N1084" t="str">
        <f>IF(Book1!C1050&gt;0,M1084&amp;", " &amp; N1085,IF(N1085 =0,"",N1085) )</f>
        <v/>
      </c>
    </row>
    <row r="1085" spans="13:14" x14ac:dyDescent="0.25">
      <c r="M1085">
        <v>1048</v>
      </c>
      <c r="N1085" t="str">
        <f>IF(Book1!C1051&gt;0,M1085&amp;", " &amp; N1086,IF(N1086 =0,"",N1086) )</f>
        <v/>
      </c>
    </row>
    <row r="1086" spans="13:14" x14ac:dyDescent="0.25">
      <c r="M1086">
        <v>1049</v>
      </c>
      <c r="N1086" t="str">
        <f>IF(Book1!C1052&gt;0,M1086&amp;", " &amp; N1087,IF(N1087 =0,"",N1087) )</f>
        <v/>
      </c>
    </row>
    <row r="1087" spans="13:14" x14ac:dyDescent="0.25">
      <c r="M1087">
        <v>1050</v>
      </c>
      <c r="N1087" t="str">
        <f>IF(Book1!C1053&gt;0,M1087&amp;", " &amp; N1088,IF(N1088 =0,"",N1088) )</f>
        <v/>
      </c>
    </row>
    <row r="1088" spans="13:14" x14ac:dyDescent="0.25">
      <c r="M1088">
        <v>1051</v>
      </c>
      <c r="N1088" t="str">
        <f>IF(Book1!C1054&gt;0,M1088&amp;", " &amp; N1089,IF(N1089 =0,"",N1089) )</f>
        <v/>
      </c>
    </row>
    <row r="1089" spans="13:14" x14ac:dyDescent="0.25">
      <c r="M1089">
        <v>1052</v>
      </c>
      <c r="N1089" t="str">
        <f>IF(Book1!C1055&gt;0,M1089&amp;", " &amp; N1090,IF(N1090 =0,"",N1090) )</f>
        <v/>
      </c>
    </row>
    <row r="1090" spans="13:14" x14ac:dyDescent="0.25">
      <c r="M1090">
        <v>1053</v>
      </c>
      <c r="N1090" t="str">
        <f>IF(Book1!C1056&gt;0,M1090&amp;", " &amp; N1091,IF(N1091 =0,"",N1091) )</f>
        <v/>
      </c>
    </row>
    <row r="1091" spans="13:14" x14ac:dyDescent="0.25">
      <c r="M1091">
        <v>1054</v>
      </c>
      <c r="N1091" t="str">
        <f>IF(Book1!C1057&gt;0,M1091&amp;", " &amp; N1092,IF(N1092 =0,"",N1092) )</f>
        <v/>
      </c>
    </row>
    <row r="1092" spans="13:14" x14ac:dyDescent="0.25">
      <c r="M1092">
        <v>1055</v>
      </c>
      <c r="N1092" t="str">
        <f>IF(Book1!C1058&gt;0,M1092&amp;", " &amp; N1093,IF(N1093 =0,"",N1093) )</f>
        <v/>
      </c>
    </row>
    <row r="1093" spans="13:14" x14ac:dyDescent="0.25">
      <c r="M1093">
        <v>1056</v>
      </c>
      <c r="N1093" t="str">
        <f>IF(Book1!C1059&gt;0,M1093&amp;", " &amp; N1094,IF(N1094 =0,"",N1094) )</f>
        <v/>
      </c>
    </row>
    <row r="1094" spans="13:14" x14ac:dyDescent="0.25">
      <c r="M1094">
        <v>1057</v>
      </c>
      <c r="N1094" t="str">
        <f>IF(Book1!C1060&gt;0,M1094&amp;", " &amp; N1095,IF(N1095 =0,"",N1095) )</f>
        <v/>
      </c>
    </row>
    <row r="1095" spans="13:14" x14ac:dyDescent="0.25">
      <c r="M1095">
        <v>1058</v>
      </c>
      <c r="N1095" t="str">
        <f>IF(Book1!C1061&gt;0,M1095&amp;", " &amp; N1096,IF(N1096 =0,"",N1096) )</f>
        <v/>
      </c>
    </row>
    <row r="1096" spans="13:14" x14ac:dyDescent="0.25">
      <c r="M1096">
        <v>1059</v>
      </c>
      <c r="N1096" t="str">
        <f>IF(Book1!C1062&gt;0,M1096&amp;", " &amp; N1097,IF(N1097 =0,"",N1097) )</f>
        <v/>
      </c>
    </row>
    <row r="1097" spans="13:14" x14ac:dyDescent="0.25">
      <c r="M1097">
        <v>1060</v>
      </c>
      <c r="N1097" t="str">
        <f>IF(Book1!C1063&gt;0,M1097&amp;", " &amp; N1098,IF(N1098 =0,"",N1098) )</f>
        <v/>
      </c>
    </row>
    <row r="1098" spans="13:14" x14ac:dyDescent="0.25">
      <c r="M1098">
        <v>1061</v>
      </c>
      <c r="N1098" t="str">
        <f>IF(Book1!C1064&gt;0,M1098&amp;", " &amp; N1099,IF(N1099 =0,"",N1099) )</f>
        <v/>
      </c>
    </row>
    <row r="1099" spans="13:14" x14ac:dyDescent="0.25">
      <c r="M1099">
        <v>1062</v>
      </c>
      <c r="N1099" t="str">
        <f>IF(Book1!C1065&gt;0,M1099&amp;", " &amp; N1100,IF(N1100 =0,"",N1100) )</f>
        <v/>
      </c>
    </row>
    <row r="1100" spans="13:14" x14ac:dyDescent="0.25">
      <c r="M1100">
        <v>1063</v>
      </c>
      <c r="N1100" t="str">
        <f>IF(Book1!C1066&gt;0,M1100&amp;", " &amp; N1101,IF(N1101 =0,"",N1101) )</f>
        <v/>
      </c>
    </row>
    <row r="1101" spans="13:14" x14ac:dyDescent="0.25">
      <c r="M1101">
        <v>1064</v>
      </c>
      <c r="N1101" t="str">
        <f>IF(Book1!C1067&gt;0,M1101&amp;", " &amp; N1102,IF(N1102 =0,"",N1102) )</f>
        <v/>
      </c>
    </row>
    <row r="1102" spans="13:14" x14ac:dyDescent="0.25">
      <c r="M1102">
        <v>1065</v>
      </c>
      <c r="N1102" t="str">
        <f>IF(Book1!C1068&gt;0,M1102&amp;", " &amp; N1103,IF(N1103 =0,"",N1103) )</f>
        <v/>
      </c>
    </row>
    <row r="1103" spans="13:14" x14ac:dyDescent="0.25">
      <c r="M1103">
        <v>1066</v>
      </c>
      <c r="N1103" t="str">
        <f>IF(Book1!C1069&gt;0,M1103&amp;", " &amp; N1104,IF(N1104 =0,"",N1104) )</f>
        <v/>
      </c>
    </row>
    <row r="1104" spans="13:14" x14ac:dyDescent="0.25">
      <c r="M1104">
        <v>1067</v>
      </c>
      <c r="N1104" t="str">
        <f>IF(Book1!C1070&gt;0,M1104&amp;", " &amp; N1105,IF(N1105 =0,"",N1105) )</f>
        <v/>
      </c>
    </row>
    <row r="1105" spans="13:14" x14ac:dyDescent="0.25">
      <c r="M1105">
        <v>1068</v>
      </c>
      <c r="N1105" t="str">
        <f>IF(Book1!C1071&gt;0,M1105&amp;", " &amp; N1106,IF(N1106 =0,"",N1106) )</f>
        <v/>
      </c>
    </row>
    <row r="1106" spans="13:14" x14ac:dyDescent="0.25">
      <c r="M1106">
        <v>1069</v>
      </c>
      <c r="N1106" t="str">
        <f>IF(Book1!C1072&gt;0,M1106&amp;", " &amp; N1107,IF(N1107 =0,"",N1107) )</f>
        <v/>
      </c>
    </row>
    <row r="1107" spans="13:14" x14ac:dyDescent="0.25">
      <c r="M1107">
        <v>1070</v>
      </c>
      <c r="N1107" t="str">
        <f>IF(Book1!C1073&gt;0,M1107&amp;", " &amp; N1108,IF(N1108 =0,"",N1108) )</f>
        <v/>
      </c>
    </row>
    <row r="1108" spans="13:14" x14ac:dyDescent="0.25">
      <c r="M1108">
        <v>1071</v>
      </c>
      <c r="N1108" t="str">
        <f>IF(Book1!C1074&gt;0,M1108&amp;", " &amp; N1109,IF(N1109 =0,"",N1109) )</f>
        <v/>
      </c>
    </row>
    <row r="1109" spans="13:14" x14ac:dyDescent="0.25">
      <c r="M1109">
        <v>1072</v>
      </c>
      <c r="N1109" t="str">
        <f>IF(Book1!C1075&gt;0,M1109&amp;", " &amp; N1110,IF(N1110 =0,"",N1110) )</f>
        <v/>
      </c>
    </row>
    <row r="1110" spans="13:14" x14ac:dyDescent="0.25">
      <c r="M1110">
        <v>1073</v>
      </c>
      <c r="N1110" t="str">
        <f>IF(Book1!C1076&gt;0,M1110&amp;", " &amp; N1111,IF(N1111 =0,"",N1111) )</f>
        <v/>
      </c>
    </row>
    <row r="1111" spans="13:14" x14ac:dyDescent="0.25">
      <c r="M1111">
        <v>1074</v>
      </c>
      <c r="N1111" t="str">
        <f>IF(Book1!C1077&gt;0,M1111&amp;", " &amp; N1112,IF(N1112 =0,"",N1112) )</f>
        <v/>
      </c>
    </row>
    <row r="1112" spans="13:14" x14ac:dyDescent="0.25">
      <c r="M1112">
        <v>1075</v>
      </c>
      <c r="N1112" t="str">
        <f>IF(Book1!C1078&gt;0,M1112&amp;", " &amp; N1113,IF(N1113 =0,"",N1113) )</f>
        <v/>
      </c>
    </row>
    <row r="1113" spans="13:14" x14ac:dyDescent="0.25">
      <c r="M1113">
        <v>1076</v>
      </c>
      <c r="N1113" t="str">
        <f>IF(Book1!C1079&gt;0,M1113&amp;", " &amp; N1114,IF(N1114 =0,"",N1114) )</f>
        <v/>
      </c>
    </row>
    <row r="1114" spans="13:14" x14ac:dyDescent="0.25">
      <c r="M1114">
        <v>1077</v>
      </c>
      <c r="N1114" t="str">
        <f>IF(Book1!C1080&gt;0,M1114&amp;", " &amp; N1115,IF(N1115 =0,"",N1115) )</f>
        <v/>
      </c>
    </row>
    <row r="1115" spans="13:14" x14ac:dyDescent="0.25">
      <c r="M1115">
        <v>1078</v>
      </c>
      <c r="N1115" t="str">
        <f>IF(Book1!C1081&gt;0,M1115&amp;", " &amp; N1116,IF(N1116 =0,"",N1116) )</f>
        <v/>
      </c>
    </row>
    <row r="1116" spans="13:14" x14ac:dyDescent="0.25">
      <c r="M1116">
        <v>1079</v>
      </c>
      <c r="N1116" t="str">
        <f>IF(Book1!C1082&gt;0,M1116&amp;", " &amp; N1117,IF(N1117 =0,"",N1117) )</f>
        <v/>
      </c>
    </row>
    <row r="1117" spans="13:14" x14ac:dyDescent="0.25">
      <c r="M1117">
        <v>1080</v>
      </c>
      <c r="N1117" t="str">
        <f>IF(Book1!C1083&gt;0,M1117&amp;", " &amp; N1118,IF(N1118 =0,"",N1118) )</f>
        <v/>
      </c>
    </row>
    <row r="1118" spans="13:14" x14ac:dyDescent="0.25">
      <c r="M1118">
        <v>1081</v>
      </c>
      <c r="N1118" t="str">
        <f>IF(Book1!C1084&gt;0,M1118&amp;", " &amp; N1119,IF(N1119 =0,"",N1119) )</f>
        <v/>
      </c>
    </row>
    <row r="1119" spans="13:14" x14ac:dyDescent="0.25">
      <c r="M1119">
        <v>1082</v>
      </c>
      <c r="N1119" t="str">
        <f>IF(Book1!C1085&gt;0,M1119&amp;", " &amp; N1120,IF(N1120 =0,"",N1120) )</f>
        <v/>
      </c>
    </row>
    <row r="1120" spans="13:14" x14ac:dyDescent="0.25">
      <c r="M1120">
        <v>1083</v>
      </c>
      <c r="N1120" t="str">
        <f>IF(Book1!C1086&gt;0,M1120&amp;", " &amp; N1121,IF(N1121 =0,"",N1121) )</f>
        <v/>
      </c>
    </row>
    <row r="1121" spans="13:14" x14ac:dyDescent="0.25">
      <c r="M1121">
        <v>1084</v>
      </c>
      <c r="N1121" t="str">
        <f>IF(Book1!C1087&gt;0,M1121&amp;", " &amp; N1122,IF(N1122 =0,"",N1122) )</f>
        <v/>
      </c>
    </row>
    <row r="1122" spans="13:14" x14ac:dyDescent="0.25">
      <c r="M1122">
        <v>1085</v>
      </c>
      <c r="N1122" t="str">
        <f>IF(Book1!C1088&gt;0,M1122&amp;", " &amp; N1123,IF(N1123 =0,"",N1123) )</f>
        <v/>
      </c>
    </row>
    <row r="1123" spans="13:14" x14ac:dyDescent="0.25">
      <c r="M1123">
        <v>1086</v>
      </c>
      <c r="N1123" t="str">
        <f>IF(Book1!C1089&gt;0,M1123&amp;", " &amp; N1124,IF(N1124 =0,"",N1124) )</f>
        <v/>
      </c>
    </row>
    <row r="1124" spans="13:14" x14ac:dyDescent="0.25">
      <c r="M1124">
        <v>1087</v>
      </c>
      <c r="N1124" t="str">
        <f>IF(Book1!C1090&gt;0,M1124&amp;", " &amp; N1125,IF(N1125 =0,"",N1125) )</f>
        <v/>
      </c>
    </row>
    <row r="1125" spans="13:14" x14ac:dyDescent="0.25">
      <c r="M1125">
        <v>1088</v>
      </c>
      <c r="N1125" t="str">
        <f>IF(Book1!C1091&gt;0,M1125&amp;", " &amp; N1126,IF(N1126 =0,"",N1126) )</f>
        <v/>
      </c>
    </row>
    <row r="1126" spans="13:14" x14ac:dyDescent="0.25">
      <c r="M1126">
        <v>1089</v>
      </c>
      <c r="N1126" t="str">
        <f>IF(Book1!C1092&gt;0,M1126&amp;", " &amp; N1127,IF(N1127 =0,"",N1127) )</f>
        <v/>
      </c>
    </row>
    <row r="1127" spans="13:14" x14ac:dyDescent="0.25">
      <c r="M1127">
        <v>1090</v>
      </c>
      <c r="N1127" t="str">
        <f>IF(Book1!C1093&gt;0,M1127&amp;", " &amp; N1128,IF(N1128 =0,"",N1128) )</f>
        <v/>
      </c>
    </row>
    <row r="1128" spans="13:14" x14ac:dyDescent="0.25">
      <c r="M1128">
        <v>1091</v>
      </c>
      <c r="N1128" t="str">
        <f>IF(Book1!C1094&gt;0,M1128&amp;", " &amp; N1129,IF(N1129 =0,"",N1129) )</f>
        <v/>
      </c>
    </row>
    <row r="1129" spans="13:14" x14ac:dyDescent="0.25">
      <c r="M1129">
        <v>1092</v>
      </c>
      <c r="N1129" t="str">
        <f>IF(Book1!C1095&gt;0,M1129&amp;", " &amp; N1130,IF(N1130 =0,"",N1130) )</f>
        <v/>
      </c>
    </row>
    <row r="1130" spans="13:14" x14ac:dyDescent="0.25">
      <c r="M1130">
        <v>1093</v>
      </c>
      <c r="N1130" t="str">
        <f>IF(Book1!C1096&gt;0,M1130&amp;", " &amp; N1131,IF(N1131 =0,"",N1131) )</f>
        <v/>
      </c>
    </row>
    <row r="1131" spans="13:14" x14ac:dyDescent="0.25">
      <c r="M1131">
        <v>1094</v>
      </c>
      <c r="N1131" t="str">
        <f>IF(Book1!C1097&gt;0,M1131&amp;", " &amp; N1132,IF(N1132 =0,"",N1132) )</f>
        <v/>
      </c>
    </row>
    <row r="1132" spans="13:14" x14ac:dyDescent="0.25">
      <c r="M1132">
        <v>1095</v>
      </c>
      <c r="N1132" t="str">
        <f>IF(Book1!C1098&gt;0,M1132&amp;", " &amp; N1133,IF(N1133 =0,"",N1133) )</f>
        <v/>
      </c>
    </row>
    <row r="1133" spans="13:14" x14ac:dyDescent="0.25">
      <c r="M1133">
        <v>1096</v>
      </c>
      <c r="N1133" t="str">
        <f>IF(Book1!C1099&gt;0,M1133&amp;", " &amp; N1134,IF(N1134 =0,"",N1134) )</f>
        <v/>
      </c>
    </row>
    <row r="1134" spans="13:14" x14ac:dyDescent="0.25">
      <c r="M1134">
        <v>1097</v>
      </c>
      <c r="N1134" t="str">
        <f>IF(Book1!C1100&gt;0,M1134&amp;", " &amp; N1135,IF(N1135 =0,"",N1135) )</f>
        <v/>
      </c>
    </row>
    <row r="1135" spans="13:14" x14ac:dyDescent="0.25">
      <c r="M1135">
        <v>1098</v>
      </c>
      <c r="N1135" t="str">
        <f>IF(Book1!C1101&gt;0,M1135&amp;", " &amp; N1136,IF(N1136 =0,"",N1136) )</f>
        <v/>
      </c>
    </row>
    <row r="1136" spans="13:14" x14ac:dyDescent="0.25">
      <c r="M1136">
        <v>1099</v>
      </c>
      <c r="N1136" t="str">
        <f>IF(Book1!C1102&gt;0,M1136&amp;", " &amp; N1137,IF(N1137 =0,"",N1137) )</f>
        <v/>
      </c>
    </row>
    <row r="1137" spans="13:14" x14ac:dyDescent="0.25">
      <c r="M1137">
        <v>1100</v>
      </c>
      <c r="N1137" t="str">
        <f>IF(Book1!C1103&gt;0,M1137&amp;", " &amp; N1138,IF(N1138 =0,"",N1138) )</f>
        <v/>
      </c>
    </row>
    <row r="1138" spans="13:14" x14ac:dyDescent="0.25">
      <c r="M1138">
        <v>1101</v>
      </c>
      <c r="N1138" t="str">
        <f>IF(Book1!C1104&gt;0,M1138&amp;", " &amp; N1139,IF(N1139 =0,"",N1139) )</f>
        <v/>
      </c>
    </row>
    <row r="1139" spans="13:14" x14ac:dyDescent="0.25">
      <c r="M1139">
        <v>1102</v>
      </c>
      <c r="N1139" t="str">
        <f>IF(Book1!C1105&gt;0,M1139&amp;", " &amp; N1140,IF(N1140 =0,"",N1140) )</f>
        <v/>
      </c>
    </row>
    <row r="1140" spans="13:14" x14ac:dyDescent="0.25">
      <c r="M1140">
        <v>1103</v>
      </c>
      <c r="N1140" t="str">
        <f>IF(Book1!C1106&gt;0,M1140&amp;", " &amp; N1141,IF(N1141 =0,"",N1141) )</f>
        <v/>
      </c>
    </row>
    <row r="1141" spans="13:14" x14ac:dyDescent="0.25">
      <c r="M1141">
        <v>1104</v>
      </c>
      <c r="N1141" t="str">
        <f>IF(Book1!C1107&gt;0,M1141&amp;", " &amp; N1142,IF(N1142 =0,"",N1142) )</f>
        <v/>
      </c>
    </row>
    <row r="1142" spans="13:14" x14ac:dyDescent="0.25">
      <c r="M1142">
        <v>1105</v>
      </c>
      <c r="N1142" t="str">
        <f>IF(Book1!C1108&gt;0,M1142&amp;", " &amp; N1143,IF(N1143 =0,"",N1143) )</f>
        <v/>
      </c>
    </row>
    <row r="1143" spans="13:14" x14ac:dyDescent="0.25">
      <c r="M1143">
        <v>1106</v>
      </c>
      <c r="N1143" t="str">
        <f>IF(Book1!C1109&gt;0,M1143&amp;", " &amp; N1144,IF(N1144 =0,"",N1144) )</f>
        <v/>
      </c>
    </row>
    <row r="1144" spans="13:14" x14ac:dyDescent="0.25">
      <c r="M1144">
        <v>1107</v>
      </c>
      <c r="N1144" t="str">
        <f>IF(Book1!C1110&gt;0,M1144&amp;", " &amp; N1145,IF(N1145 =0,"",N1145) )</f>
        <v/>
      </c>
    </row>
    <row r="1145" spans="13:14" x14ac:dyDescent="0.25">
      <c r="M1145">
        <v>1108</v>
      </c>
      <c r="N1145" t="str">
        <f>IF(Book1!C1111&gt;0,M1145&amp;", " &amp; N1146,IF(N1146 =0,"",N1146) )</f>
        <v/>
      </c>
    </row>
    <row r="1146" spans="13:14" x14ac:dyDescent="0.25">
      <c r="M1146">
        <v>1109</v>
      </c>
      <c r="N1146" t="str">
        <f>IF(Book1!C1112&gt;0,M1146&amp;", " &amp; N1147,IF(N1147 =0,"",N1147) )</f>
        <v/>
      </c>
    </row>
    <row r="1147" spans="13:14" x14ac:dyDescent="0.25">
      <c r="M1147">
        <v>1110</v>
      </c>
      <c r="N1147" t="str">
        <f>IF(Book1!C1113&gt;0,M1147&amp;", " &amp; N1148,IF(N1148 =0,"",N1148) )</f>
        <v/>
      </c>
    </row>
    <row r="1148" spans="13:14" x14ac:dyDescent="0.25">
      <c r="M1148">
        <v>1111</v>
      </c>
      <c r="N1148" t="str">
        <f>IF(Book1!C1114&gt;0,M1148&amp;", " &amp; N1149,IF(N1149 =0,"",N1149) )</f>
        <v/>
      </c>
    </row>
    <row r="1149" spans="13:14" x14ac:dyDescent="0.25">
      <c r="M1149">
        <v>1112</v>
      </c>
      <c r="N1149" t="str">
        <f>IF(Book1!C1115&gt;0,M1149&amp;", " &amp; N1150,IF(N1150 =0,"",N1150) )</f>
        <v/>
      </c>
    </row>
    <row r="1150" spans="13:14" x14ac:dyDescent="0.25">
      <c r="M1150">
        <v>1113</v>
      </c>
      <c r="N1150" t="str">
        <f>IF(Book1!C1116&gt;0,M1150&amp;", " &amp; N1151,IF(N1151 =0,"",N1151) )</f>
        <v/>
      </c>
    </row>
    <row r="1151" spans="13:14" x14ac:dyDescent="0.25">
      <c r="M1151">
        <v>1114</v>
      </c>
      <c r="N1151" t="str">
        <f>IF(Book1!C1117&gt;0,M1151&amp;", " &amp; N1152,IF(N1152 =0,"",N1152) )</f>
        <v/>
      </c>
    </row>
    <row r="1152" spans="13:14" x14ac:dyDescent="0.25">
      <c r="M1152">
        <v>1115</v>
      </c>
      <c r="N1152" t="str">
        <f>IF(Book1!C1118&gt;0,M1152&amp;", " &amp; N1153,IF(N1153 =0,"",N1153) )</f>
        <v/>
      </c>
    </row>
    <row r="1153" spans="13:14" x14ac:dyDescent="0.25">
      <c r="M1153">
        <v>1116</v>
      </c>
      <c r="N1153" t="str">
        <f>IF(Book1!C1119&gt;0,M1153&amp;", " &amp; N1154,IF(N1154 =0,"",N1154) )</f>
        <v/>
      </c>
    </row>
    <row r="1154" spans="13:14" x14ac:dyDescent="0.25">
      <c r="M1154">
        <v>1117</v>
      </c>
      <c r="N1154" t="str">
        <f>IF(Book1!C1120&gt;0,M1154&amp;", " &amp; N1155,IF(N1155 =0,"",N1155) )</f>
        <v/>
      </c>
    </row>
    <row r="1155" spans="13:14" x14ac:dyDescent="0.25">
      <c r="M1155">
        <v>1118</v>
      </c>
      <c r="N1155" t="str">
        <f>IF(Book1!C1121&gt;0,M1155&amp;", " &amp; N1156,IF(N1156 =0,"",N1156) )</f>
        <v/>
      </c>
    </row>
    <row r="1156" spans="13:14" x14ac:dyDescent="0.25">
      <c r="M1156">
        <v>1119</v>
      </c>
      <c r="N1156" t="str">
        <f>IF(Book1!C1122&gt;0,M1156&amp;", " &amp; N1157,IF(N1157 =0,"",N1157) )</f>
        <v/>
      </c>
    </row>
    <row r="1157" spans="13:14" x14ac:dyDescent="0.25">
      <c r="M1157">
        <v>1120</v>
      </c>
      <c r="N1157" t="str">
        <f>IF(Book1!C1123&gt;0,M1157&amp;", " &amp; N1158,IF(N1158 =0,"",N1158) )</f>
        <v/>
      </c>
    </row>
    <row r="1158" spans="13:14" x14ac:dyDescent="0.25">
      <c r="M1158">
        <v>1121</v>
      </c>
      <c r="N1158" t="str">
        <f>IF(Book1!C1124&gt;0,M1158&amp;", " &amp; N1159,IF(N1159 =0,"",N1159) )</f>
        <v/>
      </c>
    </row>
    <row r="1159" spans="13:14" x14ac:dyDescent="0.25">
      <c r="M1159">
        <v>1122</v>
      </c>
      <c r="N1159" t="str">
        <f>IF(Book1!C1125&gt;0,M1159&amp;", " &amp; N1160,IF(N1160 =0,"",N1160) )</f>
        <v/>
      </c>
    </row>
    <row r="1160" spans="13:14" x14ac:dyDescent="0.25">
      <c r="M1160">
        <v>1123</v>
      </c>
      <c r="N1160" t="str">
        <f>IF(Book1!C1126&gt;0,M1160&amp;", " &amp; N1161,IF(N1161 =0,"",N1161) )</f>
        <v/>
      </c>
    </row>
    <row r="1161" spans="13:14" x14ac:dyDescent="0.25">
      <c r="M1161">
        <v>1124</v>
      </c>
      <c r="N1161" t="str">
        <f>IF(Book1!C1127&gt;0,M1161&amp;", " &amp; N1162,IF(N1162 =0,"",N1162) )</f>
        <v/>
      </c>
    </row>
    <row r="1162" spans="13:14" x14ac:dyDescent="0.25">
      <c r="M1162">
        <v>1125</v>
      </c>
      <c r="N1162" t="str">
        <f>IF(Book1!C1128&gt;0,M1162&amp;", " &amp; N1163,IF(N1163 =0,"",N1163) )</f>
        <v/>
      </c>
    </row>
    <row r="1163" spans="13:14" x14ac:dyDescent="0.25">
      <c r="M1163">
        <v>1126</v>
      </c>
      <c r="N1163" t="str">
        <f>IF(Book1!C1129&gt;0,M1163&amp;", " &amp; N1164,IF(N1164 =0,"",N1164) )</f>
        <v/>
      </c>
    </row>
    <row r="1164" spans="13:14" x14ac:dyDescent="0.25">
      <c r="M1164">
        <v>1127</v>
      </c>
      <c r="N1164" t="str">
        <f>IF(Book1!C1130&gt;0,M1164&amp;", " &amp; N1165,IF(N1165 =0,"",N1165) )</f>
        <v/>
      </c>
    </row>
    <row r="1165" spans="13:14" x14ac:dyDescent="0.25">
      <c r="M1165">
        <v>1128</v>
      </c>
      <c r="N1165" t="str">
        <f>IF(Book1!C1131&gt;0,M1165&amp;", " &amp; N1166,IF(N1166 =0,"",N1166) )</f>
        <v/>
      </c>
    </row>
    <row r="1166" spans="13:14" x14ac:dyDescent="0.25">
      <c r="M1166">
        <v>1129</v>
      </c>
      <c r="N1166" t="str">
        <f>IF(Book1!C1132&gt;0,M1166&amp;", " &amp; N1167,IF(N1167 =0,"",N1167) )</f>
        <v/>
      </c>
    </row>
    <row r="1167" spans="13:14" x14ac:dyDescent="0.25">
      <c r="M1167">
        <v>1130</v>
      </c>
      <c r="N1167" t="str">
        <f>IF(Book1!C1133&gt;0,M1167&amp;", " &amp; N1168,IF(N1168 =0,"",N1168) )</f>
        <v/>
      </c>
    </row>
    <row r="1168" spans="13:14" x14ac:dyDescent="0.25">
      <c r="M1168">
        <v>1131</v>
      </c>
      <c r="N1168" t="str">
        <f>IF(Book1!C1134&gt;0,M1168&amp;", " &amp; N1169,IF(N1169 =0,"",N1169) )</f>
        <v/>
      </c>
    </row>
    <row r="1169" spans="13:14" x14ac:dyDescent="0.25">
      <c r="M1169">
        <v>1132</v>
      </c>
      <c r="N1169" t="str">
        <f>IF(Book1!C1135&gt;0,M1169&amp;", " &amp; N1170,IF(N1170 =0,"",N1170) )</f>
        <v/>
      </c>
    </row>
    <row r="1170" spans="13:14" x14ac:dyDescent="0.25">
      <c r="M1170">
        <v>1133</v>
      </c>
      <c r="N1170" t="str">
        <f>IF(Book1!C1136&gt;0,M1170&amp;", " &amp; N1171,IF(N1171 =0,"",N1171) )</f>
        <v/>
      </c>
    </row>
    <row r="1171" spans="13:14" x14ac:dyDescent="0.25">
      <c r="M1171">
        <v>1134</v>
      </c>
      <c r="N1171" t="str">
        <f>IF(Book1!C1137&gt;0,M1171&amp;", " &amp; N1172,IF(N1172 =0,"",N1172) )</f>
        <v/>
      </c>
    </row>
    <row r="1172" spans="13:14" x14ac:dyDescent="0.25">
      <c r="M1172">
        <v>1135</v>
      </c>
      <c r="N1172" t="str">
        <f>IF(Book1!C1138&gt;0,M1172&amp;", " &amp; N1173,IF(N1173 =0,"",N1173) )</f>
        <v/>
      </c>
    </row>
    <row r="1173" spans="13:14" x14ac:dyDescent="0.25">
      <c r="M1173">
        <v>1136</v>
      </c>
      <c r="N1173" t="str">
        <f>IF(Book1!C1139&gt;0,M1173&amp;", " &amp; N1174,IF(N1174 =0,"",N1174) )</f>
        <v/>
      </c>
    </row>
    <row r="1174" spans="13:14" x14ac:dyDescent="0.25">
      <c r="M1174">
        <v>1137</v>
      </c>
      <c r="N1174" t="str">
        <f>IF(Book1!C1140&gt;0,M1174&amp;", " &amp; N1175,IF(N1175 =0,"",N1175) )</f>
        <v/>
      </c>
    </row>
    <row r="1175" spans="13:14" x14ac:dyDescent="0.25">
      <c r="M1175">
        <v>1138</v>
      </c>
      <c r="N1175" t="str">
        <f>IF(Book1!C1141&gt;0,M1175&amp;", " &amp; N1176,IF(N1176 =0,"",N1176) )</f>
        <v/>
      </c>
    </row>
    <row r="1176" spans="13:14" x14ac:dyDescent="0.25">
      <c r="M1176">
        <v>1139</v>
      </c>
      <c r="N1176" t="str">
        <f>IF(Book1!C1142&gt;0,M1176&amp;", " &amp; N1177,IF(N1177 =0,"",N1177) )</f>
        <v/>
      </c>
    </row>
    <row r="1177" spans="13:14" x14ac:dyDescent="0.25">
      <c r="M1177">
        <v>1140</v>
      </c>
      <c r="N1177" t="str">
        <f>IF(Book1!C1143&gt;0,M1177&amp;", " &amp; N1178,IF(N1178 =0,"",N1178) )</f>
        <v/>
      </c>
    </row>
    <row r="1178" spans="13:14" x14ac:dyDescent="0.25">
      <c r="M1178">
        <v>1141</v>
      </c>
      <c r="N1178" t="str">
        <f>IF(Book1!C1144&gt;0,M1178&amp;", " &amp; N1179,IF(N1179 =0,"",N1179) )</f>
        <v/>
      </c>
    </row>
    <row r="1179" spans="13:14" x14ac:dyDescent="0.25">
      <c r="M1179">
        <v>1142</v>
      </c>
      <c r="N1179" t="str">
        <f>IF(Book1!C1145&gt;0,M1179&amp;", " &amp; N1180,IF(N1180 =0,"",N1180) )</f>
        <v/>
      </c>
    </row>
    <row r="1180" spans="13:14" x14ac:dyDescent="0.25">
      <c r="M1180">
        <v>1143</v>
      </c>
      <c r="N1180" t="str">
        <f>IF(Book1!C1146&gt;0,M1180&amp;", " &amp; N1181,IF(N1181 =0,"",N1181) )</f>
        <v/>
      </c>
    </row>
    <row r="1181" spans="13:14" x14ac:dyDescent="0.25">
      <c r="M1181">
        <v>1144</v>
      </c>
      <c r="N1181" t="str">
        <f>IF(Book1!C1147&gt;0,M1181&amp;", " &amp; N1182,IF(N1182 =0,"",N1182) )</f>
        <v/>
      </c>
    </row>
    <row r="1182" spans="13:14" x14ac:dyDescent="0.25">
      <c r="M1182">
        <v>1145</v>
      </c>
      <c r="N1182" t="str">
        <f>IF(Book1!C1148&gt;0,M1182&amp;", " &amp; N1183,IF(N1183 =0,"",N1183) )</f>
        <v/>
      </c>
    </row>
    <row r="1183" spans="13:14" x14ac:dyDescent="0.25">
      <c r="M1183">
        <v>1146</v>
      </c>
      <c r="N1183" t="str">
        <f>IF(Book1!C1149&gt;0,M1183&amp;", " &amp; N1184,IF(N1184 =0,"",N1184) )</f>
        <v/>
      </c>
    </row>
    <row r="1184" spans="13:14" x14ac:dyDescent="0.25">
      <c r="M1184">
        <v>1147</v>
      </c>
      <c r="N1184" t="str">
        <f>IF(Book1!C1150&gt;0,M1184&amp;", " &amp; N1185,IF(N1185 =0,"",N1185) )</f>
        <v/>
      </c>
    </row>
    <row r="1185" spans="13:14" x14ac:dyDescent="0.25">
      <c r="M1185">
        <v>1148</v>
      </c>
      <c r="N1185" t="str">
        <f>IF(Book1!C1151&gt;0,M1185&amp;", " &amp; N1186,IF(N1186 =0,"",N1186) )</f>
        <v/>
      </c>
    </row>
    <row r="1186" spans="13:14" x14ac:dyDescent="0.25">
      <c r="M1186">
        <v>1149</v>
      </c>
      <c r="N1186" t="str">
        <f>IF(Book1!C1152&gt;0,M1186&amp;", " &amp; N1187,IF(N1187 =0,"",N1187) )</f>
        <v/>
      </c>
    </row>
    <row r="1187" spans="13:14" x14ac:dyDescent="0.25">
      <c r="M1187">
        <v>1150</v>
      </c>
      <c r="N1187" t="str">
        <f>IF(Book1!C1153&gt;0,M1187&amp;", " &amp; N1188,IF(N1188 =0,"",N1188) )</f>
        <v/>
      </c>
    </row>
    <row r="1188" spans="13:14" x14ac:dyDescent="0.25">
      <c r="M1188">
        <v>1151</v>
      </c>
      <c r="N1188" t="str">
        <f>IF(Book1!C1154&gt;0,M1188&amp;", " &amp; N1189,IF(N1189 =0,"",N1189) )</f>
        <v/>
      </c>
    </row>
    <row r="1189" spans="13:14" x14ac:dyDescent="0.25">
      <c r="M1189">
        <v>1152</v>
      </c>
      <c r="N1189" t="str">
        <f>IF(Book1!C1155&gt;0,M1189&amp;", " &amp; N1190,IF(N1190 =0,"",N1190) )</f>
        <v/>
      </c>
    </row>
    <row r="1190" spans="13:14" x14ac:dyDescent="0.25">
      <c r="M1190">
        <v>1153</v>
      </c>
      <c r="N1190" t="str">
        <f>IF(Book1!C1156&gt;0,M1190&amp;", " &amp; N1191,IF(N1191 =0,"",N1191) )</f>
        <v/>
      </c>
    </row>
    <row r="1191" spans="13:14" x14ac:dyDescent="0.25">
      <c r="M1191">
        <v>1154</v>
      </c>
      <c r="N1191" t="str">
        <f>IF(Book1!C1157&gt;0,M1191&amp;", " &amp; N1192,IF(N1192 =0,"",N1192) )</f>
        <v/>
      </c>
    </row>
    <row r="1192" spans="13:14" x14ac:dyDescent="0.25">
      <c r="M1192">
        <v>1155</v>
      </c>
      <c r="N1192" t="str">
        <f>IF(Book1!C1158&gt;0,M1192&amp;", " &amp; N1193,IF(N1193 =0,"",N1193) )</f>
        <v/>
      </c>
    </row>
    <row r="1193" spans="13:14" x14ac:dyDescent="0.25">
      <c r="M1193">
        <v>1156</v>
      </c>
      <c r="N1193" t="str">
        <f>IF(Book1!C1159&gt;0,M1193&amp;", " &amp; N1194,IF(N1194 =0,"",N1194) )</f>
        <v/>
      </c>
    </row>
    <row r="1194" spans="13:14" x14ac:dyDescent="0.25">
      <c r="M1194">
        <v>1157</v>
      </c>
      <c r="N1194" t="str">
        <f>IF(Book1!C1160&gt;0,M1194&amp;", " &amp; N1195,IF(N1195 =0,"",N1195) )</f>
        <v/>
      </c>
    </row>
    <row r="1195" spans="13:14" x14ac:dyDescent="0.25">
      <c r="M1195">
        <v>1158</v>
      </c>
      <c r="N1195" t="str">
        <f>IF(Book1!C1161&gt;0,M1195&amp;", " &amp; N1196,IF(N1196 =0,"",N1196) )</f>
        <v/>
      </c>
    </row>
    <row r="1196" spans="13:14" x14ac:dyDescent="0.25">
      <c r="M1196">
        <v>1159</v>
      </c>
      <c r="N1196" t="str">
        <f>IF(Book1!C1162&gt;0,M1196&amp;", " &amp; N1197,IF(N1197 =0,"",N1197) )</f>
        <v/>
      </c>
    </row>
    <row r="1197" spans="13:14" x14ac:dyDescent="0.25">
      <c r="M1197">
        <v>1160</v>
      </c>
      <c r="N1197" t="str">
        <f>IF(Book1!C1163&gt;0,M1197&amp;", " &amp; N1198,IF(N1198 =0,"",N1198) )</f>
        <v/>
      </c>
    </row>
    <row r="1198" spans="13:14" x14ac:dyDescent="0.25">
      <c r="M1198">
        <v>1161</v>
      </c>
      <c r="N1198" t="str">
        <f>IF(Book1!C1164&gt;0,M1198&amp;", " &amp; N1199,IF(N1199 =0,"",N1199) )</f>
        <v/>
      </c>
    </row>
    <row r="1199" spans="13:14" x14ac:dyDescent="0.25">
      <c r="M1199">
        <v>1162</v>
      </c>
      <c r="N1199" t="str">
        <f>IF(Book1!C1165&gt;0,M1199&amp;", " &amp; N1200,IF(N1200 =0,"",N1200) )</f>
        <v/>
      </c>
    </row>
    <row r="1200" spans="13:14" x14ac:dyDescent="0.25">
      <c r="M1200">
        <v>1163</v>
      </c>
      <c r="N1200" t="str">
        <f>IF(Book1!C1166&gt;0,M1200&amp;", " &amp; N1201,IF(N1201 =0,"",N1201) )</f>
        <v/>
      </c>
    </row>
    <row r="1201" spans="13:14" x14ac:dyDescent="0.25">
      <c r="M1201">
        <v>1164</v>
      </c>
      <c r="N1201" t="str">
        <f>IF(Book1!C1167&gt;0,M1201&amp;", " &amp; N1202,IF(N1202 =0,"",N1202) )</f>
        <v/>
      </c>
    </row>
    <row r="1202" spans="13:14" x14ac:dyDescent="0.25">
      <c r="M1202">
        <v>1165</v>
      </c>
      <c r="N1202" t="str">
        <f>IF(Book1!C1168&gt;0,M1202&amp;", " &amp; N1203,IF(N1203 =0,"",N1203) )</f>
        <v/>
      </c>
    </row>
    <row r="1203" spans="13:14" x14ac:dyDescent="0.25">
      <c r="M1203">
        <v>1166</v>
      </c>
      <c r="N1203" t="str">
        <f>IF(Book1!C1169&gt;0,M1203&amp;", " &amp; N1204,IF(N1204 =0,"",N1204) )</f>
        <v/>
      </c>
    </row>
    <row r="1204" spans="13:14" x14ac:dyDescent="0.25">
      <c r="M1204">
        <v>1167</v>
      </c>
      <c r="N1204" t="str">
        <f>IF(Book1!C1170&gt;0,M1204&amp;", " &amp; N1205,IF(N1205 =0,"",N1205) )</f>
        <v/>
      </c>
    </row>
    <row r="1205" spans="13:14" x14ac:dyDescent="0.25">
      <c r="M1205">
        <v>1168</v>
      </c>
      <c r="N1205" t="str">
        <f>IF(Book1!C1171&gt;0,M1205&amp;", " &amp; N1206,IF(N1206 =0,"",N1206) )</f>
        <v/>
      </c>
    </row>
    <row r="1206" spans="13:14" x14ac:dyDescent="0.25">
      <c r="M1206">
        <v>1169</v>
      </c>
      <c r="N1206" t="str">
        <f>IF(Book1!C1172&gt;0,M1206&amp;", " &amp; N1207,IF(N1207 =0,"",N1207) )</f>
        <v/>
      </c>
    </row>
    <row r="1207" spans="13:14" x14ac:dyDescent="0.25">
      <c r="M1207">
        <v>1170</v>
      </c>
      <c r="N1207" t="str">
        <f>IF(Book1!C1173&gt;0,M1207&amp;", " &amp; N1208,IF(N1208 =0,"",N1208) )</f>
        <v/>
      </c>
    </row>
    <row r="1208" spans="13:14" x14ac:dyDescent="0.25">
      <c r="M1208">
        <v>1171</v>
      </c>
      <c r="N1208" t="str">
        <f>IF(Book1!C1174&gt;0,M1208&amp;", " &amp; N1209,IF(N1209 =0,"",N1209) )</f>
        <v/>
      </c>
    </row>
    <row r="1209" spans="13:14" x14ac:dyDescent="0.25">
      <c r="M1209">
        <v>1172</v>
      </c>
      <c r="N1209" t="str">
        <f>IF(Book1!C1175&gt;0,M1209&amp;", " &amp; N1210,IF(N1210 =0,"",N1210) )</f>
        <v/>
      </c>
    </row>
    <row r="1210" spans="13:14" x14ac:dyDescent="0.25">
      <c r="M1210">
        <v>1173</v>
      </c>
      <c r="N1210" t="str">
        <f>IF(Book1!C1176&gt;0,M1210&amp;", " &amp; N1211,IF(N1211 =0,"",N1211) )</f>
        <v/>
      </c>
    </row>
    <row r="1211" spans="13:14" x14ac:dyDescent="0.25">
      <c r="M1211">
        <v>1174</v>
      </c>
      <c r="N1211" t="str">
        <f>IF(Book1!C1177&gt;0,M1211&amp;", " &amp; N1212,IF(N1212 =0,"",N1212) )</f>
        <v/>
      </c>
    </row>
    <row r="1212" spans="13:14" x14ac:dyDescent="0.25">
      <c r="M1212">
        <v>1175</v>
      </c>
      <c r="N1212" t="str">
        <f>IF(Book1!C1178&gt;0,M1212&amp;", " &amp; N1213,IF(N1213 =0,"",N1213) )</f>
        <v/>
      </c>
    </row>
    <row r="1213" spans="13:14" x14ac:dyDescent="0.25">
      <c r="M1213">
        <v>1176</v>
      </c>
      <c r="N1213" t="str">
        <f>IF(Book1!C1179&gt;0,M1213&amp;", " &amp; N1214,IF(N1214 =0,"",N1214) )</f>
        <v/>
      </c>
    </row>
    <row r="1214" spans="13:14" x14ac:dyDescent="0.25">
      <c r="M1214">
        <v>1177</v>
      </c>
      <c r="N1214" t="str">
        <f>IF(Book1!C1180&gt;0,M1214&amp;", " &amp; N1215,IF(N1215 =0,"",N1215) )</f>
        <v/>
      </c>
    </row>
    <row r="1215" spans="13:14" x14ac:dyDescent="0.25">
      <c r="M1215">
        <v>1178</v>
      </c>
      <c r="N1215" t="str">
        <f>IF(Book1!C1181&gt;0,M1215&amp;", " &amp; N1216,IF(N1216 =0,"",N1216) )</f>
        <v/>
      </c>
    </row>
    <row r="1216" spans="13:14" x14ac:dyDescent="0.25">
      <c r="M1216">
        <v>1179</v>
      </c>
      <c r="N1216" t="str">
        <f>IF(Book1!C1182&gt;0,M1216&amp;", " &amp; N1217,IF(N1217 =0,"",N1217) )</f>
        <v/>
      </c>
    </row>
    <row r="1217" spans="13:14" x14ac:dyDescent="0.25">
      <c r="M1217">
        <v>1180</v>
      </c>
      <c r="N1217" t="str">
        <f>IF(Book1!C1183&gt;0,M1217&amp;", " &amp; N1218,IF(N1218 =0,"",N1218) )</f>
        <v/>
      </c>
    </row>
    <row r="1218" spans="13:14" x14ac:dyDescent="0.25">
      <c r="M1218">
        <v>1181</v>
      </c>
      <c r="N1218" t="str">
        <f>IF(Book1!C1184&gt;0,M1218&amp;", " &amp; N1219,IF(N1219 =0,"",N1219) )</f>
        <v/>
      </c>
    </row>
    <row r="1219" spans="13:14" x14ac:dyDescent="0.25">
      <c r="M1219">
        <v>1182</v>
      </c>
      <c r="N1219" t="str">
        <f>IF(Book1!C1185&gt;0,M1219&amp;", " &amp; N1220,IF(N1220 =0,"",N1220) )</f>
        <v/>
      </c>
    </row>
    <row r="1220" spans="13:14" x14ac:dyDescent="0.25">
      <c r="M1220">
        <v>1183</v>
      </c>
      <c r="N1220" t="str">
        <f>IF(Book1!C1186&gt;0,M1220&amp;", " &amp; N1221,IF(N1221 =0,"",N1221) )</f>
        <v/>
      </c>
    </row>
    <row r="1221" spans="13:14" x14ac:dyDescent="0.25">
      <c r="M1221">
        <v>1184</v>
      </c>
      <c r="N1221" t="str">
        <f>IF(Book1!C1187&gt;0,M1221&amp;", " &amp; N1222,IF(N1222 =0,"",N1222) )</f>
        <v/>
      </c>
    </row>
    <row r="1222" spans="13:14" x14ac:dyDescent="0.25">
      <c r="M1222">
        <v>1185</v>
      </c>
      <c r="N1222" t="str">
        <f>IF(Book1!C1188&gt;0,M1222&amp;", " &amp; N1223,IF(N1223 =0,"",N1223) )</f>
        <v/>
      </c>
    </row>
    <row r="1223" spans="13:14" x14ac:dyDescent="0.25">
      <c r="M1223">
        <v>1186</v>
      </c>
      <c r="N1223" t="str">
        <f>IF(Book1!C1189&gt;0,M1223&amp;", " &amp; N1224,IF(N1224 =0,"",N1224) )</f>
        <v/>
      </c>
    </row>
    <row r="1224" spans="13:14" x14ac:dyDescent="0.25">
      <c r="M1224">
        <v>1187</v>
      </c>
      <c r="N1224" t="str">
        <f>IF(Book1!C1190&gt;0,M1224&amp;", " &amp; N1225,IF(N1225 =0,"",N1225) )</f>
        <v/>
      </c>
    </row>
    <row r="1225" spans="13:14" x14ac:dyDescent="0.25">
      <c r="M1225">
        <v>1188</v>
      </c>
      <c r="N1225" t="str">
        <f>IF(Book1!C1191&gt;0,M1225&amp;", " &amp; N1226,IF(N1226 =0,"",N1226) )</f>
        <v/>
      </c>
    </row>
    <row r="1226" spans="13:14" x14ac:dyDescent="0.25">
      <c r="M1226">
        <v>1189</v>
      </c>
      <c r="N1226" t="str">
        <f>IF(Book1!C1192&gt;0,M1226&amp;", " &amp; N1227,IF(N1227 =0,"",N1227) )</f>
        <v/>
      </c>
    </row>
    <row r="1227" spans="13:14" x14ac:dyDescent="0.25">
      <c r="M1227">
        <v>1190</v>
      </c>
      <c r="N1227" t="str">
        <f>IF(Book1!C1193&gt;0,M1227&amp;", " &amp; N1228,IF(N1228 =0,"",N1228) )</f>
        <v/>
      </c>
    </row>
    <row r="1228" spans="13:14" x14ac:dyDescent="0.25">
      <c r="M1228">
        <v>1191</v>
      </c>
      <c r="N1228" t="str">
        <f>IF(Book1!C1194&gt;0,M1228&amp;", " &amp; N1229,IF(N1229 =0,"",N1229) )</f>
        <v/>
      </c>
    </row>
    <row r="1229" spans="13:14" x14ac:dyDescent="0.25">
      <c r="M1229">
        <v>1192</v>
      </c>
      <c r="N1229" t="str">
        <f>IF(Book1!C1195&gt;0,M1229&amp;", " &amp; N1230,IF(N1230 =0,"",N1230) )</f>
        <v/>
      </c>
    </row>
    <row r="1230" spans="13:14" x14ac:dyDescent="0.25">
      <c r="M1230">
        <v>1193</v>
      </c>
      <c r="N1230" t="str">
        <f>IF(Book1!C1196&gt;0,M1230&amp;", " &amp; N1231,IF(N1231 =0,"",N1231) )</f>
        <v/>
      </c>
    </row>
    <row r="1231" spans="13:14" x14ac:dyDescent="0.25">
      <c r="M1231">
        <v>1194</v>
      </c>
      <c r="N1231" t="str">
        <f>IF(Book1!C1197&gt;0,M1231&amp;", " &amp; N1232,IF(N1232 =0,"",N1232) )</f>
        <v/>
      </c>
    </row>
    <row r="1232" spans="13:14" x14ac:dyDescent="0.25">
      <c r="M1232">
        <v>1195</v>
      </c>
      <c r="N1232" t="str">
        <f>IF(Book1!C1198&gt;0,M1232&amp;", " &amp; N1233,IF(N1233 =0,"",N1233) )</f>
        <v/>
      </c>
    </row>
    <row r="1233" spans="13:14" x14ac:dyDescent="0.25">
      <c r="M1233">
        <v>1196</v>
      </c>
      <c r="N1233" t="str">
        <f>IF(Book1!C1199&gt;0,M1233&amp;", " &amp; N1234,IF(N1234 =0,"",N1234) )</f>
        <v/>
      </c>
    </row>
    <row r="1234" spans="13:14" x14ac:dyDescent="0.25">
      <c r="M1234">
        <v>1197</v>
      </c>
      <c r="N1234" t="str">
        <f>IF(Book1!C1200&gt;0,M1234&amp;", " &amp; N1235,IF(N1235 =0,"",N1235) )</f>
        <v/>
      </c>
    </row>
    <row r="1235" spans="13:14" x14ac:dyDescent="0.25">
      <c r="M1235">
        <v>1198</v>
      </c>
      <c r="N1235" t="str">
        <f>IF(Book1!C1201&gt;0,M1235&amp;", " &amp; N1236,IF(N1236 =0,"",N1236) )</f>
        <v/>
      </c>
    </row>
    <row r="1236" spans="13:14" x14ac:dyDescent="0.25">
      <c r="M1236">
        <v>1199</v>
      </c>
      <c r="N1236" t="str">
        <f>IF(Book1!C1202&gt;0,M1236&amp;", " &amp; N1237,IF(N1237 =0,"",N1237) )</f>
        <v/>
      </c>
    </row>
    <row r="1237" spans="13:14" x14ac:dyDescent="0.25">
      <c r="M1237">
        <v>1200</v>
      </c>
      <c r="N1237" t="str">
        <f>IF(Book1!C1203&gt;0,M1237&amp;", " &amp; N1238,IF(N1238 =0,"",N1238) )</f>
        <v/>
      </c>
    </row>
    <row r="1238" spans="13:14" x14ac:dyDescent="0.25">
      <c r="M1238">
        <v>1201</v>
      </c>
      <c r="N1238" t="str">
        <f>IF(Book1!C1204&gt;0,M1238&amp;", " &amp; N1239,IF(N1239 =0,"",N1239) )</f>
        <v/>
      </c>
    </row>
    <row r="1239" spans="13:14" x14ac:dyDescent="0.25">
      <c r="M1239">
        <v>1202</v>
      </c>
      <c r="N1239" t="str">
        <f>IF(Book1!C1205&gt;0,M1239&amp;", " &amp; N1240,IF(N1240 =0,"",N1240) )</f>
        <v/>
      </c>
    </row>
    <row r="1240" spans="13:14" x14ac:dyDescent="0.25">
      <c r="M1240">
        <v>1203</v>
      </c>
      <c r="N1240" t="str">
        <f>IF(Book1!C1206&gt;0,M1240&amp;", " &amp; N1241,IF(N1241 =0,"",N1241) )</f>
        <v/>
      </c>
    </row>
    <row r="1241" spans="13:14" x14ac:dyDescent="0.25">
      <c r="M1241">
        <v>1204</v>
      </c>
      <c r="N1241" t="str">
        <f>IF(Book1!C1207&gt;0,M1241&amp;", " &amp; N1242,IF(N1242 =0,"",N1242) )</f>
        <v/>
      </c>
    </row>
    <row r="1242" spans="13:14" x14ac:dyDescent="0.25">
      <c r="M1242">
        <v>1205</v>
      </c>
      <c r="N1242" t="str">
        <f>IF(Book1!C1208&gt;0,M1242&amp;", " &amp; N1243,IF(N1243 =0,"",N1243) )</f>
        <v/>
      </c>
    </row>
    <row r="1243" spans="13:14" x14ac:dyDescent="0.25">
      <c r="M1243">
        <v>1206</v>
      </c>
      <c r="N1243" t="str">
        <f>IF(Book1!C1209&gt;0,M1243&amp;", " &amp; N1244,IF(N1244 =0,"",N1244) )</f>
        <v/>
      </c>
    </row>
    <row r="1244" spans="13:14" x14ac:dyDescent="0.25">
      <c r="M1244">
        <v>1207</v>
      </c>
      <c r="N1244" t="str">
        <f>IF(Book1!C1210&gt;0,M1244&amp;", " &amp; N1245,IF(N1245 =0,"",N1245) )</f>
        <v/>
      </c>
    </row>
    <row r="1245" spans="13:14" x14ac:dyDescent="0.25">
      <c r="M1245">
        <v>1208</v>
      </c>
      <c r="N1245" t="str">
        <f>IF(Book1!C1211&gt;0,M1245&amp;", " &amp; N1246,IF(N1246 =0,"",N1246) )</f>
        <v/>
      </c>
    </row>
    <row r="1246" spans="13:14" x14ac:dyDescent="0.25">
      <c r="M1246">
        <v>1209</v>
      </c>
      <c r="N1246" t="str">
        <f>IF(Book1!C1212&gt;0,M1246&amp;", " &amp; N1247,IF(N1247 =0,"",N1247) )</f>
        <v/>
      </c>
    </row>
    <row r="1247" spans="13:14" x14ac:dyDescent="0.25">
      <c r="M1247">
        <v>1210</v>
      </c>
      <c r="N1247" t="str">
        <f>IF(Book1!C1213&gt;0,M1247&amp;", " &amp; N1248,IF(N1248 =0,"",N1248) )</f>
        <v/>
      </c>
    </row>
    <row r="1248" spans="13:14" x14ac:dyDescent="0.25">
      <c r="M1248">
        <v>1211</v>
      </c>
      <c r="N1248" t="str">
        <f>IF(Book1!C1214&gt;0,M1248&amp;", " &amp; N1249,IF(N1249 =0,"",N1249) )</f>
        <v/>
      </c>
    </row>
    <row r="1249" spans="13:14" x14ac:dyDescent="0.25">
      <c r="M1249">
        <v>1212</v>
      </c>
      <c r="N1249" t="str">
        <f>IF(Book1!C1215&gt;0,M1249&amp;", " &amp; N1250,IF(N1250 =0,"",N1250) )</f>
        <v/>
      </c>
    </row>
    <row r="1250" spans="13:14" x14ac:dyDescent="0.25">
      <c r="M1250">
        <v>1213</v>
      </c>
      <c r="N1250" t="str">
        <f>IF(Book1!C1216&gt;0,M1250&amp;", " &amp; N1251,IF(N1251 =0,"",N1251) )</f>
        <v/>
      </c>
    </row>
    <row r="1251" spans="13:14" x14ac:dyDescent="0.25">
      <c r="M1251">
        <v>1214</v>
      </c>
      <c r="N1251" t="str">
        <f>IF(Book1!C1217&gt;0,M1251&amp;", " &amp; N1252,IF(N1252 =0,"",N1252) )</f>
        <v/>
      </c>
    </row>
    <row r="1252" spans="13:14" x14ac:dyDescent="0.25">
      <c r="M1252">
        <v>1215</v>
      </c>
      <c r="N1252" t="str">
        <f>IF(Book1!C1218&gt;0,M1252&amp;", " &amp; N1253,IF(N1253 =0,"",N1253) )</f>
        <v/>
      </c>
    </row>
    <row r="1253" spans="13:14" x14ac:dyDescent="0.25">
      <c r="M1253">
        <v>1216</v>
      </c>
      <c r="N1253" t="str">
        <f>IF(Book1!C1219&gt;0,M1253&amp;", " &amp; N1254,IF(N1254 =0,"",N1254) )</f>
        <v/>
      </c>
    </row>
    <row r="1254" spans="13:14" x14ac:dyDescent="0.25">
      <c r="M1254">
        <v>1217</v>
      </c>
      <c r="N1254" t="str">
        <f>IF(Book1!C1220&gt;0,M1254&amp;", " &amp; N1255,IF(N1255 =0,"",N1255) )</f>
        <v/>
      </c>
    </row>
    <row r="1255" spans="13:14" x14ac:dyDescent="0.25">
      <c r="M1255">
        <v>1218</v>
      </c>
      <c r="N1255" t="str">
        <f>IF(Book1!C1221&gt;0,M1255&amp;", " &amp; N1256,IF(N1256 =0,"",N1256) )</f>
        <v/>
      </c>
    </row>
    <row r="1256" spans="13:14" x14ac:dyDescent="0.25">
      <c r="M1256">
        <v>1219</v>
      </c>
      <c r="N1256" t="str">
        <f>IF(Book1!C1222&gt;0,M1256&amp;", " &amp; N1257,IF(N1257 =0,"",N1257) )</f>
        <v/>
      </c>
    </row>
    <row r="1257" spans="13:14" x14ac:dyDescent="0.25">
      <c r="M1257">
        <v>1220</v>
      </c>
      <c r="N1257" t="str">
        <f>IF(Book1!C1223&gt;0,M1257&amp;", " &amp; N1258,IF(N1258 =0,"",N1258) )</f>
        <v/>
      </c>
    </row>
    <row r="1258" spans="13:14" x14ac:dyDescent="0.25">
      <c r="M1258">
        <v>1221</v>
      </c>
      <c r="N1258" t="str">
        <f>IF(Book1!C1224&gt;0,M1258&amp;", " &amp; N1259,IF(N1259 =0,"",N1259) )</f>
        <v/>
      </c>
    </row>
    <row r="1259" spans="13:14" x14ac:dyDescent="0.25">
      <c r="M1259">
        <v>1222</v>
      </c>
      <c r="N1259" t="str">
        <f>IF(Book1!C1225&gt;0,M1259&amp;", " &amp; N1260,IF(N1260 =0,"",N1260) )</f>
        <v/>
      </c>
    </row>
    <row r="1260" spans="13:14" x14ac:dyDescent="0.25">
      <c r="M1260">
        <v>1223</v>
      </c>
      <c r="N1260" t="str">
        <f>IF(Book1!C1226&gt;0,M1260&amp;", " &amp; N1261,IF(N1261 =0,"",N1261) )</f>
        <v/>
      </c>
    </row>
    <row r="1261" spans="13:14" x14ac:dyDescent="0.25">
      <c r="M1261">
        <v>1224</v>
      </c>
      <c r="N1261" t="str">
        <f>IF(Book1!C1227&gt;0,M1261&amp;", " &amp; N1262,IF(N1262 =0,"",N1262) )</f>
        <v/>
      </c>
    </row>
    <row r="1262" spans="13:14" x14ac:dyDescent="0.25">
      <c r="M1262">
        <v>1225</v>
      </c>
      <c r="N1262" t="str">
        <f>IF(Book1!C1228&gt;0,M1262&amp;", " &amp; N1263,IF(N1263 =0,"",N1263) )</f>
        <v/>
      </c>
    </row>
    <row r="1263" spans="13:14" x14ac:dyDescent="0.25">
      <c r="M1263">
        <v>1226</v>
      </c>
      <c r="N1263" t="str">
        <f>IF(Book1!C1229&gt;0,M1263&amp;", " &amp; N1264,IF(N1264 =0,"",N1264) )</f>
        <v/>
      </c>
    </row>
    <row r="1264" spans="13:14" x14ac:dyDescent="0.25">
      <c r="M1264">
        <v>1227</v>
      </c>
      <c r="N1264" t="str">
        <f>IF(Book1!C1230&gt;0,M1264&amp;", " &amp; N1265,IF(N1265 =0,"",N1265) )</f>
        <v/>
      </c>
    </row>
    <row r="1265" spans="13:14" x14ac:dyDescent="0.25">
      <c r="M1265">
        <v>1228</v>
      </c>
      <c r="N1265" t="str">
        <f>IF(Book1!C1231&gt;0,M1265&amp;", " &amp; N1266,IF(N1266 =0,"",N1266) )</f>
        <v/>
      </c>
    </row>
    <row r="1266" spans="13:14" x14ac:dyDescent="0.25">
      <c r="M1266">
        <v>1229</v>
      </c>
      <c r="N1266" t="str">
        <f>IF(Book1!C1232&gt;0,M1266&amp;", " &amp; N1267,IF(N1267 =0,"",N1267) )</f>
        <v/>
      </c>
    </row>
    <row r="1267" spans="13:14" x14ac:dyDescent="0.25">
      <c r="M1267">
        <v>1230</v>
      </c>
      <c r="N1267" t="str">
        <f>IF(Book1!C1233&gt;0,M1267&amp;", " &amp; N1268,IF(N1268 =0,"",N1268) )</f>
        <v/>
      </c>
    </row>
    <row r="1268" spans="13:14" x14ac:dyDescent="0.25">
      <c r="M1268">
        <v>1231</v>
      </c>
      <c r="N1268" t="str">
        <f>IF(Book1!C1234&gt;0,M1268&amp;", " &amp; N1269,IF(N1269 =0,"",N1269) )</f>
        <v/>
      </c>
    </row>
    <row r="1269" spans="13:14" x14ac:dyDescent="0.25">
      <c r="M1269">
        <v>1232</v>
      </c>
      <c r="N1269" t="str">
        <f>IF(Book1!C1235&gt;0,M1269&amp;", " &amp; N1270,IF(N1270 =0,"",N1270) )</f>
        <v/>
      </c>
    </row>
    <row r="1270" spans="13:14" x14ac:dyDescent="0.25">
      <c r="M1270">
        <v>1233</v>
      </c>
      <c r="N1270" t="str">
        <f>IF(Book1!C1236&gt;0,M1270&amp;", " &amp; N1271,IF(N1271 =0,"",N1271) )</f>
        <v/>
      </c>
    </row>
    <row r="1271" spans="13:14" x14ac:dyDescent="0.25">
      <c r="M1271">
        <v>1234</v>
      </c>
      <c r="N1271" t="str">
        <f>IF(Book1!C1237&gt;0,M1271&amp;", " &amp; N1272,IF(N1272 =0,"",N1272) )</f>
        <v/>
      </c>
    </row>
    <row r="1272" spans="13:14" x14ac:dyDescent="0.25">
      <c r="M1272">
        <v>1235</v>
      </c>
      <c r="N1272" t="str">
        <f>IF(Book1!C1238&gt;0,M1272&amp;", " &amp; N1273,IF(N1273 =0,"",N1273) )</f>
        <v/>
      </c>
    </row>
    <row r="1273" spans="13:14" x14ac:dyDescent="0.25">
      <c r="M1273">
        <v>1236</v>
      </c>
      <c r="N1273" t="str">
        <f>IF(Book1!C1239&gt;0,M1273&amp;", " &amp; N1274,IF(N1274 =0,"",N1274) )</f>
        <v/>
      </c>
    </row>
    <row r="1274" spans="13:14" x14ac:dyDescent="0.25">
      <c r="M1274">
        <v>1237</v>
      </c>
      <c r="N1274" t="str">
        <f>IF(Book1!C1240&gt;0,M1274&amp;", " &amp; N1275,IF(N1275 =0,"",N1275) )</f>
        <v/>
      </c>
    </row>
    <row r="1275" spans="13:14" x14ac:dyDescent="0.25">
      <c r="M1275">
        <v>1238</v>
      </c>
      <c r="N1275" t="str">
        <f>IF(Book1!C1241&gt;0,M1275&amp;", " &amp; N1276,IF(N1276 =0,"",N1276) )</f>
        <v/>
      </c>
    </row>
    <row r="1276" spans="13:14" x14ac:dyDescent="0.25">
      <c r="M1276">
        <v>1239</v>
      </c>
      <c r="N1276" t="str">
        <f>IF(Book1!C1242&gt;0,M1276&amp;", " &amp; N1277,IF(N1277 =0,"",N1277) )</f>
        <v/>
      </c>
    </row>
    <row r="1277" spans="13:14" x14ac:dyDescent="0.25">
      <c r="M1277">
        <v>1240</v>
      </c>
      <c r="N1277" t="str">
        <f>IF(Book1!C1243&gt;0,M1277&amp;", " &amp; N1278,IF(N1278 =0,"",N1278) )</f>
        <v/>
      </c>
    </row>
    <row r="1278" spans="13:14" x14ac:dyDescent="0.25">
      <c r="M1278">
        <v>1241</v>
      </c>
      <c r="N1278" t="str">
        <f>IF(Book1!C1244&gt;0,M1278&amp;", " &amp; N1279,IF(N1279 =0,"",N1279) )</f>
        <v/>
      </c>
    </row>
    <row r="1279" spans="13:14" x14ac:dyDescent="0.25">
      <c r="M1279">
        <v>1242</v>
      </c>
      <c r="N1279" t="str">
        <f>IF(Book1!C1245&gt;0,M1279&amp;", " &amp; N1280,IF(N1280 =0,"",N1280) )</f>
        <v/>
      </c>
    </row>
    <row r="1280" spans="13:14" x14ac:dyDescent="0.25">
      <c r="M1280">
        <v>1243</v>
      </c>
      <c r="N1280" t="str">
        <f>IF(Book1!C1246&gt;0,M1280&amp;", " &amp; N1281,IF(N1281 =0,"",N1281) )</f>
        <v/>
      </c>
    </row>
    <row r="1281" spans="13:14" x14ac:dyDescent="0.25">
      <c r="M1281">
        <v>1244</v>
      </c>
      <c r="N1281" t="str">
        <f>IF(Book1!C1247&gt;0,M1281&amp;", " &amp; N1282,IF(N1282 =0,"",N1282) )</f>
        <v/>
      </c>
    </row>
    <row r="1282" spans="13:14" x14ac:dyDescent="0.25">
      <c r="M1282">
        <v>1245</v>
      </c>
      <c r="N1282" t="str">
        <f>IF(Book1!C1248&gt;0,M1282&amp;", " &amp; N1283,IF(N1283 =0,"",N1283) )</f>
        <v/>
      </c>
    </row>
    <row r="1283" spans="13:14" x14ac:dyDescent="0.25">
      <c r="M1283">
        <v>1246</v>
      </c>
      <c r="N1283" t="str">
        <f>IF(Book1!C1249&gt;0,M1283&amp;", " &amp; N1284,IF(N1284 =0,"",N1284) )</f>
        <v/>
      </c>
    </row>
    <row r="1284" spans="13:14" x14ac:dyDescent="0.25">
      <c r="M1284">
        <v>1247</v>
      </c>
      <c r="N1284" t="str">
        <f>IF(Book1!C1250&gt;0,M1284&amp;", " &amp; N1285,IF(N1285 =0,"",N1285) )</f>
        <v/>
      </c>
    </row>
    <row r="1285" spans="13:14" x14ac:dyDescent="0.25">
      <c r="M1285">
        <v>1248</v>
      </c>
      <c r="N1285" t="str">
        <f>IF(Book1!C1251&gt;0,M1285&amp;", " &amp; N1286,IF(N1286 =0,"",N1286) )</f>
        <v/>
      </c>
    </row>
    <row r="1286" spans="13:14" x14ac:dyDescent="0.25">
      <c r="M1286">
        <v>1249</v>
      </c>
      <c r="N1286" t="str">
        <f>IF(Book1!C1252&gt;0,M1286&amp;", " &amp; N1287,IF(N1287 =0,"",N1287) )</f>
        <v/>
      </c>
    </row>
    <row r="1287" spans="13:14" x14ac:dyDescent="0.25">
      <c r="M1287">
        <v>1250</v>
      </c>
      <c r="N1287" t="str">
        <f>IF(Book1!C1253&gt;0,M1287&amp;", " &amp; N1288,IF(N1288 =0,"",N1288) )</f>
        <v/>
      </c>
    </row>
    <row r="1288" spans="13:14" x14ac:dyDescent="0.25">
      <c r="M1288">
        <v>1251</v>
      </c>
      <c r="N1288" t="str">
        <f>IF(Book1!C1254&gt;0,M1288&amp;", " &amp; N1289,IF(N1289 =0,"",N1289) )</f>
        <v/>
      </c>
    </row>
    <row r="1289" spans="13:14" x14ac:dyDescent="0.25">
      <c r="M1289">
        <v>1252</v>
      </c>
      <c r="N1289" t="str">
        <f>IF(Book1!C1255&gt;0,M1289&amp;", " &amp; N1290,IF(N1290 =0,"",N1290)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"/>
  <sheetViews>
    <sheetView workbookViewId="0">
      <selection activeCell="D22" sqref="A22:D22"/>
    </sheetView>
  </sheetViews>
  <sheetFormatPr defaultRowHeight="15" x14ac:dyDescent="0.25"/>
  <cols>
    <col min="1" max="1" width="69.14062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52</v>
      </c>
      <c r="B1" s="25" t="s">
        <v>53</v>
      </c>
      <c r="C1" s="22" t="s">
        <v>54</v>
      </c>
      <c r="D1" s="24" t="s">
        <v>55</v>
      </c>
    </row>
    <row r="2" spans="1:4" x14ac:dyDescent="0.25">
      <c r="A2" s="18" t="s">
        <v>88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00"/>
  <sheetViews>
    <sheetView zoomScaleNormal="100" workbookViewId="0">
      <selection activeCell="B39" sqref="B39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5" x14ac:dyDescent="0.25">
      <c r="A1" t="str">
        <f>Simulation_Input!A1</f>
        <v>rxdata</v>
      </c>
      <c r="B1" t="str">
        <f>Simulation_Input!B1</f>
        <v>rxdatavalid</v>
      </c>
      <c r="C1" t="str">
        <f>Simulation_Input!C1</f>
        <v>rxdatalast</v>
      </c>
      <c r="D1" t="str">
        <f>Simulation_Input!D1</f>
        <v>txdataready</v>
      </c>
      <c r="E1">
        <f>Simulation_Input!E1</f>
        <v>0</v>
      </c>
    </row>
    <row r="2" spans="1:5" x14ac:dyDescent="0.25">
      <c r="A2" t="str">
        <f>Simulation_output!B1</f>
        <v xml:space="preserve"> rxdata</v>
      </c>
      <c r="B2" t="str">
        <f>Simulation_output!C1</f>
        <v xml:space="preserve"> rxdatavalid</v>
      </c>
      <c r="C2" t="str">
        <f>Simulation_output!D1</f>
        <v xml:space="preserve"> rxdatalast</v>
      </c>
      <c r="D2" t="str">
        <f>Simulation_output!I1</f>
        <v xml:space="preserve"> txdataready</v>
      </c>
      <c r="E2">
        <f>Simulation_output!J1</f>
        <v>0</v>
      </c>
    </row>
    <row r="3" spans="1:5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Simulation_output!I3</f>
        <v>0</v>
      </c>
      <c r="E3">
        <f>Simulation_Input!E3- Simulation_output!J3</f>
        <v>0</v>
      </c>
    </row>
    <row r="4" spans="1:5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Simulation_output!I4</f>
        <v>0</v>
      </c>
      <c r="E4">
        <f>Simulation_Input!E4- Simulation_output!J4</f>
        <v>0</v>
      </c>
    </row>
    <row r="5" spans="1:5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Simulation_output!I5</f>
        <v>0</v>
      </c>
      <c r="E5">
        <f>Simulation_Input!E5- Simulation_output!J5</f>
        <v>0</v>
      </c>
    </row>
    <row r="6" spans="1:5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Simulation_output!I6</f>
        <v>0</v>
      </c>
      <c r="E6">
        <f>Simulation_Input!E6- Simulation_output!J6</f>
        <v>0</v>
      </c>
    </row>
    <row r="7" spans="1:5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Simulation_output!I7</f>
        <v>0</v>
      </c>
      <c r="E7">
        <f>Simulation_Input!E7- Simulation_output!J7</f>
        <v>0</v>
      </c>
    </row>
    <row r="8" spans="1:5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Simulation_output!I8</f>
        <v>0</v>
      </c>
      <c r="E8">
        <f>Simulation_Input!E8- Simulation_output!J8</f>
        <v>0</v>
      </c>
    </row>
    <row r="9" spans="1:5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Simulation_output!I9</f>
        <v>0</v>
      </c>
      <c r="E9">
        <f>Simulation_Input!E9- Simulation_output!J9</f>
        <v>0</v>
      </c>
    </row>
    <row r="10" spans="1:5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Simulation_output!I10</f>
        <v>0</v>
      </c>
      <c r="E10">
        <f>Simulation_Input!E10- Simulation_output!J10</f>
        <v>0</v>
      </c>
    </row>
    <row r="11" spans="1:5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Simulation_output!I11</f>
        <v>0</v>
      </c>
      <c r="E11">
        <f>Simulation_Input!E11- Simulation_output!J11</f>
        <v>0</v>
      </c>
    </row>
    <row r="12" spans="1:5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Simulation_output!I12</f>
        <v>0</v>
      </c>
      <c r="E12">
        <f>Simulation_Input!E12- Simulation_output!J12</f>
        <v>0</v>
      </c>
    </row>
    <row r="13" spans="1:5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Simulation_output!I13</f>
        <v>0</v>
      </c>
      <c r="E13">
        <f>Simulation_Input!E13- Simulation_output!J13</f>
        <v>0</v>
      </c>
    </row>
    <row r="14" spans="1:5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Simulation_output!I14</f>
        <v>0</v>
      </c>
      <c r="E14">
        <f>Simulation_Input!E14- Simulation_output!J14</f>
        <v>0</v>
      </c>
    </row>
    <row r="15" spans="1:5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Simulation_output!I15</f>
        <v>0</v>
      </c>
      <c r="E15">
        <f>Simulation_Input!E15- Simulation_output!J15</f>
        <v>0</v>
      </c>
    </row>
    <row r="16" spans="1:5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Simulation_output!I16</f>
        <v>0</v>
      </c>
      <c r="E16">
        <f>Simulation_Input!E16- Simulation_output!J16</f>
        <v>0</v>
      </c>
    </row>
    <row r="17" spans="1:5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Simulation_output!I17</f>
        <v>0</v>
      </c>
      <c r="E17">
        <f>Simulation_Input!E17- Simulation_output!J17</f>
        <v>0</v>
      </c>
    </row>
    <row r="18" spans="1:5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Simulation_output!I18</f>
        <v>0</v>
      </c>
      <c r="E18">
        <f>Simulation_Input!E18- Simulation_output!J18</f>
        <v>0</v>
      </c>
    </row>
    <row r="19" spans="1:5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Simulation_output!I19</f>
        <v>0</v>
      </c>
      <c r="E19">
        <f>Simulation_Input!E19- Simulation_output!J19</f>
        <v>0</v>
      </c>
    </row>
    <row r="20" spans="1:5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Simulation_output!I20</f>
        <v>0</v>
      </c>
      <c r="E20">
        <f>Simulation_Input!E20- Simulation_output!J20</f>
        <v>0</v>
      </c>
    </row>
    <row r="21" spans="1:5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Simulation_output!I21</f>
        <v>0</v>
      </c>
      <c r="E21">
        <f>Simulation_Input!E21- Simulation_output!J21</f>
        <v>0</v>
      </c>
    </row>
    <row r="22" spans="1:5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Simulation_output!I22</f>
        <v>0</v>
      </c>
      <c r="E22">
        <f>Simulation_Input!E22- Simulation_output!J22</f>
        <v>0</v>
      </c>
    </row>
    <row r="23" spans="1:5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Simulation_output!I23</f>
        <v>0</v>
      </c>
      <c r="E23">
        <f>Simulation_Input!E23- Simulation_output!J23</f>
        <v>0</v>
      </c>
    </row>
    <row r="24" spans="1:5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Simulation_output!I24</f>
        <v>0</v>
      </c>
      <c r="E24">
        <f>Simulation_Input!E24- Simulation_output!J24</f>
        <v>0</v>
      </c>
    </row>
    <row r="25" spans="1:5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Simulation_output!I25</f>
        <v>0</v>
      </c>
      <c r="E25">
        <f>Simulation_Input!E25- Simulation_output!J25</f>
        <v>0</v>
      </c>
    </row>
    <row r="26" spans="1:5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Simulation_output!I26</f>
        <v>0</v>
      </c>
      <c r="E26">
        <f>Simulation_Input!E26- Simulation_output!J26</f>
        <v>0</v>
      </c>
    </row>
    <row r="27" spans="1:5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Simulation_output!I27</f>
        <v>0</v>
      </c>
      <c r="E27">
        <f>Simulation_Input!E27- Simulation_output!J27</f>
        <v>0</v>
      </c>
    </row>
    <row r="28" spans="1:5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Simulation_output!I28</f>
        <v>0</v>
      </c>
      <c r="E28">
        <f>Simulation_Input!E28- Simulation_output!J28</f>
        <v>0</v>
      </c>
    </row>
    <row r="29" spans="1:5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Simulation_output!I29</f>
        <v>0</v>
      </c>
      <c r="E29">
        <f>Simulation_Input!E29- Simulation_output!J29</f>
        <v>0</v>
      </c>
    </row>
    <row r="30" spans="1:5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Simulation_output!I30</f>
        <v>0</v>
      </c>
      <c r="E30">
        <f>Simulation_Input!E30- Simulation_output!J30</f>
        <v>0</v>
      </c>
    </row>
    <row r="31" spans="1:5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Simulation_output!I31</f>
        <v>0</v>
      </c>
      <c r="E31">
        <f>Simulation_Input!E31- Simulation_output!J31</f>
        <v>0</v>
      </c>
    </row>
    <row r="32" spans="1:5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Simulation_output!I32</f>
        <v>0</v>
      </c>
      <c r="E32">
        <f>Simulation_Input!E32- Simulation_output!J32</f>
        <v>0</v>
      </c>
    </row>
    <row r="33" spans="1:5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Simulation_output!I33</f>
        <v>0</v>
      </c>
      <c r="E33">
        <f>Simulation_Input!E33- Simulation_output!J33</f>
        <v>0</v>
      </c>
    </row>
    <row r="34" spans="1:5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Simulation_output!I34</f>
        <v>0</v>
      </c>
      <c r="E34">
        <f>Simulation_Input!E34- Simulation_output!J34</f>
        <v>0</v>
      </c>
    </row>
    <row r="35" spans="1:5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Simulation_output!I35</f>
        <v>0</v>
      </c>
      <c r="E35">
        <f>Simulation_Input!E35- Simulation_output!J35</f>
        <v>0</v>
      </c>
    </row>
    <row r="36" spans="1:5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Simulation_output!I36</f>
        <v>0</v>
      </c>
      <c r="E36">
        <f>Simulation_Input!E36- Simulation_output!J36</f>
        <v>0</v>
      </c>
    </row>
    <row r="37" spans="1:5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Simulation_output!I37</f>
        <v>0</v>
      </c>
      <c r="E37">
        <f>Simulation_Input!E37- Simulation_output!J37</f>
        <v>0</v>
      </c>
    </row>
    <row r="38" spans="1:5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Simulation_output!I38</f>
        <v>0</v>
      </c>
      <c r="E38">
        <f>Simulation_Input!E38- Simulation_output!J38</f>
        <v>0</v>
      </c>
    </row>
    <row r="39" spans="1:5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Simulation_output!I39</f>
        <v>0</v>
      </c>
      <c r="E39">
        <f>Simulation_Input!E39- Simulation_output!J39</f>
        <v>0</v>
      </c>
    </row>
    <row r="40" spans="1:5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Simulation_output!I40</f>
        <v>0</v>
      </c>
      <c r="E40">
        <f>Simulation_Input!E40- Simulation_output!J40</f>
        <v>0</v>
      </c>
    </row>
    <row r="41" spans="1:5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Simulation_output!I41</f>
        <v>0</v>
      </c>
      <c r="E41">
        <f>Simulation_Input!E41- Simulation_output!J41</f>
        <v>0</v>
      </c>
    </row>
    <row r="42" spans="1:5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Simulation_output!I42</f>
        <v>0</v>
      </c>
      <c r="E42">
        <f>Simulation_Input!E42- Simulation_output!J42</f>
        <v>0</v>
      </c>
    </row>
    <row r="43" spans="1:5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Simulation_output!I43</f>
        <v>0</v>
      </c>
      <c r="E43">
        <f>Simulation_Input!E43- Simulation_output!J43</f>
        <v>0</v>
      </c>
    </row>
    <row r="44" spans="1:5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Simulation_output!I44</f>
        <v>0</v>
      </c>
      <c r="E44">
        <f>Simulation_Input!E44- Simulation_output!J44</f>
        <v>0</v>
      </c>
    </row>
    <row r="45" spans="1:5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Simulation_output!I45</f>
        <v>0</v>
      </c>
      <c r="E45">
        <f>Simulation_Input!E45- Simulation_output!J45</f>
        <v>0</v>
      </c>
    </row>
    <row r="46" spans="1:5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Simulation_output!I46</f>
        <v>0</v>
      </c>
      <c r="E46">
        <f>Simulation_Input!E46- Simulation_output!J46</f>
        <v>0</v>
      </c>
    </row>
    <row r="47" spans="1:5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Simulation_output!I47</f>
        <v>0</v>
      </c>
      <c r="E47">
        <f>Simulation_Input!E47- Simulation_output!J47</f>
        <v>0</v>
      </c>
    </row>
    <row r="48" spans="1:5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Simulation_output!I48</f>
        <v>0</v>
      </c>
      <c r="E48">
        <f>Simulation_Input!E48- Simulation_output!J48</f>
        <v>0</v>
      </c>
    </row>
    <row r="49" spans="1:5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Simulation_output!I49</f>
        <v>0</v>
      </c>
      <c r="E49">
        <f>Simulation_Input!E49- Simulation_output!J49</f>
        <v>0</v>
      </c>
    </row>
    <row r="50" spans="1:5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Simulation_output!I50</f>
        <v>0</v>
      </c>
      <c r="E50">
        <f>Simulation_Input!E50- Simulation_output!J50</f>
        <v>0</v>
      </c>
    </row>
    <row r="51" spans="1:5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Simulation_output!I51</f>
        <v>0</v>
      </c>
      <c r="E51">
        <f>Simulation_Input!E51- Simulation_output!J51</f>
        <v>0</v>
      </c>
    </row>
    <row r="52" spans="1:5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Simulation_output!I52</f>
        <v>0</v>
      </c>
      <c r="E52">
        <f>Simulation_Input!E52- Simulation_output!J52</f>
        <v>0</v>
      </c>
    </row>
    <row r="53" spans="1:5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Simulation_output!I53</f>
        <v>0</v>
      </c>
      <c r="E53">
        <f>Simulation_Input!E53- Simulation_output!J53</f>
        <v>0</v>
      </c>
    </row>
    <row r="54" spans="1:5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Simulation_output!I54</f>
        <v>0</v>
      </c>
      <c r="E54">
        <f>Simulation_Input!E54- Simulation_output!J54</f>
        <v>0</v>
      </c>
    </row>
    <row r="55" spans="1:5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Simulation_output!I55</f>
        <v>0</v>
      </c>
      <c r="E55">
        <f>Simulation_Input!E55- Simulation_output!J55</f>
        <v>0</v>
      </c>
    </row>
    <row r="56" spans="1:5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Simulation_output!I56</f>
        <v>0</v>
      </c>
      <c r="E56">
        <f>Simulation_Input!E56- Simulation_output!J56</f>
        <v>0</v>
      </c>
    </row>
    <row r="57" spans="1:5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Simulation_output!I57</f>
        <v>0</v>
      </c>
      <c r="E57">
        <f>Simulation_Input!E57- Simulation_output!J57</f>
        <v>0</v>
      </c>
    </row>
    <row r="58" spans="1:5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Simulation_output!I58</f>
        <v>0</v>
      </c>
      <c r="E58">
        <f>Simulation_Input!E58- Simulation_output!J58</f>
        <v>0</v>
      </c>
    </row>
    <row r="59" spans="1:5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Simulation_output!I59</f>
        <v>0</v>
      </c>
      <c r="E59">
        <f>Simulation_Input!E59- Simulation_output!J59</f>
        <v>0</v>
      </c>
    </row>
    <row r="60" spans="1:5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Simulation_output!I60</f>
        <v>0</v>
      </c>
      <c r="E60">
        <f>Simulation_Input!E60- Simulation_output!J60</f>
        <v>0</v>
      </c>
    </row>
    <row r="61" spans="1:5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Simulation_output!I61</f>
        <v>0</v>
      </c>
      <c r="E61">
        <f>Simulation_Input!E61- Simulation_output!J61</f>
        <v>0</v>
      </c>
    </row>
    <row r="62" spans="1:5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Simulation_output!I62</f>
        <v>0</v>
      </c>
      <c r="E62">
        <f>Simulation_Input!E62- Simulation_output!J62</f>
        <v>0</v>
      </c>
    </row>
    <row r="63" spans="1:5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Simulation_output!I63</f>
        <v>0</v>
      </c>
      <c r="E63">
        <f>Simulation_Input!E63- Simulation_output!J63</f>
        <v>0</v>
      </c>
    </row>
    <row r="64" spans="1:5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Simulation_output!I64</f>
        <v>0</v>
      </c>
      <c r="E64">
        <f>Simulation_Input!E64- Simulation_output!J64</f>
        <v>0</v>
      </c>
    </row>
    <row r="65" spans="1:5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Simulation_output!I65</f>
        <v>0</v>
      </c>
      <c r="E65">
        <f>Simulation_Input!E65- Simulation_output!J65</f>
        <v>0</v>
      </c>
    </row>
    <row r="66" spans="1:5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Simulation_output!I66</f>
        <v>0</v>
      </c>
      <c r="E66">
        <f>Simulation_Input!E66- Simulation_output!J66</f>
        <v>0</v>
      </c>
    </row>
    <row r="67" spans="1:5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Simulation_output!I67</f>
        <v>0</v>
      </c>
      <c r="E67">
        <f>Simulation_Input!E67- Simulation_output!J67</f>
        <v>0</v>
      </c>
    </row>
    <row r="68" spans="1:5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Simulation_output!I68</f>
        <v>0</v>
      </c>
      <c r="E68">
        <f>Simulation_Input!E68- Simulation_output!J68</f>
        <v>0</v>
      </c>
    </row>
    <row r="69" spans="1:5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Simulation_output!I69</f>
        <v>0</v>
      </c>
      <c r="E69">
        <f>Simulation_Input!E69- Simulation_output!J69</f>
        <v>0</v>
      </c>
    </row>
    <row r="70" spans="1:5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Simulation_output!I70</f>
        <v>0</v>
      </c>
      <c r="E70">
        <f>Simulation_Input!E70- Simulation_output!J70</f>
        <v>0</v>
      </c>
    </row>
    <row r="71" spans="1:5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Simulation_output!I71</f>
        <v>0</v>
      </c>
      <c r="E71">
        <f>Simulation_Input!E71- Simulation_output!J71</f>
        <v>0</v>
      </c>
    </row>
    <row r="72" spans="1:5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Simulation_output!I72</f>
        <v>0</v>
      </c>
      <c r="E72">
        <f>Simulation_Input!E72- Simulation_output!J72</f>
        <v>0</v>
      </c>
    </row>
    <row r="73" spans="1:5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Simulation_output!I73</f>
        <v>0</v>
      </c>
      <c r="E73">
        <f>Simulation_Input!E73- Simulation_output!J73</f>
        <v>0</v>
      </c>
    </row>
    <row r="74" spans="1:5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Simulation_output!I74</f>
        <v>0</v>
      </c>
      <c r="E74">
        <f>Simulation_Input!E74- Simulation_output!J74</f>
        <v>0</v>
      </c>
    </row>
    <row r="75" spans="1:5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Simulation_output!I75</f>
        <v>0</v>
      </c>
      <c r="E75">
        <f>Simulation_Input!E75- Simulation_output!J75</f>
        <v>0</v>
      </c>
    </row>
    <row r="76" spans="1:5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Simulation_output!I76</f>
        <v>0</v>
      </c>
      <c r="E76">
        <f>Simulation_Input!E76- Simulation_output!J76</f>
        <v>0</v>
      </c>
    </row>
    <row r="77" spans="1:5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Simulation_output!I77</f>
        <v>0</v>
      </c>
      <c r="E77">
        <f>Simulation_Input!E77- Simulation_output!J77</f>
        <v>0</v>
      </c>
    </row>
    <row r="78" spans="1:5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Simulation_output!I78</f>
        <v>0</v>
      </c>
      <c r="E78">
        <f>Simulation_Input!E78- Simulation_output!J78</f>
        <v>0</v>
      </c>
    </row>
    <row r="79" spans="1:5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Simulation_output!I79</f>
        <v>0</v>
      </c>
      <c r="E79">
        <f>Simulation_Input!E79- Simulation_output!J79</f>
        <v>0</v>
      </c>
    </row>
    <row r="80" spans="1:5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Simulation_output!I80</f>
        <v>0</v>
      </c>
      <c r="E80">
        <f>Simulation_Input!E80- Simulation_output!J80</f>
        <v>0</v>
      </c>
    </row>
    <row r="81" spans="1:5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Simulation_output!I81</f>
        <v>0</v>
      </c>
      <c r="E81">
        <f>Simulation_Input!E81- Simulation_output!J81</f>
        <v>0</v>
      </c>
    </row>
    <row r="82" spans="1:5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Simulation_output!I82</f>
        <v>0</v>
      </c>
      <c r="E82">
        <f>Simulation_Input!E82- Simulation_output!J82</f>
        <v>0</v>
      </c>
    </row>
    <row r="83" spans="1:5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Simulation_output!I83</f>
        <v>0</v>
      </c>
      <c r="E83">
        <f>Simulation_Input!E83- Simulation_output!J83</f>
        <v>0</v>
      </c>
    </row>
    <row r="84" spans="1:5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Simulation_output!I84</f>
        <v>0</v>
      </c>
      <c r="E84">
        <f>Simulation_Input!E84- Simulation_output!J84</f>
        <v>0</v>
      </c>
    </row>
    <row r="85" spans="1:5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Simulation_output!I85</f>
        <v>0</v>
      </c>
      <c r="E85">
        <f>Simulation_Input!E85- Simulation_output!J85</f>
        <v>0</v>
      </c>
    </row>
    <row r="86" spans="1:5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Simulation_output!I86</f>
        <v>0</v>
      </c>
      <c r="E86">
        <f>Simulation_Input!E86- Simulation_output!J86</f>
        <v>0</v>
      </c>
    </row>
    <row r="87" spans="1:5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Simulation_output!I87</f>
        <v>0</v>
      </c>
      <c r="E87">
        <f>Simulation_Input!E87- Simulation_output!J87</f>
        <v>0</v>
      </c>
    </row>
    <row r="88" spans="1:5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Simulation_output!I88</f>
        <v>0</v>
      </c>
      <c r="E88">
        <f>Simulation_Input!E88- Simulation_output!J88</f>
        <v>0</v>
      </c>
    </row>
    <row r="89" spans="1:5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Simulation_output!I89</f>
        <v>0</v>
      </c>
      <c r="E89">
        <f>Simulation_Input!E89- Simulation_output!J89</f>
        <v>0</v>
      </c>
    </row>
    <row r="90" spans="1:5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Simulation_output!I90</f>
        <v>0</v>
      </c>
      <c r="E90">
        <f>Simulation_Input!E90- Simulation_output!J90</f>
        <v>0</v>
      </c>
    </row>
    <row r="91" spans="1:5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Simulation_output!I91</f>
        <v>0</v>
      </c>
      <c r="E91">
        <f>Simulation_Input!E91- Simulation_output!J91</f>
        <v>0</v>
      </c>
    </row>
    <row r="92" spans="1:5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Simulation_output!I92</f>
        <v>0</v>
      </c>
      <c r="E92">
        <f>Simulation_Input!E92- Simulation_output!J92</f>
        <v>0</v>
      </c>
    </row>
    <row r="93" spans="1:5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Simulation_output!I93</f>
        <v>0</v>
      </c>
      <c r="E93">
        <f>Simulation_Input!E93- Simulation_output!J93</f>
        <v>0</v>
      </c>
    </row>
    <row r="94" spans="1:5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Simulation_output!I94</f>
        <v>0</v>
      </c>
      <c r="E94">
        <f>Simulation_Input!E94- Simulation_output!J94</f>
        <v>0</v>
      </c>
    </row>
    <row r="95" spans="1:5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Simulation_output!I95</f>
        <v>0</v>
      </c>
      <c r="E95">
        <f>Simulation_Input!E95- Simulation_output!J95</f>
        <v>0</v>
      </c>
    </row>
    <row r="96" spans="1:5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Simulation_output!I96</f>
        <v>0</v>
      </c>
      <c r="E96">
        <f>Simulation_Input!E96- Simulation_output!J96</f>
        <v>0</v>
      </c>
    </row>
    <row r="97" spans="1:5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Simulation_output!I97</f>
        <v>0</v>
      </c>
      <c r="E97">
        <f>Simulation_Input!E97- Simulation_output!J97</f>
        <v>0</v>
      </c>
    </row>
    <row r="98" spans="1:5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Simulation_output!I98</f>
        <v>0</v>
      </c>
      <c r="E98">
        <f>Simulation_Input!E98- Simulation_output!J98</f>
        <v>0</v>
      </c>
    </row>
    <row r="99" spans="1:5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Simulation_output!I99</f>
        <v>0</v>
      </c>
      <c r="E99">
        <f>Simulation_Input!E99- Simulation_output!J99</f>
        <v>0</v>
      </c>
    </row>
    <row r="100" spans="1:5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Simulation_output!I100</f>
        <v>0</v>
      </c>
      <c r="E100">
        <f>Simulation_Input!E100- Simulation_output!J100</f>
        <v>0</v>
      </c>
    </row>
    <row r="101" spans="1:5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Simulation_output!I101</f>
        <v>0</v>
      </c>
      <c r="E101">
        <f>Simulation_Input!E101- Simulation_output!J101</f>
        <v>0</v>
      </c>
    </row>
    <row r="102" spans="1:5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Simulation_output!I102</f>
        <v>0</v>
      </c>
      <c r="E102">
        <f>Simulation_Input!E102- Simulation_output!J102</f>
        <v>0</v>
      </c>
    </row>
    <row r="103" spans="1:5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Simulation_output!I103</f>
        <v>0</v>
      </c>
      <c r="E103">
        <f>Simulation_Input!E103- Simulation_output!J103</f>
        <v>0</v>
      </c>
    </row>
    <row r="104" spans="1:5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Simulation_output!I104</f>
        <v>0</v>
      </c>
      <c r="E104">
        <f>Simulation_Input!E104- Simulation_output!J104</f>
        <v>0</v>
      </c>
    </row>
    <row r="105" spans="1:5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Simulation_output!I105</f>
        <v>0</v>
      </c>
      <c r="E105">
        <f>Simulation_Input!E105- Simulation_output!J105</f>
        <v>0</v>
      </c>
    </row>
    <row r="106" spans="1:5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Simulation_output!I106</f>
        <v>0</v>
      </c>
      <c r="E106">
        <f>Simulation_Input!E106- Simulation_output!J106</f>
        <v>0</v>
      </c>
    </row>
    <row r="107" spans="1:5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Simulation_output!I107</f>
        <v>0</v>
      </c>
      <c r="E107">
        <f>Simulation_Input!E107- Simulation_output!J107</f>
        <v>0</v>
      </c>
    </row>
    <row r="108" spans="1:5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Simulation_output!I108</f>
        <v>0</v>
      </c>
      <c r="E108">
        <f>Simulation_Input!E108- Simulation_output!J108</f>
        <v>0</v>
      </c>
    </row>
    <row r="109" spans="1:5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Simulation_output!I109</f>
        <v>0</v>
      </c>
      <c r="E109">
        <f>Simulation_Input!E109- Simulation_output!J109</f>
        <v>0</v>
      </c>
    </row>
    <row r="110" spans="1:5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Simulation_output!I110</f>
        <v>0</v>
      </c>
      <c r="E110">
        <f>Simulation_Input!E110- Simulation_output!J110</f>
        <v>0</v>
      </c>
    </row>
    <row r="111" spans="1:5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Simulation_output!I111</f>
        <v>0</v>
      </c>
      <c r="E111">
        <f>Simulation_Input!E111- Simulation_output!J111</f>
        <v>0</v>
      </c>
    </row>
    <row r="112" spans="1:5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Simulation_output!I112</f>
        <v>0</v>
      </c>
      <c r="E112">
        <f>Simulation_Input!E112- Simulation_output!J112</f>
        <v>0</v>
      </c>
    </row>
    <row r="113" spans="1:5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Simulation_output!I113</f>
        <v>0</v>
      </c>
      <c r="E113">
        <f>Simulation_Input!E113- Simulation_output!J113</f>
        <v>0</v>
      </c>
    </row>
    <row r="114" spans="1:5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Simulation_output!I114</f>
        <v>0</v>
      </c>
      <c r="E114">
        <f>Simulation_Input!E114- Simulation_output!J114</f>
        <v>0</v>
      </c>
    </row>
    <row r="115" spans="1:5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Simulation_output!I115</f>
        <v>0</v>
      </c>
      <c r="E115">
        <f>Simulation_Input!E115- Simulation_output!J115</f>
        <v>0</v>
      </c>
    </row>
    <row r="116" spans="1:5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Simulation_output!I116</f>
        <v>0</v>
      </c>
      <c r="E116">
        <f>Simulation_Input!E116- Simulation_output!J116</f>
        <v>0</v>
      </c>
    </row>
    <row r="117" spans="1:5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Simulation_output!I117</f>
        <v>0</v>
      </c>
      <c r="E117">
        <f>Simulation_Input!E117- Simulation_output!J117</f>
        <v>0</v>
      </c>
    </row>
    <row r="118" spans="1:5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Simulation_output!I118</f>
        <v>0</v>
      </c>
      <c r="E118">
        <f>Simulation_Input!E118- Simulation_output!J118</f>
        <v>0</v>
      </c>
    </row>
    <row r="119" spans="1:5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Simulation_output!I119</f>
        <v>0</v>
      </c>
      <c r="E119">
        <f>Simulation_Input!E119- Simulation_output!J119</f>
        <v>0</v>
      </c>
    </row>
    <row r="120" spans="1:5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Simulation_output!I120</f>
        <v>0</v>
      </c>
      <c r="E120">
        <f>Simulation_Input!E120- Simulation_output!J120</f>
        <v>0</v>
      </c>
    </row>
    <row r="121" spans="1:5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Simulation_output!I121</f>
        <v>0</v>
      </c>
      <c r="E121">
        <f>Simulation_Input!E121- Simulation_output!J121</f>
        <v>0</v>
      </c>
    </row>
    <row r="122" spans="1:5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Simulation_output!I122</f>
        <v>0</v>
      </c>
      <c r="E122">
        <f>Simulation_Input!E122- Simulation_output!J122</f>
        <v>0</v>
      </c>
    </row>
    <row r="123" spans="1:5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Simulation_output!I123</f>
        <v>0</v>
      </c>
      <c r="E123">
        <f>Simulation_Input!E123- Simulation_output!J123</f>
        <v>0</v>
      </c>
    </row>
    <row r="124" spans="1:5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Simulation_output!I124</f>
        <v>0</v>
      </c>
      <c r="E124">
        <f>Simulation_Input!E124- Simulation_output!J124</f>
        <v>0</v>
      </c>
    </row>
    <row r="125" spans="1:5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Simulation_output!I125</f>
        <v>0</v>
      </c>
      <c r="E125">
        <f>Simulation_Input!E125- Simulation_output!J125</f>
        <v>0</v>
      </c>
    </row>
    <row r="126" spans="1:5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Simulation_output!I126</f>
        <v>0</v>
      </c>
      <c r="E126">
        <f>Simulation_Input!E126- Simulation_output!J126</f>
        <v>0</v>
      </c>
    </row>
    <row r="127" spans="1:5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Simulation_output!I127</f>
        <v>0</v>
      </c>
      <c r="E127">
        <f>Simulation_Input!E127- Simulation_output!J127</f>
        <v>0</v>
      </c>
    </row>
    <row r="128" spans="1:5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Simulation_output!I128</f>
        <v>0</v>
      </c>
      <c r="E128">
        <f>Simulation_Input!E128- Simulation_output!J128</f>
        <v>0</v>
      </c>
    </row>
    <row r="129" spans="1:5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Simulation_output!I129</f>
        <v>0</v>
      </c>
      <c r="E129">
        <f>Simulation_Input!E129- Simulation_output!J129</f>
        <v>0</v>
      </c>
    </row>
    <row r="130" spans="1:5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Simulation_output!I130</f>
        <v>0</v>
      </c>
      <c r="E130">
        <f>Simulation_Input!E130- Simulation_output!J130</f>
        <v>0</v>
      </c>
    </row>
    <row r="131" spans="1:5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Simulation_output!I131</f>
        <v>0</v>
      </c>
      <c r="E131">
        <f>Simulation_Input!E131- Simulation_output!J131</f>
        <v>0</v>
      </c>
    </row>
    <row r="132" spans="1:5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Simulation_output!I132</f>
        <v>0</v>
      </c>
      <c r="E132">
        <f>Simulation_Input!E132- Simulation_output!J132</f>
        <v>0</v>
      </c>
    </row>
    <row r="133" spans="1:5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Simulation_output!I133</f>
        <v>0</v>
      </c>
      <c r="E133">
        <f>Simulation_Input!E133- Simulation_output!J133</f>
        <v>0</v>
      </c>
    </row>
    <row r="134" spans="1:5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Simulation_output!I134</f>
        <v>0</v>
      </c>
      <c r="E134">
        <f>Simulation_Input!E134- Simulation_output!J134</f>
        <v>0</v>
      </c>
    </row>
    <row r="135" spans="1:5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Simulation_output!I135</f>
        <v>0</v>
      </c>
      <c r="E135">
        <f>Simulation_Input!E135- Simulation_output!J135</f>
        <v>0</v>
      </c>
    </row>
    <row r="136" spans="1:5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Simulation_output!I136</f>
        <v>0</v>
      </c>
      <c r="E136">
        <f>Simulation_Input!E136- Simulation_output!J136</f>
        <v>0</v>
      </c>
    </row>
    <row r="137" spans="1:5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Simulation_output!I137</f>
        <v>0</v>
      </c>
      <c r="E137">
        <f>Simulation_Input!E137- Simulation_output!J137</f>
        <v>0</v>
      </c>
    </row>
    <row r="138" spans="1:5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Simulation_output!I138</f>
        <v>0</v>
      </c>
      <c r="E138">
        <f>Simulation_Input!E138- Simulation_output!J138</f>
        <v>0</v>
      </c>
    </row>
    <row r="139" spans="1:5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Simulation_output!I139</f>
        <v>0</v>
      </c>
      <c r="E139">
        <f>Simulation_Input!E139- Simulation_output!J139</f>
        <v>0</v>
      </c>
    </row>
    <row r="140" spans="1:5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Simulation_output!I140</f>
        <v>0</v>
      </c>
      <c r="E140">
        <f>Simulation_Input!E140- Simulation_output!J140</f>
        <v>0</v>
      </c>
    </row>
    <row r="141" spans="1:5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Simulation_output!I141</f>
        <v>0</v>
      </c>
      <c r="E141">
        <f>Simulation_Input!E141- Simulation_output!J141</f>
        <v>0</v>
      </c>
    </row>
    <row r="142" spans="1:5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Simulation_output!I142</f>
        <v>0</v>
      </c>
      <c r="E142">
        <f>Simulation_Input!E142- Simulation_output!J142</f>
        <v>0</v>
      </c>
    </row>
    <row r="143" spans="1:5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Simulation_output!I143</f>
        <v>0</v>
      </c>
      <c r="E143">
        <f>Simulation_Input!E143- Simulation_output!J143</f>
        <v>0</v>
      </c>
    </row>
    <row r="144" spans="1:5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Simulation_output!I144</f>
        <v>0</v>
      </c>
      <c r="E144">
        <f>Simulation_Input!E144- Simulation_output!J144</f>
        <v>0</v>
      </c>
    </row>
    <row r="145" spans="1:5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Simulation_output!I145</f>
        <v>0</v>
      </c>
      <c r="E145">
        <f>Simulation_Input!E145- Simulation_output!J145</f>
        <v>0</v>
      </c>
    </row>
    <row r="146" spans="1:5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Simulation_output!I146</f>
        <v>0</v>
      </c>
      <c r="E146">
        <f>Simulation_Input!E146- Simulation_output!J146</f>
        <v>0</v>
      </c>
    </row>
    <row r="147" spans="1:5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Simulation_output!I147</f>
        <v>0</v>
      </c>
      <c r="E147">
        <f>Simulation_Input!E147- Simulation_output!J147</f>
        <v>0</v>
      </c>
    </row>
    <row r="148" spans="1:5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Simulation_output!I148</f>
        <v>0</v>
      </c>
      <c r="E148">
        <f>Simulation_Input!E148- Simulation_output!J148</f>
        <v>0</v>
      </c>
    </row>
    <row r="149" spans="1:5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Simulation_output!I149</f>
        <v>0</v>
      </c>
      <c r="E149">
        <f>Simulation_Input!E149- Simulation_output!J149</f>
        <v>0</v>
      </c>
    </row>
    <row r="150" spans="1:5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Simulation_output!I150</f>
        <v>0</v>
      </c>
      <c r="E150">
        <f>Simulation_Input!E150- Simulation_output!J150</f>
        <v>0</v>
      </c>
    </row>
    <row r="151" spans="1:5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Simulation_output!I151</f>
        <v>0</v>
      </c>
      <c r="E151">
        <f>Simulation_Input!E151- Simulation_output!J151</f>
        <v>0</v>
      </c>
    </row>
    <row r="152" spans="1:5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Simulation_output!I152</f>
        <v>0</v>
      </c>
      <c r="E152">
        <f>Simulation_Input!E152- Simulation_output!J152</f>
        <v>0</v>
      </c>
    </row>
    <row r="153" spans="1:5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Simulation_output!I153</f>
        <v>0</v>
      </c>
      <c r="E153">
        <f>Simulation_Input!E153- Simulation_output!J153</f>
        <v>0</v>
      </c>
    </row>
    <row r="154" spans="1:5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Simulation_output!I154</f>
        <v>0</v>
      </c>
      <c r="E154">
        <f>Simulation_Input!E154- Simulation_output!J154</f>
        <v>0</v>
      </c>
    </row>
    <row r="155" spans="1:5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Simulation_output!I155</f>
        <v>0</v>
      </c>
      <c r="E155">
        <f>Simulation_Input!E155- Simulation_output!J155</f>
        <v>0</v>
      </c>
    </row>
    <row r="156" spans="1:5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Simulation_output!I156</f>
        <v>0</v>
      </c>
      <c r="E156">
        <f>Simulation_Input!E156- Simulation_output!J156</f>
        <v>0</v>
      </c>
    </row>
    <row r="157" spans="1:5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Simulation_output!I157</f>
        <v>0</v>
      </c>
      <c r="E157">
        <f>Simulation_Input!E157- Simulation_output!J157</f>
        <v>0</v>
      </c>
    </row>
    <row r="158" spans="1:5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Simulation_output!I158</f>
        <v>0</v>
      </c>
      <c r="E158">
        <f>Simulation_Input!E158- Simulation_output!J158</f>
        <v>0</v>
      </c>
    </row>
    <row r="159" spans="1:5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Simulation_output!I159</f>
        <v>0</v>
      </c>
      <c r="E159">
        <f>Simulation_Input!E159- Simulation_output!J159</f>
        <v>0</v>
      </c>
    </row>
    <row r="160" spans="1:5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Simulation_output!I160</f>
        <v>0</v>
      </c>
      <c r="E160">
        <f>Simulation_Input!E160- Simulation_output!J160</f>
        <v>0</v>
      </c>
    </row>
    <row r="161" spans="1:5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Simulation_output!I161</f>
        <v>0</v>
      </c>
      <c r="E161">
        <f>Simulation_Input!E161- Simulation_output!J161</f>
        <v>0</v>
      </c>
    </row>
    <row r="162" spans="1:5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Simulation_output!I162</f>
        <v>0</v>
      </c>
      <c r="E162">
        <f>Simulation_Input!E162- Simulation_output!J162</f>
        <v>0</v>
      </c>
    </row>
    <row r="163" spans="1:5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Simulation_output!I163</f>
        <v>0</v>
      </c>
      <c r="E163">
        <f>Simulation_Input!E163- Simulation_output!J163</f>
        <v>0</v>
      </c>
    </row>
    <row r="164" spans="1:5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Simulation_output!I164</f>
        <v>0</v>
      </c>
      <c r="E164">
        <f>Simulation_Input!E164- Simulation_output!J164</f>
        <v>0</v>
      </c>
    </row>
    <row r="165" spans="1:5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Simulation_output!I165</f>
        <v>0</v>
      </c>
      <c r="E165">
        <f>Simulation_Input!E165- Simulation_output!J165</f>
        <v>0</v>
      </c>
    </row>
    <row r="166" spans="1:5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Simulation_output!I166</f>
        <v>0</v>
      </c>
      <c r="E166">
        <f>Simulation_Input!E166- Simulation_output!J166</f>
        <v>0</v>
      </c>
    </row>
    <row r="167" spans="1:5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Simulation_output!I167</f>
        <v>0</v>
      </c>
      <c r="E167">
        <f>Simulation_Input!E167- Simulation_output!J167</f>
        <v>0</v>
      </c>
    </row>
    <row r="168" spans="1:5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Simulation_output!I168</f>
        <v>0</v>
      </c>
      <c r="E168">
        <f>Simulation_Input!E168- Simulation_output!J168</f>
        <v>0</v>
      </c>
    </row>
    <row r="169" spans="1:5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Simulation_output!I169</f>
        <v>0</v>
      </c>
      <c r="E169">
        <f>Simulation_Input!E169- Simulation_output!J169</f>
        <v>0</v>
      </c>
    </row>
    <row r="170" spans="1:5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Simulation_output!I170</f>
        <v>0</v>
      </c>
      <c r="E170">
        <f>Simulation_Input!E170- Simulation_output!J170</f>
        <v>0</v>
      </c>
    </row>
    <row r="171" spans="1:5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Simulation_output!I171</f>
        <v>0</v>
      </c>
      <c r="E171">
        <f>Simulation_Input!E171- Simulation_output!J171</f>
        <v>0</v>
      </c>
    </row>
    <row r="172" spans="1:5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Simulation_output!I172</f>
        <v>0</v>
      </c>
      <c r="E172">
        <f>Simulation_Input!E172- Simulation_output!J172</f>
        <v>0</v>
      </c>
    </row>
    <row r="173" spans="1:5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Simulation_output!I173</f>
        <v>0</v>
      </c>
      <c r="E173">
        <f>Simulation_Input!E173- Simulation_output!J173</f>
        <v>0</v>
      </c>
    </row>
    <row r="174" spans="1:5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Simulation_output!I174</f>
        <v>0</v>
      </c>
      <c r="E174">
        <f>Simulation_Input!E174- Simulation_output!J174</f>
        <v>0</v>
      </c>
    </row>
    <row r="175" spans="1:5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Simulation_output!I175</f>
        <v>0</v>
      </c>
      <c r="E175">
        <f>Simulation_Input!E175- Simulation_output!J175</f>
        <v>0</v>
      </c>
    </row>
    <row r="176" spans="1:5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Simulation_output!I176</f>
        <v>0</v>
      </c>
      <c r="E176">
        <f>Simulation_Input!E176- Simulation_output!J176</f>
        <v>0</v>
      </c>
    </row>
    <row r="177" spans="1:5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Simulation_output!I177</f>
        <v>0</v>
      </c>
      <c r="E177">
        <f>Simulation_Input!E177- Simulation_output!J177</f>
        <v>0</v>
      </c>
    </row>
    <row r="178" spans="1:5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Simulation_output!I178</f>
        <v>0</v>
      </c>
      <c r="E178">
        <f>Simulation_Input!E178- Simulation_output!J178</f>
        <v>0</v>
      </c>
    </row>
    <row r="179" spans="1:5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Simulation_output!I179</f>
        <v>0</v>
      </c>
      <c r="E179">
        <f>Simulation_Input!E179- Simulation_output!J179</f>
        <v>0</v>
      </c>
    </row>
    <row r="180" spans="1:5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Simulation_output!I180</f>
        <v>0</v>
      </c>
      <c r="E180">
        <f>Simulation_Input!E180- Simulation_output!J180</f>
        <v>0</v>
      </c>
    </row>
    <row r="181" spans="1:5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Simulation_output!I181</f>
        <v>0</v>
      </c>
      <c r="E181">
        <f>Simulation_Input!E181- Simulation_output!J181</f>
        <v>0</v>
      </c>
    </row>
    <row r="182" spans="1:5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Simulation_output!I182</f>
        <v>0</v>
      </c>
      <c r="E182">
        <f>Simulation_Input!E182- Simulation_output!J182</f>
        <v>0</v>
      </c>
    </row>
    <row r="183" spans="1:5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Simulation_output!I183</f>
        <v>0</v>
      </c>
      <c r="E183">
        <f>Simulation_Input!E183- Simulation_output!J183</f>
        <v>0</v>
      </c>
    </row>
    <row r="184" spans="1:5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Simulation_output!I184</f>
        <v>0</v>
      </c>
      <c r="E184">
        <f>Simulation_Input!E184- Simulation_output!J184</f>
        <v>0</v>
      </c>
    </row>
    <row r="185" spans="1:5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Simulation_output!I185</f>
        <v>0</v>
      </c>
      <c r="E185">
        <f>Simulation_Input!E185- Simulation_output!J185</f>
        <v>0</v>
      </c>
    </row>
    <row r="186" spans="1:5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Simulation_output!I186</f>
        <v>0</v>
      </c>
      <c r="E186">
        <f>Simulation_Input!E186- Simulation_output!J186</f>
        <v>0</v>
      </c>
    </row>
    <row r="187" spans="1:5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Simulation_output!I187</f>
        <v>0</v>
      </c>
      <c r="E187">
        <f>Simulation_Input!E187- Simulation_output!J187</f>
        <v>0</v>
      </c>
    </row>
    <row r="188" spans="1:5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Simulation_output!I188</f>
        <v>0</v>
      </c>
      <c r="E188">
        <f>Simulation_Input!E188- Simulation_output!J188</f>
        <v>0</v>
      </c>
    </row>
    <row r="189" spans="1:5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Simulation_output!I189</f>
        <v>0</v>
      </c>
      <c r="E189">
        <f>Simulation_Input!E189- Simulation_output!J189</f>
        <v>0</v>
      </c>
    </row>
    <row r="190" spans="1:5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Simulation_output!I190</f>
        <v>0</v>
      </c>
      <c r="E190">
        <f>Simulation_Input!E190- Simulation_output!J190</f>
        <v>0</v>
      </c>
    </row>
    <row r="191" spans="1:5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Simulation_output!I191</f>
        <v>0</v>
      </c>
      <c r="E191">
        <f>Simulation_Input!E191- Simulation_output!J191</f>
        <v>0</v>
      </c>
    </row>
    <row r="192" spans="1:5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Simulation_output!I192</f>
        <v>0</v>
      </c>
      <c r="E192">
        <f>Simulation_Input!E192- Simulation_output!J192</f>
        <v>0</v>
      </c>
    </row>
    <row r="193" spans="1:5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Simulation_output!I193</f>
        <v>0</v>
      </c>
      <c r="E193">
        <f>Simulation_Input!E193- Simulation_output!J193</f>
        <v>0</v>
      </c>
    </row>
    <row r="194" spans="1:5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Simulation_output!I194</f>
        <v>0</v>
      </c>
      <c r="E194">
        <f>Simulation_Input!E194- Simulation_output!J194</f>
        <v>0</v>
      </c>
    </row>
    <row r="195" spans="1:5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Simulation_output!I195</f>
        <v>0</v>
      </c>
      <c r="E195">
        <f>Simulation_Input!E195- Simulation_output!J195</f>
        <v>0</v>
      </c>
    </row>
    <row r="196" spans="1:5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Simulation_output!I196</f>
        <v>0</v>
      </c>
      <c r="E196">
        <f>Simulation_Input!E196- Simulation_output!J196</f>
        <v>0</v>
      </c>
    </row>
    <row r="197" spans="1:5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Simulation_output!I197</f>
        <v>0</v>
      </c>
      <c r="E197">
        <f>Simulation_Input!E197- Simulation_output!J197</f>
        <v>0</v>
      </c>
    </row>
    <row r="198" spans="1:5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Simulation_output!I198</f>
        <v>0</v>
      </c>
      <c r="E198">
        <f>Simulation_Input!E198- Simulation_output!J198</f>
        <v>0</v>
      </c>
    </row>
    <row r="199" spans="1:5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Simulation_output!I199</f>
        <v>0</v>
      </c>
      <c r="E199">
        <f>Simulation_Input!E199- Simulation_output!J199</f>
        <v>0</v>
      </c>
    </row>
    <row r="200" spans="1:5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Simulation_output!I200</f>
        <v>0</v>
      </c>
      <c r="E200">
        <f>Simulation_Input!E200- Simulation_output!J200</f>
        <v>0</v>
      </c>
    </row>
    <row r="201" spans="1:5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Simulation_output!I201</f>
        <v>0</v>
      </c>
      <c r="E201">
        <f>Simulation_Input!E201- Simulation_output!J201</f>
        <v>0</v>
      </c>
    </row>
    <row r="202" spans="1:5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Simulation_output!I202</f>
        <v>0</v>
      </c>
      <c r="E202">
        <f>Simulation_Input!E202- Simulation_output!J202</f>
        <v>0</v>
      </c>
    </row>
    <row r="203" spans="1:5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Simulation_output!I203</f>
        <v>0</v>
      </c>
      <c r="E203">
        <f>Simulation_Input!E203- Simulation_output!J203</f>
        <v>0</v>
      </c>
    </row>
    <row r="204" spans="1:5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Simulation_output!I204</f>
        <v>0</v>
      </c>
      <c r="E204">
        <f>Simulation_Input!E204- Simulation_output!J204</f>
        <v>0</v>
      </c>
    </row>
    <row r="205" spans="1:5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Simulation_output!I205</f>
        <v>0</v>
      </c>
      <c r="E205">
        <f>Simulation_Input!E205- Simulation_output!J205</f>
        <v>0</v>
      </c>
    </row>
    <row r="206" spans="1:5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Simulation_output!I206</f>
        <v>0</v>
      </c>
      <c r="E206">
        <f>Simulation_Input!E206- Simulation_output!J206</f>
        <v>0</v>
      </c>
    </row>
    <row r="207" spans="1:5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Simulation_output!I207</f>
        <v>0</v>
      </c>
      <c r="E207">
        <f>Simulation_Input!E207- Simulation_output!J207</f>
        <v>0</v>
      </c>
    </row>
    <row r="208" spans="1:5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Simulation_output!I208</f>
        <v>0</v>
      </c>
      <c r="E208">
        <f>Simulation_Input!E208- Simulation_output!J208</f>
        <v>0</v>
      </c>
    </row>
    <row r="209" spans="1:5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Simulation_output!I209</f>
        <v>0</v>
      </c>
      <c r="E209">
        <f>Simulation_Input!E209- Simulation_output!J209</f>
        <v>0</v>
      </c>
    </row>
    <row r="210" spans="1:5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Simulation_output!I210</f>
        <v>0</v>
      </c>
      <c r="E210">
        <f>Simulation_Input!E210- Simulation_output!J210</f>
        <v>0</v>
      </c>
    </row>
    <row r="211" spans="1:5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Simulation_output!I211</f>
        <v>0</v>
      </c>
      <c r="E211">
        <f>Simulation_Input!E211- Simulation_output!J211</f>
        <v>0</v>
      </c>
    </row>
    <row r="212" spans="1:5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Simulation_output!I212</f>
        <v>0</v>
      </c>
      <c r="E212">
        <f>Simulation_Input!E212- Simulation_output!J212</f>
        <v>0</v>
      </c>
    </row>
    <row r="213" spans="1:5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Simulation_output!I213</f>
        <v>0</v>
      </c>
      <c r="E213">
        <f>Simulation_Input!E213- Simulation_output!J213</f>
        <v>0</v>
      </c>
    </row>
    <row r="214" spans="1:5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Simulation_output!I214</f>
        <v>0</v>
      </c>
      <c r="E214">
        <f>Simulation_Input!E214- Simulation_output!J214</f>
        <v>0</v>
      </c>
    </row>
    <row r="215" spans="1:5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Simulation_output!I215</f>
        <v>0</v>
      </c>
      <c r="E215">
        <f>Simulation_Input!E215- Simulation_output!J215</f>
        <v>0</v>
      </c>
    </row>
    <row r="216" spans="1:5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Simulation_output!I216</f>
        <v>0</v>
      </c>
      <c r="E216">
        <f>Simulation_Input!E216- Simulation_output!J216</f>
        <v>0</v>
      </c>
    </row>
    <row r="217" spans="1:5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Simulation_output!I217</f>
        <v>0</v>
      </c>
      <c r="E217">
        <f>Simulation_Input!E217- Simulation_output!J217</f>
        <v>0</v>
      </c>
    </row>
    <row r="218" spans="1:5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Simulation_output!I218</f>
        <v>0</v>
      </c>
      <c r="E218">
        <f>Simulation_Input!E218- Simulation_output!J218</f>
        <v>0</v>
      </c>
    </row>
    <row r="219" spans="1:5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Simulation_output!I219</f>
        <v>0</v>
      </c>
      <c r="E219">
        <f>Simulation_Input!E219- Simulation_output!J219</f>
        <v>0</v>
      </c>
    </row>
    <row r="220" spans="1:5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Simulation_output!I220</f>
        <v>0</v>
      </c>
      <c r="E220">
        <f>Simulation_Input!E220- Simulation_output!J220</f>
        <v>0</v>
      </c>
    </row>
    <row r="221" spans="1:5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Simulation_output!I221</f>
        <v>0</v>
      </c>
      <c r="E221">
        <f>Simulation_Input!E221- Simulation_output!J221</f>
        <v>0</v>
      </c>
    </row>
    <row r="222" spans="1:5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Simulation_output!I222</f>
        <v>0</v>
      </c>
      <c r="E222">
        <f>Simulation_Input!E222- Simulation_output!J222</f>
        <v>0</v>
      </c>
    </row>
    <row r="223" spans="1:5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Simulation_output!I223</f>
        <v>0</v>
      </c>
      <c r="E223">
        <f>Simulation_Input!E223- Simulation_output!J223</f>
        <v>0</v>
      </c>
    </row>
    <row r="224" spans="1:5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Simulation_output!I224</f>
        <v>0</v>
      </c>
      <c r="E224">
        <f>Simulation_Input!E224- Simulation_output!J224</f>
        <v>0</v>
      </c>
    </row>
    <row r="225" spans="1:5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Simulation_output!I225</f>
        <v>0</v>
      </c>
      <c r="E225">
        <f>Simulation_Input!E225- Simulation_output!J225</f>
        <v>0</v>
      </c>
    </row>
    <row r="226" spans="1:5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Simulation_output!I226</f>
        <v>0</v>
      </c>
      <c r="E226">
        <f>Simulation_Input!E226- Simulation_output!J226</f>
        <v>0</v>
      </c>
    </row>
    <row r="227" spans="1:5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Simulation_output!I227</f>
        <v>0</v>
      </c>
      <c r="E227">
        <f>Simulation_Input!E227- Simulation_output!J227</f>
        <v>0</v>
      </c>
    </row>
    <row r="228" spans="1:5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Simulation_output!I228</f>
        <v>0</v>
      </c>
      <c r="E228">
        <f>Simulation_Input!E228- Simulation_output!J228</f>
        <v>0</v>
      </c>
    </row>
    <row r="229" spans="1:5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Simulation_output!I229</f>
        <v>0</v>
      </c>
      <c r="E229">
        <f>Simulation_Input!E229- Simulation_output!J229</f>
        <v>0</v>
      </c>
    </row>
    <row r="230" spans="1:5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Simulation_output!I230</f>
        <v>0</v>
      </c>
      <c r="E230">
        <f>Simulation_Input!E230- Simulation_output!J230</f>
        <v>0</v>
      </c>
    </row>
    <row r="231" spans="1:5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Simulation_output!I231</f>
        <v>0</v>
      </c>
      <c r="E231">
        <f>Simulation_Input!E231- Simulation_output!J231</f>
        <v>0</v>
      </c>
    </row>
    <row r="232" spans="1:5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Simulation_output!I232</f>
        <v>0</v>
      </c>
      <c r="E232">
        <f>Simulation_Input!E232- Simulation_output!J232</f>
        <v>0</v>
      </c>
    </row>
    <row r="233" spans="1:5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Simulation_output!I233</f>
        <v>0</v>
      </c>
      <c r="E233">
        <f>Simulation_Input!E233- Simulation_output!J233</f>
        <v>0</v>
      </c>
    </row>
    <row r="234" spans="1:5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Simulation_output!I234</f>
        <v>0</v>
      </c>
      <c r="E234">
        <f>Simulation_Input!E234- Simulation_output!J234</f>
        <v>0</v>
      </c>
    </row>
    <row r="235" spans="1:5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Simulation_output!I235</f>
        <v>0</v>
      </c>
      <c r="E235">
        <f>Simulation_Input!E235- Simulation_output!J235</f>
        <v>0</v>
      </c>
    </row>
    <row r="236" spans="1:5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Simulation_output!I236</f>
        <v>0</v>
      </c>
      <c r="E236">
        <f>Simulation_Input!E236- Simulation_output!J236</f>
        <v>0</v>
      </c>
    </row>
    <row r="237" spans="1:5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Simulation_output!I237</f>
        <v>0</v>
      </c>
      <c r="E237">
        <f>Simulation_Input!E237- Simulation_output!J237</f>
        <v>0</v>
      </c>
    </row>
    <row r="238" spans="1:5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Simulation_output!I238</f>
        <v>0</v>
      </c>
      <c r="E238">
        <f>Simulation_Input!E238- Simulation_output!J238</f>
        <v>0</v>
      </c>
    </row>
    <row r="239" spans="1:5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Simulation_output!I239</f>
        <v>0</v>
      </c>
      <c r="E239">
        <f>Simulation_Input!E239- Simulation_output!J239</f>
        <v>0</v>
      </c>
    </row>
    <row r="240" spans="1:5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Simulation_output!I240</f>
        <v>0</v>
      </c>
      <c r="E240">
        <f>Simulation_Input!E240- Simulation_output!J240</f>
        <v>0</v>
      </c>
    </row>
    <row r="241" spans="1:5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Simulation_output!I241</f>
        <v>0</v>
      </c>
      <c r="E241">
        <f>Simulation_Input!E241- Simulation_output!J241</f>
        <v>0</v>
      </c>
    </row>
    <row r="242" spans="1:5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Simulation_output!I242</f>
        <v>0</v>
      </c>
      <c r="E242">
        <f>Simulation_Input!E242- Simulation_output!J242</f>
        <v>0</v>
      </c>
    </row>
    <row r="243" spans="1:5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Simulation_output!I243</f>
        <v>0</v>
      </c>
      <c r="E243">
        <f>Simulation_Input!E243- Simulation_output!J243</f>
        <v>0</v>
      </c>
    </row>
    <row r="244" spans="1:5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Simulation_output!I244</f>
        <v>0</v>
      </c>
      <c r="E244">
        <f>Simulation_Input!E244- Simulation_output!J244</f>
        <v>0</v>
      </c>
    </row>
    <row r="245" spans="1:5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Simulation_output!I245</f>
        <v>0</v>
      </c>
      <c r="E245">
        <f>Simulation_Input!E245- Simulation_output!J245</f>
        <v>0</v>
      </c>
    </row>
    <row r="246" spans="1:5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Simulation_output!I246</f>
        <v>0</v>
      </c>
      <c r="E246">
        <f>Simulation_Input!E246- Simulation_output!J246</f>
        <v>0</v>
      </c>
    </row>
    <row r="247" spans="1:5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Simulation_output!I247</f>
        <v>0</v>
      </c>
      <c r="E247">
        <f>Simulation_Input!E247- Simulation_output!J247</f>
        <v>0</v>
      </c>
    </row>
    <row r="248" spans="1:5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Simulation_output!I248</f>
        <v>0</v>
      </c>
      <c r="E248">
        <f>Simulation_Input!E248- Simulation_output!J248</f>
        <v>0</v>
      </c>
    </row>
    <row r="249" spans="1:5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Simulation_output!I249</f>
        <v>0</v>
      </c>
      <c r="E249">
        <f>Simulation_Input!E249- Simulation_output!J249</f>
        <v>0</v>
      </c>
    </row>
    <row r="250" spans="1:5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Simulation_output!I250</f>
        <v>0</v>
      </c>
      <c r="E250">
        <f>Simulation_Input!E250- Simulation_output!J250</f>
        <v>0</v>
      </c>
    </row>
    <row r="251" spans="1:5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Simulation_output!I251</f>
        <v>0</v>
      </c>
      <c r="E251">
        <f>Simulation_Input!E251- Simulation_output!J251</f>
        <v>0</v>
      </c>
    </row>
    <row r="252" spans="1:5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Simulation_output!I252</f>
        <v>0</v>
      </c>
      <c r="E252">
        <f>Simulation_Input!E252- Simulation_output!J252</f>
        <v>0</v>
      </c>
    </row>
    <row r="253" spans="1:5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Simulation_output!I253</f>
        <v>0</v>
      </c>
      <c r="E253">
        <f>Simulation_Input!E253- Simulation_output!J253</f>
        <v>0</v>
      </c>
    </row>
    <row r="254" spans="1:5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Simulation_output!I254</f>
        <v>0</v>
      </c>
      <c r="E254">
        <f>Simulation_Input!E254- Simulation_output!J254</f>
        <v>0</v>
      </c>
    </row>
    <row r="255" spans="1:5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Simulation_output!I255</f>
        <v>0</v>
      </c>
      <c r="E255">
        <f>Simulation_Input!E255- Simulation_output!J255</f>
        <v>0</v>
      </c>
    </row>
    <row r="256" spans="1:5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Simulation_output!I256</f>
        <v>0</v>
      </c>
      <c r="E256">
        <f>Simulation_Input!E256- Simulation_output!J256</f>
        <v>0</v>
      </c>
    </row>
    <row r="257" spans="1:5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Simulation_output!I257</f>
        <v>0</v>
      </c>
      <c r="E257">
        <f>Simulation_Input!E257- Simulation_output!J257</f>
        <v>0</v>
      </c>
    </row>
    <row r="258" spans="1:5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Simulation_output!I258</f>
        <v>0</v>
      </c>
      <c r="E258">
        <f>Simulation_Input!E258- Simulation_output!J258</f>
        <v>0</v>
      </c>
    </row>
    <row r="259" spans="1:5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Simulation_output!I259</f>
        <v>0</v>
      </c>
      <c r="E259">
        <f>Simulation_Input!E259- Simulation_output!J259</f>
        <v>0</v>
      </c>
    </row>
    <row r="260" spans="1:5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Simulation_output!I260</f>
        <v>0</v>
      </c>
      <c r="E260">
        <f>Simulation_Input!E260- Simulation_output!J260</f>
        <v>0</v>
      </c>
    </row>
    <row r="261" spans="1:5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Simulation_output!I261</f>
        <v>0</v>
      </c>
      <c r="E261">
        <f>Simulation_Input!E261- Simulation_output!J261</f>
        <v>0</v>
      </c>
    </row>
    <row r="262" spans="1:5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Simulation_output!I262</f>
        <v>0</v>
      </c>
      <c r="E262">
        <f>Simulation_Input!E262- Simulation_output!J262</f>
        <v>0</v>
      </c>
    </row>
    <row r="263" spans="1:5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Simulation_output!I263</f>
        <v>0</v>
      </c>
      <c r="E263">
        <f>Simulation_Input!E263- Simulation_output!J263</f>
        <v>0</v>
      </c>
    </row>
    <row r="264" spans="1:5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Simulation_output!I264</f>
        <v>0</v>
      </c>
      <c r="E264">
        <f>Simulation_Input!E264- Simulation_output!J264</f>
        <v>0</v>
      </c>
    </row>
    <row r="265" spans="1:5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Simulation_output!I265</f>
        <v>0</v>
      </c>
      <c r="E265">
        <f>Simulation_Input!E265- Simulation_output!J265</f>
        <v>0</v>
      </c>
    </row>
    <row r="266" spans="1:5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Simulation_output!I266</f>
        <v>0</v>
      </c>
      <c r="E266">
        <f>Simulation_Input!E266- Simulation_output!J266</f>
        <v>0</v>
      </c>
    </row>
    <row r="267" spans="1:5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Simulation_output!I267</f>
        <v>0</v>
      </c>
      <c r="E267">
        <f>Simulation_Input!E267- Simulation_output!J267</f>
        <v>0</v>
      </c>
    </row>
    <row r="268" spans="1:5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Simulation_output!I268</f>
        <v>0</v>
      </c>
      <c r="E268">
        <f>Simulation_Input!E268- Simulation_output!J268</f>
        <v>0</v>
      </c>
    </row>
    <row r="269" spans="1:5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Simulation_output!I269</f>
        <v>0</v>
      </c>
      <c r="E269">
        <f>Simulation_Input!E269- Simulation_output!J269</f>
        <v>0</v>
      </c>
    </row>
    <row r="270" spans="1:5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Simulation_output!I270</f>
        <v>0</v>
      </c>
      <c r="E270">
        <f>Simulation_Input!E270- Simulation_output!J270</f>
        <v>0</v>
      </c>
    </row>
    <row r="271" spans="1:5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Simulation_output!I271</f>
        <v>0</v>
      </c>
      <c r="E271">
        <f>Simulation_Input!E271- Simulation_output!J271</f>
        <v>0</v>
      </c>
    </row>
    <row r="272" spans="1:5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Simulation_output!I272</f>
        <v>0</v>
      </c>
      <c r="E272">
        <f>Simulation_Input!E272- Simulation_output!J272</f>
        <v>0</v>
      </c>
    </row>
    <row r="273" spans="1:5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Simulation_output!I273</f>
        <v>0</v>
      </c>
      <c r="E273">
        <f>Simulation_Input!E273- Simulation_output!J273</f>
        <v>0</v>
      </c>
    </row>
    <row r="274" spans="1:5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Simulation_output!I274</f>
        <v>0</v>
      </c>
      <c r="E274">
        <f>Simulation_Input!E274- Simulation_output!J274</f>
        <v>0</v>
      </c>
    </row>
    <row r="275" spans="1:5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Simulation_output!I275</f>
        <v>0</v>
      </c>
      <c r="E275">
        <f>Simulation_Input!E275- Simulation_output!J275</f>
        <v>0</v>
      </c>
    </row>
    <row r="276" spans="1:5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Simulation_output!I276</f>
        <v>0</v>
      </c>
      <c r="E276">
        <f>Simulation_Input!E276- Simulation_output!J276</f>
        <v>0</v>
      </c>
    </row>
    <row r="277" spans="1:5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Simulation_output!I277</f>
        <v>0</v>
      </c>
      <c r="E277">
        <f>Simulation_Input!E277- Simulation_output!J277</f>
        <v>0</v>
      </c>
    </row>
    <row r="278" spans="1:5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Simulation_output!I278</f>
        <v>0</v>
      </c>
      <c r="E278">
        <f>Simulation_Input!E278- Simulation_output!J278</f>
        <v>0</v>
      </c>
    </row>
    <row r="279" spans="1:5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Simulation_output!I279</f>
        <v>0</v>
      </c>
      <c r="E279">
        <f>Simulation_Input!E279- Simulation_output!J279</f>
        <v>0</v>
      </c>
    </row>
    <row r="280" spans="1:5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Simulation_output!I280</f>
        <v>0</v>
      </c>
      <c r="E280">
        <f>Simulation_Input!E280- Simulation_output!J280</f>
        <v>0</v>
      </c>
    </row>
    <row r="281" spans="1:5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Simulation_output!I281</f>
        <v>0</v>
      </c>
      <c r="E281">
        <f>Simulation_Input!E281- Simulation_output!J281</f>
        <v>0</v>
      </c>
    </row>
    <row r="282" spans="1:5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Simulation_output!I282</f>
        <v>0</v>
      </c>
      <c r="E282">
        <f>Simulation_Input!E282- Simulation_output!J282</f>
        <v>0</v>
      </c>
    </row>
    <row r="283" spans="1:5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Simulation_output!I283</f>
        <v>0</v>
      </c>
      <c r="E283">
        <f>Simulation_Input!E283- Simulation_output!J283</f>
        <v>0</v>
      </c>
    </row>
    <row r="284" spans="1:5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Simulation_output!I284</f>
        <v>0</v>
      </c>
      <c r="E284">
        <f>Simulation_Input!E284- Simulation_output!J284</f>
        <v>0</v>
      </c>
    </row>
    <row r="285" spans="1:5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Simulation_output!I285</f>
        <v>0</v>
      </c>
      <c r="E285">
        <f>Simulation_Input!E285- Simulation_output!J285</f>
        <v>0</v>
      </c>
    </row>
    <row r="286" spans="1:5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Simulation_output!I286</f>
        <v>0</v>
      </c>
      <c r="E286">
        <f>Simulation_Input!E286- Simulation_output!J286</f>
        <v>0</v>
      </c>
    </row>
    <row r="287" spans="1:5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Simulation_output!I287</f>
        <v>0</v>
      </c>
      <c r="E287">
        <f>Simulation_Input!E287- Simulation_output!J287</f>
        <v>0</v>
      </c>
    </row>
    <row r="288" spans="1:5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Simulation_output!I288</f>
        <v>0</v>
      </c>
      <c r="E288">
        <f>Simulation_Input!E288- Simulation_output!J288</f>
        <v>0</v>
      </c>
    </row>
    <row r="289" spans="1:5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Simulation_output!I289</f>
        <v>0</v>
      </c>
      <c r="E289">
        <f>Simulation_Input!E289- Simulation_output!J289</f>
        <v>0</v>
      </c>
    </row>
    <row r="290" spans="1:5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Simulation_output!I290</f>
        <v>0</v>
      </c>
      <c r="E290">
        <f>Simulation_Input!E290- Simulation_output!J290</f>
        <v>0</v>
      </c>
    </row>
    <row r="291" spans="1:5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Simulation_output!I291</f>
        <v>0</v>
      </c>
      <c r="E291">
        <f>Simulation_Input!E291- Simulation_output!J291</f>
        <v>0</v>
      </c>
    </row>
    <row r="292" spans="1:5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Simulation_output!I292</f>
        <v>0</v>
      </c>
      <c r="E292">
        <f>Simulation_Input!E292- Simulation_output!J292</f>
        <v>0</v>
      </c>
    </row>
    <row r="293" spans="1:5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Simulation_output!I293</f>
        <v>0</v>
      </c>
      <c r="E293">
        <f>Simulation_Input!E293- Simulation_output!J293</f>
        <v>0</v>
      </c>
    </row>
    <row r="294" spans="1:5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Simulation_output!I294</f>
        <v>0</v>
      </c>
      <c r="E294">
        <f>Simulation_Input!E294- Simulation_output!J294</f>
        <v>0</v>
      </c>
    </row>
    <row r="295" spans="1:5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Simulation_output!I295</f>
        <v>0</v>
      </c>
      <c r="E295">
        <f>Simulation_Input!E295- Simulation_output!J295</f>
        <v>0</v>
      </c>
    </row>
    <row r="296" spans="1:5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Simulation_output!I296</f>
        <v>0</v>
      </c>
      <c r="E296">
        <f>Simulation_Input!E296- Simulation_output!J296</f>
        <v>0</v>
      </c>
    </row>
    <row r="297" spans="1:5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Simulation_output!I297</f>
        <v>0</v>
      </c>
      <c r="E297">
        <f>Simulation_Input!E297- Simulation_output!J297</f>
        <v>0</v>
      </c>
    </row>
    <row r="298" spans="1:5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Simulation_output!I298</f>
        <v>0</v>
      </c>
      <c r="E298">
        <f>Simulation_Input!E298- Simulation_output!J298</f>
        <v>0</v>
      </c>
    </row>
    <row r="299" spans="1:5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Simulation_output!I299</f>
        <v>0</v>
      </c>
      <c r="E299">
        <f>Simulation_Input!E299- Simulation_output!J299</f>
        <v>0</v>
      </c>
    </row>
    <row r="300" spans="1:5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Simulation_output!I300</f>
        <v>0</v>
      </c>
      <c r="E300">
        <f>Simulation_Input!E300- Simulation_output!J300</f>
        <v>0</v>
      </c>
    </row>
    <row r="301" spans="1:5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Simulation_output!I301</f>
        <v>0</v>
      </c>
      <c r="E301">
        <f>Simulation_Input!E301- Simulation_output!J301</f>
        <v>0</v>
      </c>
    </row>
    <row r="302" spans="1:5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Simulation_output!I302</f>
        <v>0</v>
      </c>
      <c r="E302">
        <f>Simulation_Input!E302- Simulation_output!J302</f>
        <v>0</v>
      </c>
    </row>
    <row r="303" spans="1:5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Simulation_output!I303</f>
        <v>0</v>
      </c>
      <c r="E303">
        <f>Simulation_Input!E303- Simulation_output!J303</f>
        <v>0</v>
      </c>
    </row>
    <row r="304" spans="1:5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Simulation_output!I304</f>
        <v>0</v>
      </c>
      <c r="E304">
        <f>Simulation_Input!E304- Simulation_output!J304</f>
        <v>0</v>
      </c>
    </row>
    <row r="305" spans="1:5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Simulation_output!I305</f>
        <v>0</v>
      </c>
      <c r="E305">
        <f>Simulation_Input!E305- Simulation_output!J305</f>
        <v>0</v>
      </c>
    </row>
    <row r="306" spans="1:5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Simulation_output!I306</f>
        <v>0</v>
      </c>
      <c r="E306">
        <f>Simulation_Input!E306- Simulation_output!J306</f>
        <v>0</v>
      </c>
    </row>
    <row r="307" spans="1:5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Simulation_output!I307</f>
        <v>0</v>
      </c>
      <c r="E307">
        <f>Simulation_Input!E307- Simulation_output!J307</f>
        <v>0</v>
      </c>
    </row>
    <row r="308" spans="1:5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Simulation_output!I308</f>
        <v>0</v>
      </c>
      <c r="E308">
        <f>Simulation_Input!E308- Simulation_output!J308</f>
        <v>0</v>
      </c>
    </row>
    <row r="309" spans="1:5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Simulation_output!I309</f>
        <v>0</v>
      </c>
      <c r="E309">
        <f>Simulation_Input!E309- Simulation_output!J309</f>
        <v>0</v>
      </c>
    </row>
    <row r="310" spans="1:5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Simulation_output!I310</f>
        <v>0</v>
      </c>
      <c r="E310">
        <f>Simulation_Input!E310- Simulation_output!J310</f>
        <v>0</v>
      </c>
    </row>
    <row r="311" spans="1:5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Simulation_output!I311</f>
        <v>0</v>
      </c>
      <c r="E311">
        <f>Simulation_Input!E311- Simulation_output!J311</f>
        <v>0</v>
      </c>
    </row>
    <row r="312" spans="1:5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Simulation_output!I312</f>
        <v>0</v>
      </c>
      <c r="E312">
        <f>Simulation_Input!E312- Simulation_output!J312</f>
        <v>0</v>
      </c>
    </row>
    <row r="313" spans="1:5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Simulation_output!I313</f>
        <v>0</v>
      </c>
      <c r="E313">
        <f>Simulation_Input!E313- Simulation_output!J313</f>
        <v>0</v>
      </c>
    </row>
    <row r="314" spans="1:5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Simulation_output!I314</f>
        <v>0</v>
      </c>
      <c r="E314">
        <f>Simulation_Input!E314- Simulation_output!J314</f>
        <v>0</v>
      </c>
    </row>
    <row r="315" spans="1:5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Simulation_output!I315</f>
        <v>0</v>
      </c>
      <c r="E315">
        <f>Simulation_Input!E315- Simulation_output!J315</f>
        <v>0</v>
      </c>
    </row>
    <row r="316" spans="1:5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Simulation_output!I316</f>
        <v>0</v>
      </c>
      <c r="E316">
        <f>Simulation_Input!E316- Simulation_output!J316</f>
        <v>0</v>
      </c>
    </row>
    <row r="317" spans="1:5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Simulation_output!I317</f>
        <v>0</v>
      </c>
      <c r="E317">
        <f>Simulation_Input!E317- Simulation_output!J317</f>
        <v>0</v>
      </c>
    </row>
    <row r="318" spans="1:5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Simulation_output!I318</f>
        <v>0</v>
      </c>
      <c r="E318">
        <f>Simulation_Input!E318- Simulation_output!J318</f>
        <v>0</v>
      </c>
    </row>
    <row r="319" spans="1:5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Simulation_output!I319</f>
        <v>0</v>
      </c>
      <c r="E319">
        <f>Simulation_Input!E319- Simulation_output!J319</f>
        <v>0</v>
      </c>
    </row>
    <row r="320" spans="1:5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Simulation_output!I320</f>
        <v>0</v>
      </c>
      <c r="E320">
        <f>Simulation_Input!E320- Simulation_output!J320</f>
        <v>0</v>
      </c>
    </row>
    <row r="321" spans="1:5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Simulation_output!I321</f>
        <v>0</v>
      </c>
      <c r="E321">
        <f>Simulation_Input!E321- Simulation_output!J321</f>
        <v>0</v>
      </c>
    </row>
    <row r="322" spans="1:5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Simulation_output!I322</f>
        <v>0</v>
      </c>
      <c r="E322">
        <f>Simulation_Input!E322- Simulation_output!J322</f>
        <v>0</v>
      </c>
    </row>
    <row r="323" spans="1:5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Simulation_output!I323</f>
        <v>0</v>
      </c>
      <c r="E323">
        <f>Simulation_Input!E323- Simulation_output!J323</f>
        <v>0</v>
      </c>
    </row>
    <row r="324" spans="1:5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Simulation_output!I324</f>
        <v>0</v>
      </c>
      <c r="E324">
        <f>Simulation_Input!E324- Simulation_output!J324</f>
        <v>0</v>
      </c>
    </row>
    <row r="325" spans="1:5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Simulation_output!I325</f>
        <v>0</v>
      </c>
      <c r="E325">
        <f>Simulation_Input!E325- Simulation_output!J325</f>
        <v>0</v>
      </c>
    </row>
    <row r="326" spans="1:5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Simulation_output!I326</f>
        <v>0</v>
      </c>
      <c r="E326">
        <f>Simulation_Input!E326- Simulation_output!J326</f>
        <v>0</v>
      </c>
    </row>
    <row r="327" spans="1:5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Simulation_output!I327</f>
        <v>0</v>
      </c>
      <c r="E327">
        <f>Simulation_Input!E327- Simulation_output!J327</f>
        <v>0</v>
      </c>
    </row>
    <row r="328" spans="1:5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Simulation_output!I328</f>
        <v>0</v>
      </c>
      <c r="E328">
        <f>Simulation_Input!E328- Simulation_output!J328</f>
        <v>0</v>
      </c>
    </row>
    <row r="329" spans="1:5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Simulation_output!I329</f>
        <v>0</v>
      </c>
      <c r="E329">
        <f>Simulation_Input!E329- Simulation_output!J329</f>
        <v>0</v>
      </c>
    </row>
    <row r="330" spans="1:5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Simulation_output!I330</f>
        <v>0</v>
      </c>
      <c r="E330">
        <f>Simulation_Input!E330- Simulation_output!J330</f>
        <v>0</v>
      </c>
    </row>
    <row r="331" spans="1:5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Simulation_output!I331</f>
        <v>0</v>
      </c>
      <c r="E331">
        <f>Simulation_Input!E331- Simulation_output!J331</f>
        <v>0</v>
      </c>
    </row>
    <row r="332" spans="1:5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Simulation_output!I332</f>
        <v>0</v>
      </c>
      <c r="E332">
        <f>Simulation_Input!E332- Simulation_output!J332</f>
        <v>0</v>
      </c>
    </row>
    <row r="333" spans="1:5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Simulation_output!I333</f>
        <v>0</v>
      </c>
      <c r="E333">
        <f>Simulation_Input!E333- Simulation_output!J333</f>
        <v>0</v>
      </c>
    </row>
    <row r="334" spans="1:5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Simulation_output!I334</f>
        <v>0</v>
      </c>
      <c r="E334">
        <f>Simulation_Input!E334- Simulation_output!J334</f>
        <v>0</v>
      </c>
    </row>
    <row r="335" spans="1:5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Simulation_output!I335</f>
        <v>0</v>
      </c>
      <c r="E335">
        <f>Simulation_Input!E335- Simulation_output!J335</f>
        <v>0</v>
      </c>
    </row>
    <row r="336" spans="1:5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Simulation_output!I336</f>
        <v>0</v>
      </c>
      <c r="E336">
        <f>Simulation_Input!E336- Simulation_output!J336</f>
        <v>0</v>
      </c>
    </row>
    <row r="337" spans="1:5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Simulation_output!I337</f>
        <v>0</v>
      </c>
      <c r="E337">
        <f>Simulation_Input!E337- Simulation_output!J337</f>
        <v>0</v>
      </c>
    </row>
    <row r="338" spans="1:5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Simulation_output!I338</f>
        <v>0</v>
      </c>
      <c r="E338">
        <f>Simulation_Input!E338- Simulation_output!J338</f>
        <v>0</v>
      </c>
    </row>
    <row r="339" spans="1:5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Simulation_output!I339</f>
        <v>0</v>
      </c>
      <c r="E339">
        <f>Simulation_Input!E339- Simulation_output!J339</f>
        <v>0</v>
      </c>
    </row>
    <row r="340" spans="1:5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Simulation_output!I340</f>
        <v>0</v>
      </c>
      <c r="E340">
        <f>Simulation_Input!E340- Simulation_output!J340</f>
        <v>0</v>
      </c>
    </row>
    <row r="341" spans="1:5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Simulation_output!I341</f>
        <v>0</v>
      </c>
      <c r="E341">
        <f>Simulation_Input!E341- Simulation_output!J341</f>
        <v>0</v>
      </c>
    </row>
    <row r="342" spans="1:5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Simulation_output!I342</f>
        <v>0</v>
      </c>
      <c r="E342">
        <f>Simulation_Input!E342- Simulation_output!J342</f>
        <v>0</v>
      </c>
    </row>
    <row r="343" spans="1:5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Simulation_output!I343</f>
        <v>0</v>
      </c>
      <c r="E343">
        <f>Simulation_Input!E343- Simulation_output!J343</f>
        <v>0</v>
      </c>
    </row>
    <row r="344" spans="1:5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Simulation_output!I344</f>
        <v>0</v>
      </c>
      <c r="E344">
        <f>Simulation_Input!E344- Simulation_output!J344</f>
        <v>0</v>
      </c>
    </row>
    <row r="345" spans="1:5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Simulation_output!I345</f>
        <v>0</v>
      </c>
      <c r="E345">
        <f>Simulation_Input!E345- Simulation_output!J345</f>
        <v>0</v>
      </c>
    </row>
    <row r="346" spans="1:5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Simulation_output!I346</f>
        <v>0</v>
      </c>
      <c r="E346">
        <f>Simulation_Input!E346- Simulation_output!J346</f>
        <v>0</v>
      </c>
    </row>
    <row r="347" spans="1:5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Simulation_output!I347</f>
        <v>0</v>
      </c>
      <c r="E347">
        <f>Simulation_Input!E347- Simulation_output!J347</f>
        <v>0</v>
      </c>
    </row>
    <row r="348" spans="1:5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Simulation_output!I348</f>
        <v>0</v>
      </c>
      <c r="E348">
        <f>Simulation_Input!E348- Simulation_output!J348</f>
        <v>0</v>
      </c>
    </row>
    <row r="349" spans="1:5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Simulation_output!I349</f>
        <v>0</v>
      </c>
      <c r="E349">
        <f>Simulation_Input!E349- Simulation_output!J349</f>
        <v>0</v>
      </c>
    </row>
    <row r="350" spans="1:5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Simulation_output!I350</f>
        <v>0</v>
      </c>
      <c r="E350">
        <f>Simulation_Input!E350- Simulation_output!J350</f>
        <v>0</v>
      </c>
    </row>
    <row r="351" spans="1:5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Simulation_output!I351</f>
        <v>0</v>
      </c>
      <c r="E351">
        <f>Simulation_Input!E351- Simulation_output!J351</f>
        <v>0</v>
      </c>
    </row>
    <row r="352" spans="1:5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Simulation_output!I352</f>
        <v>0</v>
      </c>
      <c r="E352">
        <f>Simulation_Input!E352- Simulation_output!J352</f>
        <v>0</v>
      </c>
    </row>
    <row r="353" spans="1:5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Simulation_output!I353</f>
        <v>0</v>
      </c>
      <c r="E353">
        <f>Simulation_Input!E353- Simulation_output!J353</f>
        <v>0</v>
      </c>
    </row>
    <row r="354" spans="1:5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Simulation_output!I354</f>
        <v>0</v>
      </c>
      <c r="E354">
        <f>Simulation_Input!E354- Simulation_output!J354</f>
        <v>0</v>
      </c>
    </row>
    <row r="355" spans="1:5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Simulation_output!I355</f>
        <v>0</v>
      </c>
      <c r="E355">
        <f>Simulation_Input!E355- Simulation_output!J355</f>
        <v>0</v>
      </c>
    </row>
    <row r="356" spans="1:5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Simulation_output!I356</f>
        <v>0</v>
      </c>
      <c r="E356">
        <f>Simulation_Input!E356- Simulation_output!J356</f>
        <v>0</v>
      </c>
    </row>
    <row r="357" spans="1:5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Simulation_output!I357</f>
        <v>0</v>
      </c>
      <c r="E357">
        <f>Simulation_Input!E357- Simulation_output!J357</f>
        <v>0</v>
      </c>
    </row>
    <row r="358" spans="1:5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Simulation_output!I358</f>
        <v>0</v>
      </c>
      <c r="E358">
        <f>Simulation_Input!E358- Simulation_output!J358</f>
        <v>0</v>
      </c>
    </row>
    <row r="359" spans="1:5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Simulation_output!I359</f>
        <v>0</v>
      </c>
      <c r="E359">
        <f>Simulation_Input!E359- Simulation_output!J359</f>
        <v>0</v>
      </c>
    </row>
    <row r="360" spans="1:5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Simulation_output!I360</f>
        <v>0</v>
      </c>
      <c r="E360">
        <f>Simulation_Input!E360- Simulation_output!J360</f>
        <v>0</v>
      </c>
    </row>
    <row r="361" spans="1:5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Simulation_output!I361</f>
        <v>0</v>
      </c>
      <c r="E361">
        <f>Simulation_Input!E361- Simulation_output!J361</f>
        <v>0</v>
      </c>
    </row>
    <row r="362" spans="1:5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Simulation_output!I362</f>
        <v>0</v>
      </c>
      <c r="E362">
        <f>Simulation_Input!E362- Simulation_output!J362</f>
        <v>0</v>
      </c>
    </row>
    <row r="363" spans="1:5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Simulation_output!I363</f>
        <v>0</v>
      </c>
      <c r="E363">
        <f>Simulation_Input!E363- Simulation_output!J363</f>
        <v>0</v>
      </c>
    </row>
    <row r="364" spans="1:5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Simulation_output!I364</f>
        <v>0</v>
      </c>
      <c r="E364">
        <f>Simulation_Input!E364- Simulation_output!J364</f>
        <v>0</v>
      </c>
    </row>
    <row r="365" spans="1:5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Simulation_output!I365</f>
        <v>0</v>
      </c>
      <c r="E365">
        <f>Simulation_Input!E365- Simulation_output!J365</f>
        <v>0</v>
      </c>
    </row>
    <row r="366" spans="1:5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Simulation_output!I366</f>
        <v>0</v>
      </c>
      <c r="E366">
        <f>Simulation_Input!E366- Simulation_output!J366</f>
        <v>0</v>
      </c>
    </row>
    <row r="367" spans="1:5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Simulation_output!I367</f>
        <v>0</v>
      </c>
      <c r="E367">
        <f>Simulation_Input!E367- Simulation_output!J367</f>
        <v>0</v>
      </c>
    </row>
    <row r="368" spans="1:5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Simulation_output!I368</f>
        <v>0</v>
      </c>
      <c r="E368">
        <f>Simulation_Input!E368- Simulation_output!J368</f>
        <v>0</v>
      </c>
    </row>
    <row r="369" spans="1:5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Simulation_output!I369</f>
        <v>0</v>
      </c>
      <c r="E369">
        <f>Simulation_Input!E369- Simulation_output!J369</f>
        <v>0</v>
      </c>
    </row>
    <row r="370" spans="1:5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Simulation_output!I370</f>
        <v>0</v>
      </c>
      <c r="E370">
        <f>Simulation_Input!E370- Simulation_output!J370</f>
        <v>0</v>
      </c>
    </row>
    <row r="371" spans="1:5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Simulation_output!I371</f>
        <v>0</v>
      </c>
      <c r="E371">
        <f>Simulation_Input!E371- Simulation_output!J371</f>
        <v>0</v>
      </c>
    </row>
    <row r="372" spans="1:5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Simulation_output!I372</f>
        <v>0</v>
      </c>
      <c r="E372">
        <f>Simulation_Input!E372- Simulation_output!J372</f>
        <v>0</v>
      </c>
    </row>
    <row r="373" spans="1:5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Simulation_output!I373</f>
        <v>0</v>
      </c>
      <c r="E373">
        <f>Simulation_Input!E373- Simulation_output!J373</f>
        <v>0</v>
      </c>
    </row>
    <row r="374" spans="1:5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Simulation_output!I374</f>
        <v>0</v>
      </c>
      <c r="E374">
        <f>Simulation_Input!E374- Simulation_output!J374</f>
        <v>0</v>
      </c>
    </row>
    <row r="375" spans="1:5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Simulation_output!I375</f>
        <v>0</v>
      </c>
      <c r="E375">
        <f>Simulation_Input!E375- Simulation_output!J375</f>
        <v>0</v>
      </c>
    </row>
    <row r="376" spans="1:5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Simulation_output!I376</f>
        <v>0</v>
      </c>
      <c r="E376">
        <f>Simulation_Input!E376- Simulation_output!J376</f>
        <v>0</v>
      </c>
    </row>
    <row r="377" spans="1:5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Simulation_output!I377</f>
        <v>0</v>
      </c>
      <c r="E377">
        <f>Simulation_Input!E377- Simulation_output!J377</f>
        <v>0</v>
      </c>
    </row>
    <row r="378" spans="1:5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Simulation_output!I378</f>
        <v>0</v>
      </c>
      <c r="E378">
        <f>Simulation_Input!E378- Simulation_output!J378</f>
        <v>0</v>
      </c>
    </row>
    <row r="379" spans="1:5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Simulation_output!I379</f>
        <v>0</v>
      </c>
      <c r="E379">
        <f>Simulation_Input!E379- Simulation_output!J379</f>
        <v>0</v>
      </c>
    </row>
    <row r="380" spans="1:5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Simulation_output!I380</f>
        <v>0</v>
      </c>
      <c r="E380">
        <f>Simulation_Input!E380- Simulation_output!J380</f>
        <v>0</v>
      </c>
    </row>
    <row r="381" spans="1:5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Simulation_output!I381</f>
        <v>0</v>
      </c>
      <c r="E381">
        <f>Simulation_Input!E381- Simulation_output!J381</f>
        <v>0</v>
      </c>
    </row>
    <row r="382" spans="1:5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Simulation_output!I382</f>
        <v>0</v>
      </c>
      <c r="E382">
        <f>Simulation_Input!E382- Simulation_output!J382</f>
        <v>0</v>
      </c>
    </row>
    <row r="383" spans="1:5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Simulation_output!I383</f>
        <v>0</v>
      </c>
      <c r="E383">
        <f>Simulation_Input!E383- Simulation_output!J383</f>
        <v>0</v>
      </c>
    </row>
    <row r="384" spans="1:5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Simulation_output!I384</f>
        <v>0</v>
      </c>
      <c r="E384">
        <f>Simulation_Input!E384- Simulation_output!J384</f>
        <v>0</v>
      </c>
    </row>
    <row r="385" spans="1:5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Simulation_output!I385</f>
        <v>0</v>
      </c>
      <c r="E385">
        <f>Simulation_Input!E385- Simulation_output!J385</f>
        <v>0</v>
      </c>
    </row>
    <row r="386" spans="1:5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Simulation_output!I386</f>
        <v>0</v>
      </c>
      <c r="E386">
        <f>Simulation_Input!E386- Simulation_output!J386</f>
        <v>0</v>
      </c>
    </row>
    <row r="387" spans="1:5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Simulation_output!I387</f>
        <v>0</v>
      </c>
      <c r="E387">
        <f>Simulation_Input!E387- Simulation_output!J387</f>
        <v>0</v>
      </c>
    </row>
    <row r="388" spans="1:5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Simulation_output!I388</f>
        <v>0</v>
      </c>
      <c r="E388">
        <f>Simulation_Input!E388- Simulation_output!J388</f>
        <v>0</v>
      </c>
    </row>
    <row r="389" spans="1:5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Simulation_output!I389</f>
        <v>0</v>
      </c>
      <c r="E389">
        <f>Simulation_Input!E389- Simulation_output!J389</f>
        <v>0</v>
      </c>
    </row>
    <row r="390" spans="1:5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Simulation_output!I390</f>
        <v>0</v>
      </c>
      <c r="E390">
        <f>Simulation_Input!E390- Simulation_output!J390</f>
        <v>0</v>
      </c>
    </row>
    <row r="391" spans="1:5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Simulation_output!I391</f>
        <v>0</v>
      </c>
      <c r="E391">
        <f>Simulation_Input!E391- Simulation_output!J391</f>
        <v>0</v>
      </c>
    </row>
    <row r="392" spans="1:5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Simulation_output!I392</f>
        <v>0</v>
      </c>
      <c r="E392">
        <f>Simulation_Input!E392- Simulation_output!J392</f>
        <v>0</v>
      </c>
    </row>
    <row r="393" spans="1:5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Simulation_output!I393</f>
        <v>0</v>
      </c>
      <c r="E393">
        <f>Simulation_Input!E393- Simulation_output!J393</f>
        <v>0</v>
      </c>
    </row>
    <row r="394" spans="1:5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Simulation_output!I394</f>
        <v>0</v>
      </c>
      <c r="E394">
        <f>Simulation_Input!E394- Simulation_output!J394</f>
        <v>0</v>
      </c>
    </row>
    <row r="395" spans="1:5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Simulation_output!I395</f>
        <v>0</v>
      </c>
      <c r="E395">
        <f>Simulation_Input!E395- Simulation_output!J395</f>
        <v>0</v>
      </c>
    </row>
    <row r="396" spans="1:5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Simulation_output!I396</f>
        <v>0</v>
      </c>
      <c r="E396">
        <f>Simulation_Input!E396- Simulation_output!J396</f>
        <v>0</v>
      </c>
    </row>
    <row r="397" spans="1:5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Simulation_output!I397</f>
        <v>0</v>
      </c>
      <c r="E397">
        <f>Simulation_Input!E397- Simulation_output!J397</f>
        <v>0</v>
      </c>
    </row>
    <row r="398" spans="1:5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Simulation_output!I398</f>
        <v>0</v>
      </c>
      <c r="E398">
        <f>Simulation_Input!E398- Simulation_output!J398</f>
        <v>0</v>
      </c>
    </row>
    <row r="399" spans="1:5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Simulation_output!I399</f>
        <v>0</v>
      </c>
      <c r="E399">
        <f>Simulation_Input!E399- Simulation_output!J399</f>
        <v>0</v>
      </c>
    </row>
    <row r="400" spans="1:5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Simulation_output!I400</f>
        <v>0</v>
      </c>
      <c r="E400">
        <f>Simulation_Input!E400- Simulation_output!J400</f>
        <v>0</v>
      </c>
    </row>
    <row r="401" spans="1:5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Simulation_output!I401</f>
        <v>0</v>
      </c>
      <c r="E401">
        <f>Simulation_Input!E401- Simulation_output!J401</f>
        <v>0</v>
      </c>
    </row>
    <row r="402" spans="1:5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Simulation_output!I402</f>
        <v>0</v>
      </c>
      <c r="E402">
        <f>Simulation_Input!E402- Simulation_output!J402</f>
        <v>0</v>
      </c>
    </row>
    <row r="403" spans="1:5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Simulation_output!I403</f>
        <v>0</v>
      </c>
      <c r="E403">
        <f>Simulation_Input!E403- Simulation_output!J403</f>
        <v>0</v>
      </c>
    </row>
    <row r="404" spans="1:5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Simulation_output!I404</f>
        <v>0</v>
      </c>
      <c r="E404">
        <f>Simulation_Input!E404- Simulation_output!J404</f>
        <v>0</v>
      </c>
    </row>
    <row r="405" spans="1:5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Simulation_output!I405</f>
        <v>0</v>
      </c>
      <c r="E405">
        <f>Simulation_Input!E405- Simulation_output!J405</f>
        <v>0</v>
      </c>
    </row>
    <row r="406" spans="1:5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Simulation_output!I406</f>
        <v>0</v>
      </c>
      <c r="E406">
        <f>Simulation_Input!E406- Simulation_output!J406</f>
        <v>0</v>
      </c>
    </row>
    <row r="407" spans="1:5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Simulation_output!I407</f>
        <v>0</v>
      </c>
      <c r="E407">
        <f>Simulation_Input!E407- Simulation_output!J407</f>
        <v>0</v>
      </c>
    </row>
    <row r="408" spans="1:5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Simulation_output!I408</f>
        <v>0</v>
      </c>
      <c r="E408">
        <f>Simulation_Input!E408- Simulation_output!J408</f>
        <v>0</v>
      </c>
    </row>
    <row r="409" spans="1:5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Simulation_output!I409</f>
        <v>0</v>
      </c>
      <c r="E409">
        <f>Simulation_Input!E409- Simulation_output!J409</f>
        <v>0</v>
      </c>
    </row>
    <row r="410" spans="1:5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Simulation_output!I410</f>
        <v>0</v>
      </c>
      <c r="E410">
        <f>Simulation_Input!E410- Simulation_output!J410</f>
        <v>0</v>
      </c>
    </row>
    <row r="411" spans="1:5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Simulation_output!I411</f>
        <v>0</v>
      </c>
      <c r="E411">
        <f>Simulation_Input!E411- Simulation_output!J411</f>
        <v>0</v>
      </c>
    </row>
    <row r="412" spans="1:5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Simulation_output!I412</f>
        <v>0</v>
      </c>
      <c r="E412">
        <f>Simulation_Input!E412- Simulation_output!J412</f>
        <v>0</v>
      </c>
    </row>
    <row r="413" spans="1:5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Simulation_output!I413</f>
        <v>0</v>
      </c>
      <c r="E413">
        <f>Simulation_Input!E413- Simulation_output!J413</f>
        <v>0</v>
      </c>
    </row>
    <row r="414" spans="1:5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Simulation_output!I414</f>
        <v>0</v>
      </c>
      <c r="E414">
        <f>Simulation_Input!E414- Simulation_output!J414</f>
        <v>0</v>
      </c>
    </row>
    <row r="415" spans="1:5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Simulation_output!I415</f>
        <v>0</v>
      </c>
      <c r="E415">
        <f>Simulation_Input!E415- Simulation_output!J415</f>
        <v>0</v>
      </c>
    </row>
    <row r="416" spans="1:5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Simulation_output!I416</f>
        <v>0</v>
      </c>
      <c r="E416">
        <f>Simulation_Input!E416- Simulation_output!J416</f>
        <v>0</v>
      </c>
    </row>
    <row r="417" spans="1:5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Simulation_output!I417</f>
        <v>0</v>
      </c>
      <c r="E417">
        <f>Simulation_Input!E417- Simulation_output!J417</f>
        <v>0</v>
      </c>
    </row>
    <row r="418" spans="1:5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Simulation_output!I418</f>
        <v>0</v>
      </c>
      <c r="E418">
        <f>Simulation_Input!E418- Simulation_output!J418</f>
        <v>0</v>
      </c>
    </row>
    <row r="419" spans="1:5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Simulation_output!I419</f>
        <v>0</v>
      </c>
      <c r="E419">
        <f>Simulation_Input!E419- Simulation_output!J419</f>
        <v>0</v>
      </c>
    </row>
    <row r="420" spans="1:5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Simulation_output!I420</f>
        <v>0</v>
      </c>
      <c r="E420">
        <f>Simulation_Input!E420- Simulation_output!J420</f>
        <v>0</v>
      </c>
    </row>
    <row r="421" spans="1:5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Simulation_output!I421</f>
        <v>0</v>
      </c>
      <c r="E421">
        <f>Simulation_Input!E421- Simulation_output!J421</f>
        <v>0</v>
      </c>
    </row>
    <row r="422" spans="1:5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Simulation_output!I422</f>
        <v>0</v>
      </c>
      <c r="E422">
        <f>Simulation_Input!E422- Simulation_output!J422</f>
        <v>0</v>
      </c>
    </row>
    <row r="423" spans="1:5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Simulation_output!I423</f>
        <v>0</v>
      </c>
      <c r="E423">
        <f>Simulation_Input!E423- Simulation_output!J423</f>
        <v>0</v>
      </c>
    </row>
    <row r="424" spans="1:5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Simulation_output!I424</f>
        <v>0</v>
      </c>
      <c r="E424">
        <f>Simulation_Input!E424- Simulation_output!J424</f>
        <v>0</v>
      </c>
    </row>
    <row r="425" spans="1:5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Simulation_output!I425</f>
        <v>0</v>
      </c>
      <c r="E425">
        <f>Simulation_Input!E425- Simulation_output!J425</f>
        <v>0</v>
      </c>
    </row>
    <row r="426" spans="1:5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Simulation_output!I426</f>
        <v>0</v>
      </c>
      <c r="E426">
        <f>Simulation_Input!E426- Simulation_output!J426</f>
        <v>0</v>
      </c>
    </row>
    <row r="427" spans="1:5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Simulation_output!I427</f>
        <v>0</v>
      </c>
      <c r="E427">
        <f>Simulation_Input!E427- Simulation_output!J427</f>
        <v>0</v>
      </c>
    </row>
    <row r="428" spans="1:5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Simulation_output!I428</f>
        <v>0</v>
      </c>
      <c r="E428">
        <f>Simulation_Input!E428- Simulation_output!J428</f>
        <v>0</v>
      </c>
    </row>
    <row r="429" spans="1:5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Simulation_output!I429</f>
        <v>0</v>
      </c>
      <c r="E429">
        <f>Simulation_Input!E429- Simulation_output!J429</f>
        <v>0</v>
      </c>
    </row>
    <row r="430" spans="1:5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Simulation_output!I430</f>
        <v>0</v>
      </c>
      <c r="E430">
        <f>Simulation_Input!E430- Simulation_output!J430</f>
        <v>0</v>
      </c>
    </row>
    <row r="431" spans="1:5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Simulation_output!I431</f>
        <v>0</v>
      </c>
      <c r="E431">
        <f>Simulation_Input!E431- Simulation_output!J431</f>
        <v>0</v>
      </c>
    </row>
    <row r="432" spans="1:5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Simulation_output!I432</f>
        <v>0</v>
      </c>
      <c r="E432">
        <f>Simulation_Input!E432- Simulation_output!J432</f>
        <v>0</v>
      </c>
    </row>
    <row r="433" spans="1:5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Simulation_output!I433</f>
        <v>0</v>
      </c>
      <c r="E433">
        <f>Simulation_Input!E433- Simulation_output!J433</f>
        <v>0</v>
      </c>
    </row>
    <row r="434" spans="1:5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Simulation_output!I434</f>
        <v>0</v>
      </c>
      <c r="E434">
        <f>Simulation_Input!E434- Simulation_output!J434</f>
        <v>0</v>
      </c>
    </row>
    <row r="435" spans="1:5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Simulation_output!I435</f>
        <v>0</v>
      </c>
      <c r="E435">
        <f>Simulation_Input!E435- Simulation_output!J435</f>
        <v>0</v>
      </c>
    </row>
    <row r="436" spans="1:5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Simulation_output!I436</f>
        <v>0</v>
      </c>
      <c r="E436">
        <f>Simulation_Input!E436- Simulation_output!J436</f>
        <v>0</v>
      </c>
    </row>
    <row r="437" spans="1:5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Simulation_output!I437</f>
        <v>0</v>
      </c>
      <c r="E437">
        <f>Simulation_Input!E437- Simulation_output!J437</f>
        <v>0</v>
      </c>
    </row>
    <row r="438" spans="1:5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Simulation_output!I438</f>
        <v>0</v>
      </c>
      <c r="E438">
        <f>Simulation_Input!E438- Simulation_output!J438</f>
        <v>0</v>
      </c>
    </row>
    <row r="439" spans="1:5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Simulation_output!I439</f>
        <v>0</v>
      </c>
      <c r="E439">
        <f>Simulation_Input!E439- Simulation_output!J439</f>
        <v>0</v>
      </c>
    </row>
    <row r="440" spans="1:5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Simulation_output!I440</f>
        <v>0</v>
      </c>
      <c r="E440">
        <f>Simulation_Input!E440- Simulation_output!J440</f>
        <v>0</v>
      </c>
    </row>
    <row r="441" spans="1:5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Simulation_output!I441</f>
        <v>0</v>
      </c>
      <c r="E441">
        <f>Simulation_Input!E441- Simulation_output!J441</f>
        <v>0</v>
      </c>
    </row>
    <row r="442" spans="1:5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Simulation_output!I442</f>
        <v>0</v>
      </c>
      <c r="E442">
        <f>Simulation_Input!E442- Simulation_output!J442</f>
        <v>0</v>
      </c>
    </row>
    <row r="443" spans="1:5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Simulation_output!I443</f>
        <v>0</v>
      </c>
      <c r="E443">
        <f>Simulation_Input!E443- Simulation_output!J443</f>
        <v>0</v>
      </c>
    </row>
    <row r="444" spans="1:5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Simulation_output!I444</f>
        <v>0</v>
      </c>
      <c r="E444">
        <f>Simulation_Input!E444- Simulation_output!J444</f>
        <v>0</v>
      </c>
    </row>
    <row r="445" spans="1:5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Simulation_output!I445</f>
        <v>0</v>
      </c>
      <c r="E445">
        <f>Simulation_Input!E445- Simulation_output!J445</f>
        <v>0</v>
      </c>
    </row>
    <row r="446" spans="1:5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Simulation_output!I446</f>
        <v>0</v>
      </c>
      <c r="E446">
        <f>Simulation_Input!E446- Simulation_output!J446</f>
        <v>0</v>
      </c>
    </row>
    <row r="447" spans="1:5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Simulation_output!I447</f>
        <v>0</v>
      </c>
      <c r="E447">
        <f>Simulation_Input!E447- Simulation_output!J447</f>
        <v>0</v>
      </c>
    </row>
    <row r="448" spans="1:5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Simulation_output!I448</f>
        <v>0</v>
      </c>
      <c r="E448">
        <f>Simulation_Input!E448- Simulation_output!J448</f>
        <v>0</v>
      </c>
    </row>
    <row r="449" spans="1:5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Simulation_output!I449</f>
        <v>0</v>
      </c>
      <c r="E449">
        <f>Simulation_Input!E449- Simulation_output!J449</f>
        <v>0</v>
      </c>
    </row>
    <row r="450" spans="1:5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Simulation_output!I450</f>
        <v>0</v>
      </c>
      <c r="E450">
        <f>Simulation_Input!E450- Simulation_output!J450</f>
        <v>0</v>
      </c>
    </row>
    <row r="451" spans="1:5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Simulation_output!I451</f>
        <v>0</v>
      </c>
      <c r="E451">
        <f>Simulation_Input!E451- Simulation_output!J451</f>
        <v>0</v>
      </c>
    </row>
    <row r="452" spans="1:5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Simulation_output!I452</f>
        <v>0</v>
      </c>
      <c r="E452">
        <f>Simulation_Input!E452- Simulation_output!J452</f>
        <v>0</v>
      </c>
    </row>
    <row r="453" spans="1:5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Simulation_output!I453</f>
        <v>0</v>
      </c>
      <c r="E453">
        <f>Simulation_Input!E453- Simulation_output!J453</f>
        <v>0</v>
      </c>
    </row>
    <row r="454" spans="1:5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Simulation_output!I454</f>
        <v>0</v>
      </c>
      <c r="E454">
        <f>Simulation_Input!E454- Simulation_output!J454</f>
        <v>0</v>
      </c>
    </row>
    <row r="455" spans="1:5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Simulation_output!I455</f>
        <v>0</v>
      </c>
      <c r="E455">
        <f>Simulation_Input!E455- Simulation_output!J455</f>
        <v>0</v>
      </c>
    </row>
    <row r="456" spans="1:5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Simulation_output!I456</f>
        <v>0</v>
      </c>
      <c r="E456">
        <f>Simulation_Input!E456- Simulation_output!J456</f>
        <v>0</v>
      </c>
    </row>
    <row r="457" spans="1:5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Simulation_output!I457</f>
        <v>0</v>
      </c>
      <c r="E457">
        <f>Simulation_Input!E457- Simulation_output!J457</f>
        <v>0</v>
      </c>
    </row>
    <row r="458" spans="1:5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Simulation_output!I458</f>
        <v>0</v>
      </c>
      <c r="E458">
        <f>Simulation_Input!E458- Simulation_output!J458</f>
        <v>0</v>
      </c>
    </row>
    <row r="459" spans="1:5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Simulation_output!I459</f>
        <v>0</v>
      </c>
      <c r="E459">
        <f>Simulation_Input!E459- Simulation_output!J459</f>
        <v>0</v>
      </c>
    </row>
    <row r="460" spans="1:5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Simulation_output!I460</f>
        <v>0</v>
      </c>
      <c r="E460">
        <f>Simulation_Input!E460- Simulation_output!J460</f>
        <v>0</v>
      </c>
    </row>
    <row r="461" spans="1:5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Simulation_output!I461</f>
        <v>0</v>
      </c>
      <c r="E461">
        <f>Simulation_Input!E461- Simulation_output!J461</f>
        <v>0</v>
      </c>
    </row>
    <row r="462" spans="1:5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Simulation_output!I462</f>
        <v>0</v>
      </c>
      <c r="E462">
        <f>Simulation_Input!E462- Simulation_output!J462</f>
        <v>0</v>
      </c>
    </row>
    <row r="463" spans="1:5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Simulation_output!I463</f>
        <v>0</v>
      </c>
      <c r="E463">
        <f>Simulation_Input!E463- Simulation_output!J463</f>
        <v>0</v>
      </c>
    </row>
    <row r="464" spans="1:5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Simulation_output!I464</f>
        <v>0</v>
      </c>
      <c r="E464">
        <f>Simulation_Input!E464- Simulation_output!J464</f>
        <v>0</v>
      </c>
    </row>
    <row r="465" spans="1:5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Simulation_output!I465</f>
        <v>0</v>
      </c>
      <c r="E465">
        <f>Simulation_Input!E465- Simulation_output!J465</f>
        <v>0</v>
      </c>
    </row>
    <row r="466" spans="1:5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Simulation_output!I466</f>
        <v>0</v>
      </c>
      <c r="E466">
        <f>Simulation_Input!E466- Simulation_output!J466</f>
        <v>0</v>
      </c>
    </row>
    <row r="467" spans="1:5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Simulation_output!I467</f>
        <v>0</v>
      </c>
      <c r="E467">
        <f>Simulation_Input!E467- Simulation_output!J467</f>
        <v>0</v>
      </c>
    </row>
    <row r="468" spans="1:5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Simulation_output!I468</f>
        <v>0</v>
      </c>
      <c r="E468">
        <f>Simulation_Input!E468- Simulation_output!J468</f>
        <v>0</v>
      </c>
    </row>
    <row r="469" spans="1:5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Simulation_output!I469</f>
        <v>0</v>
      </c>
      <c r="E469">
        <f>Simulation_Input!E469- Simulation_output!J469</f>
        <v>0</v>
      </c>
    </row>
    <row r="470" spans="1:5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Simulation_output!I470</f>
        <v>0</v>
      </c>
      <c r="E470">
        <f>Simulation_Input!E470- Simulation_output!J470</f>
        <v>0</v>
      </c>
    </row>
    <row r="471" spans="1:5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Simulation_output!I471</f>
        <v>0</v>
      </c>
      <c r="E471">
        <f>Simulation_Input!E471- Simulation_output!J471</f>
        <v>0</v>
      </c>
    </row>
    <row r="472" spans="1:5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Simulation_output!I472</f>
        <v>0</v>
      </c>
      <c r="E472">
        <f>Simulation_Input!E472- Simulation_output!J472</f>
        <v>0</v>
      </c>
    </row>
    <row r="473" spans="1:5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Simulation_output!I473</f>
        <v>0</v>
      </c>
      <c r="E473">
        <f>Simulation_Input!E473- Simulation_output!J473</f>
        <v>0</v>
      </c>
    </row>
    <row r="474" spans="1:5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Simulation_output!I474</f>
        <v>0</v>
      </c>
      <c r="E474">
        <f>Simulation_Input!E474- Simulation_output!J474</f>
        <v>0</v>
      </c>
    </row>
    <row r="475" spans="1:5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Simulation_output!I475</f>
        <v>0</v>
      </c>
      <c r="E475">
        <f>Simulation_Input!E475- Simulation_output!J475</f>
        <v>0</v>
      </c>
    </row>
    <row r="476" spans="1:5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Simulation_output!I476</f>
        <v>0</v>
      </c>
      <c r="E476">
        <f>Simulation_Input!E476- Simulation_output!J476</f>
        <v>0</v>
      </c>
    </row>
    <row r="477" spans="1:5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Simulation_output!I477</f>
        <v>0</v>
      </c>
      <c r="E477">
        <f>Simulation_Input!E477- Simulation_output!J477</f>
        <v>0</v>
      </c>
    </row>
    <row r="478" spans="1:5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Simulation_output!I478</f>
        <v>0</v>
      </c>
      <c r="E478">
        <f>Simulation_Input!E478- Simulation_output!J478</f>
        <v>0</v>
      </c>
    </row>
    <row r="479" spans="1:5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Simulation_output!I479</f>
        <v>0</v>
      </c>
      <c r="E479">
        <f>Simulation_Input!E479- Simulation_output!J479</f>
        <v>0</v>
      </c>
    </row>
    <row r="480" spans="1:5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Simulation_output!I480</f>
        <v>0</v>
      </c>
      <c r="E480">
        <f>Simulation_Input!E480- Simulation_output!J480</f>
        <v>0</v>
      </c>
    </row>
    <row r="481" spans="1:5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Simulation_output!I481</f>
        <v>0</v>
      </c>
      <c r="E481">
        <f>Simulation_Input!E481- Simulation_output!J481</f>
        <v>0</v>
      </c>
    </row>
    <row r="482" spans="1:5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Simulation_output!I482</f>
        <v>0</v>
      </c>
      <c r="E482">
        <f>Simulation_Input!E482- Simulation_output!J482</f>
        <v>0</v>
      </c>
    </row>
    <row r="483" spans="1:5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Simulation_output!I483</f>
        <v>0</v>
      </c>
      <c r="E483">
        <f>Simulation_Input!E483- Simulation_output!J483</f>
        <v>0</v>
      </c>
    </row>
    <row r="484" spans="1:5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Simulation_output!I484</f>
        <v>0</v>
      </c>
      <c r="E484">
        <f>Simulation_Input!E484- Simulation_output!J484</f>
        <v>0</v>
      </c>
    </row>
    <row r="485" spans="1:5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Simulation_output!I485</f>
        <v>0</v>
      </c>
      <c r="E485">
        <f>Simulation_Input!E485- Simulation_output!J485</f>
        <v>0</v>
      </c>
    </row>
    <row r="486" spans="1:5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Simulation_output!I486</f>
        <v>0</v>
      </c>
      <c r="E486">
        <f>Simulation_Input!E486- Simulation_output!J486</f>
        <v>0</v>
      </c>
    </row>
    <row r="487" spans="1:5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Simulation_output!I487</f>
        <v>0</v>
      </c>
      <c r="E487">
        <f>Simulation_Input!E487- Simulation_output!J487</f>
        <v>0</v>
      </c>
    </row>
    <row r="488" spans="1:5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Simulation_output!I488</f>
        <v>0</v>
      </c>
      <c r="E488">
        <f>Simulation_Input!E488- Simulation_output!J488</f>
        <v>0</v>
      </c>
    </row>
    <row r="489" spans="1:5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Simulation_output!I489</f>
        <v>0</v>
      </c>
      <c r="E489">
        <f>Simulation_Input!E489- Simulation_output!J489</f>
        <v>0</v>
      </c>
    </row>
    <row r="490" spans="1:5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Simulation_output!I490</f>
        <v>0</v>
      </c>
      <c r="E490">
        <f>Simulation_Input!E490- Simulation_output!J490</f>
        <v>0</v>
      </c>
    </row>
    <row r="491" spans="1:5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Simulation_output!I491</f>
        <v>0</v>
      </c>
      <c r="E491">
        <f>Simulation_Input!E491- Simulation_output!J491</f>
        <v>0</v>
      </c>
    </row>
    <row r="492" spans="1:5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Simulation_output!I492</f>
        <v>0</v>
      </c>
      <c r="E492">
        <f>Simulation_Input!E492- Simulation_output!J492</f>
        <v>0</v>
      </c>
    </row>
    <row r="493" spans="1:5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Simulation_output!I493</f>
        <v>0</v>
      </c>
      <c r="E493">
        <f>Simulation_Input!E493- Simulation_output!J493</f>
        <v>0</v>
      </c>
    </row>
    <row r="494" spans="1:5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Simulation_output!I494</f>
        <v>0</v>
      </c>
      <c r="E494">
        <f>Simulation_Input!E494- Simulation_output!J494</f>
        <v>0</v>
      </c>
    </row>
    <row r="495" spans="1:5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Simulation_output!I495</f>
        <v>0</v>
      </c>
      <c r="E495">
        <f>Simulation_Input!E495- Simulation_output!J495</f>
        <v>0</v>
      </c>
    </row>
    <row r="496" spans="1:5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Simulation_output!I496</f>
        <v>0</v>
      </c>
      <c r="E496">
        <f>Simulation_Input!E496- Simulation_output!J496</f>
        <v>0</v>
      </c>
    </row>
    <row r="497" spans="1:5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Simulation_output!I497</f>
        <v>0</v>
      </c>
      <c r="E497">
        <f>Simulation_Input!E497- Simulation_output!J497</f>
        <v>0</v>
      </c>
    </row>
    <row r="498" spans="1:5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Simulation_output!I498</f>
        <v>0</v>
      </c>
      <c r="E498">
        <f>Simulation_Input!E498- Simulation_output!J498</f>
        <v>0</v>
      </c>
    </row>
    <row r="499" spans="1:5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Simulation_output!I499</f>
        <v>0</v>
      </c>
      <c r="E499">
        <f>Simulation_Input!E499- Simulation_output!J499</f>
        <v>0</v>
      </c>
    </row>
    <row r="500" spans="1:5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Simulation_output!I500</f>
        <v>0</v>
      </c>
      <c r="E500">
        <f>Simulation_Input!E500- Simulation_output!J500</f>
        <v>0</v>
      </c>
    </row>
    <row r="501" spans="1:5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Simulation_output!I501</f>
        <v>0</v>
      </c>
      <c r="E501">
        <f>Simulation_Input!E501- Simulation_output!J501</f>
        <v>0</v>
      </c>
    </row>
    <row r="502" spans="1:5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Simulation_output!I502</f>
        <v>0</v>
      </c>
      <c r="E502">
        <f>Simulation_Input!E502- Simulation_output!J502</f>
        <v>0</v>
      </c>
    </row>
    <row r="503" spans="1:5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Simulation_output!I503</f>
        <v>0</v>
      </c>
      <c r="E503">
        <f>Simulation_Input!E503- Simulation_output!J503</f>
        <v>0</v>
      </c>
    </row>
    <row r="504" spans="1:5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Simulation_output!I504</f>
        <v>0</v>
      </c>
      <c r="E504">
        <f>Simulation_Input!E504- Simulation_output!J504</f>
        <v>0</v>
      </c>
    </row>
    <row r="505" spans="1:5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Simulation_output!I505</f>
        <v>0</v>
      </c>
      <c r="E505">
        <f>Simulation_Input!E505- Simulation_output!J505</f>
        <v>0</v>
      </c>
    </row>
    <row r="506" spans="1:5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Simulation_output!I506</f>
        <v>0</v>
      </c>
      <c r="E506">
        <f>Simulation_Input!E506- Simulation_output!J506</f>
        <v>0</v>
      </c>
    </row>
    <row r="507" spans="1:5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Simulation_output!I507</f>
        <v>0</v>
      </c>
      <c r="E507">
        <f>Simulation_Input!E507- Simulation_output!J507</f>
        <v>0</v>
      </c>
    </row>
    <row r="508" spans="1:5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Simulation_output!I508</f>
        <v>0</v>
      </c>
      <c r="E508">
        <f>Simulation_Input!E508- Simulation_output!J508</f>
        <v>0</v>
      </c>
    </row>
    <row r="509" spans="1:5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Simulation_output!I509</f>
        <v>0</v>
      </c>
      <c r="E509">
        <f>Simulation_Input!E509- Simulation_output!J509</f>
        <v>0</v>
      </c>
    </row>
    <row r="510" spans="1:5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Simulation_output!I510</f>
        <v>0</v>
      </c>
      <c r="E510">
        <f>Simulation_Input!E510- Simulation_output!J510</f>
        <v>0</v>
      </c>
    </row>
    <row r="511" spans="1:5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Simulation_output!I511</f>
        <v>0</v>
      </c>
      <c r="E511">
        <f>Simulation_Input!E511- Simulation_output!J511</f>
        <v>0</v>
      </c>
    </row>
    <row r="512" spans="1:5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Simulation_output!I512</f>
        <v>0</v>
      </c>
      <c r="E512">
        <f>Simulation_Input!E512- Simulation_output!J512</f>
        <v>0</v>
      </c>
    </row>
    <row r="513" spans="1:5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Simulation_output!I513</f>
        <v>0</v>
      </c>
      <c r="E513">
        <f>Simulation_Input!E513- Simulation_output!J513</f>
        <v>0</v>
      </c>
    </row>
    <row r="514" spans="1:5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Simulation_output!I514</f>
        <v>0</v>
      </c>
      <c r="E514">
        <f>Simulation_Input!E514- Simulation_output!J514</f>
        <v>0</v>
      </c>
    </row>
    <row r="515" spans="1:5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Simulation_output!I515</f>
        <v>0</v>
      </c>
      <c r="E515">
        <f>Simulation_Input!E515- Simulation_output!J515</f>
        <v>0</v>
      </c>
    </row>
    <row r="516" spans="1:5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Simulation_output!I516</f>
        <v>0</v>
      </c>
      <c r="E516">
        <f>Simulation_Input!E516- Simulation_output!J516</f>
        <v>0</v>
      </c>
    </row>
    <row r="517" spans="1:5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Simulation_output!I517</f>
        <v>0</v>
      </c>
      <c r="E517">
        <f>Simulation_Input!E517- Simulation_output!J517</f>
        <v>0</v>
      </c>
    </row>
    <row r="518" spans="1:5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Simulation_output!I518</f>
        <v>0</v>
      </c>
      <c r="E518">
        <f>Simulation_Input!E518- Simulation_output!J518</f>
        <v>0</v>
      </c>
    </row>
    <row r="519" spans="1:5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Simulation_output!I519</f>
        <v>0</v>
      </c>
      <c r="E519">
        <f>Simulation_Input!E519- Simulation_output!J519</f>
        <v>0</v>
      </c>
    </row>
    <row r="520" spans="1:5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Simulation_output!I520</f>
        <v>0</v>
      </c>
      <c r="E520">
        <f>Simulation_Input!E520- Simulation_output!J520</f>
        <v>0</v>
      </c>
    </row>
    <row r="521" spans="1:5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Simulation_output!I521</f>
        <v>0</v>
      </c>
      <c r="E521">
        <f>Simulation_Input!E521- Simulation_output!J521</f>
        <v>0</v>
      </c>
    </row>
    <row r="522" spans="1:5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Simulation_output!I522</f>
        <v>0</v>
      </c>
      <c r="E522">
        <f>Simulation_Input!E522- Simulation_output!J522</f>
        <v>0</v>
      </c>
    </row>
    <row r="523" spans="1:5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Simulation_output!I523</f>
        <v>0</v>
      </c>
      <c r="E523">
        <f>Simulation_Input!E523- Simulation_output!J523</f>
        <v>0</v>
      </c>
    </row>
    <row r="524" spans="1:5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Simulation_output!I524</f>
        <v>0</v>
      </c>
      <c r="E524">
        <f>Simulation_Input!E524- Simulation_output!J524</f>
        <v>0</v>
      </c>
    </row>
    <row r="525" spans="1:5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Simulation_output!I525</f>
        <v>0</v>
      </c>
      <c r="E525">
        <f>Simulation_Input!E525- Simulation_output!J525</f>
        <v>0</v>
      </c>
    </row>
    <row r="526" spans="1:5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Simulation_output!I526</f>
        <v>0</v>
      </c>
      <c r="E526">
        <f>Simulation_Input!E526- Simulation_output!J526</f>
        <v>0</v>
      </c>
    </row>
    <row r="527" spans="1:5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Simulation_output!I527</f>
        <v>0</v>
      </c>
      <c r="E527">
        <f>Simulation_Input!E527- Simulation_output!J527</f>
        <v>0</v>
      </c>
    </row>
    <row r="528" spans="1:5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Simulation_output!I528</f>
        <v>0</v>
      </c>
      <c r="E528">
        <f>Simulation_Input!E528- Simulation_output!J528</f>
        <v>0</v>
      </c>
    </row>
    <row r="529" spans="1:5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Simulation_output!I529</f>
        <v>0</v>
      </c>
      <c r="E529">
        <f>Simulation_Input!E529- Simulation_output!J529</f>
        <v>0</v>
      </c>
    </row>
    <row r="530" spans="1:5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Simulation_output!I530</f>
        <v>0</v>
      </c>
      <c r="E530">
        <f>Simulation_Input!E530- Simulation_output!J530</f>
        <v>0</v>
      </c>
    </row>
    <row r="531" spans="1:5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Simulation_output!I531</f>
        <v>0</v>
      </c>
      <c r="E531">
        <f>Simulation_Input!E531- Simulation_output!J531</f>
        <v>0</v>
      </c>
    </row>
    <row r="532" spans="1:5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Simulation_output!I532</f>
        <v>0</v>
      </c>
      <c r="E532">
        <f>Simulation_Input!E532- Simulation_output!J532</f>
        <v>0</v>
      </c>
    </row>
    <row r="533" spans="1:5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Simulation_output!I533</f>
        <v>0</v>
      </c>
      <c r="E533">
        <f>Simulation_Input!E533- Simulation_output!J533</f>
        <v>0</v>
      </c>
    </row>
    <row r="534" spans="1:5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Simulation_output!I534</f>
        <v>0</v>
      </c>
      <c r="E534">
        <f>Simulation_Input!E534- Simulation_output!J534</f>
        <v>0</v>
      </c>
    </row>
    <row r="535" spans="1:5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Simulation_output!I535</f>
        <v>0</v>
      </c>
      <c r="E535">
        <f>Simulation_Input!E535- Simulation_output!J535</f>
        <v>0</v>
      </c>
    </row>
    <row r="536" spans="1:5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Simulation_output!I536</f>
        <v>0</v>
      </c>
      <c r="E536">
        <f>Simulation_Input!E536- Simulation_output!J536</f>
        <v>0</v>
      </c>
    </row>
    <row r="537" spans="1:5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Simulation_output!I537</f>
        <v>0</v>
      </c>
      <c r="E537">
        <f>Simulation_Input!E537- Simulation_output!J537</f>
        <v>0</v>
      </c>
    </row>
    <row r="538" spans="1:5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Simulation_output!I538</f>
        <v>0</v>
      </c>
      <c r="E538">
        <f>Simulation_Input!E538- Simulation_output!J538</f>
        <v>0</v>
      </c>
    </row>
    <row r="539" spans="1:5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Simulation_output!I539</f>
        <v>0</v>
      </c>
      <c r="E539">
        <f>Simulation_Input!E539- Simulation_output!J539</f>
        <v>0</v>
      </c>
    </row>
    <row r="540" spans="1:5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Simulation_output!I540</f>
        <v>0</v>
      </c>
      <c r="E540">
        <f>Simulation_Input!E540- Simulation_output!J540</f>
        <v>0</v>
      </c>
    </row>
    <row r="541" spans="1:5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Simulation_output!I541</f>
        <v>0</v>
      </c>
      <c r="E541">
        <f>Simulation_Input!E541- Simulation_output!J541</f>
        <v>0</v>
      </c>
    </row>
    <row r="542" spans="1:5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Simulation_output!I542</f>
        <v>0</v>
      </c>
      <c r="E542">
        <f>Simulation_Input!E542- Simulation_output!J542</f>
        <v>0</v>
      </c>
    </row>
    <row r="543" spans="1:5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Simulation_output!I543</f>
        <v>0</v>
      </c>
      <c r="E543">
        <f>Simulation_Input!E543- Simulation_output!J543</f>
        <v>0</v>
      </c>
    </row>
    <row r="544" spans="1:5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Simulation_output!I544</f>
        <v>0</v>
      </c>
      <c r="E544">
        <f>Simulation_Input!E544- Simulation_output!J544</f>
        <v>0</v>
      </c>
    </row>
    <row r="545" spans="1:5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Simulation_output!I545</f>
        <v>0</v>
      </c>
      <c r="E545">
        <f>Simulation_Input!E545- Simulation_output!J545</f>
        <v>0</v>
      </c>
    </row>
    <row r="546" spans="1:5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Simulation_output!I546</f>
        <v>0</v>
      </c>
      <c r="E546">
        <f>Simulation_Input!E546- Simulation_output!J546</f>
        <v>0</v>
      </c>
    </row>
    <row r="547" spans="1:5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Simulation_output!I547</f>
        <v>0</v>
      </c>
      <c r="E547">
        <f>Simulation_Input!E547- Simulation_output!J547</f>
        <v>0</v>
      </c>
    </row>
    <row r="548" spans="1:5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Simulation_output!I548</f>
        <v>0</v>
      </c>
      <c r="E548">
        <f>Simulation_Input!E548- Simulation_output!J548</f>
        <v>0</v>
      </c>
    </row>
    <row r="549" spans="1:5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Simulation_output!I549</f>
        <v>0</v>
      </c>
      <c r="E549">
        <f>Simulation_Input!E549- Simulation_output!J549</f>
        <v>0</v>
      </c>
    </row>
    <row r="550" spans="1:5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Simulation_output!I550</f>
        <v>0</v>
      </c>
      <c r="E550">
        <f>Simulation_Input!E550- Simulation_output!J550</f>
        <v>0</v>
      </c>
    </row>
    <row r="551" spans="1:5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Simulation_output!I551</f>
        <v>0</v>
      </c>
      <c r="E551">
        <f>Simulation_Input!E551- Simulation_output!J551</f>
        <v>0</v>
      </c>
    </row>
    <row r="552" spans="1:5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Simulation_output!I552</f>
        <v>0</v>
      </c>
      <c r="E552">
        <f>Simulation_Input!E552- Simulation_output!J552</f>
        <v>0</v>
      </c>
    </row>
    <row r="553" spans="1:5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Simulation_output!I553</f>
        <v>0</v>
      </c>
      <c r="E553">
        <f>Simulation_Input!E553- Simulation_output!J553</f>
        <v>0</v>
      </c>
    </row>
    <row r="554" spans="1:5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Simulation_output!I554</f>
        <v>0</v>
      </c>
      <c r="E554">
        <f>Simulation_Input!E554- Simulation_output!J554</f>
        <v>0</v>
      </c>
    </row>
    <row r="555" spans="1:5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Simulation_output!I555</f>
        <v>0</v>
      </c>
      <c r="E555">
        <f>Simulation_Input!E555- Simulation_output!J555</f>
        <v>0</v>
      </c>
    </row>
    <row r="556" spans="1:5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Simulation_output!I556</f>
        <v>0</v>
      </c>
      <c r="E556">
        <f>Simulation_Input!E556- Simulation_output!J556</f>
        <v>0</v>
      </c>
    </row>
    <row r="557" spans="1:5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Simulation_output!I557</f>
        <v>0</v>
      </c>
      <c r="E557">
        <f>Simulation_Input!E557- Simulation_output!J557</f>
        <v>0</v>
      </c>
    </row>
    <row r="558" spans="1:5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Simulation_output!I558</f>
        <v>0</v>
      </c>
      <c r="E558">
        <f>Simulation_Input!E558- Simulation_output!J558</f>
        <v>0</v>
      </c>
    </row>
    <row r="559" spans="1:5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Simulation_output!I559</f>
        <v>0</v>
      </c>
      <c r="E559">
        <f>Simulation_Input!E559- Simulation_output!J559</f>
        <v>0</v>
      </c>
    </row>
    <row r="560" spans="1:5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Simulation_output!I560</f>
        <v>0</v>
      </c>
      <c r="E560">
        <f>Simulation_Input!E560- Simulation_output!J560</f>
        <v>0</v>
      </c>
    </row>
    <row r="561" spans="1:5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Simulation_output!I561</f>
        <v>0</v>
      </c>
      <c r="E561">
        <f>Simulation_Input!E561- Simulation_output!J561</f>
        <v>0</v>
      </c>
    </row>
    <row r="562" spans="1:5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Simulation_output!I562</f>
        <v>0</v>
      </c>
      <c r="E562">
        <f>Simulation_Input!E562- Simulation_output!J562</f>
        <v>0</v>
      </c>
    </row>
    <row r="563" spans="1:5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Simulation_output!I563</f>
        <v>0</v>
      </c>
      <c r="E563">
        <f>Simulation_Input!E563- Simulation_output!J563</f>
        <v>0</v>
      </c>
    </row>
    <row r="564" spans="1:5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Simulation_output!I564</f>
        <v>0</v>
      </c>
      <c r="E564">
        <f>Simulation_Input!E564- Simulation_output!J564</f>
        <v>0</v>
      </c>
    </row>
    <row r="565" spans="1:5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Simulation_output!I565</f>
        <v>0</v>
      </c>
      <c r="E565">
        <f>Simulation_Input!E565- Simulation_output!J565</f>
        <v>0</v>
      </c>
    </row>
    <row r="566" spans="1:5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Simulation_output!I566</f>
        <v>0</v>
      </c>
      <c r="E566">
        <f>Simulation_Input!E566- Simulation_output!J566</f>
        <v>0</v>
      </c>
    </row>
    <row r="567" spans="1:5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Simulation_output!I567</f>
        <v>0</v>
      </c>
      <c r="E567">
        <f>Simulation_Input!E567- Simulation_output!J567</f>
        <v>0</v>
      </c>
    </row>
    <row r="568" spans="1:5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Simulation_output!I568</f>
        <v>0</v>
      </c>
      <c r="E568">
        <f>Simulation_Input!E568- Simulation_output!J568</f>
        <v>0</v>
      </c>
    </row>
    <row r="569" spans="1:5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Simulation_output!I569</f>
        <v>0</v>
      </c>
      <c r="E569">
        <f>Simulation_Input!E569- Simulation_output!J569</f>
        <v>0</v>
      </c>
    </row>
    <row r="570" spans="1:5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Simulation_output!I570</f>
        <v>0</v>
      </c>
      <c r="E570">
        <f>Simulation_Input!E570- Simulation_output!J570</f>
        <v>0</v>
      </c>
    </row>
    <row r="571" spans="1:5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Simulation_output!I571</f>
        <v>0</v>
      </c>
      <c r="E571">
        <f>Simulation_Input!E571- Simulation_output!J571</f>
        <v>0</v>
      </c>
    </row>
    <row r="572" spans="1:5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Simulation_output!I572</f>
        <v>0</v>
      </c>
      <c r="E572">
        <f>Simulation_Input!E572- Simulation_output!J572</f>
        <v>0</v>
      </c>
    </row>
    <row r="573" spans="1:5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Simulation_output!I573</f>
        <v>0</v>
      </c>
      <c r="E573">
        <f>Simulation_Input!E573- Simulation_output!J573</f>
        <v>0</v>
      </c>
    </row>
    <row r="574" spans="1:5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Simulation_output!I574</f>
        <v>0</v>
      </c>
      <c r="E574">
        <f>Simulation_Input!E574- Simulation_output!J574</f>
        <v>0</v>
      </c>
    </row>
    <row r="575" spans="1:5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Simulation_output!I575</f>
        <v>0</v>
      </c>
      <c r="E575">
        <f>Simulation_Input!E575- Simulation_output!J575</f>
        <v>0</v>
      </c>
    </row>
    <row r="576" spans="1:5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Simulation_output!I576</f>
        <v>0</v>
      </c>
      <c r="E576">
        <f>Simulation_Input!E576- Simulation_output!J576</f>
        <v>0</v>
      </c>
    </row>
    <row r="577" spans="1:5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Simulation_output!I577</f>
        <v>0</v>
      </c>
      <c r="E577">
        <f>Simulation_Input!E577- Simulation_output!J577</f>
        <v>0</v>
      </c>
    </row>
    <row r="578" spans="1:5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Simulation_output!I578</f>
        <v>0</v>
      </c>
      <c r="E578">
        <f>Simulation_Input!E578- Simulation_output!J578</f>
        <v>0</v>
      </c>
    </row>
    <row r="579" spans="1:5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Simulation_output!I579</f>
        <v>0</v>
      </c>
      <c r="E579">
        <f>Simulation_Input!E579- Simulation_output!J579</f>
        <v>0</v>
      </c>
    </row>
    <row r="580" spans="1:5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Simulation_output!I580</f>
        <v>0</v>
      </c>
      <c r="E580">
        <f>Simulation_Input!E580- Simulation_output!J580</f>
        <v>0</v>
      </c>
    </row>
    <row r="581" spans="1:5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Simulation_output!I581</f>
        <v>0</v>
      </c>
      <c r="E581">
        <f>Simulation_Input!E581- Simulation_output!J581</f>
        <v>0</v>
      </c>
    </row>
    <row r="582" spans="1:5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Simulation_output!I582</f>
        <v>0</v>
      </c>
      <c r="E582">
        <f>Simulation_Input!E582- Simulation_output!J582</f>
        <v>0</v>
      </c>
    </row>
    <row r="583" spans="1:5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Simulation_output!I583</f>
        <v>0</v>
      </c>
      <c r="E583">
        <f>Simulation_Input!E583- Simulation_output!J583</f>
        <v>0</v>
      </c>
    </row>
    <row r="584" spans="1:5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Simulation_output!I584</f>
        <v>0</v>
      </c>
      <c r="E584">
        <f>Simulation_Input!E584- Simulation_output!J584</f>
        <v>0</v>
      </c>
    </row>
    <row r="585" spans="1:5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Simulation_output!I585</f>
        <v>0</v>
      </c>
      <c r="E585">
        <f>Simulation_Input!E585- Simulation_output!J585</f>
        <v>0</v>
      </c>
    </row>
    <row r="586" spans="1:5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Simulation_output!I586</f>
        <v>0</v>
      </c>
      <c r="E586">
        <f>Simulation_Input!E586- Simulation_output!J586</f>
        <v>0</v>
      </c>
    </row>
    <row r="587" spans="1:5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Simulation_output!I587</f>
        <v>0</v>
      </c>
      <c r="E587">
        <f>Simulation_Input!E587- Simulation_output!J587</f>
        <v>0</v>
      </c>
    </row>
    <row r="588" spans="1:5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Simulation_output!I588</f>
        <v>0</v>
      </c>
      <c r="E588">
        <f>Simulation_Input!E588- Simulation_output!J588</f>
        <v>0</v>
      </c>
    </row>
    <row r="589" spans="1:5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Simulation_output!I589</f>
        <v>0</v>
      </c>
      <c r="E589">
        <f>Simulation_Input!E589- Simulation_output!J589</f>
        <v>0</v>
      </c>
    </row>
    <row r="590" spans="1:5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Simulation_output!I590</f>
        <v>0</v>
      </c>
      <c r="E590">
        <f>Simulation_Input!E590- Simulation_output!J590</f>
        <v>0</v>
      </c>
    </row>
    <row r="591" spans="1:5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Simulation_output!I591</f>
        <v>0</v>
      </c>
      <c r="E591">
        <f>Simulation_Input!E591- Simulation_output!J591</f>
        <v>0</v>
      </c>
    </row>
    <row r="592" spans="1:5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Simulation_output!I592</f>
        <v>0</v>
      </c>
      <c r="E592">
        <f>Simulation_Input!E592- Simulation_output!J592</f>
        <v>0</v>
      </c>
    </row>
    <row r="593" spans="1:5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Simulation_output!I593</f>
        <v>0</v>
      </c>
      <c r="E593">
        <f>Simulation_Input!E593- Simulation_output!J593</f>
        <v>0</v>
      </c>
    </row>
    <row r="594" spans="1:5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Simulation_output!I594</f>
        <v>0</v>
      </c>
      <c r="E594">
        <f>Simulation_Input!E594- Simulation_output!J594</f>
        <v>0</v>
      </c>
    </row>
    <row r="595" spans="1:5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Simulation_output!I595</f>
        <v>0</v>
      </c>
      <c r="E595">
        <f>Simulation_Input!E595- Simulation_output!J595</f>
        <v>0</v>
      </c>
    </row>
    <row r="596" spans="1:5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Simulation_output!I596</f>
        <v>0</v>
      </c>
      <c r="E596">
        <f>Simulation_Input!E596- Simulation_output!J596</f>
        <v>0</v>
      </c>
    </row>
    <row r="597" spans="1:5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Simulation_output!I597</f>
        <v>0</v>
      </c>
      <c r="E597">
        <f>Simulation_Input!E597- Simulation_output!J597</f>
        <v>0</v>
      </c>
    </row>
    <row r="598" spans="1:5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Simulation_output!I598</f>
        <v>0</v>
      </c>
      <c r="E598">
        <f>Simulation_Input!E598- Simulation_output!J598</f>
        <v>0</v>
      </c>
    </row>
    <row r="599" spans="1:5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Simulation_output!I599</f>
        <v>0</v>
      </c>
      <c r="E599">
        <f>Simulation_Input!E599- Simulation_output!J599</f>
        <v>0</v>
      </c>
    </row>
    <row r="600" spans="1:5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Simulation_output!I600</f>
        <v>0</v>
      </c>
      <c r="E600">
        <f>Simulation_Input!E600- Simulation_output!J600</f>
        <v>0</v>
      </c>
    </row>
    <row r="601" spans="1:5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Simulation_output!I601</f>
        <v>0</v>
      </c>
      <c r="E601">
        <f>Simulation_Input!E601- Simulation_output!J601</f>
        <v>0</v>
      </c>
    </row>
    <row r="602" spans="1:5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Simulation_output!I602</f>
        <v>0</v>
      </c>
      <c r="E602">
        <f>Simulation_Input!E602- Simulation_output!J602</f>
        <v>0</v>
      </c>
    </row>
    <row r="603" spans="1:5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Simulation_output!I603</f>
        <v>0</v>
      </c>
      <c r="E603">
        <f>Simulation_Input!E603- Simulation_output!J603</f>
        <v>0</v>
      </c>
    </row>
    <row r="604" spans="1:5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Simulation_output!I604</f>
        <v>0</v>
      </c>
      <c r="E604">
        <f>Simulation_Input!E604- Simulation_output!J604</f>
        <v>0</v>
      </c>
    </row>
    <row r="605" spans="1:5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Simulation_output!I605</f>
        <v>0</v>
      </c>
      <c r="E605">
        <f>Simulation_Input!E605- Simulation_output!J605</f>
        <v>0</v>
      </c>
    </row>
    <row r="606" spans="1:5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Simulation_output!I606</f>
        <v>0</v>
      </c>
      <c r="E606">
        <f>Simulation_Input!E606- Simulation_output!J606</f>
        <v>0</v>
      </c>
    </row>
    <row r="607" spans="1:5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Simulation_output!I607</f>
        <v>0</v>
      </c>
      <c r="E607">
        <f>Simulation_Input!E607- Simulation_output!J607</f>
        <v>0</v>
      </c>
    </row>
    <row r="608" spans="1:5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Simulation_output!I608</f>
        <v>0</v>
      </c>
      <c r="E608">
        <f>Simulation_Input!E608- Simulation_output!J608</f>
        <v>0</v>
      </c>
    </row>
    <row r="609" spans="1:5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Simulation_output!I609</f>
        <v>0</v>
      </c>
      <c r="E609">
        <f>Simulation_Input!E609- Simulation_output!J609</f>
        <v>0</v>
      </c>
    </row>
    <row r="610" spans="1:5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Simulation_output!I610</f>
        <v>0</v>
      </c>
      <c r="E610">
        <f>Simulation_Input!E610- Simulation_output!J610</f>
        <v>0</v>
      </c>
    </row>
    <row r="611" spans="1:5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Simulation_output!I611</f>
        <v>0</v>
      </c>
      <c r="E611">
        <f>Simulation_Input!E611- Simulation_output!J611</f>
        <v>0</v>
      </c>
    </row>
    <row r="612" spans="1:5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Simulation_output!I612</f>
        <v>0</v>
      </c>
      <c r="E612">
        <f>Simulation_Input!E612- Simulation_output!J612</f>
        <v>0</v>
      </c>
    </row>
    <row r="613" spans="1:5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Simulation_output!I613</f>
        <v>0</v>
      </c>
      <c r="E613">
        <f>Simulation_Input!E613- Simulation_output!J613</f>
        <v>0</v>
      </c>
    </row>
    <row r="614" spans="1:5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Simulation_output!I614</f>
        <v>0</v>
      </c>
      <c r="E614">
        <f>Simulation_Input!E614- Simulation_output!J614</f>
        <v>0</v>
      </c>
    </row>
    <row r="615" spans="1:5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Simulation_output!I615</f>
        <v>0</v>
      </c>
      <c r="E615">
        <f>Simulation_Input!E615- Simulation_output!J615</f>
        <v>0</v>
      </c>
    </row>
    <row r="616" spans="1:5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Simulation_output!I616</f>
        <v>0</v>
      </c>
      <c r="E616">
        <f>Simulation_Input!E616- Simulation_output!J616</f>
        <v>0</v>
      </c>
    </row>
    <row r="617" spans="1:5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Simulation_output!I617</f>
        <v>0</v>
      </c>
      <c r="E617">
        <f>Simulation_Input!E617- Simulation_output!J617</f>
        <v>0</v>
      </c>
    </row>
    <row r="618" spans="1:5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Simulation_output!I618</f>
        <v>0</v>
      </c>
      <c r="E618">
        <f>Simulation_Input!E618- Simulation_output!J618</f>
        <v>0</v>
      </c>
    </row>
    <row r="619" spans="1:5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Simulation_output!I619</f>
        <v>0</v>
      </c>
      <c r="E619">
        <f>Simulation_Input!E619- Simulation_output!J619</f>
        <v>0</v>
      </c>
    </row>
    <row r="620" spans="1:5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Simulation_output!I620</f>
        <v>0</v>
      </c>
      <c r="E620">
        <f>Simulation_Input!E620- Simulation_output!J620</f>
        <v>0</v>
      </c>
    </row>
    <row r="621" spans="1:5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Simulation_output!I621</f>
        <v>0</v>
      </c>
      <c r="E621">
        <f>Simulation_Input!E621- Simulation_output!J621</f>
        <v>0</v>
      </c>
    </row>
    <row r="622" spans="1:5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Simulation_output!I622</f>
        <v>0</v>
      </c>
      <c r="E622">
        <f>Simulation_Input!E622- Simulation_output!J622</f>
        <v>0</v>
      </c>
    </row>
    <row r="623" spans="1:5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Simulation_output!I623</f>
        <v>0</v>
      </c>
      <c r="E623">
        <f>Simulation_Input!E623- Simulation_output!J623</f>
        <v>0</v>
      </c>
    </row>
    <row r="624" spans="1:5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Simulation_output!I624</f>
        <v>0</v>
      </c>
      <c r="E624">
        <f>Simulation_Input!E624- Simulation_output!J624</f>
        <v>0</v>
      </c>
    </row>
    <row r="625" spans="1:5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Simulation_output!I625</f>
        <v>0</v>
      </c>
      <c r="E625">
        <f>Simulation_Input!E625- Simulation_output!J625</f>
        <v>0</v>
      </c>
    </row>
    <row r="626" spans="1:5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Simulation_output!I626</f>
        <v>0</v>
      </c>
      <c r="E626">
        <f>Simulation_Input!E626- Simulation_output!J626</f>
        <v>0</v>
      </c>
    </row>
    <row r="627" spans="1:5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Simulation_output!I627</f>
        <v>0</v>
      </c>
      <c r="E627">
        <f>Simulation_Input!E627- Simulation_output!J627</f>
        <v>0</v>
      </c>
    </row>
    <row r="628" spans="1:5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Simulation_output!I628</f>
        <v>0</v>
      </c>
      <c r="E628">
        <f>Simulation_Input!E628- Simulation_output!J628</f>
        <v>0</v>
      </c>
    </row>
    <row r="629" spans="1:5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Simulation_output!I629</f>
        <v>0</v>
      </c>
      <c r="E629">
        <f>Simulation_Input!E629- Simulation_output!J629</f>
        <v>0</v>
      </c>
    </row>
    <row r="630" spans="1:5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Simulation_output!I630</f>
        <v>0</v>
      </c>
      <c r="E630">
        <f>Simulation_Input!E630- Simulation_output!J630</f>
        <v>0</v>
      </c>
    </row>
    <row r="631" spans="1:5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Simulation_output!I631</f>
        <v>0</v>
      </c>
      <c r="E631">
        <f>Simulation_Input!E631- Simulation_output!J631</f>
        <v>0</v>
      </c>
    </row>
    <row r="632" spans="1:5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Simulation_output!I632</f>
        <v>0</v>
      </c>
      <c r="E632">
        <f>Simulation_Input!E632- Simulation_output!J632</f>
        <v>0</v>
      </c>
    </row>
    <row r="633" spans="1:5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Simulation_output!I633</f>
        <v>0</v>
      </c>
      <c r="E633">
        <f>Simulation_Input!E633- Simulation_output!J633</f>
        <v>0</v>
      </c>
    </row>
    <row r="634" spans="1:5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Simulation_output!I634</f>
        <v>0</v>
      </c>
      <c r="E634">
        <f>Simulation_Input!E634- Simulation_output!J634</f>
        <v>0</v>
      </c>
    </row>
    <row r="635" spans="1:5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Simulation_output!I635</f>
        <v>0</v>
      </c>
      <c r="E635">
        <f>Simulation_Input!E635- Simulation_output!J635</f>
        <v>0</v>
      </c>
    </row>
    <row r="636" spans="1:5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Simulation_output!I636</f>
        <v>0</v>
      </c>
      <c r="E636">
        <f>Simulation_Input!E636- Simulation_output!J636</f>
        <v>0</v>
      </c>
    </row>
    <row r="637" spans="1:5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Simulation_output!I637</f>
        <v>0</v>
      </c>
      <c r="E637">
        <f>Simulation_Input!E637- Simulation_output!J637</f>
        <v>0</v>
      </c>
    </row>
    <row r="638" spans="1:5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Simulation_output!I638</f>
        <v>0</v>
      </c>
      <c r="E638">
        <f>Simulation_Input!E638- Simulation_output!J638</f>
        <v>0</v>
      </c>
    </row>
    <row r="639" spans="1:5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Simulation_output!I639</f>
        <v>0</v>
      </c>
      <c r="E639">
        <f>Simulation_Input!E639- Simulation_output!J639</f>
        <v>0</v>
      </c>
    </row>
    <row r="640" spans="1:5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Simulation_output!I640</f>
        <v>0</v>
      </c>
      <c r="E640">
        <f>Simulation_Input!E640- Simulation_output!J640</f>
        <v>0</v>
      </c>
    </row>
    <row r="641" spans="1:5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Simulation_output!I641</f>
        <v>0</v>
      </c>
      <c r="E641">
        <f>Simulation_Input!E641- Simulation_output!J641</f>
        <v>0</v>
      </c>
    </row>
    <row r="642" spans="1:5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Simulation_output!I642</f>
        <v>0</v>
      </c>
      <c r="E642">
        <f>Simulation_Input!E642- Simulation_output!J642</f>
        <v>0</v>
      </c>
    </row>
    <row r="643" spans="1:5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Simulation_output!I643</f>
        <v>0</v>
      </c>
      <c r="E643">
        <f>Simulation_Input!E643- Simulation_output!J643</f>
        <v>0</v>
      </c>
    </row>
    <row r="644" spans="1:5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Simulation_output!I644</f>
        <v>0</v>
      </c>
      <c r="E644">
        <f>Simulation_Input!E644- Simulation_output!J644</f>
        <v>0</v>
      </c>
    </row>
    <row r="645" spans="1:5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Simulation_output!I645</f>
        <v>0</v>
      </c>
      <c r="E645">
        <f>Simulation_Input!E645- Simulation_output!J645</f>
        <v>0</v>
      </c>
    </row>
    <row r="646" spans="1:5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Simulation_output!I646</f>
        <v>0</v>
      </c>
      <c r="E646">
        <f>Simulation_Input!E646- Simulation_output!J646</f>
        <v>0</v>
      </c>
    </row>
    <row r="647" spans="1:5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Simulation_output!I647</f>
        <v>0</v>
      </c>
      <c r="E647">
        <f>Simulation_Input!E647- Simulation_output!J647</f>
        <v>0</v>
      </c>
    </row>
    <row r="648" spans="1:5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Simulation_output!I648</f>
        <v>0</v>
      </c>
      <c r="E648">
        <f>Simulation_Input!E648- Simulation_output!J648</f>
        <v>0</v>
      </c>
    </row>
    <row r="649" spans="1:5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Simulation_output!I649</f>
        <v>0</v>
      </c>
      <c r="E649">
        <f>Simulation_Input!E649- Simulation_output!J649</f>
        <v>0</v>
      </c>
    </row>
    <row r="650" spans="1:5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Simulation_output!I650</f>
        <v>0</v>
      </c>
      <c r="E650">
        <f>Simulation_Input!E650- Simulation_output!J650</f>
        <v>0</v>
      </c>
    </row>
    <row r="651" spans="1:5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Simulation_output!I651</f>
        <v>0</v>
      </c>
      <c r="E651">
        <f>Simulation_Input!E651- Simulation_output!J651</f>
        <v>0</v>
      </c>
    </row>
    <row r="652" spans="1:5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Simulation_output!I652</f>
        <v>0</v>
      </c>
      <c r="E652">
        <f>Simulation_Input!E652- Simulation_output!J652</f>
        <v>0</v>
      </c>
    </row>
    <row r="653" spans="1:5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Simulation_output!I653</f>
        <v>0</v>
      </c>
      <c r="E653">
        <f>Simulation_Input!E653- Simulation_output!J653</f>
        <v>0</v>
      </c>
    </row>
    <row r="654" spans="1:5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Simulation_output!I654</f>
        <v>0</v>
      </c>
      <c r="E654">
        <f>Simulation_Input!E654- Simulation_output!J654</f>
        <v>0</v>
      </c>
    </row>
    <row r="655" spans="1:5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Simulation_output!I655</f>
        <v>0</v>
      </c>
      <c r="E655">
        <f>Simulation_Input!E655- Simulation_output!J655</f>
        <v>0</v>
      </c>
    </row>
    <row r="656" spans="1:5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Simulation_output!I656</f>
        <v>0</v>
      </c>
      <c r="E656">
        <f>Simulation_Input!E656- Simulation_output!J656</f>
        <v>0</v>
      </c>
    </row>
    <row r="657" spans="1:5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Simulation_output!I657</f>
        <v>0</v>
      </c>
      <c r="E657">
        <f>Simulation_Input!E657- Simulation_output!J657</f>
        <v>0</v>
      </c>
    </row>
    <row r="658" spans="1:5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Simulation_output!I658</f>
        <v>0</v>
      </c>
      <c r="E658">
        <f>Simulation_Input!E658- Simulation_output!J658</f>
        <v>0</v>
      </c>
    </row>
    <row r="659" spans="1:5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Simulation_output!I659</f>
        <v>0</v>
      </c>
      <c r="E659">
        <f>Simulation_Input!E659- Simulation_output!J659</f>
        <v>0</v>
      </c>
    </row>
    <row r="660" spans="1:5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Simulation_output!I660</f>
        <v>0</v>
      </c>
      <c r="E660">
        <f>Simulation_Input!E660- Simulation_output!J660</f>
        <v>0</v>
      </c>
    </row>
    <row r="661" spans="1:5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Simulation_output!I661</f>
        <v>0</v>
      </c>
      <c r="E661">
        <f>Simulation_Input!E661- Simulation_output!J661</f>
        <v>0</v>
      </c>
    </row>
    <row r="662" spans="1:5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Simulation_output!I662</f>
        <v>0</v>
      </c>
      <c r="E662">
        <f>Simulation_Input!E662- Simulation_output!J662</f>
        <v>0</v>
      </c>
    </row>
    <row r="663" spans="1:5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Simulation_output!I663</f>
        <v>0</v>
      </c>
      <c r="E663">
        <f>Simulation_Input!E663- Simulation_output!J663</f>
        <v>0</v>
      </c>
    </row>
    <row r="664" spans="1:5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Simulation_output!I664</f>
        <v>0</v>
      </c>
      <c r="E664">
        <f>Simulation_Input!E664- Simulation_output!J664</f>
        <v>0</v>
      </c>
    </row>
    <row r="665" spans="1:5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Simulation_output!I665</f>
        <v>0</v>
      </c>
      <c r="E665">
        <f>Simulation_Input!E665- Simulation_output!J665</f>
        <v>0</v>
      </c>
    </row>
    <row r="666" spans="1:5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Simulation_output!I666</f>
        <v>0</v>
      </c>
      <c r="E666">
        <f>Simulation_Input!E666- Simulation_output!J666</f>
        <v>0</v>
      </c>
    </row>
    <row r="667" spans="1:5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Simulation_output!I667</f>
        <v>0</v>
      </c>
      <c r="E667">
        <f>Simulation_Input!E667- Simulation_output!J667</f>
        <v>0</v>
      </c>
    </row>
    <row r="668" spans="1:5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Simulation_output!I668</f>
        <v>0</v>
      </c>
      <c r="E668">
        <f>Simulation_Input!E668- Simulation_output!J668</f>
        <v>0</v>
      </c>
    </row>
    <row r="669" spans="1:5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Simulation_output!I669</f>
        <v>0</v>
      </c>
      <c r="E669">
        <f>Simulation_Input!E669- Simulation_output!J669</f>
        <v>0</v>
      </c>
    </row>
    <row r="670" spans="1:5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Simulation_output!I670</f>
        <v>0</v>
      </c>
      <c r="E670">
        <f>Simulation_Input!E670- Simulation_output!J670</f>
        <v>0</v>
      </c>
    </row>
    <row r="671" spans="1:5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Simulation_output!I671</f>
        <v>0</v>
      </c>
      <c r="E671">
        <f>Simulation_Input!E671- Simulation_output!J671</f>
        <v>0</v>
      </c>
    </row>
    <row r="672" spans="1:5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Simulation_output!I672</f>
        <v>0</v>
      </c>
      <c r="E672">
        <f>Simulation_Input!E672- Simulation_output!J672</f>
        <v>0</v>
      </c>
    </row>
    <row r="673" spans="1:5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Simulation_output!I673</f>
        <v>0</v>
      </c>
      <c r="E673">
        <f>Simulation_Input!E673- Simulation_output!J673</f>
        <v>0</v>
      </c>
    </row>
    <row r="674" spans="1:5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Simulation_output!I674</f>
        <v>0</v>
      </c>
      <c r="E674">
        <f>Simulation_Input!E674- Simulation_output!J674</f>
        <v>0</v>
      </c>
    </row>
    <row r="675" spans="1:5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Simulation_output!I675</f>
        <v>0</v>
      </c>
      <c r="E675">
        <f>Simulation_Input!E675- Simulation_output!J675</f>
        <v>0</v>
      </c>
    </row>
    <row r="676" spans="1:5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Simulation_output!I676</f>
        <v>0</v>
      </c>
      <c r="E676">
        <f>Simulation_Input!E676- Simulation_output!J676</f>
        <v>0</v>
      </c>
    </row>
    <row r="677" spans="1:5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Simulation_output!I677</f>
        <v>0</v>
      </c>
      <c r="E677">
        <f>Simulation_Input!E677- Simulation_output!J677</f>
        <v>0</v>
      </c>
    </row>
    <row r="678" spans="1:5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Simulation_output!I678</f>
        <v>0</v>
      </c>
      <c r="E678">
        <f>Simulation_Input!E678- Simulation_output!J678</f>
        <v>0</v>
      </c>
    </row>
    <row r="679" spans="1:5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Simulation_output!I679</f>
        <v>0</v>
      </c>
      <c r="E679">
        <f>Simulation_Input!E679- Simulation_output!J679</f>
        <v>0</v>
      </c>
    </row>
    <row r="680" spans="1:5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Simulation_output!I680</f>
        <v>0</v>
      </c>
      <c r="E680">
        <f>Simulation_Input!E680- Simulation_output!J680</f>
        <v>0</v>
      </c>
    </row>
    <row r="681" spans="1:5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Simulation_output!I681</f>
        <v>0</v>
      </c>
      <c r="E681">
        <f>Simulation_Input!E681- Simulation_output!J681</f>
        <v>0</v>
      </c>
    </row>
    <row r="682" spans="1:5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Simulation_output!I682</f>
        <v>0</v>
      </c>
      <c r="E682">
        <f>Simulation_Input!E682- Simulation_output!J682</f>
        <v>0</v>
      </c>
    </row>
    <row r="683" spans="1:5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Simulation_output!I683</f>
        <v>0</v>
      </c>
      <c r="E683">
        <f>Simulation_Input!E683- Simulation_output!J683</f>
        <v>0</v>
      </c>
    </row>
    <row r="684" spans="1:5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Simulation_output!I684</f>
        <v>0</v>
      </c>
      <c r="E684">
        <f>Simulation_Input!E684- Simulation_output!J684</f>
        <v>0</v>
      </c>
    </row>
    <row r="685" spans="1:5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Simulation_output!I685</f>
        <v>0</v>
      </c>
      <c r="E685">
        <f>Simulation_Input!E685- Simulation_output!J685</f>
        <v>0</v>
      </c>
    </row>
    <row r="686" spans="1:5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Simulation_output!I686</f>
        <v>0</v>
      </c>
      <c r="E686">
        <f>Simulation_Input!E686- Simulation_output!J686</f>
        <v>0</v>
      </c>
    </row>
    <row r="687" spans="1:5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Simulation_output!I687</f>
        <v>0</v>
      </c>
      <c r="E687">
        <f>Simulation_Input!E687- Simulation_output!J687</f>
        <v>0</v>
      </c>
    </row>
    <row r="688" spans="1:5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Simulation_output!I688</f>
        <v>0</v>
      </c>
      <c r="E688">
        <f>Simulation_Input!E688- Simulation_output!J688</f>
        <v>0</v>
      </c>
    </row>
    <row r="689" spans="1:5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Simulation_output!I689</f>
        <v>0</v>
      </c>
      <c r="E689">
        <f>Simulation_Input!E689- Simulation_output!J689</f>
        <v>0</v>
      </c>
    </row>
    <row r="690" spans="1:5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Simulation_output!I690</f>
        <v>0</v>
      </c>
      <c r="E690">
        <f>Simulation_Input!E690- Simulation_output!J690</f>
        <v>0</v>
      </c>
    </row>
    <row r="691" spans="1:5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Simulation_output!I691</f>
        <v>0</v>
      </c>
      <c r="E691">
        <f>Simulation_Input!E691- Simulation_output!J691</f>
        <v>0</v>
      </c>
    </row>
    <row r="692" spans="1:5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Simulation_output!I692</f>
        <v>0</v>
      </c>
      <c r="E692">
        <f>Simulation_Input!E692- Simulation_output!J692</f>
        <v>0</v>
      </c>
    </row>
    <row r="693" spans="1:5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Simulation_output!I693</f>
        <v>0</v>
      </c>
      <c r="E693">
        <f>Simulation_Input!E693- Simulation_output!J693</f>
        <v>0</v>
      </c>
    </row>
    <row r="694" spans="1:5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Simulation_output!I694</f>
        <v>0</v>
      </c>
      <c r="E694">
        <f>Simulation_Input!E694- Simulation_output!J694</f>
        <v>0</v>
      </c>
    </row>
    <row r="695" spans="1:5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Simulation_output!I695</f>
        <v>0</v>
      </c>
      <c r="E695">
        <f>Simulation_Input!E695- Simulation_output!J695</f>
        <v>0</v>
      </c>
    </row>
    <row r="696" spans="1:5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Simulation_output!I696</f>
        <v>0</v>
      </c>
      <c r="E696">
        <f>Simulation_Input!E696- Simulation_output!J696</f>
        <v>0</v>
      </c>
    </row>
    <row r="697" spans="1:5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Simulation_output!I697</f>
        <v>0</v>
      </c>
      <c r="E697">
        <f>Simulation_Input!E697- Simulation_output!J697</f>
        <v>0</v>
      </c>
    </row>
    <row r="698" spans="1:5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Simulation_output!I698</f>
        <v>0</v>
      </c>
      <c r="E698">
        <f>Simulation_Input!E698- Simulation_output!J698</f>
        <v>0</v>
      </c>
    </row>
    <row r="699" spans="1:5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Simulation_output!I699</f>
        <v>0</v>
      </c>
      <c r="E699">
        <f>Simulation_Input!E699- Simulation_output!J699</f>
        <v>0</v>
      </c>
    </row>
    <row r="700" spans="1:5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Simulation_output!I700</f>
        <v>0</v>
      </c>
      <c r="E700">
        <f>Simulation_Input!E700- Simulation_output!J700</f>
        <v>0</v>
      </c>
    </row>
    <row r="701" spans="1:5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Simulation_output!I701</f>
        <v>0</v>
      </c>
      <c r="E701">
        <f>Simulation_Input!E701- Simulation_output!J701</f>
        <v>0</v>
      </c>
    </row>
    <row r="702" spans="1:5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Simulation_output!I702</f>
        <v>0</v>
      </c>
      <c r="E702">
        <f>Simulation_Input!E702- Simulation_output!J702</f>
        <v>0</v>
      </c>
    </row>
    <row r="703" spans="1:5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Simulation_output!I703</f>
        <v>0</v>
      </c>
      <c r="E703">
        <f>Simulation_Input!E703- Simulation_output!J703</f>
        <v>0</v>
      </c>
    </row>
    <row r="704" spans="1:5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Simulation_output!I704</f>
        <v>0</v>
      </c>
      <c r="E704">
        <f>Simulation_Input!E704- Simulation_output!J704</f>
        <v>0</v>
      </c>
    </row>
    <row r="705" spans="1:5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Simulation_output!I705</f>
        <v>0</v>
      </c>
      <c r="E705">
        <f>Simulation_Input!E705- Simulation_output!J705</f>
        <v>0</v>
      </c>
    </row>
    <row r="706" spans="1:5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Simulation_output!I706</f>
        <v>0</v>
      </c>
      <c r="E706">
        <f>Simulation_Input!E706- Simulation_output!J706</f>
        <v>0</v>
      </c>
    </row>
    <row r="707" spans="1:5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Simulation_output!I707</f>
        <v>0</v>
      </c>
      <c r="E707">
        <f>Simulation_Input!E707- Simulation_output!J707</f>
        <v>0</v>
      </c>
    </row>
    <row r="708" spans="1:5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Simulation_output!I708</f>
        <v>0</v>
      </c>
      <c r="E708">
        <f>Simulation_Input!E708- Simulation_output!J708</f>
        <v>0</v>
      </c>
    </row>
    <row r="709" spans="1:5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Simulation_output!I709</f>
        <v>0</v>
      </c>
      <c r="E709">
        <f>Simulation_Input!E709- Simulation_output!J709</f>
        <v>0</v>
      </c>
    </row>
    <row r="710" spans="1:5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Simulation_output!I710</f>
        <v>0</v>
      </c>
      <c r="E710">
        <f>Simulation_Input!E710- Simulation_output!J710</f>
        <v>0</v>
      </c>
    </row>
    <row r="711" spans="1:5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Simulation_output!I711</f>
        <v>0</v>
      </c>
      <c r="E711">
        <f>Simulation_Input!E711- Simulation_output!J711</f>
        <v>0</v>
      </c>
    </row>
    <row r="712" spans="1:5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Simulation_output!I712</f>
        <v>0</v>
      </c>
      <c r="E712">
        <f>Simulation_Input!E712- Simulation_output!J712</f>
        <v>0</v>
      </c>
    </row>
    <row r="713" spans="1:5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Simulation_output!I713</f>
        <v>0</v>
      </c>
      <c r="E713">
        <f>Simulation_Input!E713- Simulation_output!J713</f>
        <v>0</v>
      </c>
    </row>
    <row r="714" spans="1:5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Simulation_output!I714</f>
        <v>0</v>
      </c>
      <c r="E714">
        <f>Simulation_Input!E714- Simulation_output!J714</f>
        <v>0</v>
      </c>
    </row>
    <row r="715" spans="1:5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Simulation_output!I715</f>
        <v>0</v>
      </c>
      <c r="E715">
        <f>Simulation_Input!E715- Simulation_output!J715</f>
        <v>0</v>
      </c>
    </row>
    <row r="716" spans="1:5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Simulation_output!I716</f>
        <v>0</v>
      </c>
      <c r="E716">
        <f>Simulation_Input!E716- Simulation_output!J716</f>
        <v>0</v>
      </c>
    </row>
    <row r="717" spans="1:5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Simulation_output!I717</f>
        <v>0</v>
      </c>
      <c r="E717">
        <f>Simulation_Input!E717- Simulation_output!J717</f>
        <v>0</v>
      </c>
    </row>
    <row r="718" spans="1:5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Simulation_output!I718</f>
        <v>0</v>
      </c>
      <c r="E718">
        <f>Simulation_Input!E718- Simulation_output!J718</f>
        <v>0</v>
      </c>
    </row>
    <row r="719" spans="1:5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Simulation_output!I719</f>
        <v>0</v>
      </c>
      <c r="E719">
        <f>Simulation_Input!E719- Simulation_output!J719</f>
        <v>0</v>
      </c>
    </row>
    <row r="720" spans="1:5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Simulation_output!I720</f>
        <v>0</v>
      </c>
      <c r="E720">
        <f>Simulation_Input!E720- Simulation_output!J720</f>
        <v>0</v>
      </c>
    </row>
    <row r="721" spans="1:5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Simulation_output!I721</f>
        <v>0</v>
      </c>
      <c r="E721">
        <f>Simulation_Input!E721- Simulation_output!J721</f>
        <v>0</v>
      </c>
    </row>
    <row r="722" spans="1:5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Simulation_output!I722</f>
        <v>0</v>
      </c>
      <c r="E722">
        <f>Simulation_Input!E722- Simulation_output!J722</f>
        <v>0</v>
      </c>
    </row>
    <row r="723" spans="1:5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Simulation_output!I723</f>
        <v>0</v>
      </c>
      <c r="E723">
        <f>Simulation_Input!E723- Simulation_output!J723</f>
        <v>0</v>
      </c>
    </row>
    <row r="724" spans="1:5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Simulation_output!I724</f>
        <v>0</v>
      </c>
      <c r="E724">
        <f>Simulation_Input!E724- Simulation_output!J724</f>
        <v>0</v>
      </c>
    </row>
    <row r="725" spans="1:5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Simulation_output!I725</f>
        <v>0</v>
      </c>
      <c r="E725">
        <f>Simulation_Input!E725- Simulation_output!J725</f>
        <v>0</v>
      </c>
    </row>
    <row r="726" spans="1:5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Simulation_output!I726</f>
        <v>0</v>
      </c>
      <c r="E726">
        <f>Simulation_Input!E726- Simulation_output!J726</f>
        <v>0</v>
      </c>
    </row>
    <row r="727" spans="1:5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Simulation_output!I727</f>
        <v>0</v>
      </c>
      <c r="E727">
        <f>Simulation_Input!E727- Simulation_output!J727</f>
        <v>0</v>
      </c>
    </row>
    <row r="728" spans="1:5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Simulation_output!I728</f>
        <v>0</v>
      </c>
      <c r="E728">
        <f>Simulation_Input!E728- Simulation_output!J728</f>
        <v>0</v>
      </c>
    </row>
    <row r="729" spans="1:5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Simulation_output!I729</f>
        <v>0</v>
      </c>
      <c r="E729">
        <f>Simulation_Input!E729- Simulation_output!J729</f>
        <v>0</v>
      </c>
    </row>
    <row r="730" spans="1:5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Simulation_output!I730</f>
        <v>0</v>
      </c>
      <c r="E730">
        <f>Simulation_Input!E730- Simulation_output!J730</f>
        <v>0</v>
      </c>
    </row>
    <row r="731" spans="1:5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Simulation_output!I731</f>
        <v>0</v>
      </c>
      <c r="E731">
        <f>Simulation_Input!E731- Simulation_output!J731</f>
        <v>0</v>
      </c>
    </row>
    <row r="732" spans="1:5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Simulation_output!I732</f>
        <v>0</v>
      </c>
      <c r="E732">
        <f>Simulation_Input!E732- Simulation_output!J732</f>
        <v>0</v>
      </c>
    </row>
    <row r="733" spans="1:5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Simulation_output!I733</f>
        <v>0</v>
      </c>
      <c r="E733">
        <f>Simulation_Input!E733- Simulation_output!J733</f>
        <v>0</v>
      </c>
    </row>
    <row r="734" spans="1:5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Simulation_output!I734</f>
        <v>0</v>
      </c>
      <c r="E734">
        <f>Simulation_Input!E734- Simulation_output!J734</f>
        <v>0</v>
      </c>
    </row>
    <row r="735" spans="1:5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Simulation_output!I735</f>
        <v>0</v>
      </c>
      <c r="E735">
        <f>Simulation_Input!E735- Simulation_output!J735</f>
        <v>0</v>
      </c>
    </row>
    <row r="736" spans="1:5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Simulation_output!I736</f>
        <v>0</v>
      </c>
      <c r="E736">
        <f>Simulation_Input!E736- Simulation_output!J736</f>
        <v>0</v>
      </c>
    </row>
    <row r="737" spans="1:5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Simulation_output!I737</f>
        <v>0</v>
      </c>
      <c r="E737">
        <f>Simulation_Input!E737- Simulation_output!J737</f>
        <v>0</v>
      </c>
    </row>
    <row r="738" spans="1:5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Simulation_output!I738</f>
        <v>0</v>
      </c>
      <c r="E738">
        <f>Simulation_Input!E738- Simulation_output!J738</f>
        <v>0</v>
      </c>
    </row>
    <row r="739" spans="1:5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Simulation_output!I739</f>
        <v>0</v>
      </c>
      <c r="E739">
        <f>Simulation_Input!E739- Simulation_output!J739</f>
        <v>0</v>
      </c>
    </row>
    <row r="740" spans="1:5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Simulation_output!I740</f>
        <v>0</v>
      </c>
      <c r="E740">
        <f>Simulation_Input!E740- Simulation_output!J740</f>
        <v>0</v>
      </c>
    </row>
    <row r="741" spans="1:5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Simulation_output!I741</f>
        <v>0</v>
      </c>
      <c r="E741">
        <f>Simulation_Input!E741- Simulation_output!J741</f>
        <v>0</v>
      </c>
    </row>
    <row r="742" spans="1:5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Simulation_output!I742</f>
        <v>0</v>
      </c>
      <c r="E742">
        <f>Simulation_Input!E742- Simulation_output!J742</f>
        <v>0</v>
      </c>
    </row>
    <row r="743" spans="1:5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Simulation_output!I743</f>
        <v>0</v>
      </c>
      <c r="E743">
        <f>Simulation_Input!E743- Simulation_output!J743</f>
        <v>0</v>
      </c>
    </row>
    <row r="744" spans="1:5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Simulation_output!I744</f>
        <v>0</v>
      </c>
      <c r="E744">
        <f>Simulation_Input!E744- Simulation_output!J744</f>
        <v>0</v>
      </c>
    </row>
    <row r="745" spans="1:5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Simulation_output!I745</f>
        <v>0</v>
      </c>
      <c r="E745">
        <f>Simulation_Input!E745- Simulation_output!J745</f>
        <v>0</v>
      </c>
    </row>
    <row r="746" spans="1:5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Simulation_output!I746</f>
        <v>0</v>
      </c>
      <c r="E746">
        <f>Simulation_Input!E746- Simulation_output!J746</f>
        <v>0</v>
      </c>
    </row>
    <row r="747" spans="1:5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Simulation_output!I747</f>
        <v>0</v>
      </c>
      <c r="E747">
        <f>Simulation_Input!E747- Simulation_output!J747</f>
        <v>0</v>
      </c>
    </row>
    <row r="748" spans="1:5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Simulation_output!I748</f>
        <v>0</v>
      </c>
      <c r="E748">
        <f>Simulation_Input!E748- Simulation_output!J748</f>
        <v>0</v>
      </c>
    </row>
    <row r="749" spans="1:5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Simulation_output!I749</f>
        <v>0</v>
      </c>
      <c r="E749">
        <f>Simulation_Input!E749- Simulation_output!J749</f>
        <v>0</v>
      </c>
    </row>
    <row r="750" spans="1:5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Simulation_output!I750</f>
        <v>0</v>
      </c>
      <c r="E750">
        <f>Simulation_Input!E750- Simulation_output!J750</f>
        <v>0</v>
      </c>
    </row>
    <row r="751" spans="1:5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Simulation_output!I751</f>
        <v>0</v>
      </c>
      <c r="E751">
        <f>Simulation_Input!E751- Simulation_output!J751</f>
        <v>0</v>
      </c>
    </row>
    <row r="752" spans="1:5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Simulation_output!I752</f>
        <v>0</v>
      </c>
      <c r="E752">
        <f>Simulation_Input!E752- Simulation_output!J752</f>
        <v>0</v>
      </c>
    </row>
    <row r="753" spans="1:5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Simulation_output!I753</f>
        <v>0</v>
      </c>
      <c r="E753">
        <f>Simulation_Input!E753- Simulation_output!J753</f>
        <v>0</v>
      </c>
    </row>
    <row r="754" spans="1:5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Simulation_output!I754</f>
        <v>0</v>
      </c>
      <c r="E754">
        <f>Simulation_Input!E754- Simulation_output!J754</f>
        <v>0</v>
      </c>
    </row>
    <row r="755" spans="1:5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Simulation_output!I755</f>
        <v>0</v>
      </c>
      <c r="E755">
        <f>Simulation_Input!E755- Simulation_output!J755</f>
        <v>0</v>
      </c>
    </row>
    <row r="756" spans="1:5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Simulation_output!I756</f>
        <v>0</v>
      </c>
      <c r="E756">
        <f>Simulation_Input!E756- Simulation_output!J756</f>
        <v>0</v>
      </c>
    </row>
    <row r="757" spans="1:5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Simulation_output!I757</f>
        <v>0</v>
      </c>
      <c r="E757">
        <f>Simulation_Input!E757- Simulation_output!J757</f>
        <v>0</v>
      </c>
    </row>
    <row r="758" spans="1:5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Simulation_output!I758</f>
        <v>0</v>
      </c>
      <c r="E758">
        <f>Simulation_Input!E758- Simulation_output!J758</f>
        <v>0</v>
      </c>
    </row>
    <row r="759" spans="1:5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Simulation_output!I759</f>
        <v>0</v>
      </c>
      <c r="E759">
        <f>Simulation_Input!E759- Simulation_output!J759</f>
        <v>0</v>
      </c>
    </row>
    <row r="760" spans="1:5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Simulation_output!I760</f>
        <v>0</v>
      </c>
      <c r="E760">
        <f>Simulation_Input!E760- Simulation_output!J760</f>
        <v>0</v>
      </c>
    </row>
    <row r="761" spans="1:5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Simulation_output!I761</f>
        <v>0</v>
      </c>
      <c r="E761">
        <f>Simulation_Input!E761- Simulation_output!J761</f>
        <v>0</v>
      </c>
    </row>
    <row r="762" spans="1:5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Simulation_output!I762</f>
        <v>0</v>
      </c>
      <c r="E762">
        <f>Simulation_Input!E762- Simulation_output!J762</f>
        <v>0</v>
      </c>
    </row>
    <row r="763" spans="1:5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Simulation_output!I763</f>
        <v>0</v>
      </c>
      <c r="E763">
        <f>Simulation_Input!E763- Simulation_output!J763</f>
        <v>0</v>
      </c>
    </row>
    <row r="764" spans="1:5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Simulation_output!I764</f>
        <v>0</v>
      </c>
      <c r="E764">
        <f>Simulation_Input!E764- Simulation_output!J764</f>
        <v>0</v>
      </c>
    </row>
    <row r="765" spans="1:5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Simulation_output!I765</f>
        <v>0</v>
      </c>
      <c r="E765">
        <f>Simulation_Input!E765- Simulation_output!J765</f>
        <v>0</v>
      </c>
    </row>
    <row r="766" spans="1:5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Simulation_output!I766</f>
        <v>0</v>
      </c>
      <c r="E766">
        <f>Simulation_Input!E766- Simulation_output!J766</f>
        <v>0</v>
      </c>
    </row>
    <row r="767" spans="1:5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Simulation_output!I767</f>
        <v>0</v>
      </c>
      <c r="E767">
        <f>Simulation_Input!E767- Simulation_output!J767</f>
        <v>0</v>
      </c>
    </row>
    <row r="768" spans="1:5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Simulation_output!I768</f>
        <v>0</v>
      </c>
      <c r="E768">
        <f>Simulation_Input!E768- Simulation_output!J768</f>
        <v>0</v>
      </c>
    </row>
    <row r="769" spans="1:5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Simulation_output!I769</f>
        <v>0</v>
      </c>
      <c r="E769">
        <f>Simulation_Input!E769- Simulation_output!J769</f>
        <v>0</v>
      </c>
    </row>
    <row r="770" spans="1:5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Simulation_output!I770</f>
        <v>0</v>
      </c>
      <c r="E770">
        <f>Simulation_Input!E770- Simulation_output!J770</f>
        <v>0</v>
      </c>
    </row>
    <row r="771" spans="1:5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Simulation_output!I771</f>
        <v>0</v>
      </c>
      <c r="E771">
        <f>Simulation_Input!E771- Simulation_output!J771</f>
        <v>0</v>
      </c>
    </row>
    <row r="772" spans="1:5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Simulation_output!I772</f>
        <v>0</v>
      </c>
      <c r="E772">
        <f>Simulation_Input!E772- Simulation_output!J772</f>
        <v>0</v>
      </c>
    </row>
    <row r="773" spans="1:5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Simulation_output!I773</f>
        <v>0</v>
      </c>
      <c r="E773">
        <f>Simulation_Input!E773- Simulation_output!J773</f>
        <v>0</v>
      </c>
    </row>
    <row r="774" spans="1:5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Simulation_output!I774</f>
        <v>0</v>
      </c>
      <c r="E774">
        <f>Simulation_Input!E774- Simulation_output!J774</f>
        <v>0</v>
      </c>
    </row>
    <row r="775" spans="1:5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Simulation_output!I775</f>
        <v>0</v>
      </c>
      <c r="E775">
        <f>Simulation_Input!E775- Simulation_output!J775</f>
        <v>0</v>
      </c>
    </row>
    <row r="776" spans="1:5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Simulation_output!I776</f>
        <v>0</v>
      </c>
      <c r="E776">
        <f>Simulation_Input!E776- Simulation_output!J776</f>
        <v>0</v>
      </c>
    </row>
    <row r="777" spans="1:5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Simulation_output!I777</f>
        <v>0</v>
      </c>
      <c r="E777">
        <f>Simulation_Input!E777- Simulation_output!J777</f>
        <v>0</v>
      </c>
    </row>
    <row r="778" spans="1:5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Simulation_output!I778</f>
        <v>0</v>
      </c>
      <c r="E778">
        <f>Simulation_Input!E778- Simulation_output!J778</f>
        <v>0</v>
      </c>
    </row>
    <row r="779" spans="1:5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Simulation_output!I779</f>
        <v>0</v>
      </c>
      <c r="E779">
        <f>Simulation_Input!E779- Simulation_output!J779</f>
        <v>0</v>
      </c>
    </row>
    <row r="780" spans="1:5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Simulation_output!I780</f>
        <v>0</v>
      </c>
      <c r="E780">
        <f>Simulation_Input!E780- Simulation_output!J780</f>
        <v>0</v>
      </c>
    </row>
    <row r="781" spans="1:5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Simulation_output!I781</f>
        <v>0</v>
      </c>
      <c r="E781">
        <f>Simulation_Input!E781- Simulation_output!J781</f>
        <v>0</v>
      </c>
    </row>
    <row r="782" spans="1:5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Simulation_output!I782</f>
        <v>0</v>
      </c>
      <c r="E782">
        <f>Simulation_Input!E782- Simulation_output!J782</f>
        <v>0</v>
      </c>
    </row>
    <row r="783" spans="1:5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Simulation_output!I783</f>
        <v>0</v>
      </c>
      <c r="E783">
        <f>Simulation_Input!E783- Simulation_output!J783</f>
        <v>0</v>
      </c>
    </row>
    <row r="784" spans="1:5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Simulation_output!I784</f>
        <v>0</v>
      </c>
      <c r="E784">
        <f>Simulation_Input!E784- Simulation_output!J784</f>
        <v>0</v>
      </c>
    </row>
    <row r="785" spans="1:5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Simulation_output!I785</f>
        <v>0</v>
      </c>
      <c r="E785">
        <f>Simulation_Input!E785- Simulation_output!J785</f>
        <v>0</v>
      </c>
    </row>
    <row r="786" spans="1:5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Simulation_output!I786</f>
        <v>0</v>
      </c>
      <c r="E786">
        <f>Simulation_Input!E786- Simulation_output!J786</f>
        <v>0</v>
      </c>
    </row>
    <row r="787" spans="1:5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Simulation_output!I787</f>
        <v>0</v>
      </c>
      <c r="E787">
        <f>Simulation_Input!E787- Simulation_output!J787</f>
        <v>0</v>
      </c>
    </row>
    <row r="788" spans="1:5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Simulation_output!I788</f>
        <v>0</v>
      </c>
      <c r="E788">
        <f>Simulation_Input!E788- Simulation_output!J788</f>
        <v>0</v>
      </c>
    </row>
    <row r="789" spans="1:5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Simulation_output!I789</f>
        <v>0</v>
      </c>
      <c r="E789">
        <f>Simulation_Input!E789- Simulation_output!J789</f>
        <v>0</v>
      </c>
    </row>
    <row r="790" spans="1:5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Simulation_output!I790</f>
        <v>0</v>
      </c>
      <c r="E790">
        <f>Simulation_Input!E790- Simulation_output!J790</f>
        <v>0</v>
      </c>
    </row>
    <row r="791" spans="1:5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Simulation_output!I791</f>
        <v>0</v>
      </c>
      <c r="E791">
        <f>Simulation_Input!E791- Simulation_output!J791</f>
        <v>0</v>
      </c>
    </row>
    <row r="792" spans="1:5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Simulation_output!I792</f>
        <v>0</v>
      </c>
      <c r="E792">
        <f>Simulation_Input!E792- Simulation_output!J792</f>
        <v>0</v>
      </c>
    </row>
    <row r="793" spans="1:5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Simulation_output!I793</f>
        <v>0</v>
      </c>
      <c r="E793">
        <f>Simulation_Input!E793- Simulation_output!J793</f>
        <v>0</v>
      </c>
    </row>
    <row r="794" spans="1:5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Simulation_output!I794</f>
        <v>0</v>
      </c>
      <c r="E794">
        <f>Simulation_Input!E794- Simulation_output!J794</f>
        <v>0</v>
      </c>
    </row>
    <row r="795" spans="1:5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Simulation_output!I795</f>
        <v>0</v>
      </c>
      <c r="E795">
        <f>Simulation_Input!E795- Simulation_output!J795</f>
        <v>0</v>
      </c>
    </row>
    <row r="796" spans="1:5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Simulation_output!I796</f>
        <v>0</v>
      </c>
      <c r="E796">
        <f>Simulation_Input!E796- Simulation_output!J796</f>
        <v>0</v>
      </c>
    </row>
    <row r="797" spans="1:5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Simulation_output!I797</f>
        <v>0</v>
      </c>
      <c r="E797">
        <f>Simulation_Input!E797- Simulation_output!J797</f>
        <v>0</v>
      </c>
    </row>
    <row r="798" spans="1:5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Simulation_output!I798</f>
        <v>0</v>
      </c>
      <c r="E798">
        <f>Simulation_Input!E798- Simulation_output!J798</f>
        <v>0</v>
      </c>
    </row>
    <row r="799" spans="1:5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Simulation_output!I799</f>
        <v>0</v>
      </c>
      <c r="E799">
        <f>Simulation_Input!E799- Simulation_output!J799</f>
        <v>0</v>
      </c>
    </row>
    <row r="800" spans="1:5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Simulation_output!I800</f>
        <v>0</v>
      </c>
      <c r="E800">
        <f>Simulation_Input!E800- Simulation_output!J800</f>
        <v>0</v>
      </c>
    </row>
    <row r="801" spans="1:5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Simulation_output!I801</f>
        <v>0</v>
      </c>
      <c r="E801">
        <f>Simulation_Input!E801- Simulation_output!J801</f>
        <v>0</v>
      </c>
    </row>
    <row r="802" spans="1:5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Simulation_output!I802</f>
        <v>0</v>
      </c>
      <c r="E802">
        <f>Simulation_Input!E802- Simulation_output!J802</f>
        <v>0</v>
      </c>
    </row>
    <row r="803" spans="1:5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Simulation_output!I803</f>
        <v>0</v>
      </c>
      <c r="E803">
        <f>Simulation_Input!E803- Simulation_output!J803</f>
        <v>0</v>
      </c>
    </row>
    <row r="804" spans="1:5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Simulation_output!I804</f>
        <v>0</v>
      </c>
      <c r="E804">
        <f>Simulation_Input!E804- Simulation_output!J804</f>
        <v>0</v>
      </c>
    </row>
    <row r="805" spans="1:5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Simulation_output!I805</f>
        <v>0</v>
      </c>
      <c r="E805">
        <f>Simulation_Input!E805- Simulation_output!J805</f>
        <v>0</v>
      </c>
    </row>
    <row r="806" spans="1:5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Simulation_output!I806</f>
        <v>0</v>
      </c>
      <c r="E806">
        <f>Simulation_Input!E806- Simulation_output!J806</f>
        <v>0</v>
      </c>
    </row>
    <row r="807" spans="1:5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Simulation_output!I807</f>
        <v>0</v>
      </c>
      <c r="E807">
        <f>Simulation_Input!E807- Simulation_output!J807</f>
        <v>0</v>
      </c>
    </row>
    <row r="808" spans="1:5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Simulation_output!I808</f>
        <v>0</v>
      </c>
      <c r="E808">
        <f>Simulation_Input!E808- Simulation_output!J808</f>
        <v>0</v>
      </c>
    </row>
    <row r="809" spans="1:5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Simulation_output!I809</f>
        <v>0</v>
      </c>
      <c r="E809">
        <f>Simulation_Input!E809- Simulation_output!J809</f>
        <v>0</v>
      </c>
    </row>
    <row r="810" spans="1:5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Simulation_output!I810</f>
        <v>0</v>
      </c>
      <c r="E810">
        <f>Simulation_Input!E810- Simulation_output!J810</f>
        <v>0</v>
      </c>
    </row>
    <row r="811" spans="1:5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Simulation_output!I811</f>
        <v>0</v>
      </c>
      <c r="E811">
        <f>Simulation_Input!E811- Simulation_output!J811</f>
        <v>0</v>
      </c>
    </row>
    <row r="812" spans="1:5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Simulation_output!I812</f>
        <v>0</v>
      </c>
      <c r="E812">
        <f>Simulation_Input!E812- Simulation_output!J812</f>
        <v>0</v>
      </c>
    </row>
    <row r="813" spans="1:5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Simulation_output!I813</f>
        <v>0</v>
      </c>
      <c r="E813">
        <f>Simulation_Input!E813- Simulation_output!J813</f>
        <v>0</v>
      </c>
    </row>
    <row r="814" spans="1:5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Simulation_output!I814</f>
        <v>0</v>
      </c>
      <c r="E814">
        <f>Simulation_Input!E814- Simulation_output!J814</f>
        <v>0</v>
      </c>
    </row>
    <row r="815" spans="1:5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Simulation_output!I815</f>
        <v>0</v>
      </c>
      <c r="E815">
        <f>Simulation_Input!E815- Simulation_output!J815</f>
        <v>0</v>
      </c>
    </row>
    <row r="816" spans="1:5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Simulation_output!I816</f>
        <v>0</v>
      </c>
      <c r="E816">
        <f>Simulation_Input!E816- Simulation_output!J816</f>
        <v>0</v>
      </c>
    </row>
    <row r="817" spans="1:5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Simulation_output!I817</f>
        <v>0</v>
      </c>
      <c r="E817">
        <f>Simulation_Input!E817- Simulation_output!J817</f>
        <v>0</v>
      </c>
    </row>
    <row r="818" spans="1:5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Simulation_output!I818</f>
        <v>0</v>
      </c>
      <c r="E818">
        <f>Simulation_Input!E818- Simulation_output!J818</f>
        <v>0</v>
      </c>
    </row>
    <row r="819" spans="1:5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Simulation_output!I819</f>
        <v>0</v>
      </c>
      <c r="E819">
        <f>Simulation_Input!E819- Simulation_output!J819</f>
        <v>0</v>
      </c>
    </row>
    <row r="820" spans="1:5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Simulation_output!I820</f>
        <v>0</v>
      </c>
      <c r="E820">
        <f>Simulation_Input!E820- Simulation_output!J820</f>
        <v>0</v>
      </c>
    </row>
    <row r="821" spans="1:5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Simulation_output!I821</f>
        <v>0</v>
      </c>
      <c r="E821">
        <f>Simulation_Input!E821- Simulation_output!J821</f>
        <v>0</v>
      </c>
    </row>
    <row r="822" spans="1:5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Simulation_output!I822</f>
        <v>0</v>
      </c>
      <c r="E822">
        <f>Simulation_Input!E822- Simulation_output!J822</f>
        <v>0</v>
      </c>
    </row>
    <row r="823" spans="1:5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Simulation_output!I823</f>
        <v>0</v>
      </c>
      <c r="E823">
        <f>Simulation_Input!E823- Simulation_output!J823</f>
        <v>0</v>
      </c>
    </row>
    <row r="824" spans="1:5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Simulation_output!I824</f>
        <v>0</v>
      </c>
      <c r="E824">
        <f>Simulation_Input!E824- Simulation_output!J824</f>
        <v>0</v>
      </c>
    </row>
    <row r="825" spans="1:5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Simulation_output!I825</f>
        <v>0</v>
      </c>
      <c r="E825">
        <f>Simulation_Input!E825- Simulation_output!J825</f>
        <v>0</v>
      </c>
    </row>
    <row r="826" spans="1:5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Simulation_output!I826</f>
        <v>0</v>
      </c>
      <c r="E826">
        <f>Simulation_Input!E826- Simulation_output!J826</f>
        <v>0</v>
      </c>
    </row>
    <row r="827" spans="1:5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Simulation_output!I827</f>
        <v>0</v>
      </c>
      <c r="E827">
        <f>Simulation_Input!E827- Simulation_output!J827</f>
        <v>0</v>
      </c>
    </row>
    <row r="828" spans="1:5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Simulation_output!I828</f>
        <v>0</v>
      </c>
      <c r="E828">
        <f>Simulation_Input!E828- Simulation_output!J828</f>
        <v>0</v>
      </c>
    </row>
    <row r="829" spans="1:5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Simulation_output!I829</f>
        <v>0</v>
      </c>
      <c r="E829">
        <f>Simulation_Input!E829- Simulation_output!J829</f>
        <v>0</v>
      </c>
    </row>
    <row r="830" spans="1:5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Simulation_output!I830</f>
        <v>0</v>
      </c>
      <c r="E830">
        <f>Simulation_Input!E830- Simulation_output!J830</f>
        <v>0</v>
      </c>
    </row>
    <row r="831" spans="1:5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Simulation_output!I831</f>
        <v>0</v>
      </c>
      <c r="E831">
        <f>Simulation_Input!E831- Simulation_output!J831</f>
        <v>0</v>
      </c>
    </row>
    <row r="832" spans="1:5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Simulation_output!I832</f>
        <v>0</v>
      </c>
      <c r="E832">
        <f>Simulation_Input!E832- Simulation_output!J832</f>
        <v>0</v>
      </c>
    </row>
    <row r="833" spans="1:5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Simulation_output!I833</f>
        <v>0</v>
      </c>
      <c r="E833">
        <f>Simulation_Input!E833- Simulation_output!J833</f>
        <v>0</v>
      </c>
    </row>
    <row r="834" spans="1:5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Simulation_output!I834</f>
        <v>0</v>
      </c>
      <c r="E834">
        <f>Simulation_Input!E834- Simulation_output!J834</f>
        <v>0</v>
      </c>
    </row>
    <row r="835" spans="1:5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Simulation_output!I835</f>
        <v>0</v>
      </c>
      <c r="E835">
        <f>Simulation_Input!E835- Simulation_output!J835</f>
        <v>0</v>
      </c>
    </row>
    <row r="836" spans="1:5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Simulation_output!I836</f>
        <v>0</v>
      </c>
      <c r="E836">
        <f>Simulation_Input!E836- Simulation_output!J836</f>
        <v>0</v>
      </c>
    </row>
    <row r="837" spans="1:5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Simulation_output!I837</f>
        <v>0</v>
      </c>
      <c r="E837">
        <f>Simulation_Input!E837- Simulation_output!J837</f>
        <v>0</v>
      </c>
    </row>
    <row r="838" spans="1:5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Simulation_output!I838</f>
        <v>0</v>
      </c>
      <c r="E838">
        <f>Simulation_Input!E838- Simulation_output!J838</f>
        <v>0</v>
      </c>
    </row>
    <row r="839" spans="1:5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Simulation_output!I839</f>
        <v>0</v>
      </c>
      <c r="E839">
        <f>Simulation_Input!E839- Simulation_output!J839</f>
        <v>0</v>
      </c>
    </row>
    <row r="840" spans="1:5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Simulation_output!I840</f>
        <v>0</v>
      </c>
      <c r="E840">
        <f>Simulation_Input!E840- Simulation_output!J840</f>
        <v>0</v>
      </c>
    </row>
    <row r="841" spans="1:5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Simulation_output!I841</f>
        <v>0</v>
      </c>
      <c r="E841">
        <f>Simulation_Input!E841- Simulation_output!J841</f>
        <v>0</v>
      </c>
    </row>
    <row r="842" spans="1:5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Simulation_output!I842</f>
        <v>0</v>
      </c>
      <c r="E842">
        <f>Simulation_Input!E842- Simulation_output!J842</f>
        <v>0</v>
      </c>
    </row>
    <row r="843" spans="1:5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Simulation_output!I843</f>
        <v>0</v>
      </c>
      <c r="E843">
        <f>Simulation_Input!E843- Simulation_output!J843</f>
        <v>0</v>
      </c>
    </row>
    <row r="844" spans="1:5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Simulation_output!I844</f>
        <v>0</v>
      </c>
      <c r="E844">
        <f>Simulation_Input!E844- Simulation_output!J844</f>
        <v>0</v>
      </c>
    </row>
    <row r="845" spans="1:5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Simulation_output!I845</f>
        <v>0</v>
      </c>
      <c r="E845">
        <f>Simulation_Input!E845- Simulation_output!J845</f>
        <v>0</v>
      </c>
    </row>
    <row r="846" spans="1:5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Simulation_output!I846</f>
        <v>0</v>
      </c>
      <c r="E846">
        <f>Simulation_Input!E846- Simulation_output!J846</f>
        <v>0</v>
      </c>
    </row>
    <row r="847" spans="1:5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Simulation_output!I847</f>
        <v>0</v>
      </c>
      <c r="E847">
        <f>Simulation_Input!E847- Simulation_output!J847</f>
        <v>0</v>
      </c>
    </row>
    <row r="848" spans="1:5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Simulation_output!I848</f>
        <v>0</v>
      </c>
      <c r="E848">
        <f>Simulation_Input!E848- Simulation_output!J848</f>
        <v>0</v>
      </c>
    </row>
    <row r="849" spans="1:5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Simulation_output!I849</f>
        <v>0</v>
      </c>
      <c r="E849">
        <f>Simulation_Input!E849- Simulation_output!J849</f>
        <v>0</v>
      </c>
    </row>
    <row r="850" spans="1:5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Simulation_output!I850</f>
        <v>0</v>
      </c>
      <c r="E850">
        <f>Simulation_Input!E850- Simulation_output!J850</f>
        <v>0</v>
      </c>
    </row>
    <row r="851" spans="1:5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Simulation_output!I851</f>
        <v>0</v>
      </c>
      <c r="E851">
        <f>Simulation_Input!E851- Simulation_output!J851</f>
        <v>0</v>
      </c>
    </row>
    <row r="852" spans="1:5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Simulation_output!I852</f>
        <v>0</v>
      </c>
      <c r="E852">
        <f>Simulation_Input!E852- Simulation_output!J852</f>
        <v>0</v>
      </c>
    </row>
    <row r="853" spans="1:5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Simulation_output!I853</f>
        <v>0</v>
      </c>
      <c r="E853">
        <f>Simulation_Input!E853- Simulation_output!J853</f>
        <v>0</v>
      </c>
    </row>
    <row r="854" spans="1:5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Simulation_output!I854</f>
        <v>0</v>
      </c>
      <c r="E854">
        <f>Simulation_Input!E854- Simulation_output!J854</f>
        <v>0</v>
      </c>
    </row>
    <row r="855" spans="1:5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Simulation_output!I855</f>
        <v>0</v>
      </c>
      <c r="E855">
        <f>Simulation_Input!E855- Simulation_output!J855</f>
        <v>0</v>
      </c>
    </row>
    <row r="856" spans="1:5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Simulation_output!I856</f>
        <v>0</v>
      </c>
      <c r="E856">
        <f>Simulation_Input!E856- Simulation_output!J856</f>
        <v>0</v>
      </c>
    </row>
    <row r="857" spans="1:5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Simulation_output!I857</f>
        <v>0</v>
      </c>
      <c r="E857">
        <f>Simulation_Input!E857- Simulation_output!J857</f>
        <v>0</v>
      </c>
    </row>
    <row r="858" spans="1:5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Simulation_output!I858</f>
        <v>0</v>
      </c>
      <c r="E858">
        <f>Simulation_Input!E858- Simulation_output!J858</f>
        <v>0</v>
      </c>
    </row>
    <row r="859" spans="1:5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Simulation_output!I859</f>
        <v>0</v>
      </c>
      <c r="E859">
        <f>Simulation_Input!E859- Simulation_output!J859</f>
        <v>0</v>
      </c>
    </row>
    <row r="860" spans="1:5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Simulation_output!I860</f>
        <v>0</v>
      </c>
      <c r="E860">
        <f>Simulation_Input!E860- Simulation_output!J860</f>
        <v>0</v>
      </c>
    </row>
    <row r="861" spans="1:5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Simulation_output!I861</f>
        <v>0</v>
      </c>
      <c r="E861">
        <f>Simulation_Input!E861- Simulation_output!J861</f>
        <v>0</v>
      </c>
    </row>
    <row r="862" spans="1:5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Simulation_output!I862</f>
        <v>0</v>
      </c>
      <c r="E862">
        <f>Simulation_Input!E862- Simulation_output!J862</f>
        <v>0</v>
      </c>
    </row>
    <row r="863" spans="1:5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Simulation_output!I863</f>
        <v>0</v>
      </c>
      <c r="E863">
        <f>Simulation_Input!E863- Simulation_output!J863</f>
        <v>0</v>
      </c>
    </row>
    <row r="864" spans="1:5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Simulation_output!I864</f>
        <v>0</v>
      </c>
      <c r="E864">
        <f>Simulation_Input!E864- Simulation_output!J864</f>
        <v>0</v>
      </c>
    </row>
    <row r="865" spans="1:5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Simulation_output!I865</f>
        <v>0</v>
      </c>
      <c r="E865">
        <f>Simulation_Input!E865- Simulation_output!J865</f>
        <v>0</v>
      </c>
    </row>
    <row r="866" spans="1:5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Simulation_output!I866</f>
        <v>0</v>
      </c>
      <c r="E866">
        <f>Simulation_Input!E866- Simulation_output!J866</f>
        <v>0</v>
      </c>
    </row>
    <row r="867" spans="1:5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Simulation_output!I867</f>
        <v>0</v>
      </c>
      <c r="E867">
        <f>Simulation_Input!E867- Simulation_output!J867</f>
        <v>0</v>
      </c>
    </row>
    <row r="868" spans="1:5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Simulation_output!I868</f>
        <v>0</v>
      </c>
      <c r="E868">
        <f>Simulation_Input!E868- Simulation_output!J868</f>
        <v>0</v>
      </c>
    </row>
    <row r="869" spans="1:5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Simulation_output!I869</f>
        <v>0</v>
      </c>
      <c r="E869">
        <f>Simulation_Input!E869- Simulation_output!J869</f>
        <v>0</v>
      </c>
    </row>
    <row r="870" spans="1:5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Simulation_output!I870</f>
        <v>0</v>
      </c>
      <c r="E870">
        <f>Simulation_Input!E870- Simulation_output!J870</f>
        <v>0</v>
      </c>
    </row>
    <row r="871" spans="1:5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Simulation_output!I871</f>
        <v>0</v>
      </c>
      <c r="E871">
        <f>Simulation_Input!E871- Simulation_output!J871</f>
        <v>0</v>
      </c>
    </row>
    <row r="872" spans="1:5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Simulation_output!I872</f>
        <v>0</v>
      </c>
      <c r="E872">
        <f>Simulation_Input!E872- Simulation_output!J872</f>
        <v>0</v>
      </c>
    </row>
    <row r="873" spans="1:5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Simulation_output!I873</f>
        <v>0</v>
      </c>
      <c r="E873">
        <f>Simulation_Input!E873- Simulation_output!J873</f>
        <v>0</v>
      </c>
    </row>
    <row r="874" spans="1:5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Simulation_output!I874</f>
        <v>0</v>
      </c>
      <c r="E874">
        <f>Simulation_Input!E874- Simulation_output!J874</f>
        <v>0</v>
      </c>
    </row>
    <row r="875" spans="1:5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Simulation_output!I875</f>
        <v>0</v>
      </c>
      <c r="E875">
        <f>Simulation_Input!E875- Simulation_output!J875</f>
        <v>0</v>
      </c>
    </row>
    <row r="876" spans="1:5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Simulation_output!I876</f>
        <v>0</v>
      </c>
      <c r="E876">
        <f>Simulation_Input!E876- Simulation_output!J876</f>
        <v>0</v>
      </c>
    </row>
    <row r="877" spans="1:5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Simulation_output!I877</f>
        <v>0</v>
      </c>
      <c r="E877">
        <f>Simulation_Input!E877- Simulation_output!J877</f>
        <v>0</v>
      </c>
    </row>
    <row r="878" spans="1:5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Simulation_output!I878</f>
        <v>0</v>
      </c>
      <c r="E878">
        <f>Simulation_Input!E878- Simulation_output!J878</f>
        <v>0</v>
      </c>
    </row>
    <row r="879" spans="1:5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Simulation_output!I879</f>
        <v>0</v>
      </c>
      <c r="E879">
        <f>Simulation_Input!E879- Simulation_output!J879</f>
        <v>0</v>
      </c>
    </row>
    <row r="880" spans="1:5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Simulation_output!I880</f>
        <v>0</v>
      </c>
      <c r="E880">
        <f>Simulation_Input!E880- Simulation_output!J880</f>
        <v>0</v>
      </c>
    </row>
    <row r="881" spans="1:5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Simulation_output!I881</f>
        <v>0</v>
      </c>
      <c r="E881">
        <f>Simulation_Input!E881- Simulation_output!J881</f>
        <v>0</v>
      </c>
    </row>
    <row r="882" spans="1:5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Simulation_output!I882</f>
        <v>0</v>
      </c>
      <c r="E882">
        <f>Simulation_Input!E882- Simulation_output!J882</f>
        <v>0</v>
      </c>
    </row>
    <row r="883" spans="1:5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Simulation_output!I883</f>
        <v>0</v>
      </c>
      <c r="E883">
        <f>Simulation_Input!E883- Simulation_output!J883</f>
        <v>0</v>
      </c>
    </row>
    <row r="884" spans="1:5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Simulation_output!I884</f>
        <v>0</v>
      </c>
      <c r="E884">
        <f>Simulation_Input!E884- Simulation_output!J884</f>
        <v>0</v>
      </c>
    </row>
    <row r="885" spans="1:5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Simulation_output!I885</f>
        <v>0</v>
      </c>
      <c r="E885">
        <f>Simulation_Input!E885- Simulation_output!J885</f>
        <v>0</v>
      </c>
    </row>
    <row r="886" spans="1:5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Simulation_output!I886</f>
        <v>0</v>
      </c>
      <c r="E886">
        <f>Simulation_Input!E886- Simulation_output!J886</f>
        <v>0</v>
      </c>
    </row>
    <row r="887" spans="1:5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Simulation_output!I887</f>
        <v>0</v>
      </c>
      <c r="E887">
        <f>Simulation_Input!E887- Simulation_output!J887</f>
        <v>0</v>
      </c>
    </row>
    <row r="888" spans="1:5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Simulation_output!I888</f>
        <v>0</v>
      </c>
      <c r="E888">
        <f>Simulation_Input!E888- Simulation_output!J888</f>
        <v>0</v>
      </c>
    </row>
    <row r="889" spans="1:5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Simulation_output!I889</f>
        <v>0</v>
      </c>
      <c r="E889">
        <f>Simulation_Input!E889- Simulation_output!J889</f>
        <v>0</v>
      </c>
    </row>
    <row r="890" spans="1:5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Simulation_output!I890</f>
        <v>0</v>
      </c>
      <c r="E890">
        <f>Simulation_Input!E890- Simulation_output!J890</f>
        <v>0</v>
      </c>
    </row>
    <row r="891" spans="1:5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Simulation_output!I891</f>
        <v>0</v>
      </c>
      <c r="E891">
        <f>Simulation_Input!E891- Simulation_output!J891</f>
        <v>0</v>
      </c>
    </row>
    <row r="892" spans="1:5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Simulation_output!I892</f>
        <v>0</v>
      </c>
      <c r="E892">
        <f>Simulation_Input!E892- Simulation_output!J892</f>
        <v>0</v>
      </c>
    </row>
    <row r="893" spans="1:5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Simulation_output!I893</f>
        <v>0</v>
      </c>
      <c r="E893">
        <f>Simulation_Input!E893- Simulation_output!J893</f>
        <v>0</v>
      </c>
    </row>
    <row r="894" spans="1:5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Simulation_output!I894</f>
        <v>0</v>
      </c>
      <c r="E894">
        <f>Simulation_Input!E894- Simulation_output!J894</f>
        <v>0</v>
      </c>
    </row>
    <row r="895" spans="1:5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Simulation_output!I895</f>
        <v>0</v>
      </c>
      <c r="E895">
        <f>Simulation_Input!E895- Simulation_output!J895</f>
        <v>0</v>
      </c>
    </row>
    <row r="896" spans="1:5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Simulation_output!I896</f>
        <v>0</v>
      </c>
      <c r="E896">
        <f>Simulation_Input!E896- Simulation_output!J896</f>
        <v>0</v>
      </c>
    </row>
    <row r="897" spans="1:5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Simulation_output!I897</f>
        <v>0</v>
      </c>
      <c r="E897">
        <f>Simulation_Input!E897- Simulation_output!J897</f>
        <v>0</v>
      </c>
    </row>
    <row r="898" spans="1:5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Simulation_output!I898</f>
        <v>0</v>
      </c>
      <c r="E898">
        <f>Simulation_Input!E898- Simulation_output!J898</f>
        <v>0</v>
      </c>
    </row>
    <row r="899" spans="1:5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Simulation_output!I899</f>
        <v>0</v>
      </c>
      <c r="E899">
        <f>Simulation_Input!E899- Simulation_output!J899</f>
        <v>0</v>
      </c>
    </row>
    <row r="900" spans="1:5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Simulation_output!I900</f>
        <v>0</v>
      </c>
      <c r="E900">
        <f>Simulation_Input!E900- Simulation_output!J900</f>
        <v>0</v>
      </c>
    </row>
    <row r="901" spans="1:5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Simulation_output!I901</f>
        <v>0</v>
      </c>
      <c r="E901">
        <f>Simulation_Input!E901- Simulation_output!J901</f>
        <v>0</v>
      </c>
    </row>
    <row r="902" spans="1:5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Simulation_output!I902</f>
        <v>0</v>
      </c>
      <c r="E902">
        <f>Simulation_Input!E902- Simulation_output!J902</f>
        <v>0</v>
      </c>
    </row>
    <row r="903" spans="1:5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Simulation_output!I903</f>
        <v>0</v>
      </c>
      <c r="E903">
        <f>Simulation_Input!E903- Simulation_output!J903</f>
        <v>0</v>
      </c>
    </row>
    <row r="904" spans="1:5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Simulation_output!I904</f>
        <v>0</v>
      </c>
      <c r="E904">
        <f>Simulation_Input!E904- Simulation_output!J904</f>
        <v>0</v>
      </c>
    </row>
    <row r="905" spans="1:5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Simulation_output!I905</f>
        <v>0</v>
      </c>
      <c r="E905">
        <f>Simulation_Input!E905- Simulation_output!J905</f>
        <v>0</v>
      </c>
    </row>
    <row r="906" spans="1:5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Simulation_output!I906</f>
        <v>0</v>
      </c>
      <c r="E906">
        <f>Simulation_Input!E906- Simulation_output!J906</f>
        <v>0</v>
      </c>
    </row>
    <row r="907" spans="1:5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Simulation_output!I907</f>
        <v>0</v>
      </c>
      <c r="E907">
        <f>Simulation_Input!E907- Simulation_output!J907</f>
        <v>0</v>
      </c>
    </row>
    <row r="908" spans="1:5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Simulation_output!I908</f>
        <v>0</v>
      </c>
      <c r="E908">
        <f>Simulation_Input!E908- Simulation_output!J908</f>
        <v>0</v>
      </c>
    </row>
    <row r="909" spans="1:5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Simulation_output!I909</f>
        <v>0</v>
      </c>
      <c r="E909">
        <f>Simulation_Input!E909- Simulation_output!J909</f>
        <v>0</v>
      </c>
    </row>
    <row r="910" spans="1:5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Simulation_output!I910</f>
        <v>0</v>
      </c>
      <c r="E910">
        <f>Simulation_Input!E910- Simulation_output!J910</f>
        <v>0</v>
      </c>
    </row>
    <row r="911" spans="1:5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Simulation_output!I911</f>
        <v>0</v>
      </c>
      <c r="E911">
        <f>Simulation_Input!E911- Simulation_output!J911</f>
        <v>0</v>
      </c>
    </row>
    <row r="912" spans="1:5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Simulation_output!I912</f>
        <v>0</v>
      </c>
      <c r="E912">
        <f>Simulation_Input!E912- Simulation_output!J912</f>
        <v>0</v>
      </c>
    </row>
    <row r="913" spans="1:5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Simulation_output!I913</f>
        <v>0</v>
      </c>
      <c r="E913">
        <f>Simulation_Input!E913- Simulation_output!J913</f>
        <v>0</v>
      </c>
    </row>
    <row r="914" spans="1:5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Simulation_output!I914</f>
        <v>0</v>
      </c>
      <c r="E914">
        <f>Simulation_Input!E914- Simulation_output!J914</f>
        <v>0</v>
      </c>
    </row>
    <row r="915" spans="1:5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Simulation_output!I915</f>
        <v>0</v>
      </c>
      <c r="E915">
        <f>Simulation_Input!E915- Simulation_output!J915</f>
        <v>0</v>
      </c>
    </row>
    <row r="916" spans="1:5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Simulation_output!I916</f>
        <v>0</v>
      </c>
      <c r="E916">
        <f>Simulation_Input!E916- Simulation_output!J916</f>
        <v>0</v>
      </c>
    </row>
    <row r="917" spans="1:5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Simulation_output!I917</f>
        <v>0</v>
      </c>
      <c r="E917">
        <f>Simulation_Input!E917- Simulation_output!J917</f>
        <v>0</v>
      </c>
    </row>
    <row r="918" spans="1:5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Simulation_output!I918</f>
        <v>0</v>
      </c>
      <c r="E918">
        <f>Simulation_Input!E918- Simulation_output!J918</f>
        <v>0</v>
      </c>
    </row>
    <row r="919" spans="1:5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Simulation_output!I919</f>
        <v>0</v>
      </c>
      <c r="E919">
        <f>Simulation_Input!E919- Simulation_output!J919</f>
        <v>0</v>
      </c>
    </row>
    <row r="920" spans="1:5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Simulation_output!I920</f>
        <v>0</v>
      </c>
      <c r="E920">
        <f>Simulation_Input!E920- Simulation_output!J920</f>
        <v>0</v>
      </c>
    </row>
    <row r="921" spans="1:5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Simulation_output!I921</f>
        <v>0</v>
      </c>
      <c r="E921">
        <f>Simulation_Input!E921- Simulation_output!J921</f>
        <v>0</v>
      </c>
    </row>
    <row r="922" spans="1:5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Simulation_output!I922</f>
        <v>0</v>
      </c>
      <c r="E922">
        <f>Simulation_Input!E922- Simulation_output!J922</f>
        <v>0</v>
      </c>
    </row>
    <row r="923" spans="1:5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Simulation_output!I923</f>
        <v>0</v>
      </c>
      <c r="E923">
        <f>Simulation_Input!E923- Simulation_output!J923</f>
        <v>0</v>
      </c>
    </row>
    <row r="924" spans="1:5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Simulation_output!I924</f>
        <v>0</v>
      </c>
      <c r="E924">
        <f>Simulation_Input!E924- Simulation_output!J924</f>
        <v>0</v>
      </c>
    </row>
    <row r="925" spans="1:5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Simulation_output!I925</f>
        <v>0</v>
      </c>
      <c r="E925">
        <f>Simulation_Input!E925- Simulation_output!J925</f>
        <v>0</v>
      </c>
    </row>
    <row r="926" spans="1:5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Simulation_output!I926</f>
        <v>0</v>
      </c>
      <c r="E926">
        <f>Simulation_Input!E926- Simulation_output!J926</f>
        <v>0</v>
      </c>
    </row>
    <row r="927" spans="1:5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Simulation_output!I927</f>
        <v>0</v>
      </c>
      <c r="E927">
        <f>Simulation_Input!E927- Simulation_output!J927</f>
        <v>0</v>
      </c>
    </row>
    <row r="928" spans="1:5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Simulation_output!I928</f>
        <v>0</v>
      </c>
      <c r="E928">
        <f>Simulation_Input!E928- Simulation_output!J928</f>
        <v>0</v>
      </c>
    </row>
    <row r="929" spans="1:5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Simulation_output!I929</f>
        <v>0</v>
      </c>
      <c r="E929">
        <f>Simulation_Input!E929- Simulation_output!J929</f>
        <v>0</v>
      </c>
    </row>
    <row r="930" spans="1:5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Simulation_output!I930</f>
        <v>0</v>
      </c>
      <c r="E930">
        <f>Simulation_Input!E930- Simulation_output!J930</f>
        <v>0</v>
      </c>
    </row>
    <row r="931" spans="1:5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Simulation_output!I931</f>
        <v>0</v>
      </c>
      <c r="E931">
        <f>Simulation_Input!E931- Simulation_output!J931</f>
        <v>0</v>
      </c>
    </row>
    <row r="932" spans="1:5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Simulation_output!I932</f>
        <v>0</v>
      </c>
      <c r="E932">
        <f>Simulation_Input!E932- Simulation_output!J932</f>
        <v>0</v>
      </c>
    </row>
    <row r="933" spans="1:5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Simulation_output!I933</f>
        <v>0</v>
      </c>
      <c r="E933">
        <f>Simulation_Input!E933- Simulation_output!J933</f>
        <v>0</v>
      </c>
    </row>
    <row r="934" spans="1:5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Simulation_output!I934</f>
        <v>0</v>
      </c>
      <c r="E934">
        <f>Simulation_Input!E934- Simulation_output!J934</f>
        <v>0</v>
      </c>
    </row>
    <row r="935" spans="1:5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Simulation_output!I935</f>
        <v>0</v>
      </c>
      <c r="E935">
        <f>Simulation_Input!E935- Simulation_output!J935</f>
        <v>0</v>
      </c>
    </row>
    <row r="936" spans="1:5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Simulation_output!I936</f>
        <v>0</v>
      </c>
      <c r="E936">
        <f>Simulation_Input!E936- Simulation_output!J936</f>
        <v>0</v>
      </c>
    </row>
    <row r="937" spans="1:5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Simulation_output!I937</f>
        <v>0</v>
      </c>
      <c r="E937">
        <f>Simulation_Input!E937- Simulation_output!J937</f>
        <v>0</v>
      </c>
    </row>
    <row r="938" spans="1:5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Simulation_output!I938</f>
        <v>0</v>
      </c>
      <c r="E938">
        <f>Simulation_Input!E938- Simulation_output!J938</f>
        <v>0</v>
      </c>
    </row>
    <row r="939" spans="1:5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Simulation_output!I939</f>
        <v>0</v>
      </c>
      <c r="E939">
        <f>Simulation_Input!E939- Simulation_output!J939</f>
        <v>0</v>
      </c>
    </row>
    <row r="940" spans="1:5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Simulation_output!I940</f>
        <v>0</v>
      </c>
      <c r="E940">
        <f>Simulation_Input!E940- Simulation_output!J940</f>
        <v>0</v>
      </c>
    </row>
    <row r="941" spans="1:5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Simulation_output!I941</f>
        <v>0</v>
      </c>
      <c r="E941">
        <f>Simulation_Input!E941- Simulation_output!J941</f>
        <v>0</v>
      </c>
    </row>
    <row r="942" spans="1:5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Simulation_output!I942</f>
        <v>0</v>
      </c>
      <c r="E942">
        <f>Simulation_Input!E942- Simulation_output!J942</f>
        <v>0</v>
      </c>
    </row>
    <row r="943" spans="1:5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Simulation_output!I943</f>
        <v>0</v>
      </c>
      <c r="E943">
        <f>Simulation_Input!E943- Simulation_output!J943</f>
        <v>0</v>
      </c>
    </row>
    <row r="944" spans="1:5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Simulation_output!I944</f>
        <v>0</v>
      </c>
      <c r="E944">
        <f>Simulation_Input!E944- Simulation_output!J944</f>
        <v>0</v>
      </c>
    </row>
    <row r="945" spans="1:5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Simulation_output!I945</f>
        <v>0</v>
      </c>
      <c r="E945">
        <f>Simulation_Input!E945- Simulation_output!J945</f>
        <v>0</v>
      </c>
    </row>
    <row r="946" spans="1:5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Simulation_output!I946</f>
        <v>0</v>
      </c>
      <c r="E946">
        <f>Simulation_Input!E946- Simulation_output!J946</f>
        <v>0</v>
      </c>
    </row>
    <row r="947" spans="1:5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Simulation_output!I947</f>
        <v>0</v>
      </c>
      <c r="E947">
        <f>Simulation_Input!E947- Simulation_output!J947</f>
        <v>0</v>
      </c>
    </row>
    <row r="948" spans="1:5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Simulation_output!I948</f>
        <v>0</v>
      </c>
      <c r="E948">
        <f>Simulation_Input!E948- Simulation_output!J948</f>
        <v>0</v>
      </c>
    </row>
    <row r="949" spans="1:5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Simulation_output!I949</f>
        <v>0</v>
      </c>
      <c r="E949">
        <f>Simulation_Input!E949- Simulation_output!J949</f>
        <v>0</v>
      </c>
    </row>
    <row r="950" spans="1:5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Simulation_output!I950</f>
        <v>0</v>
      </c>
      <c r="E950">
        <f>Simulation_Input!E950- Simulation_output!J950</f>
        <v>0</v>
      </c>
    </row>
    <row r="951" spans="1:5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Simulation_output!I951</f>
        <v>0</v>
      </c>
      <c r="E951">
        <f>Simulation_Input!E951- Simulation_output!J951</f>
        <v>0</v>
      </c>
    </row>
    <row r="952" spans="1:5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Simulation_output!I952</f>
        <v>0</v>
      </c>
      <c r="E952">
        <f>Simulation_Input!E952- Simulation_output!J952</f>
        <v>0</v>
      </c>
    </row>
    <row r="953" spans="1:5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Simulation_output!I953</f>
        <v>0</v>
      </c>
      <c r="E953">
        <f>Simulation_Input!E953- Simulation_output!J953</f>
        <v>0</v>
      </c>
    </row>
    <row r="954" spans="1:5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Simulation_output!I954</f>
        <v>0</v>
      </c>
      <c r="E954">
        <f>Simulation_Input!E954- Simulation_output!J954</f>
        <v>0</v>
      </c>
    </row>
    <row r="955" spans="1:5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Simulation_output!I955</f>
        <v>0</v>
      </c>
      <c r="E955">
        <f>Simulation_Input!E955- Simulation_output!J955</f>
        <v>0</v>
      </c>
    </row>
    <row r="956" spans="1:5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Simulation_output!I956</f>
        <v>0</v>
      </c>
      <c r="E956">
        <f>Simulation_Input!E956- Simulation_output!J956</f>
        <v>0</v>
      </c>
    </row>
    <row r="957" spans="1:5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Simulation_output!I957</f>
        <v>0</v>
      </c>
      <c r="E957">
        <f>Simulation_Input!E957- Simulation_output!J957</f>
        <v>0</v>
      </c>
    </row>
    <row r="958" spans="1:5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Simulation_output!I958</f>
        <v>0</v>
      </c>
      <c r="E958">
        <f>Simulation_Input!E958- Simulation_output!J958</f>
        <v>0</v>
      </c>
    </row>
    <row r="959" spans="1:5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Simulation_output!I959</f>
        <v>0</v>
      </c>
      <c r="E959">
        <f>Simulation_Input!E959- Simulation_output!J959</f>
        <v>0</v>
      </c>
    </row>
    <row r="960" spans="1:5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Simulation_output!I960</f>
        <v>0</v>
      </c>
      <c r="E960">
        <f>Simulation_Input!E960- Simulation_output!J960</f>
        <v>0</v>
      </c>
    </row>
    <row r="961" spans="1:5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Simulation_output!I961</f>
        <v>0</v>
      </c>
      <c r="E961">
        <f>Simulation_Input!E961- Simulation_output!J961</f>
        <v>0</v>
      </c>
    </row>
    <row r="962" spans="1:5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Simulation_output!I962</f>
        <v>0</v>
      </c>
      <c r="E962">
        <f>Simulation_Input!E962- Simulation_output!J962</f>
        <v>0</v>
      </c>
    </row>
    <row r="963" spans="1:5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Simulation_output!I963</f>
        <v>0</v>
      </c>
      <c r="E963">
        <f>Simulation_Input!E963- Simulation_output!J963</f>
        <v>0</v>
      </c>
    </row>
    <row r="964" spans="1:5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Simulation_output!I964</f>
        <v>0</v>
      </c>
      <c r="E964">
        <f>Simulation_Input!E964- Simulation_output!J964</f>
        <v>0</v>
      </c>
    </row>
    <row r="965" spans="1:5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Simulation_output!I965</f>
        <v>0</v>
      </c>
      <c r="E965">
        <f>Simulation_Input!E965- Simulation_output!J965</f>
        <v>0</v>
      </c>
    </row>
    <row r="966" spans="1:5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Simulation_output!I966</f>
        <v>0</v>
      </c>
      <c r="E966">
        <f>Simulation_Input!E966- Simulation_output!J966</f>
        <v>0</v>
      </c>
    </row>
    <row r="967" spans="1:5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Simulation_output!I967</f>
        <v>0</v>
      </c>
      <c r="E967">
        <f>Simulation_Input!E967- Simulation_output!J967</f>
        <v>0</v>
      </c>
    </row>
    <row r="968" spans="1:5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Simulation_output!I968</f>
        <v>0</v>
      </c>
      <c r="E968">
        <f>Simulation_Input!E968- Simulation_output!J968</f>
        <v>0</v>
      </c>
    </row>
    <row r="969" spans="1:5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Simulation_output!I969</f>
        <v>0</v>
      </c>
      <c r="E969">
        <f>Simulation_Input!E969- Simulation_output!J969</f>
        <v>0</v>
      </c>
    </row>
    <row r="970" spans="1:5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Simulation_output!I970</f>
        <v>0</v>
      </c>
      <c r="E970">
        <f>Simulation_Input!E970- Simulation_output!J970</f>
        <v>0</v>
      </c>
    </row>
    <row r="971" spans="1:5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Simulation_output!I971</f>
        <v>0</v>
      </c>
      <c r="E971">
        <f>Simulation_Input!E971- Simulation_output!J971</f>
        <v>0</v>
      </c>
    </row>
    <row r="972" spans="1:5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Simulation_output!I972</f>
        <v>0</v>
      </c>
      <c r="E972">
        <f>Simulation_Input!E972- Simulation_output!J972</f>
        <v>0</v>
      </c>
    </row>
    <row r="973" spans="1:5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Simulation_output!I973</f>
        <v>0</v>
      </c>
      <c r="E973">
        <f>Simulation_Input!E973- Simulation_output!J973</f>
        <v>0</v>
      </c>
    </row>
    <row r="974" spans="1:5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Simulation_output!I974</f>
        <v>0</v>
      </c>
      <c r="E974">
        <f>Simulation_Input!E974- Simulation_output!J974</f>
        <v>0</v>
      </c>
    </row>
    <row r="975" spans="1:5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Simulation_output!I975</f>
        <v>0</v>
      </c>
      <c r="E975">
        <f>Simulation_Input!E975- Simulation_output!J975</f>
        <v>0</v>
      </c>
    </row>
    <row r="976" spans="1:5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Simulation_output!I976</f>
        <v>0</v>
      </c>
      <c r="E976">
        <f>Simulation_Input!E976- Simulation_output!J976</f>
        <v>0</v>
      </c>
    </row>
    <row r="977" spans="1:5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Simulation_output!I977</f>
        <v>0</v>
      </c>
      <c r="E977">
        <f>Simulation_Input!E977- Simulation_output!J977</f>
        <v>0</v>
      </c>
    </row>
    <row r="978" spans="1:5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Simulation_output!I978</f>
        <v>0</v>
      </c>
      <c r="E978">
        <f>Simulation_Input!E978- Simulation_output!J978</f>
        <v>0</v>
      </c>
    </row>
    <row r="979" spans="1:5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Simulation_output!I979</f>
        <v>0</v>
      </c>
      <c r="E979">
        <f>Simulation_Input!E979- Simulation_output!J979</f>
        <v>0</v>
      </c>
    </row>
    <row r="980" spans="1:5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Simulation_output!I980</f>
        <v>0</v>
      </c>
      <c r="E980">
        <f>Simulation_Input!E980- Simulation_output!J980</f>
        <v>0</v>
      </c>
    </row>
    <row r="981" spans="1:5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Simulation_output!I981</f>
        <v>0</v>
      </c>
      <c r="E981">
        <f>Simulation_Input!E981- Simulation_output!J981</f>
        <v>0</v>
      </c>
    </row>
    <row r="982" spans="1:5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Simulation_output!I982</f>
        <v>0</v>
      </c>
      <c r="E982">
        <f>Simulation_Input!E982- Simulation_output!J982</f>
        <v>0</v>
      </c>
    </row>
    <row r="983" spans="1:5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Simulation_output!I983</f>
        <v>0</v>
      </c>
      <c r="E983">
        <f>Simulation_Input!E983- Simulation_output!J983</f>
        <v>0</v>
      </c>
    </row>
    <row r="984" spans="1:5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Simulation_output!I984</f>
        <v>0</v>
      </c>
      <c r="E984">
        <f>Simulation_Input!E984- Simulation_output!J984</f>
        <v>0</v>
      </c>
    </row>
    <row r="985" spans="1:5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Simulation_output!I985</f>
        <v>0</v>
      </c>
      <c r="E985">
        <f>Simulation_Input!E985- Simulation_output!J985</f>
        <v>0</v>
      </c>
    </row>
    <row r="986" spans="1:5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Simulation_output!I986</f>
        <v>0</v>
      </c>
      <c r="E986">
        <f>Simulation_Input!E986- Simulation_output!J986</f>
        <v>0</v>
      </c>
    </row>
    <row r="987" spans="1:5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Simulation_output!I987</f>
        <v>0</v>
      </c>
      <c r="E987">
        <f>Simulation_Input!E987- Simulation_output!J987</f>
        <v>0</v>
      </c>
    </row>
    <row r="988" spans="1:5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Simulation_output!I988</f>
        <v>0</v>
      </c>
      <c r="E988">
        <f>Simulation_Input!E988- Simulation_output!J988</f>
        <v>0</v>
      </c>
    </row>
    <row r="989" spans="1:5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Simulation_output!I989</f>
        <v>0</v>
      </c>
      <c r="E989">
        <f>Simulation_Input!E989- Simulation_output!J989</f>
        <v>0</v>
      </c>
    </row>
    <row r="990" spans="1:5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Simulation_output!I990</f>
        <v>0</v>
      </c>
      <c r="E990">
        <f>Simulation_Input!E990- Simulation_output!J990</f>
        <v>0</v>
      </c>
    </row>
    <row r="991" spans="1:5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Simulation_output!I991</f>
        <v>0</v>
      </c>
      <c r="E991">
        <f>Simulation_Input!E991- Simulation_output!J991</f>
        <v>0</v>
      </c>
    </row>
    <row r="992" spans="1:5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Simulation_output!I992</f>
        <v>0</v>
      </c>
      <c r="E992">
        <f>Simulation_Input!E992- Simulation_output!J992</f>
        <v>0</v>
      </c>
    </row>
    <row r="993" spans="1:5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Simulation_output!I993</f>
        <v>0</v>
      </c>
      <c r="E993">
        <f>Simulation_Input!E993- Simulation_output!J993</f>
        <v>0</v>
      </c>
    </row>
    <row r="994" spans="1:5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Simulation_output!I994</f>
        <v>0</v>
      </c>
      <c r="E994">
        <f>Simulation_Input!E994- Simulation_output!J994</f>
        <v>0</v>
      </c>
    </row>
    <row r="995" spans="1:5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Simulation_output!I995</f>
        <v>0</v>
      </c>
      <c r="E995">
        <f>Simulation_Input!E995- Simulation_output!J995</f>
        <v>0</v>
      </c>
    </row>
    <row r="996" spans="1:5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Simulation_output!I996</f>
        <v>0</v>
      </c>
      <c r="E996">
        <f>Simulation_Input!E996- Simulation_output!J996</f>
        <v>0</v>
      </c>
    </row>
    <row r="997" spans="1:5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Simulation_output!I997</f>
        <v>0</v>
      </c>
      <c r="E997">
        <f>Simulation_Input!E997- Simulation_output!J997</f>
        <v>0</v>
      </c>
    </row>
    <row r="998" spans="1:5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Simulation_output!I998</f>
        <v>0</v>
      </c>
      <c r="E998">
        <f>Simulation_Input!E998- Simulation_output!J998</f>
        <v>0</v>
      </c>
    </row>
    <row r="999" spans="1:5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Simulation_output!I999</f>
        <v>0</v>
      </c>
      <c r="E999">
        <f>Simulation_Input!E999- Simulation_output!J999</f>
        <v>0</v>
      </c>
    </row>
    <row r="1000" spans="1:5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Simulation_output!I1000</f>
        <v>0</v>
      </c>
      <c r="E1000">
        <f>Simulation_Input!E1000- Simulation_output!J1000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29</vt:i4>
      </vt:variant>
    </vt:vector>
  </HeadingPairs>
  <TitlesOfParts>
    <vt:vector size="38" baseType="lpstr">
      <vt:lpstr>Sheet3</vt:lpstr>
      <vt:lpstr>Sheet2</vt:lpstr>
      <vt:lpstr>Sheet1</vt:lpstr>
      <vt:lpstr>Book1</vt:lpstr>
      <vt:lpstr>Simulation_output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Lines2</vt:lpstr>
      <vt:lpstr>make_command</vt:lpstr>
      <vt:lpstr>op_status</vt:lpstr>
      <vt:lpstr>output_File_Command</vt:lpstr>
      <vt:lpstr>rel_path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table_sim_out</vt:lpstr>
      <vt:lpstr>tc_type</vt:lpstr>
      <vt:lpstr>TestCaseName</vt:lpstr>
      <vt:lpstr>Timer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2019-08-28T03:26:00Z</dcterms:modified>
</cp:coreProperties>
</file>